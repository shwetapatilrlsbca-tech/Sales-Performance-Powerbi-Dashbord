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a Patil\Downloads\"/>
    </mc:Choice>
  </mc:AlternateContent>
  <xr:revisionPtr revIDLastSave="0" documentId="13_ncr:1_{373C09A8-6AC0-485C-BEEA-0AB3B85D6F41}" xr6:coauthVersionLast="47" xr6:coauthVersionMax="47" xr10:uidLastSave="{00000000-0000-0000-0000-000000000000}"/>
  <bookViews>
    <workbookView xWindow="-108" yWindow="-108" windowWidth="23256" windowHeight="12456" activeTab="3" xr2:uid="{9280B406-CC53-445D-97E6-338355BE480E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Sheet1!$A$1:$K$5902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</calcChain>
</file>

<file path=xl/sharedStrings.xml><?xml version="1.0" encoding="utf-8"?>
<sst xmlns="http://schemas.openxmlformats.org/spreadsheetml/2006/main" count="41365" uniqueCount="6330">
  <si>
    <t>Order ID</t>
  </si>
  <si>
    <t>Order Date</t>
  </si>
  <si>
    <t>Customer ID</t>
  </si>
  <si>
    <t>Customer Name</t>
  </si>
  <si>
    <t>Country</t>
  </si>
  <si>
    <t>Region</t>
  </si>
  <si>
    <t>Category</t>
  </si>
  <si>
    <t>Product Name</t>
  </si>
  <si>
    <t>Sales</t>
  </si>
  <si>
    <t>Quantity</t>
  </si>
  <si>
    <t>Profit</t>
  </si>
  <si>
    <t>CA-2019-160304</t>
  </si>
  <si>
    <t>BM-11575</t>
  </si>
  <si>
    <t>Brendan Murry</t>
  </si>
  <si>
    <t>United States</t>
  </si>
  <si>
    <t>East</t>
  </si>
  <si>
    <t>Furniture</t>
  </si>
  <si>
    <t>Bush Westfield Collection Bookcases, Medium Cherry Finish</t>
  </si>
  <si>
    <t>Technology</t>
  </si>
  <si>
    <t>GE 30522EE2</t>
  </si>
  <si>
    <t>CA-2019-125206</t>
  </si>
  <si>
    <t>LR-16915</t>
  </si>
  <si>
    <t>Lena Radford</t>
  </si>
  <si>
    <t>West</t>
  </si>
  <si>
    <t>Office Supplies</t>
  </si>
  <si>
    <t>Recycled Steel Personal File for Hanging File Folders</t>
  </si>
  <si>
    <t>US-2019-116365</t>
  </si>
  <si>
    <t>CA-12310</t>
  </si>
  <si>
    <t>Christine Abelman</t>
  </si>
  <si>
    <t>Central</t>
  </si>
  <si>
    <t>Imation Clip USB flash drive - 8 GB</t>
  </si>
  <si>
    <t>WD My Passport Ultra 1TB Portable External Hard Drive</t>
  </si>
  <si>
    <t>AT&amp;T 17929 Lendline Telephone</t>
  </si>
  <si>
    <t>CA-2019-105207</t>
  </si>
  <si>
    <t>BO-11350</t>
  </si>
  <si>
    <t>Bill Overfelt</t>
  </si>
  <si>
    <t>Hon Practical Foundations 30 x 60 Training Table, Light Gray/Charcoal</t>
  </si>
  <si>
    <t>Storex Dura Pro Binders</t>
  </si>
  <si>
    <t>US-2019-164630</t>
  </si>
  <si>
    <t>EB-13975</t>
  </si>
  <si>
    <t>Erica Bern</t>
  </si>
  <si>
    <t>South</t>
  </si>
  <si>
    <t>Hewlett Packard 310 Color Digital Copier</t>
  </si>
  <si>
    <t>CA-2019-158211</t>
  </si>
  <si>
    <t>BP-11185</t>
  </si>
  <si>
    <t>Ben Peterman</t>
  </si>
  <si>
    <t>Newell 312</t>
  </si>
  <si>
    <t>Avery Arch Ring Binders</t>
  </si>
  <si>
    <t>CA-2019-134474</t>
  </si>
  <si>
    <t>AJ-10795</t>
  </si>
  <si>
    <t>Anthony Johnson</t>
  </si>
  <si>
    <t>Logitech MX Performance Wireless Mouse</t>
  </si>
  <si>
    <t>Newell 337</t>
  </si>
  <si>
    <t>Logitech B530 USB Headset - headset - Full size, Binaural</t>
  </si>
  <si>
    <t>CA-2019-101938</t>
  </si>
  <si>
    <t>DW-13480</t>
  </si>
  <si>
    <t>Dianna Wilson</t>
  </si>
  <si>
    <t>Panasonic KP-350BK Electric Pencil Sharpener with Auto Stop</t>
  </si>
  <si>
    <t>CA-2019-158806</t>
  </si>
  <si>
    <t>NM-18520</t>
  </si>
  <si>
    <t>Neoma Murray</t>
  </si>
  <si>
    <t>Executive Impressions 13" Clairmont Wall Clock</t>
  </si>
  <si>
    <t>Xerox 212</t>
  </si>
  <si>
    <t>US-2019-100461</t>
  </si>
  <si>
    <t>JO-15145</t>
  </si>
  <si>
    <t>Jack O'Briant</t>
  </si>
  <si>
    <t>Atlantic Metals Mobile 3-Shelf Bookcases, Custom Colors</t>
  </si>
  <si>
    <t>Plastic Binding Combs</t>
  </si>
  <si>
    <t>US-2019-137295</t>
  </si>
  <si>
    <t>VS-21820</t>
  </si>
  <si>
    <t>Vivek Sundaresam</t>
  </si>
  <si>
    <t>XtraLife ClearVue Slant-D Ring Binder, White, 3"</t>
  </si>
  <si>
    <t>Newell 319</t>
  </si>
  <si>
    <t>Avaya 5410 Digital phone</t>
  </si>
  <si>
    <t>CA-2019-108882</t>
  </si>
  <si>
    <t>LA-16780</t>
  </si>
  <si>
    <t>Laura Armstrong</t>
  </si>
  <si>
    <t>Logitech G500s Laser Gaming Mouse with Adjustable Weight Tuning</t>
  </si>
  <si>
    <t>netTALK DUO VoIP Telephone Service</t>
  </si>
  <si>
    <t>CA-2019-126543</t>
  </si>
  <si>
    <t>MF-17665</t>
  </si>
  <si>
    <t>Maureen Fritzler</t>
  </si>
  <si>
    <t>DAX Two-Tone Rosewood/Black Document Frame, Desktop, 5 x 7</t>
  </si>
  <si>
    <t>CA-2019-116547</t>
  </si>
  <si>
    <t>KB-16585</t>
  </si>
  <si>
    <t>Ken Black</t>
  </si>
  <si>
    <t>24-Hour Round Wall Clock</t>
  </si>
  <si>
    <t>Logitech Media Keyboard K200</t>
  </si>
  <si>
    <t>CA-2019-163937</t>
  </si>
  <si>
    <t>JB-16000</t>
  </si>
  <si>
    <t>Joy Bell-</t>
  </si>
  <si>
    <t>DAX Value U-Channel Document Frames, Easel Back</t>
  </si>
  <si>
    <t>CA-2019-126529</t>
  </si>
  <si>
    <t>DE-13255</t>
  </si>
  <si>
    <t>Deanra Eno</t>
  </si>
  <si>
    <t>Xerox 2</t>
  </si>
  <si>
    <t>Xerox 1935</t>
  </si>
  <si>
    <t>Cyber Acoustics AC-202b Speech Recognition Stereo Headset</t>
  </si>
  <si>
    <t>CA-2019-141887</t>
  </si>
  <si>
    <t>MP-17470</t>
  </si>
  <si>
    <t>Mark Packer</t>
  </si>
  <si>
    <t>Ultra Door Push Plate</t>
  </si>
  <si>
    <t>CA-2019-133368</t>
  </si>
  <si>
    <t>AG-10675</t>
  </si>
  <si>
    <t>Anna Gayman</t>
  </si>
  <si>
    <t>Xerox 1882</t>
  </si>
  <si>
    <t>Electrix Fluorescent Magnifier Lamps &amp; Weighted Base</t>
  </si>
  <si>
    <t>CA-2019-152072</t>
  </si>
  <si>
    <t>Dp-13240</t>
  </si>
  <si>
    <t>Dean percer</t>
  </si>
  <si>
    <t>Quality Park Security Envelopes</t>
  </si>
  <si>
    <t>American Pencil</t>
  </si>
  <si>
    <t>Logitech Gaming G510s - Keyboard</t>
  </si>
  <si>
    <t>CA-2019-140746</t>
  </si>
  <si>
    <t>RC-19825</t>
  </si>
  <si>
    <t>Roy Collins</t>
  </si>
  <si>
    <t>Bevis Round Bullnose 29" High Table Top</t>
  </si>
  <si>
    <t>CA-2019-137848</t>
  </si>
  <si>
    <t>WB-21850</t>
  </si>
  <si>
    <t>William Brown</t>
  </si>
  <si>
    <t>#10 Gummed Flap White Envelopes, 100/Box</t>
  </si>
  <si>
    <t>Xerox 1959</t>
  </si>
  <si>
    <t>Square Ring Data Binders, Rigid 75 Pt. Covers, 11" x 14-7/8"</t>
  </si>
  <si>
    <t>CA-2019-166912</t>
  </si>
  <si>
    <t>BE-11335</t>
  </si>
  <si>
    <t>Bill Eplett</t>
  </si>
  <si>
    <t>Xerox 1893</t>
  </si>
  <si>
    <t>CA-2019-121755</t>
  </si>
  <si>
    <t>EH-13945</t>
  </si>
  <si>
    <t>Eric Hoffmann</t>
  </si>
  <si>
    <t>Wilson Jones Active Use Binders</t>
  </si>
  <si>
    <t>Imation 8GB Mini TravelDrive USB 2.0 Flash Drive</t>
  </si>
  <si>
    <t>CA-2019-116736</t>
  </si>
  <si>
    <t>CC-12430</t>
  </si>
  <si>
    <t>Chuck Clark</t>
  </si>
  <si>
    <t>Tenex Contemporary Contur Chairmats for Low and Medium Pile Carpet, Computer, 39" x 49"</t>
  </si>
  <si>
    <t>Logitech 910-002974 M325 Wireless Mouse for Web Scrolling</t>
  </si>
  <si>
    <t>Logitech G19 Programmable Gaming Keyboard</t>
  </si>
  <si>
    <t>CA-2019-106558</t>
  </si>
  <si>
    <t>DL-13495</t>
  </si>
  <si>
    <t>Dionis Lloyd</t>
  </si>
  <si>
    <t>First Data FD10 PIN Pad</t>
  </si>
  <si>
    <t>US-2019-167339</t>
  </si>
  <si>
    <t>TD-20995</t>
  </si>
  <si>
    <t>Tamara Dahlen</t>
  </si>
  <si>
    <t>Global Super Steno Chair</t>
  </si>
  <si>
    <t>Global Ergonomic Managers Chair</t>
  </si>
  <si>
    <t>CA-2019-111010</t>
  </si>
  <si>
    <t>PG-18895</t>
  </si>
  <si>
    <t>Paul Gonzalez</t>
  </si>
  <si>
    <t>Bagged Rubber Bands</t>
  </si>
  <si>
    <t>US-2019-135923</t>
  </si>
  <si>
    <t>CM-11935</t>
  </si>
  <si>
    <t>Carlos Meador</t>
  </si>
  <si>
    <t>Eldon Pizzaz Desk Accessories</t>
  </si>
  <si>
    <t>Sauder Forest Hills Library, Woodland Oak Finish</t>
  </si>
  <si>
    <t>Fellowes Mighty 8 Compact Surge Protector</t>
  </si>
  <si>
    <t>CA-2019-138079</t>
  </si>
  <si>
    <t>Contract Clock, 14", Brown</t>
  </si>
  <si>
    <t>CA-2019-146318</t>
  </si>
  <si>
    <t>MC-17275</t>
  </si>
  <si>
    <t>Marc Crier</t>
  </si>
  <si>
    <t>Xerox 218</t>
  </si>
  <si>
    <t>CA-2019-125850</t>
  </si>
  <si>
    <t>FP-14320</t>
  </si>
  <si>
    <t>Frank Preis</t>
  </si>
  <si>
    <t>Avery 475</t>
  </si>
  <si>
    <t>Avery 476</t>
  </si>
  <si>
    <t>CA-2019-148208</t>
  </si>
  <si>
    <t>BT-11530</t>
  </si>
  <si>
    <t>Bradley Talbott</t>
  </si>
  <si>
    <t>Panasonic Kx-TS550</t>
  </si>
  <si>
    <t>Verbatim 25 GB 6x Blu-ray Single Layer Recordable Disc, 25/Pack</t>
  </si>
  <si>
    <t>US-2019-155180</t>
  </si>
  <si>
    <t>TB-21280</t>
  </si>
  <si>
    <t>Toby Braunhardt</t>
  </si>
  <si>
    <t>Wilson Jones data.warehouse D-Ring Binders with DublLock</t>
  </si>
  <si>
    <t>CA-2019-113656</t>
  </si>
  <si>
    <t>CB-12415</t>
  </si>
  <si>
    <t>Christy Brittain</t>
  </si>
  <si>
    <t>DAX Cubicle Frames, 8-1/2 x 11</t>
  </si>
  <si>
    <t>US-2019-165505</t>
  </si>
  <si>
    <t>CB-12535</t>
  </si>
  <si>
    <t>Claudia Bergmann</t>
  </si>
  <si>
    <t>Logitech Wireless Marathon Mouse M705</t>
  </si>
  <si>
    <t>4009 Highlighters</t>
  </si>
  <si>
    <t>Iceberg Mobile Mega Data/Printer Cart</t>
  </si>
  <si>
    <t>CA-2019-109407</t>
  </si>
  <si>
    <t>HG-14965</t>
  </si>
  <si>
    <t>Henry Goldwyn</t>
  </si>
  <si>
    <t>XtraLife ClearVue Slant-D Ring Binders by Cardinal</t>
  </si>
  <si>
    <t>CA-2019-153346</t>
  </si>
  <si>
    <t>TB-21355</t>
  </si>
  <si>
    <t>Todd Boyes</t>
  </si>
  <si>
    <t>Dixon Ticonderoga Maple Cedar Pencil, #2</t>
  </si>
  <si>
    <t>Telephone Message Books with Fax/Mobile Section, 4 1/4" x 6"</t>
  </si>
  <si>
    <t>CA-2019-168046</t>
  </si>
  <si>
    <t>JD-15895</t>
  </si>
  <si>
    <t>Jonathan Doherty</t>
  </si>
  <si>
    <t>GBC Standard Recycled Report Covers, Clear Plastic Sheets</t>
  </si>
  <si>
    <t>Chromcraft Round Conference Tables</t>
  </si>
  <si>
    <t>Tenex B1-RE Series Chair Mats for Low Pile Carpets</t>
  </si>
  <si>
    <t>SAFCO Commercial Wire Shelving, 72h</t>
  </si>
  <si>
    <t>CA-2019-146437</t>
  </si>
  <si>
    <t>Newell 345</t>
  </si>
  <si>
    <t>CA-2019-164483</t>
  </si>
  <si>
    <t>JF-15490</t>
  </si>
  <si>
    <t>Jeremy Farry</t>
  </si>
  <si>
    <t>Heavy-Duty E-Z-D Binders</t>
  </si>
  <si>
    <t>CA-2019-153661</t>
  </si>
  <si>
    <t>SC-20725</t>
  </si>
  <si>
    <t>Steven Cartwright</t>
  </si>
  <si>
    <t>File Shuttle II and Handi-File, Black</t>
  </si>
  <si>
    <t>GBC Wire Binding Strips</t>
  </si>
  <si>
    <t>Avery 512</t>
  </si>
  <si>
    <t>US-2019-166660</t>
  </si>
  <si>
    <t>TB-21250</t>
  </si>
  <si>
    <t>Tim Brockman</t>
  </si>
  <si>
    <t>Global Deluxe High-Back Office Chair in Storm</t>
  </si>
  <si>
    <t>O'Sullivan 2-Shelf Heavy-Duty Bookcases</t>
  </si>
  <si>
    <t>CA-2019-114944</t>
  </si>
  <si>
    <t>HE-14800</t>
  </si>
  <si>
    <t>Harold Engle</t>
  </si>
  <si>
    <t>Xerox 1943</t>
  </si>
  <si>
    <t>CA-2019-168032</t>
  </si>
  <si>
    <t>DF-13135</t>
  </si>
  <si>
    <t>David Flashing</t>
  </si>
  <si>
    <t>Nokia Lumia 1020</t>
  </si>
  <si>
    <t>Avery Durable Binders</t>
  </si>
  <si>
    <t>Bretford “Just In Time” Height-Adjustable Multi-Task Work Tables</t>
  </si>
  <si>
    <t>CA-2019-129238</t>
  </si>
  <si>
    <t>SC-20050</t>
  </si>
  <si>
    <t>Sample Company A</t>
  </si>
  <si>
    <t>AT&amp;T 1080 Phone</t>
  </si>
  <si>
    <t>Easy-staple paper</t>
  </si>
  <si>
    <t>CA-2019-147970</t>
  </si>
  <si>
    <t>AB-10150</t>
  </si>
  <si>
    <t>Aimee Bixby</t>
  </si>
  <si>
    <t>Xerox 1994</t>
  </si>
  <si>
    <t>CA-2019-158043</t>
  </si>
  <si>
    <t>JK-15325</t>
  </si>
  <si>
    <t>Jason Klamczynski</t>
  </si>
  <si>
    <t>Staple envelope</t>
  </si>
  <si>
    <t>CA-2019-159891</t>
  </si>
  <si>
    <t>BF-11170</t>
  </si>
  <si>
    <t>Ben Ferrer</t>
  </si>
  <si>
    <t>Fellowes PB500 Electric Punch Plastic Comb Binding Machine with Manual Bind</t>
  </si>
  <si>
    <t>#10 White Business Envelopes,4 1/8 x 9 1/2</t>
  </si>
  <si>
    <t>US-2019-140809</t>
  </si>
  <si>
    <t>CK-12760</t>
  </si>
  <si>
    <t>Cyma Kinney</t>
  </si>
  <si>
    <t>X-Rack File for Hanging Folders</t>
  </si>
  <si>
    <t>CA-2019-154067</t>
  </si>
  <si>
    <t>SM-20950</t>
  </si>
  <si>
    <t>Suzanne McNair</t>
  </si>
  <si>
    <t>Xerox 1883</t>
  </si>
  <si>
    <t>CA-2019-147431</t>
  </si>
  <si>
    <t>AB-10105</t>
  </si>
  <si>
    <t>Adrian Barton</t>
  </si>
  <si>
    <t>Belkin 19" Center-Weighted Shelf, Gray</t>
  </si>
  <si>
    <t>CA-2019-158841</t>
  </si>
  <si>
    <t>SE-20110</t>
  </si>
  <si>
    <t>Sanjit Engle</t>
  </si>
  <si>
    <t>HP Designjet T520 Inkjet Large Format Printer - 24" Color</t>
  </si>
  <si>
    <t>Presstex Flexible Ring Binders</t>
  </si>
  <si>
    <t>Acrylic Self-Standing Desk Frames</t>
  </si>
  <si>
    <t>CA-2019-144645</t>
  </si>
  <si>
    <t>NS-18640</t>
  </si>
  <si>
    <t>Noel Staavos</t>
  </si>
  <si>
    <t>Deflect-o RollaMat Studded, Beveled Mat for Medium Pile Carpeting</t>
  </si>
  <si>
    <t>CA-2019-118514</t>
  </si>
  <si>
    <t>LC-17050</t>
  </si>
  <si>
    <t>Liz Carlisle</t>
  </si>
  <si>
    <t>Hon Multipurpose Stacking Arm Chairs</t>
  </si>
  <si>
    <t>CA-2019-117912</t>
  </si>
  <si>
    <t>TB-21520</t>
  </si>
  <si>
    <t>Tracy Blumstein</t>
  </si>
  <si>
    <t>Nu-Dell Float Frame 11 x 14 1/2</t>
  </si>
  <si>
    <t>CA-2019-150077</t>
  </si>
  <si>
    <t>MS-17365</t>
  </si>
  <si>
    <t>Maribeth Schnelling</t>
  </si>
  <si>
    <t>CA-2019-101189</t>
  </si>
  <si>
    <t>JB-15400</t>
  </si>
  <si>
    <t>Jennifer Braxton</t>
  </si>
  <si>
    <t>Safco Commercial Shelving</t>
  </si>
  <si>
    <t>US-2019-108504</t>
  </si>
  <si>
    <t>PP-18955</t>
  </si>
  <si>
    <t>Paul Prost</t>
  </si>
  <si>
    <t>Carina 42"Hx23 3/4"W Media Storage Unit</t>
  </si>
  <si>
    <t>White Computer Printout Paper by Universal</t>
  </si>
  <si>
    <t>Revere Boxed Rubber Bands by Revere</t>
  </si>
  <si>
    <t>Eldon 200 Class Desk Accessories, Black</t>
  </si>
  <si>
    <t>Bush Andora Bookcase, Maple/Graphite Gray Finish</t>
  </si>
  <si>
    <t>Ames Color-File Green Diamond Border X-ray Mailers</t>
  </si>
  <si>
    <t>Plantronics Cordless Phone Headset with In-line Volume - M214C</t>
  </si>
  <si>
    <t>Aastra 57i VoIP phone</t>
  </si>
  <si>
    <t>White Dual Perf Computer Printout Paper, 2700 Sheets, 1 Part, Heavyweight, 20 lbs., 14 7/8 x 11</t>
  </si>
  <si>
    <t>Belkin 19" Vented Equipment Shelf, Black</t>
  </si>
  <si>
    <t>CA-2019-100993</t>
  </si>
  <si>
    <t>AZ-10750</t>
  </si>
  <si>
    <t>Annie Zypern</t>
  </si>
  <si>
    <t>Avery 508</t>
  </si>
  <si>
    <t>Fellowes Mobile File Cart, Black</t>
  </si>
  <si>
    <t>Anker Astro 15000mAh USB Portable Charger</t>
  </si>
  <si>
    <t>CA-2019-125017</t>
  </si>
  <si>
    <t>KB-16240</t>
  </si>
  <si>
    <t>Karen Bern</t>
  </si>
  <si>
    <t>Deflect-o EconoMat Studded, No Bevel Mat for Low Pile Carpeting</t>
  </si>
  <si>
    <t>CA-2019-106894</t>
  </si>
  <si>
    <t>CA-12265</t>
  </si>
  <si>
    <t>Christina Anderson</t>
  </si>
  <si>
    <t>Micro Innovations USB RF Wireless Keyboard with Mouse</t>
  </si>
  <si>
    <t>Permanent Self-Adhesive File Folder Labels for Typewriters by Universal</t>
  </si>
  <si>
    <t>CA-2019-161662</t>
  </si>
  <si>
    <t>BE-11410</t>
  </si>
  <si>
    <t>Bobby Elias</t>
  </si>
  <si>
    <t>Xerox 1912</t>
  </si>
  <si>
    <t>CA-2019-135461</t>
  </si>
  <si>
    <t>Motorola L703CM</t>
  </si>
  <si>
    <t>CA-2019-109344</t>
  </si>
  <si>
    <t>CH-12070</t>
  </si>
  <si>
    <t>Cathy Hwang</t>
  </si>
  <si>
    <t>Samsung Galaxy S4 Mini</t>
  </si>
  <si>
    <t>CA-2019-163048</t>
  </si>
  <si>
    <t>MH-17440</t>
  </si>
  <si>
    <t>Mark Haberlin</t>
  </si>
  <si>
    <t>Harbour Creations Steel Folding Chair</t>
  </si>
  <si>
    <t>US-2019-112396</t>
  </si>
  <si>
    <t>JR-16210</t>
  </si>
  <si>
    <t>Justin Ritter</t>
  </si>
  <si>
    <t>Maxell 4.7GB DVD+RW 3/Pack</t>
  </si>
  <si>
    <t>CA-2019-164938</t>
  </si>
  <si>
    <t>PB-19210</t>
  </si>
  <si>
    <t>Phillip Breyer</t>
  </si>
  <si>
    <t>Mediabridge Sport Armband iPhone 5s</t>
  </si>
  <si>
    <t>CA-2019-110492</t>
  </si>
  <si>
    <t>JS-15880</t>
  </si>
  <si>
    <t>John Stevenson</t>
  </si>
  <si>
    <t>Tennsco Double-Tier Lockers</t>
  </si>
  <si>
    <t>Avery Durable Slant Ring Binders, No Labels</t>
  </si>
  <si>
    <t>CA-2019-112942</t>
  </si>
  <si>
    <t>RD-19810</t>
  </si>
  <si>
    <t>Ross DeVincentis</t>
  </si>
  <si>
    <t>Tops Green Bar Computer Printout Paper</t>
  </si>
  <si>
    <t>CA-2019-134334</t>
  </si>
  <si>
    <t>DK-13090</t>
  </si>
  <si>
    <t>Dave Kipp</t>
  </si>
  <si>
    <t>Wirebound Message Books, Four 2 3/4 x 5 Forms per Page, 200 Sets per Book</t>
  </si>
  <si>
    <t>Economy #2 Pencils</t>
  </si>
  <si>
    <t>Bevis Boat-Shaped Conference Table</t>
  </si>
  <si>
    <t>Regeneration Desk Collection</t>
  </si>
  <si>
    <t>CA-2019-146150</t>
  </si>
  <si>
    <t>FM-14380</t>
  </si>
  <si>
    <t>Fred McMath</t>
  </si>
  <si>
    <t>Panasonic KP-150 Electric Pencil Sharpener</t>
  </si>
  <si>
    <t>US-2019-162859</t>
  </si>
  <si>
    <t>PG-18820</t>
  </si>
  <si>
    <t>Patrick Gardner</t>
  </si>
  <si>
    <t>GBC DocuBind P100 Manual Binding Machine</t>
  </si>
  <si>
    <t>Advantus Push Pins</t>
  </si>
  <si>
    <t>CA-2019-168956</t>
  </si>
  <si>
    <t>EA-14035</t>
  </si>
  <si>
    <t>Erin Ashbrook</t>
  </si>
  <si>
    <t>Honeywell Enviracaire Portable Air Cleaner for up to 8 x 10 Room</t>
  </si>
  <si>
    <t>Global Stack Chair with Arms, Black</t>
  </si>
  <si>
    <t>Xerox 206</t>
  </si>
  <si>
    <t>CA-2019-134138</t>
  </si>
  <si>
    <t>JD-15790</t>
  </si>
  <si>
    <t>John Dryer</t>
  </si>
  <si>
    <t>Hon Comfortask Task/Swivel Chairs</t>
  </si>
  <si>
    <t>CA-2019-108105</t>
  </si>
  <si>
    <t>GW-14605</t>
  </si>
  <si>
    <t>Giulietta Weimer</t>
  </si>
  <si>
    <t>Eldon Cleatmat Plus Chair Mats for High Pile Carpets</t>
  </si>
  <si>
    <t>Wilson Jones “Snap” Scratch Pad Binder Tool for Ring Binders</t>
  </si>
  <si>
    <t>CA-2019-105781</t>
  </si>
  <si>
    <t>JF-15565</t>
  </si>
  <si>
    <t>Jill Fjeld</t>
  </si>
  <si>
    <t>Hon Every-Day Chair Series Swivel Task Chairs</t>
  </si>
  <si>
    <t>CA-2019-123274</t>
  </si>
  <si>
    <t>GT-14710</t>
  </si>
  <si>
    <t>Greg Tran</t>
  </si>
  <si>
    <t>Executive Impressions 14" Contract Wall Clock</t>
  </si>
  <si>
    <t>Carina Double Wide Media Storage Towers in Natural &amp; Black</t>
  </si>
  <si>
    <t>CA-2019-101630</t>
  </si>
  <si>
    <t>Staple-on labels</t>
  </si>
  <si>
    <t>Acme Office Executive Series Stainless Steel Trimmers</t>
  </si>
  <si>
    <t>CA-2019-106460</t>
  </si>
  <si>
    <t>Xerox 1880</t>
  </si>
  <si>
    <t>CA-2019-166485</t>
  </si>
  <si>
    <t>AH-10210</t>
  </si>
  <si>
    <t>Alan Hwang</t>
  </si>
  <si>
    <t>Speediset Carbonless Redi-Letter 7" x 8 1/2"</t>
  </si>
  <si>
    <t>CA-2019-139010</t>
  </si>
  <si>
    <t>MC-17635</t>
  </si>
  <si>
    <t>Matthew Clasen</t>
  </si>
  <si>
    <t>SanDisk Ultra 16 GB MicroSDHC Class 10 Memory Card</t>
  </si>
  <si>
    <t>Wilson Jones Clip &amp; Carry Folder Binder Tool for Ring Binders, Clear</t>
  </si>
  <si>
    <t>Fellowes Officeware Wire Shelving</t>
  </si>
  <si>
    <t>Avery Heavy-Duty EZD  Binder With Locking Rings</t>
  </si>
  <si>
    <t>US-2019-168410</t>
  </si>
  <si>
    <t>BV-11245</t>
  </si>
  <si>
    <t>Benjamin Venier</t>
  </si>
  <si>
    <t>9-3/4 Diameter Round Wall Clock</t>
  </si>
  <si>
    <t>Recycled Data-Pak for Archival Bound Computer Printouts, 12-1/2 x 12-1/2 x 16</t>
  </si>
  <si>
    <t>iOttie HLCRIO102 Car Mount</t>
  </si>
  <si>
    <t>US-2019-139262</t>
  </si>
  <si>
    <t>LC-16960</t>
  </si>
  <si>
    <t>Lindsay Castell</t>
  </si>
  <si>
    <t>Avery Durable Slant Ring Binders With Label Holder</t>
  </si>
  <si>
    <t>Standard Rollaway File with Lock</t>
  </si>
  <si>
    <t>CA-2019-121447</t>
  </si>
  <si>
    <t>Floodlight Indoor Halogen Bulbs, 1 Bulb per Pack, 60 Watts</t>
  </si>
  <si>
    <t>CA-2019-119025</t>
  </si>
  <si>
    <t>PV-18985</t>
  </si>
  <si>
    <t>Paul Van Hugh</t>
  </si>
  <si>
    <t>Belkin 5 Outlet SurgeMaster Power Centers</t>
  </si>
  <si>
    <t>US-2019-143280</t>
  </si>
  <si>
    <t>TZ-21580</t>
  </si>
  <si>
    <t>Tracy Zic</t>
  </si>
  <si>
    <t>AT&amp;T 1070 Corded Phone</t>
  </si>
  <si>
    <t>Memorex Mini Travel Drive 64 GB USB 2.0 Flash Drive</t>
  </si>
  <si>
    <t>Acco Clips to Go Binder Clips, 24 Clips in Two Sizes</t>
  </si>
  <si>
    <t>CA-2019-144400</t>
  </si>
  <si>
    <t>AC-10420</t>
  </si>
  <si>
    <t>Alyssa Crouse</t>
  </si>
  <si>
    <t>Recycled Interoffice Envelopes with String and Button Closure, 10 x 13</t>
  </si>
  <si>
    <t>CA-2019-165015</t>
  </si>
  <si>
    <t>BD-11725</t>
  </si>
  <si>
    <t>Bruce Degenhardt</t>
  </si>
  <si>
    <t>CA-2019-102456</t>
  </si>
  <si>
    <t>DL-12865</t>
  </si>
  <si>
    <t>Dan Lawera</t>
  </si>
  <si>
    <t>Conquest 14 Commercial Heavy-Duty Upright Vacuum, Collection System, Accessory Kit</t>
  </si>
  <si>
    <t>CA-2019-101448</t>
  </si>
  <si>
    <t>EB-13930</t>
  </si>
  <si>
    <t>Eric Barreto</t>
  </si>
  <si>
    <t>Flexible Leather- Look Classic Collection Ring Binder</t>
  </si>
  <si>
    <t>CA-2019-128706</t>
  </si>
  <si>
    <t>DW-13540</t>
  </si>
  <si>
    <t>Don Weiss</t>
  </si>
  <si>
    <t>DAX Two-Tone Silver Metal Document Frame</t>
  </si>
  <si>
    <t>CA-2019-111283</t>
  </si>
  <si>
    <t>LC-16870</t>
  </si>
  <si>
    <t>Lena Cacioppo</t>
  </si>
  <si>
    <t>Newell 34</t>
  </si>
  <si>
    <t>CA-2019-101623</t>
  </si>
  <si>
    <t>RR-19525</t>
  </si>
  <si>
    <t>Rick Reed</t>
  </si>
  <si>
    <t>Staples</t>
  </si>
  <si>
    <t>US-2019-143819</t>
  </si>
  <si>
    <t>KD-16270</t>
  </si>
  <si>
    <t>Karen Daniels</t>
  </si>
  <si>
    <t>Adjustable Depth Letter/Legal Cart</t>
  </si>
  <si>
    <t>Ativa V4110MDD Micro-Cut Shredder</t>
  </si>
  <si>
    <t>US-2019-151862</t>
  </si>
  <si>
    <t>ON-18715</t>
  </si>
  <si>
    <t>Odella Nelson</t>
  </si>
  <si>
    <t>RCA ViSYS 25423RE1 Corded phone</t>
  </si>
  <si>
    <t>CA-2019-112123</t>
  </si>
  <si>
    <t>BH-11710</t>
  </si>
  <si>
    <t>Brosina Hoffman</t>
  </si>
  <si>
    <t>GBC ProClick Punch Binding System</t>
  </si>
  <si>
    <t>Pyle PMP37LED</t>
  </si>
  <si>
    <t>Xerox 194</t>
  </si>
  <si>
    <t>CA-2019-116799</t>
  </si>
  <si>
    <t>JG-15310</t>
  </si>
  <si>
    <t>Jason Gross</t>
  </si>
  <si>
    <t>Rediform Wirebound "Phone Memo" Message Book, 11 x 5-3/4</t>
  </si>
  <si>
    <t>Office Star - Mid Back Dual function Ergonomic High Back Chair with 2-Way Adjustable Arms</t>
  </si>
  <si>
    <t>CA-2019-167759</t>
  </si>
  <si>
    <t>CC-12670</t>
  </si>
  <si>
    <t>Craig Carreira</t>
  </si>
  <si>
    <t>Plantronics Encore H101 Dual Earpieces Headset</t>
  </si>
  <si>
    <t>CA-2019-145730</t>
  </si>
  <si>
    <t>CC-12220</t>
  </si>
  <si>
    <t>Chris Cortes</t>
  </si>
  <si>
    <t>Office Impressions End Table, 20-1/2"H x 24"W x 20"D</t>
  </si>
  <si>
    <t>Canon PC170 Desktop Personal Copier</t>
  </si>
  <si>
    <t>White Envelopes, White Envelopes with Clear Poly Window</t>
  </si>
  <si>
    <t>CA-2019-120005</t>
  </si>
  <si>
    <t>TS-21160</t>
  </si>
  <si>
    <t>Theresa Swint</t>
  </si>
  <si>
    <t>Elite 5" Scissors</t>
  </si>
  <si>
    <t>Executive Impressions 10" Spectator Wall Clock</t>
  </si>
  <si>
    <t>CA-2019-103982</t>
  </si>
  <si>
    <t>AA-10315</t>
  </si>
  <si>
    <t>Alex Avila</t>
  </si>
  <si>
    <t>High Speed Automatic Electric Letter Opener</t>
  </si>
  <si>
    <t>Acco Banker's Clasps, 5 3/4"-Long</t>
  </si>
  <si>
    <t>Polycom VVX 310 VoIP phone</t>
  </si>
  <si>
    <t>Verbatim 25 GB 6x Blu-ray Single Layer Recordable Disc, 1/Pack</t>
  </si>
  <si>
    <t>CA-2019-154053</t>
  </si>
  <si>
    <t>MG-17890</t>
  </si>
  <si>
    <t>Michael Granlund</t>
  </si>
  <si>
    <t>Berol Giant Pencil Sharpener</t>
  </si>
  <si>
    <t>CA-2019-122518</t>
  </si>
  <si>
    <t>RF-19345</t>
  </si>
  <si>
    <t>Randy Ferguson</t>
  </si>
  <si>
    <t>Avery 518</t>
  </si>
  <si>
    <t>CA-2019-164637</t>
  </si>
  <si>
    <t>RD-19480</t>
  </si>
  <si>
    <t>Rick Duston</t>
  </si>
  <si>
    <t>Green Canvas Binder for 8-1/2" x 14" Sheets</t>
  </si>
  <si>
    <t>CA-2019-158358</t>
  </si>
  <si>
    <t>EM-13810</t>
  </si>
  <si>
    <t>Eleni McCrary</t>
  </si>
  <si>
    <t>Logitech G602 Wireless Gaming Mouse</t>
  </si>
  <si>
    <t>CA-2019-165218</t>
  </si>
  <si>
    <t>RW-19630</t>
  </si>
  <si>
    <t>Rob Williams</t>
  </si>
  <si>
    <t>Cameo Buff Policy Envelopes</t>
  </si>
  <si>
    <t>Acco Perma 4000 Stacking Storage Drawers</t>
  </si>
  <si>
    <t>US-2019-155173</t>
  </si>
  <si>
    <t>JB-16045</t>
  </si>
  <si>
    <t>Julia Barnett</t>
  </si>
  <si>
    <t>Wilson SignalBoost 841262 DB PRO Amplifier Kit</t>
  </si>
  <si>
    <t>Avery Self-Adhesive Photo Pockets for Polaroid Photos</t>
  </si>
  <si>
    <t>Grandstream GXP1160 VoIP phone</t>
  </si>
  <si>
    <t>CA-2019-110898</t>
  </si>
  <si>
    <t>Commercial WindTunnel Clean Air Upright Vacuum, Replacement Belts, Filtration Bags</t>
  </si>
  <si>
    <t>Peel &amp; Stick Add-On Corner Pockets</t>
  </si>
  <si>
    <t>Bevis Rectangular Conference Tables</t>
  </si>
  <si>
    <t>US-2019-137547</t>
  </si>
  <si>
    <t>EB-13705</t>
  </si>
  <si>
    <t>Ed Braxton</t>
  </si>
  <si>
    <t>Belkin Grip Candy Sheer Case / Cover for iPhone 5 and 5S</t>
  </si>
  <si>
    <t>CA-2019-169103</t>
  </si>
  <si>
    <t>ZC-21910</t>
  </si>
  <si>
    <t>Zuschuss Carroll</t>
  </si>
  <si>
    <t>Cisco Unified IP Phone 7945G VoIP phone</t>
  </si>
  <si>
    <t>Deflect-o DuraMat Lighweight, Studded, Beveled Mat for Low Pile Carpeting</t>
  </si>
  <si>
    <t>CA-2019-106306</t>
  </si>
  <si>
    <t>CA-2019-111976</t>
  </si>
  <si>
    <t>BD-11620</t>
  </si>
  <si>
    <t>Brian DeCherney</t>
  </si>
  <si>
    <t>Rubber Band Ball</t>
  </si>
  <si>
    <t>CA-2019-137337</t>
  </si>
  <si>
    <t>GB-14575</t>
  </si>
  <si>
    <t>Giulietta Baptist</t>
  </si>
  <si>
    <t>Coloredge Poster Frame</t>
  </si>
  <si>
    <t>Xerox 1993</t>
  </si>
  <si>
    <t>Satellite Sectional Post Binders</t>
  </si>
  <si>
    <t>CA-2019-130400</t>
  </si>
  <si>
    <t>SJ-20125</t>
  </si>
  <si>
    <t>Sanjit Jacobs</t>
  </si>
  <si>
    <t>Pressboard Hanging Data Binders for Unburst Sheets</t>
  </si>
  <si>
    <t>Verbatim 25 GB 6x Blu-ray Single Layer Recordable Disc, 3/Pack</t>
  </si>
  <si>
    <t>Tyvek Interoffice Envelopes, 9 1/2" x 12 1/2", 100/Box</t>
  </si>
  <si>
    <t>US-2019-140172</t>
  </si>
  <si>
    <t>SP-20650</t>
  </si>
  <si>
    <t>Stephanie Phelps</t>
  </si>
  <si>
    <t>Prang Drawing Pencil Set</t>
  </si>
  <si>
    <t>CA-2019-120803</t>
  </si>
  <si>
    <t>RB-19465</t>
  </si>
  <si>
    <t>Rick Bensley</t>
  </si>
  <si>
    <t>Microsoft Sculpt Comfort Mouse</t>
  </si>
  <si>
    <t>CA-2019-153269</t>
  </si>
  <si>
    <t>PS-18760</t>
  </si>
  <si>
    <t>Pamela Stobb</t>
  </si>
  <si>
    <t>Personal Folder Holder, Ebony</t>
  </si>
  <si>
    <t>Situations Contoured Folding Chairs, 4/Set</t>
  </si>
  <si>
    <t>Xerox 193</t>
  </si>
  <si>
    <t>GBC Binding covers</t>
  </si>
  <si>
    <t>US-2019-112977</t>
  </si>
  <si>
    <t>CJ-12010</t>
  </si>
  <si>
    <t>Caroline Jumper</t>
  </si>
  <si>
    <t>O'Sullivan Living Dimensions 5-Shelf Bookcases</t>
  </si>
  <si>
    <t>US-2019-122182</t>
  </si>
  <si>
    <t>BD-11770</t>
  </si>
  <si>
    <t>Bryan Davis</t>
  </si>
  <si>
    <t>Plantronics Audio 478 Stereo USB Headset</t>
  </si>
  <si>
    <t>CA-2019-159016</t>
  </si>
  <si>
    <t>KF-16285</t>
  </si>
  <si>
    <t>Karen Ferguson</t>
  </si>
  <si>
    <t>Rediform Voice Mail Log Books</t>
  </si>
  <si>
    <t>Apple iPhone 5</t>
  </si>
  <si>
    <t>CA-2019-169663</t>
  </si>
  <si>
    <t>RH-19510</t>
  </si>
  <si>
    <t>Rick Huthwaite</t>
  </si>
  <si>
    <t>Kingston Digital DataTraveler 16GB USB 2.0</t>
  </si>
  <si>
    <t>Okidata MB760 Printer</t>
  </si>
  <si>
    <t>CA-2019-108959</t>
  </si>
  <si>
    <t>MH-17785</t>
  </si>
  <si>
    <t>Maya Herman</t>
  </si>
  <si>
    <t>Mini 13-1/2 Capacity Data Binder Rack, Pearl</t>
  </si>
  <si>
    <t>CA-2019-118255</t>
  </si>
  <si>
    <t>Wilson Jones Leather-Like Binders with DublLock Round Rings</t>
  </si>
  <si>
    <t>US-2019-128902</t>
  </si>
  <si>
    <t>MB-18085</t>
  </si>
  <si>
    <t>Mick Brown</t>
  </si>
  <si>
    <t>CA-2019-146171</t>
  </si>
  <si>
    <t>JP-16135</t>
  </si>
  <si>
    <t>Julie Prescott</t>
  </si>
  <si>
    <t>CA-2019-122511</t>
  </si>
  <si>
    <t>BT-11485</t>
  </si>
  <si>
    <t>Brad Thomas</t>
  </si>
  <si>
    <t>DAX Charcoal/Nickel-Tone Document Frame, 5 x 7</t>
  </si>
  <si>
    <t>CA-2019-115504</t>
  </si>
  <si>
    <t>MC-18130</t>
  </si>
  <si>
    <t>Mike Caudle</t>
  </si>
  <si>
    <t>CA-2019-119683</t>
  </si>
  <si>
    <t>CK-12595</t>
  </si>
  <si>
    <t>Clytie Kelty</t>
  </si>
  <si>
    <t>CA-2019-127138</t>
  </si>
  <si>
    <t>DK-13225</t>
  </si>
  <si>
    <t>Dean Katz</t>
  </si>
  <si>
    <t>Tennsco Stur-D-Stor Boltless Shelving, 5 Shelves, 24" Deep, Sand</t>
  </si>
  <si>
    <t>Euro-Pro Shark Turbo Vacuum</t>
  </si>
  <si>
    <t>Security-Tint Envelopes</t>
  </si>
  <si>
    <t>Hon 4070 Series Pagoda Round Back Stacking Chairs</t>
  </si>
  <si>
    <t>US-2019-119270</t>
  </si>
  <si>
    <t>SW-20245</t>
  </si>
  <si>
    <t>Scot Wooten</t>
  </si>
  <si>
    <t>Hammermill Color Copier Paper (28Lb. and 96 Bright)</t>
  </si>
  <si>
    <t>CA-2019-158834</t>
  </si>
  <si>
    <t>TW-21025</t>
  </si>
  <si>
    <t>Tamara Willingham</t>
  </si>
  <si>
    <t>Belkin 7 Outlet SurgeMaster Surge Protector with Phone Protection</t>
  </si>
  <si>
    <t>Jabra BIZ 2300 Duo QD Duo Corded Headset</t>
  </si>
  <si>
    <t>CA-2019-159373</t>
  </si>
  <si>
    <t>LT-17110</t>
  </si>
  <si>
    <t>Liz Thompson</t>
  </si>
  <si>
    <t>TOPS Carbonless Receipt Book, Four 2-3/4 x 7-1/4 Money Receipts per Page</t>
  </si>
  <si>
    <t>Insertable Tab Indexes For Data Binders</t>
  </si>
  <si>
    <t>Hon Non-Folding Utility Tables</t>
  </si>
  <si>
    <t>US-2019-108637</t>
  </si>
  <si>
    <t>AB-10060</t>
  </si>
  <si>
    <t>Adam Bellavance</t>
  </si>
  <si>
    <t>Howard Miller 14-1/2" Diameter Chrome Round Wall Clock</t>
  </si>
  <si>
    <t>Eureka The Boss Lite 10-Amp Upright Vacuum, Blue</t>
  </si>
  <si>
    <t>Ibico Covers for Plastic or Wire Binding Elements</t>
  </si>
  <si>
    <t>CA-2019-136301</t>
  </si>
  <si>
    <t>EH-13765</t>
  </si>
  <si>
    <t>Edward Hooks</t>
  </si>
  <si>
    <t>Westinghouse Mesh Shade Clip-On Gooseneck Lamp, Black</t>
  </si>
  <si>
    <t>US-2019-114013</t>
  </si>
  <si>
    <t>SC-20770</t>
  </si>
  <si>
    <t>Stewart Carmichael</t>
  </si>
  <si>
    <t>SAFCO Arco Folding Chair</t>
  </si>
  <si>
    <t>Kensington Expert Mouse Optical USB Trackball for PC or Mac</t>
  </si>
  <si>
    <t>Polycom CX600 IP Phone VoIP phone</t>
  </si>
  <si>
    <t>Ibico EB-19 Dual Function Manual Binding System</t>
  </si>
  <si>
    <t>SAFCO Commercial Wire Shelving, Black</t>
  </si>
  <si>
    <t>GBC VeloBind Cover Sets</t>
  </si>
  <si>
    <t>Space Solutions Industrial Galvanized Steel Shelving.</t>
  </si>
  <si>
    <t>Okidata MB491 Multifunction Printer</t>
  </si>
  <si>
    <t>CA-2019-119123</t>
  </si>
  <si>
    <t>DB-13360</t>
  </si>
  <si>
    <t>Dennis Bolton</t>
  </si>
  <si>
    <t>Cardinal EasyOpen D-Ring Binders</t>
  </si>
  <si>
    <t>US-2019-154361</t>
  </si>
  <si>
    <t>HZ-14950</t>
  </si>
  <si>
    <t>Henia Zydlo</t>
  </si>
  <si>
    <t>Advantus Panel Wall Acrylic Frame</t>
  </si>
  <si>
    <t>CA-2019-162082</t>
  </si>
  <si>
    <t>Safco Value Mate Series Steel Bookcases, Baked Enamel Finish on Steel, Gray</t>
  </si>
  <si>
    <t>BOSTON Ranger #55 Pencil Sharpener, Black</t>
  </si>
  <si>
    <t>CA-2019-124793</t>
  </si>
  <si>
    <t>MM-18280</t>
  </si>
  <si>
    <t>Muhammed MacIntyre</t>
  </si>
  <si>
    <t>Global High-Back Leather Tilter, Burgundy</t>
  </si>
  <si>
    <t>CA-2019-133802</t>
  </si>
  <si>
    <t>CA-2019-102134</t>
  </si>
  <si>
    <t>SP-20545</t>
  </si>
  <si>
    <t>Sibella Parks</t>
  </si>
  <si>
    <t>Westinghouse Clip-On Gooseneck Lamps</t>
  </si>
  <si>
    <t>US-2019-113509</t>
  </si>
  <si>
    <t>PL-18925</t>
  </si>
  <si>
    <t>Paul Lucas</t>
  </si>
  <si>
    <t>V7 USB Numeric Keypad</t>
  </si>
  <si>
    <t>CA-2019-138968</t>
  </si>
  <si>
    <t>FC-14335</t>
  </si>
  <si>
    <t>Fred Chung</t>
  </si>
  <si>
    <t>Avery Round Ring Poly Binders</t>
  </si>
  <si>
    <t>Global Comet Stacking Arm Chair</t>
  </si>
  <si>
    <t>CA-2019-140571</t>
  </si>
  <si>
    <t>Xerox 1964</t>
  </si>
  <si>
    <t>CA-2019-149272</t>
  </si>
  <si>
    <t>MY-18295</t>
  </si>
  <si>
    <t>Muhammed Yedwab</t>
  </si>
  <si>
    <t>Novimex Swivel Fabric Task Chair</t>
  </si>
  <si>
    <t>GBC Pre-Punched Binding Paper, Plastic, White, 8-1/2" x 11"</t>
  </si>
  <si>
    <t>CA-2019-128111</t>
  </si>
  <si>
    <t>CS-12355</t>
  </si>
  <si>
    <t>Christine Sundaresam</t>
  </si>
  <si>
    <t>CA-2019-115476</t>
  </si>
  <si>
    <t>VM-21835</t>
  </si>
  <si>
    <t>Vivian Mathis</t>
  </si>
  <si>
    <t>Plantronics Voyager Pro HD - Bluetooth Headset</t>
  </si>
  <si>
    <t>Acco Flexible ACCOHIDE Square Ring Data Binder, Dark Blue, 11 1/2" X 14" 7/8"</t>
  </si>
  <si>
    <t>CA-2019-131737</t>
  </si>
  <si>
    <t>GZ-14470</t>
  </si>
  <si>
    <t>Gary Zandusky</t>
  </si>
  <si>
    <t>Blue String-Tie &amp; Button Interoffice Envelopes, 10 x 13</t>
  </si>
  <si>
    <t>Honeywell Enviracaire Portable HEPA Air Cleaner for 17' x 22' Room</t>
  </si>
  <si>
    <t>Electrix Halogen Magnifier Lamp</t>
  </si>
  <si>
    <t>CA-2019-134544</t>
  </si>
  <si>
    <t>AC-10660</t>
  </si>
  <si>
    <t>Anna Chung</t>
  </si>
  <si>
    <t>i.Sound Portable Power - 8000 mAh</t>
  </si>
  <si>
    <t>US-2019-120929</t>
  </si>
  <si>
    <t>RO-19780</t>
  </si>
  <si>
    <t>Rose O'Brian</t>
  </si>
  <si>
    <t>Balt Solid Wood Rectangular Table</t>
  </si>
  <si>
    <t>CA-2019-113292</t>
  </si>
  <si>
    <t>DB-13060</t>
  </si>
  <si>
    <t>Dave Brooks</t>
  </si>
  <si>
    <t>Hoover WindTunnel Plus Canister Vacuum</t>
  </si>
  <si>
    <t>CA-2019-106383</t>
  </si>
  <si>
    <t>BT-11440</t>
  </si>
  <si>
    <t>Bobby Trafton</t>
  </si>
  <si>
    <t>Atlantic Metals Mobile 2-Shelf Bookcases, Custom Colors</t>
  </si>
  <si>
    <t>CA-2019-136371</t>
  </si>
  <si>
    <t>SV-20935</t>
  </si>
  <si>
    <t>Susan Vittorini</t>
  </si>
  <si>
    <t>GE 4 Foot Flourescent Tube, 40 Watt</t>
  </si>
  <si>
    <t>Master Caster Door Stop, Brown</t>
  </si>
  <si>
    <t>CA-2019-118178</t>
  </si>
  <si>
    <t>CC-12610</t>
  </si>
  <si>
    <t>Corey Catlett</t>
  </si>
  <si>
    <t>Ibico Recycled Grain-Textured Covers</t>
  </si>
  <si>
    <t>US-2019-156986</t>
  </si>
  <si>
    <t>Xerox 225</t>
  </si>
  <si>
    <t>Clear Mylar Reinforcing Strips</t>
  </si>
  <si>
    <t>Xerox 1894</t>
  </si>
  <si>
    <t>CA-2019-150889</t>
  </si>
  <si>
    <t>PB-19105</t>
  </si>
  <si>
    <t>Peter Bühler</t>
  </si>
  <si>
    <t>Belkin iPhone and iPad Lightning Cable</t>
  </si>
  <si>
    <t>CA-2019-127670</t>
  </si>
  <si>
    <t>RD-19660</t>
  </si>
  <si>
    <t>Robert Dilbeck</t>
  </si>
  <si>
    <t>CA-2019-162747</t>
  </si>
  <si>
    <t>AH-10030</t>
  </si>
  <si>
    <t>Aaron Hawkins</t>
  </si>
  <si>
    <t>Eldon Image Series Desk Accessories, Ebony</t>
  </si>
  <si>
    <t>US-2019-133879</t>
  </si>
  <si>
    <t>KT-16465</t>
  </si>
  <si>
    <t>Kean Takahito</t>
  </si>
  <si>
    <t>Avery Durable Slant Ring Binders</t>
  </si>
  <si>
    <t>Global Airflow Leather Mesh Back Chair, Black</t>
  </si>
  <si>
    <t>Newell 33</t>
  </si>
  <si>
    <t>CA-2019-163153</t>
  </si>
  <si>
    <t>DM-12955</t>
  </si>
  <si>
    <t>Dario Medina</t>
  </si>
  <si>
    <t>Safco Drafting Table</t>
  </si>
  <si>
    <t>Prang Dustless Chalk Sticks</t>
  </si>
  <si>
    <t>CA-2019-107615</t>
  </si>
  <si>
    <t>RB-19645</t>
  </si>
  <si>
    <t>Robert Barroso</t>
  </si>
  <si>
    <t>Logitech ClearChat Comfort/USB Headset H390</t>
  </si>
  <si>
    <t>CA-2019-118899</t>
  </si>
  <si>
    <t>US-2019-164189</t>
  </si>
  <si>
    <t>DR-12880</t>
  </si>
  <si>
    <t>Dan Reichenbach</t>
  </si>
  <si>
    <t>BlackBerry Q10</t>
  </si>
  <si>
    <t>CA-2019-113803</t>
  </si>
  <si>
    <t>VG-21805</t>
  </si>
  <si>
    <t>Vivek Grady</t>
  </si>
  <si>
    <t>Ink Jet Note and Greeting Cards, 8-1/2" x 5-1/2" Card Size</t>
  </si>
  <si>
    <t>CA-2019-130911</t>
  </si>
  <si>
    <t>DC-12850</t>
  </si>
  <si>
    <t>Dan Campbell</t>
  </si>
  <si>
    <t>O'Sullivan Living Dimensions 3-Shelf Bookcases</t>
  </si>
  <si>
    <t>Hunt BOSTON Vista Battery-Operated Pencil Sharpener, Black</t>
  </si>
  <si>
    <t>CA-2019-134887</t>
  </si>
  <si>
    <t>Logitech P710e Mobile Speakerphone</t>
  </si>
  <si>
    <t>CA-2019-120082</t>
  </si>
  <si>
    <t>DK-12835</t>
  </si>
  <si>
    <t>Damala Kotsonis</t>
  </si>
  <si>
    <t>CA-2019-123666</t>
  </si>
  <si>
    <t>Gould Plastics 18-Pocket Panel Bin, 34w x 5-1/4d x 20-1/2h</t>
  </si>
  <si>
    <t>US-2019-162677</t>
  </si>
  <si>
    <t>DB-13210</t>
  </si>
  <si>
    <t>Dean Braden</t>
  </si>
  <si>
    <t>Tenex Personal Self-Stacking Standard File Box, Black/Gray</t>
  </si>
  <si>
    <t>Case Logic 2.4GHz Wireless Keyboard</t>
  </si>
  <si>
    <t>CA-2019-161361</t>
  </si>
  <si>
    <t>MV-17485</t>
  </si>
  <si>
    <t>Mark Van Huff</t>
  </si>
  <si>
    <t>Adams Telephone Message Book W/Dividers/Space For Phone Numbers, 5 1/4"X8 1/2", 300/Messages</t>
  </si>
  <si>
    <t>Wilson Jones Hanging View Binder, White, 1"</t>
  </si>
  <si>
    <t>CA-2019-119074</t>
  </si>
  <si>
    <t>DS-13180</t>
  </si>
  <si>
    <t>David Smith</t>
  </si>
  <si>
    <t>Eldon Expressions Wood and Plastic Desk Accessories, Oak</t>
  </si>
  <si>
    <t>CA-2019-162901</t>
  </si>
  <si>
    <t>AS-10045</t>
  </si>
  <si>
    <t>Aaron Smayling</t>
  </si>
  <si>
    <t>Hanging Personal Folder File</t>
  </si>
  <si>
    <t>CA-2019-131380</t>
  </si>
  <si>
    <t>Rogers Deluxe File Chest</t>
  </si>
  <si>
    <t>Xerox 1983</t>
  </si>
  <si>
    <t>CA-2019-152555</t>
  </si>
  <si>
    <t>ME-17320</t>
  </si>
  <si>
    <t>Maria Etezadi</t>
  </si>
  <si>
    <t>Computer Printout Paper with Letter-Trim Perforations</t>
  </si>
  <si>
    <t>Global Leather Highback Executive Chair with Pneumatic Height Adjustment, Black</t>
  </si>
  <si>
    <t>CA-2019-167556</t>
  </si>
  <si>
    <t>JM-15250</t>
  </si>
  <si>
    <t>Janet Martin</t>
  </si>
  <si>
    <t>Memo Book, 100 Message Capacity, 5 3/8” x 11”</t>
  </si>
  <si>
    <t>Acco Four Pocket Poly Ring Binder with Label Holder, Smoke, 1"</t>
  </si>
  <si>
    <t>Howard Miller 13-3/4" Diameter Brushed Chrome Round Wall Clock</t>
  </si>
  <si>
    <t>GBC Plastic Binding Combs</t>
  </si>
  <si>
    <t>CA-2019-127236</t>
  </si>
  <si>
    <t>TB-21595</t>
  </si>
  <si>
    <t>Troy Blackwell</t>
  </si>
  <si>
    <t>Clearsounds A400</t>
  </si>
  <si>
    <t>CA-2019-128258</t>
  </si>
  <si>
    <t>CP-12085</t>
  </si>
  <si>
    <t>Cathy Prescott</t>
  </si>
  <si>
    <t>Xerox 188</t>
  </si>
  <si>
    <t>US-2019-151827</t>
  </si>
  <si>
    <t>CS-11950</t>
  </si>
  <si>
    <t>Carlos Soltero</t>
  </si>
  <si>
    <t>LG Exalt</t>
  </si>
  <si>
    <t>Anker Ultra-Slim Mini Bluetooth 3.0 Wireless Keyboard</t>
  </si>
  <si>
    <t>CA-2019-124100</t>
  </si>
  <si>
    <t>EH-13990</t>
  </si>
  <si>
    <t>Erica Hackney</t>
  </si>
  <si>
    <t>Global Value Steno Chair, Gray</t>
  </si>
  <si>
    <t>CA-2019-166674</t>
  </si>
  <si>
    <t>RB-19360</t>
  </si>
  <si>
    <t>Raymond Buch</t>
  </si>
  <si>
    <t>Fellowes Bankers Box Recycled Super Stor/Drawer</t>
  </si>
  <si>
    <t>Boston 1645 Deluxe Heavier-Duty Electric Pencil Sharpener</t>
  </si>
  <si>
    <t>50 Colored Long Pencils</t>
  </si>
  <si>
    <t>Newell 342</t>
  </si>
  <si>
    <t>CA-2019-103947</t>
  </si>
  <si>
    <t>BB-10990</t>
  </si>
  <si>
    <t>Barry Blumstein</t>
  </si>
  <si>
    <t>Belkin F9H710-06 7 Outlet SurgeMaster Surge Protector</t>
  </si>
  <si>
    <t>CA-2019-149902</t>
  </si>
  <si>
    <t>Boston 16801 Nautilus Battery Pencil Sharpener</t>
  </si>
  <si>
    <t>CA-2019-161473</t>
  </si>
  <si>
    <t>TB-21175</t>
  </si>
  <si>
    <t>Thomas Boland</t>
  </si>
  <si>
    <t>Avery 473</t>
  </si>
  <si>
    <t>Acme Value Line Scissors</t>
  </si>
  <si>
    <t>Avery Hanging File Binders</t>
  </si>
  <si>
    <t>CA-2019-111213</t>
  </si>
  <si>
    <t>Hon Deluxe Fabric Upholstered Stacking Chairs, Rounded Back</t>
  </si>
  <si>
    <t>Staple remover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</si>
  <si>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</si>
  <si>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</si>
  <si>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</si>
  <si>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</si>
  <si>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</si>
  <si>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</si>
  <si>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</si>
  <si>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</si>
  <si>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Global Executive Mid-Back Manager's Chair</t>
  </si>
  <si>
    <t>CA-2019-120796</t>
  </si>
  <si>
    <t>GBC Velobind Prepunched Cover Sets, Regency Series</t>
  </si>
  <si>
    <t>CA-2019-167682</t>
  </si>
  <si>
    <t>ZD-21925</t>
  </si>
  <si>
    <t>Zuschuss Donatelli</t>
  </si>
  <si>
    <t>Seth Thomas 13 1/2" Wall Clock</t>
  </si>
  <si>
    <t>CA-2019-162222</t>
  </si>
  <si>
    <t>SR-20740</t>
  </si>
  <si>
    <t>Steven Roelle</t>
  </si>
  <si>
    <t>Xerox 1962</t>
  </si>
  <si>
    <t>CA-2019-159142</t>
  </si>
  <si>
    <t>Wirebound Message Books, Four 2 3/4" x 5" Forms per Page, 600 Sets per Book</t>
  </si>
  <si>
    <t>CA-2019-167115</t>
  </si>
  <si>
    <t>EH-14185</t>
  </si>
  <si>
    <t>Evan Henry</t>
  </si>
  <si>
    <t>Ibico Ibimaster 300 Manual Binding System</t>
  </si>
  <si>
    <t>CA-2019-123050</t>
  </si>
  <si>
    <t>BC-11125</t>
  </si>
  <si>
    <t>Becky Castell</t>
  </si>
  <si>
    <t>Tenex File Box, Personal Filing Tote with Lid, Black</t>
  </si>
  <si>
    <t>Logitech Trackman Marble Mouse</t>
  </si>
  <si>
    <t>CA-2019-159695</t>
  </si>
  <si>
    <t>GM-14455</t>
  </si>
  <si>
    <t>Gary Mitchum</t>
  </si>
  <si>
    <t>Eldon Portable Mobile Manager</t>
  </si>
  <si>
    <t>CA-2019-161907</t>
  </si>
  <si>
    <t>JH-16180</t>
  </si>
  <si>
    <t>Justin Hirsh</t>
  </si>
  <si>
    <t>Premier Automatic Letter Opener</t>
  </si>
  <si>
    <t>US-2019-150140</t>
  </si>
  <si>
    <t>VM-21685</t>
  </si>
  <si>
    <t>Valerie Mitchum</t>
  </si>
  <si>
    <t>Nortel Meridian M5316 Digital phone</t>
  </si>
  <si>
    <t>CA-2019-110499</t>
  </si>
  <si>
    <t>YC-21895</t>
  </si>
  <si>
    <t>Yoseph Carroll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</si>
  <si>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</si>
  <si>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</si>
  <si>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</si>
  <si>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</si>
  <si>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</si>
  <si>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</si>
  <si>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</si>
  <si>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Newell 322</t>
  </si>
  <si>
    <t>CA-2019-154998</t>
  </si>
  <si>
    <t>ES-14080</t>
  </si>
  <si>
    <t>Erin Smith</t>
  </si>
  <si>
    <t>Xerox 1939</t>
  </si>
  <si>
    <t>CA-2019-114405</t>
  </si>
  <si>
    <t>AS-10240</t>
  </si>
  <si>
    <t>Alan Shonely</t>
  </si>
  <si>
    <t>Belkin 7-Outlet SurgeMaster Home Series</t>
  </si>
  <si>
    <t>Eldon Jumbo ProFile Portable File Boxes Graphite/Black</t>
  </si>
  <si>
    <t>CA-2019-138520</t>
  </si>
  <si>
    <t>JL-15505</t>
  </si>
  <si>
    <t>Jeremy Lonsdale</t>
  </si>
  <si>
    <t>Sauder Barrister Bookcases</t>
  </si>
  <si>
    <t>Dixon Prang Watercolor Pencils, 10-Color Set with Brush</t>
  </si>
  <si>
    <t>Adams Phone Message Book, 200 Message Capacity, 8 1/16” x 11”</t>
  </si>
  <si>
    <t>CA-2019-130477</t>
  </si>
  <si>
    <t>LC-17140</t>
  </si>
  <si>
    <t>Logan Currie</t>
  </si>
  <si>
    <t>Xerox 1923</t>
  </si>
  <si>
    <t>Fellowes Neat Ideas Storage Cubes</t>
  </si>
  <si>
    <t>Xerox 1931</t>
  </si>
  <si>
    <t>CA-2019-130946</t>
  </si>
  <si>
    <t>Kensington Orbit Wireless Mobile Trackball for PC and Mac</t>
  </si>
  <si>
    <t>Global Chrome Stack Chair</t>
  </si>
  <si>
    <t>GBC DocuBind P400 Electric Binding System</t>
  </si>
  <si>
    <t>CA-2019-104969</t>
  </si>
  <si>
    <t>EH-14125</t>
  </si>
  <si>
    <t>Eugene Hildebrand</t>
  </si>
  <si>
    <t>#10 Self-Seal White Envelopes</t>
  </si>
  <si>
    <t>Catalog Binders with Expanding Posts</t>
  </si>
  <si>
    <t>CA-2019-124233</t>
  </si>
  <si>
    <t>C-Line Magnetic Cubicle Keepers, Clear Polypropylene</t>
  </si>
  <si>
    <t>CA-2019-150000</t>
  </si>
  <si>
    <t>Ampad #10 Peel &amp; Seel Holiday Envelopes</t>
  </si>
  <si>
    <t>US-2019-106600</t>
  </si>
  <si>
    <t>RM-19375</t>
  </si>
  <si>
    <t>Raymond Messe</t>
  </si>
  <si>
    <t>Hon Metal Bookcases, Black</t>
  </si>
  <si>
    <t>CA-2019-134789</t>
  </si>
  <si>
    <t>CK-12325</t>
  </si>
  <si>
    <t>Christine Kargatis</t>
  </si>
  <si>
    <t>Advantus Plastic Paper Clips</t>
  </si>
  <si>
    <t>Eldon Radial Chair Mat for Low to Medium Pile Carpets</t>
  </si>
  <si>
    <t>CA-2019-126809</t>
  </si>
  <si>
    <t>EB-13750</t>
  </si>
  <si>
    <t>Edward Becker</t>
  </si>
  <si>
    <t>Acco Pressboard Covers with Storage Hooks, 14 7/8" x 11", Light Blue</t>
  </si>
  <si>
    <t>CA-2019-128517</t>
  </si>
  <si>
    <t>SW-20350</t>
  </si>
  <si>
    <t>Sean Wendt</t>
  </si>
  <si>
    <t>Storex Flexible Poly Binders with Double Pockets</t>
  </si>
  <si>
    <t>CA-2019-117681</t>
  </si>
  <si>
    <t>HF-14995</t>
  </si>
  <si>
    <t>Herbert Flentye</t>
  </si>
  <si>
    <t>Bush Somerset Collection Bookcase</t>
  </si>
  <si>
    <t>US-2019-114622</t>
  </si>
  <si>
    <t>Wilson Jones Hanging Recycled Pressboard Data Binders</t>
  </si>
  <si>
    <t>CA-2019-124814</t>
  </si>
  <si>
    <t>FM-14215</t>
  </si>
  <si>
    <t>Filia McAdams</t>
  </si>
  <si>
    <t>Xerox 227</t>
  </si>
  <si>
    <t>CA-2019-123358</t>
  </si>
  <si>
    <t>BT-11680</t>
  </si>
  <si>
    <t>Brian Thompson</t>
  </si>
  <si>
    <t>3M Replacement Filter for Office Air Cleaner for 20' x 33' Room</t>
  </si>
  <si>
    <t>Fellowes Staxonsteel Drawer Files</t>
  </si>
  <si>
    <t>Rogers Profile Extra Capacity Storage Tub</t>
  </si>
  <si>
    <t>GBC Prepunched Paper, 19-Hole, for Binding Systems, 24-lb</t>
  </si>
  <si>
    <t>CA-2019-109652</t>
  </si>
  <si>
    <t>QJ-19255</t>
  </si>
  <si>
    <t>Quincy Jones</t>
  </si>
  <si>
    <t>BIC Brite Liner Grip Highlighters, Assorted, 5/Pack</t>
  </si>
  <si>
    <t>CA-2019-112102</t>
  </si>
  <si>
    <t>BD-11605</t>
  </si>
  <si>
    <t>Brian Dahlen</t>
  </si>
  <si>
    <t>KI Adjustable-Height Table</t>
  </si>
  <si>
    <t>Xerox 1945</t>
  </si>
  <si>
    <t>Globe Weis Peel &amp; Seel First Class Envelopes</t>
  </si>
  <si>
    <t>CA-2019-142398</t>
  </si>
  <si>
    <t>BP-11290</t>
  </si>
  <si>
    <t>Beth Paige</t>
  </si>
  <si>
    <t>JM Magazine Binder</t>
  </si>
  <si>
    <t>CA-2019-163594</t>
  </si>
  <si>
    <t>JF-15295</t>
  </si>
  <si>
    <t>Jason Fortune-</t>
  </si>
  <si>
    <t>Global Geo Office Task Chair, Gray</t>
  </si>
  <si>
    <t>Aluminum Screw Posts</t>
  </si>
  <si>
    <t>CA-2019-124254</t>
  </si>
  <si>
    <t>Fellowes Bankers Box Staxonsteel Drawer File/Stacking System</t>
  </si>
  <si>
    <t>TOPS "Important Message" Pads, Canary, 4-1/4 x 5-1/2, 50 Sheets per Pad</t>
  </si>
  <si>
    <t>CA-2019-152800</t>
  </si>
  <si>
    <t>SP-20920</t>
  </si>
  <si>
    <t>Susan Pistek</t>
  </si>
  <si>
    <t>Poly String Tie Envelopes</t>
  </si>
  <si>
    <t>CA-2019-148796</t>
  </si>
  <si>
    <t>PB-19150</t>
  </si>
  <si>
    <t>Philip Brown</t>
  </si>
  <si>
    <t>Bevis Steel Folding Chairs</t>
  </si>
  <si>
    <t>CA-2019-112669</t>
  </si>
  <si>
    <t>Hon 4070 Series Pagoda Armless Upholstered Stacking Chairs</t>
  </si>
  <si>
    <t>Fellowes Personal Hanging Folder Files, Navy</t>
  </si>
  <si>
    <t>CA-2019-164735</t>
  </si>
  <si>
    <t>TB-21400</t>
  </si>
  <si>
    <t>Tom Boeckenhauer</t>
  </si>
  <si>
    <t>CA-2019-166625</t>
  </si>
  <si>
    <t>JM-15580</t>
  </si>
  <si>
    <t>Jill Matthias</t>
  </si>
  <si>
    <t>GBC ProClick Spines for 32-Hole Punch</t>
  </si>
  <si>
    <t>US-2019-123750</t>
  </si>
  <si>
    <t>RB-19795</t>
  </si>
  <si>
    <t>Ross Baird</t>
  </si>
  <si>
    <t>GBC ProClick 150 Presentation Binding System</t>
  </si>
  <si>
    <t>Imation Secure+ Hardware Encrypted USB 2.0 Flash Drive; 16GB</t>
  </si>
  <si>
    <t>Woodgrain Magazine Files by Perma</t>
  </si>
  <si>
    <t>CA-2019-136406</t>
  </si>
  <si>
    <t>BD-11320</t>
  </si>
  <si>
    <t>Bill Donatelli</t>
  </si>
  <si>
    <t>HON 5400 Series Task Chairs for Big and Tall</t>
  </si>
  <si>
    <t>US-2019-132423</t>
  </si>
  <si>
    <t>Dixon Ticonderoga Erasable Colored Pencil Set, 12-Color</t>
  </si>
  <si>
    <t>Ideal Clamps</t>
  </si>
  <si>
    <t>CA-2019-117849</t>
  </si>
  <si>
    <t>JK-16120</t>
  </si>
  <si>
    <t>Julie Kriz</t>
  </si>
  <si>
    <t>Xerox 1911</t>
  </si>
  <si>
    <t>US-2019-164588</t>
  </si>
  <si>
    <t>AP-10915</t>
  </si>
  <si>
    <t>Arthur Prichep</t>
  </si>
  <si>
    <t>Newell 341</t>
  </si>
  <si>
    <t>US-2019-107440</t>
  </si>
  <si>
    <t>BS-11365</t>
  </si>
  <si>
    <t>Bill Shonely</t>
  </si>
  <si>
    <t>3D Systems Cube Printer, 2nd Generation, Magenta</t>
  </si>
  <si>
    <t>Stacking Trays by OIC</t>
  </si>
  <si>
    <t>Wilson Jones Standard D-Ring Binders</t>
  </si>
  <si>
    <t>CA-2019-105473</t>
  </si>
  <si>
    <t>BM-11785</t>
  </si>
  <si>
    <t>Bryan Mills</t>
  </si>
  <si>
    <t>Stiletto Hand Letter Openers</t>
  </si>
  <si>
    <t>CA-2019-166282</t>
  </si>
  <si>
    <t>PK-19075</t>
  </si>
  <si>
    <t>Pete Kriz</t>
  </si>
  <si>
    <t>Memorex Froggy Flash Drive 4 GB</t>
  </si>
  <si>
    <t>Standard Line “While You Were Out” Hardbound Telephone Message Book</t>
  </si>
  <si>
    <t>CA-2019-149111</t>
  </si>
  <si>
    <t>Motorola L804</t>
  </si>
  <si>
    <t>GE General Purpose, Extra Long Life, Showcase &amp; Floodlight Incandescent Bulbs</t>
  </si>
  <si>
    <t>US-2019-133508</t>
  </si>
  <si>
    <t>Advantus Push Pins, Aluminum Head</t>
  </si>
  <si>
    <t>CA-2019-108735</t>
  </si>
  <si>
    <t>JM-15535</t>
  </si>
  <si>
    <t>Jessica Myrick</t>
  </si>
  <si>
    <t>Bush Westfield Collection Bookcases, Fully Assembled</t>
  </si>
  <si>
    <t>US-2019-159415</t>
  </si>
  <si>
    <t>CS-12175</t>
  </si>
  <si>
    <t>Charles Sheldon</t>
  </si>
  <si>
    <t>Ultra Door Kickplate, 8"H x 34"W</t>
  </si>
  <si>
    <t>CA-2019-155551</t>
  </si>
  <si>
    <t>CR-12580</t>
  </si>
  <si>
    <t>Clay Rozendal</t>
  </si>
  <si>
    <t>Safco Industrial Wire Shelving</t>
  </si>
  <si>
    <t>Adams Telephone Message Books, 5 1/4” x 11”</t>
  </si>
  <si>
    <t>CA-2019-139381</t>
  </si>
  <si>
    <t>RF-19840</t>
  </si>
  <si>
    <t>Roy Französisch</t>
  </si>
  <si>
    <t>Eureka The Boss Cordless Rechargeable Stick Vac</t>
  </si>
  <si>
    <t>SKILCRAFT Telephone Shoulder Rest, 2" x 6.5" x 2.5", Black</t>
  </si>
  <si>
    <t>CA-2019-125087</t>
  </si>
  <si>
    <t>TH-21115</t>
  </si>
  <si>
    <t>Thea Hudgings</t>
  </si>
  <si>
    <t>Tennsco 16-Compartment Lockers with Coat Rack</t>
  </si>
  <si>
    <t>Howard Miller 16" Diameter Gallery Wall Clock</t>
  </si>
  <si>
    <t>CA-2019-144785</t>
  </si>
  <si>
    <t>CS-12490</t>
  </si>
  <si>
    <t>Cindy Schnelling</t>
  </si>
  <si>
    <t>Acme Design Line 8" Stainless Steel Bent Scissors w/Champagne Handles, 3-1/8" Cut</t>
  </si>
  <si>
    <t>US-2019-161396</t>
  </si>
  <si>
    <t>Bush Andora Conference Table, Maple/Graphite Gray Finish</t>
  </si>
  <si>
    <t>Xerox 189</t>
  </si>
  <si>
    <t>US-2019-115819</t>
  </si>
  <si>
    <t>JO-15280</t>
  </si>
  <si>
    <t>Jas O'Carroll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</si>
  <si>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</si>
  <si>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</si>
  <si>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</si>
  <si>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</si>
  <si>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</si>
  <si>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</si>
  <si>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CA-2019-109666</t>
  </si>
  <si>
    <t>KM-16720</t>
  </si>
  <si>
    <t>Kunst Miller</t>
  </si>
  <si>
    <t>Gear Head AU3700S Headset</t>
  </si>
  <si>
    <t>BIC Brite Liner Grip Highlighters</t>
  </si>
  <si>
    <t>Space Solutions HD Industrial Steel Shelving.</t>
  </si>
  <si>
    <t>Acme Kleen Earth Office Shears</t>
  </si>
  <si>
    <t>Panasonic KP-380BK Classic Electric Pencil Sharpener</t>
  </si>
  <si>
    <t>Fiskars Softgrip Scissors</t>
  </si>
  <si>
    <t>US-2019-103646</t>
  </si>
  <si>
    <t>Fellowes Bankers Box Stor/Drawer Steel Plus</t>
  </si>
  <si>
    <t>Kensington 4 Outlet MasterPiece Compact Power Control Center</t>
  </si>
  <si>
    <t>Performers Binder/Pad Holder, Black</t>
  </si>
  <si>
    <t>CA-2019-151498</t>
  </si>
  <si>
    <t>DN-13690</t>
  </si>
  <si>
    <t>Duane Noonan</t>
  </si>
  <si>
    <t>Round Ring Binders</t>
  </si>
  <si>
    <t>CA-2019-146423</t>
  </si>
  <si>
    <t>Colorific Watercolor Pencils</t>
  </si>
  <si>
    <t>Xerox 209</t>
  </si>
  <si>
    <t>CA-2019-109869</t>
  </si>
  <si>
    <t>TN-21040</t>
  </si>
  <si>
    <t>Tanja Norvell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</si>
  <si>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</si>
  <si>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</si>
  <si>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</si>
  <si>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</si>
  <si>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</si>
  <si>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CA-2019-113061</t>
  </si>
  <si>
    <t>EL-13735</t>
  </si>
  <si>
    <t>Ed Ludwig</t>
  </si>
  <si>
    <t>Eldon Advantage Chair Mats for Low to Medium Pile Carpets</t>
  </si>
  <si>
    <t>CA-2019-109057</t>
  </si>
  <si>
    <t>TT-21460</t>
  </si>
  <si>
    <t>Tonja Turnell</t>
  </si>
  <si>
    <t>Pizazz Global Quick File</t>
  </si>
  <si>
    <t>CA-2019-147578</t>
  </si>
  <si>
    <t>Ultra Door Pull Handle</t>
  </si>
  <si>
    <t>CA-2019-101329</t>
  </si>
  <si>
    <t>MM-17920</t>
  </si>
  <si>
    <t>Michael Moore</t>
  </si>
  <si>
    <t>Barrel Sharpener</t>
  </si>
  <si>
    <t>Newell 32</t>
  </si>
  <si>
    <t>CA-2019-162138</t>
  </si>
  <si>
    <t>GK-14620</t>
  </si>
  <si>
    <t>Grace Kelly</t>
  </si>
  <si>
    <t>Ibico Laser Imprintable Binding System Covers</t>
  </si>
  <si>
    <t>Logitech Wireless Headset h800</t>
  </si>
  <si>
    <t>CA-2019-130001</t>
  </si>
  <si>
    <t>HK-14890</t>
  </si>
  <si>
    <t>Heather Kirkland</t>
  </si>
  <si>
    <t>Southworth 25% Cotton Linen-Finish Paper &amp; Envelopes</t>
  </si>
  <si>
    <t>CA-2019-124149</t>
  </si>
  <si>
    <t>MJ-17740</t>
  </si>
  <si>
    <t>Max Jones</t>
  </si>
  <si>
    <t>Embossed Ink Jet Note Cards</t>
  </si>
  <si>
    <t>Eldon Fold 'N Roll Cart System</t>
  </si>
  <si>
    <t>Xerox 1942</t>
  </si>
  <si>
    <t>CA-2019-126270</t>
  </si>
  <si>
    <t>AF-10870</t>
  </si>
  <si>
    <t>Art Ferguson</t>
  </si>
  <si>
    <t>Recycled Pressboard Report Cover with Reinforced Top Hinge</t>
  </si>
  <si>
    <t>CA-2019-168081</t>
  </si>
  <si>
    <t>CA-12055</t>
  </si>
  <si>
    <t>Cathy Armstrong</t>
  </si>
  <si>
    <t>Plantronics S12 Corded Telephone Headset System</t>
  </si>
  <si>
    <t>CA-2019-138933</t>
  </si>
  <si>
    <t>JL-15130</t>
  </si>
  <si>
    <t>Jack Lebron</t>
  </si>
  <si>
    <t>Cardinal Holdit Business Card Pockets</t>
  </si>
  <si>
    <t>CA-2019-149279</t>
  </si>
  <si>
    <t>CL-12700</t>
  </si>
  <si>
    <t>Craig Leslie</t>
  </si>
  <si>
    <t>Xerox 226</t>
  </si>
  <si>
    <t>Wilson Jones Impact Binders</t>
  </si>
  <si>
    <t>US-2019-150147</t>
  </si>
  <si>
    <t>JL-15850</t>
  </si>
  <si>
    <t>John Lucas</t>
  </si>
  <si>
    <t>AT&amp;T 841000 Phone</t>
  </si>
  <si>
    <t>Wilson Jones Custom Binder Spines &amp; Labels</t>
  </si>
  <si>
    <t>CA-2019-139556</t>
  </si>
  <si>
    <t>CA-2019-161816</t>
  </si>
  <si>
    <t>NB-18655</t>
  </si>
  <si>
    <t>Nona Balk</t>
  </si>
  <si>
    <t>Nortel Meridian M3904 Professional Digital phone</t>
  </si>
  <si>
    <t>Avery 493</t>
  </si>
  <si>
    <t>CA-2019-152814</t>
  </si>
  <si>
    <t>EH-14005</t>
  </si>
  <si>
    <t>Erica Hernandez</t>
  </si>
  <si>
    <t>Xerox 1881</t>
  </si>
  <si>
    <t>CA-2019-137204</t>
  </si>
  <si>
    <t>Global Stack Chair without Arms, Black</t>
  </si>
  <si>
    <t>CA-2019-167605</t>
  </si>
  <si>
    <t>RB-19570</t>
  </si>
  <si>
    <t>Rob Beeghly</t>
  </si>
  <si>
    <t>Eldon Delta Triangular Chair Mat, 52" x 58", Clear</t>
  </si>
  <si>
    <t>CA-2019-154788</t>
  </si>
  <si>
    <t>JL-15835</t>
  </si>
  <si>
    <t>John Lee</t>
  </si>
  <si>
    <t>Tuff Stuff Recycled Round Ring Binders</t>
  </si>
  <si>
    <t>US-2019-120460</t>
  </si>
  <si>
    <t>Flat Face Poster Frame</t>
  </si>
  <si>
    <t>CA-2019-144792</t>
  </si>
  <si>
    <t>KD-16615</t>
  </si>
  <si>
    <t>Ken Dana</t>
  </si>
  <si>
    <t>12-1/2 Diameter Round Wall Clock</t>
  </si>
  <si>
    <t>CA-2019-164784</t>
  </si>
  <si>
    <t>Avery 499</t>
  </si>
  <si>
    <t>Bevis 44 x 96 Conference Tables</t>
  </si>
  <si>
    <t>Newell 3-Hole Punched Plastic Slotted Magazine Holders for Binders</t>
  </si>
  <si>
    <t>CA-2019-101525</t>
  </si>
  <si>
    <t>CM-12235</t>
  </si>
  <si>
    <t>Chris McAfee</t>
  </si>
  <si>
    <t>Xerox 1914</t>
  </si>
  <si>
    <t>DIXON Ticonderoga Erasable Checking Pencils</t>
  </si>
  <si>
    <t>CA-2019-148698</t>
  </si>
  <si>
    <t>CA-2019-146836</t>
  </si>
  <si>
    <t>CC-12475</t>
  </si>
  <si>
    <t>Cindy Chapman</t>
  </si>
  <si>
    <t>Super Decoflex Portable Personal File</t>
  </si>
  <si>
    <t>CA-2019-154060</t>
  </si>
  <si>
    <t>CA-2019-104311</t>
  </si>
  <si>
    <t>AS-10090</t>
  </si>
  <si>
    <t>Adam Shillingsburg</t>
  </si>
  <si>
    <t>Akro Stacking Bins</t>
  </si>
  <si>
    <t>Sterilite Show Offs Storage Containers</t>
  </si>
  <si>
    <t>Avery 502</t>
  </si>
  <si>
    <t>CA-2019-109400</t>
  </si>
  <si>
    <t>NR-18550</t>
  </si>
  <si>
    <t>Nick Radford</t>
  </si>
  <si>
    <t>Office Star - Contemporary Task Swivel chair with Loop Arms, Charcoal</t>
  </si>
  <si>
    <t>CA-2019-158155</t>
  </si>
  <si>
    <t>Eldon 200 Class Desk Accessories</t>
  </si>
  <si>
    <t>Vinyl Sectional Post Binders</t>
  </si>
  <si>
    <t>Southworth Parchment Paper &amp; Envelopes</t>
  </si>
  <si>
    <t>Howard Miller 13" Diameter Pewter Finish Round Wall Clock</t>
  </si>
  <si>
    <t>CA-2019-163398</t>
  </si>
  <si>
    <t>Newell 316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</si>
  <si>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</si>
  <si>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</si>
  <si>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</si>
  <si>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</si>
  <si>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</si>
  <si>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Tennsco Industrial Shelving</t>
  </si>
  <si>
    <t>Computer Room Manger, 14"</t>
  </si>
  <si>
    <t>Logitech VX Revolution Cordless Laser Mouse for Notebooks (Black)</t>
  </si>
  <si>
    <t>Cisco 8961 IP Phone Charcoal</t>
  </si>
  <si>
    <t>Avery 496</t>
  </si>
  <si>
    <t>CA-2019-145247</t>
  </si>
  <si>
    <t>ND-18370</t>
  </si>
  <si>
    <t>Natalie DeCherney</t>
  </si>
  <si>
    <t>Xerox 1909</t>
  </si>
  <si>
    <t>CA-2019-112676</t>
  </si>
  <si>
    <t>PJ-18835</t>
  </si>
  <si>
    <t>Patrick Jones</t>
  </si>
  <si>
    <t>Xerox 1965</t>
  </si>
  <si>
    <t>CA-2019-137729</t>
  </si>
  <si>
    <t>BF-11005</t>
  </si>
  <si>
    <t>Barry Franz</t>
  </si>
  <si>
    <t>Perma STOR-ALL Hanging File Box, 13 1/8"W x 12 1/4"D x 10 1/2"H</t>
  </si>
  <si>
    <t>Cisco Small Business SPA 502G VoIP phone</t>
  </si>
  <si>
    <t>CA-2019-160500</t>
  </si>
  <si>
    <t>DM-13015</t>
  </si>
  <si>
    <t>Darrin Martin</t>
  </si>
  <si>
    <t>Computer Printout Index Tabs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</si>
  <si>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</si>
  <si>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</si>
  <si>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</si>
  <si>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</si>
  <si>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</si>
  <si>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</si>
  <si>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Hon 61000 Series Interactive Training Tables</t>
  </si>
  <si>
    <t>US-2019-102239</t>
  </si>
  <si>
    <t>LW-16990</t>
  </si>
  <si>
    <t>Lindsay Williams</t>
  </si>
  <si>
    <t>Global Adaptabilities Conference Tables</t>
  </si>
  <si>
    <t>Avery Poly Binder Pockets</t>
  </si>
  <si>
    <t>CA-2019-105662</t>
  </si>
  <si>
    <t>Snap-A-Way Black Print Carbonless Speed Message, No Reply Area, Duplicate</t>
  </si>
  <si>
    <t>Avaya 4621SW VoIP phone</t>
  </si>
  <si>
    <t>CA-2019-118052</t>
  </si>
  <si>
    <t>BE-11455</t>
  </si>
  <si>
    <t>Brad Eason</t>
  </si>
  <si>
    <t>Advantus T-Pin Paper Clips</t>
  </si>
  <si>
    <t>Xerox 1951</t>
  </si>
  <si>
    <t>DAX Solid Wood Frames</t>
  </si>
  <si>
    <t>CA-2019-139234</t>
  </si>
  <si>
    <t>Insertable Tab Post Binder Dividers</t>
  </si>
  <si>
    <t>Logitech Desktop MK120 Mouse and keyboard Combo</t>
  </si>
  <si>
    <t>US-2019-146857</t>
  </si>
  <si>
    <t>CA-2019-137393</t>
  </si>
  <si>
    <t>GM-14500</t>
  </si>
  <si>
    <t>Gene McClure</t>
  </si>
  <si>
    <t>Executive Impressions 8-1/2" Career Panel/Partition Cubicle Clock</t>
  </si>
  <si>
    <t>CA-2019-128818</t>
  </si>
  <si>
    <t>GBC Twin Loop Wire Binding Elements, 9/16" Spine, Black</t>
  </si>
  <si>
    <t>Alphabetical Labels for Top Tab Filing</t>
  </si>
  <si>
    <t>Hon Mobius Operator's Chair</t>
  </si>
  <si>
    <t>Bady BDG101FRU Card Printer</t>
  </si>
  <si>
    <t>SanDisk Ultra 64 GB MicroSDHC Class 10 Memory Card</t>
  </si>
  <si>
    <t>Staple-based wall hangings</t>
  </si>
  <si>
    <t>CA-2019-164672</t>
  </si>
  <si>
    <t>GB-14530</t>
  </si>
  <si>
    <t>George Bell</t>
  </si>
  <si>
    <t>Tenex 46" x 60" Computer Anti-Static Chairmat, Rectangular Shaped</t>
  </si>
  <si>
    <t>CA-2019-106530</t>
  </si>
  <si>
    <t>CL-12565</t>
  </si>
  <si>
    <t>Clay Ludtke</t>
  </si>
  <si>
    <t>Smead Adjustable Mobile File Trolley with Lockable Top</t>
  </si>
  <si>
    <t>Xerox 1898</t>
  </si>
  <si>
    <t>Xerox 222</t>
  </si>
  <si>
    <t>SanDisk Cruzer 64 GB USB Flash Drive</t>
  </si>
  <si>
    <t>CA-2019-111696</t>
  </si>
  <si>
    <t>TB-21625</t>
  </si>
  <si>
    <t>Trudy Brown</t>
  </si>
  <si>
    <t>Xerox 1920</t>
  </si>
  <si>
    <t>CA-2019-169166</t>
  </si>
  <si>
    <t>SS-20590</t>
  </si>
  <si>
    <t>Sonia Sunley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</si>
  <si>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</si>
  <si>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</si>
  <si>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</si>
  <si>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</si>
  <si>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</si>
  <si>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</si>
  <si>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</si>
  <si>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Sanford Pocket Accent Highlighters</t>
  </si>
  <si>
    <t>US-2019-159093</t>
  </si>
  <si>
    <t>RS-19420</t>
  </si>
  <si>
    <t>Ricardo Sperren</t>
  </si>
  <si>
    <t>TOPS Money Receipt Book, Consecutively Numbered in Red,</t>
  </si>
  <si>
    <t>CA-2019-112382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</si>
  <si>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</si>
  <si>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</si>
  <si>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</si>
  <si>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</si>
  <si>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4009 Highlighters by Sanford</t>
  </si>
  <si>
    <t>US-2019-144057</t>
  </si>
  <si>
    <t>CV-12805</t>
  </si>
  <si>
    <t>Cynthia Voltz</t>
  </si>
  <si>
    <t>Hot File 7-Pocket, Floor Stand</t>
  </si>
  <si>
    <t>Ibico Standard Transparent Covers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</si>
  <si>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</si>
  <si>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</si>
  <si>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</si>
  <si>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</si>
  <si>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</si>
  <si>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</si>
  <si>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</si>
  <si>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ClearOne CHATAttach 160 - speaker phone</t>
  </si>
  <si>
    <t>CA-2019-117625</t>
  </si>
  <si>
    <t>Grip Seal Envelopes</t>
  </si>
  <si>
    <t>CA-2019-162733</t>
  </si>
  <si>
    <t>TT-21070</t>
  </si>
  <si>
    <t>Ted Trevino</t>
  </si>
  <si>
    <t>CA-2019-109911</t>
  </si>
  <si>
    <t>Rogers Handheld Barrel Pencil Sharpener</t>
  </si>
  <si>
    <t>US-2019-101196</t>
  </si>
  <si>
    <t>CA-2019-167416</t>
  </si>
  <si>
    <t>Manila Recycled Extra-Heavyweight Clasp Envelopes, 6" x 9"</t>
  </si>
  <si>
    <t>CA-2019-100510</t>
  </si>
  <si>
    <t>HM-14860</t>
  </si>
  <si>
    <t>Harry Marie</t>
  </si>
  <si>
    <t>OIC Stacking Trays</t>
  </si>
  <si>
    <t>Jawbone JAMBOX Wireless Bluetooth Speaker</t>
  </si>
  <si>
    <t>US-2019-123610</t>
  </si>
  <si>
    <t>Memorex Mini Travel Drive 32 GB USB 2.0 Flash Drive</t>
  </si>
  <si>
    <t>Staple holder</t>
  </si>
  <si>
    <t>CA-2019-141019</t>
  </si>
  <si>
    <t>LH-17155</t>
  </si>
  <si>
    <t>Logan Haushalter</t>
  </si>
  <si>
    <t>GE 48" Fluorescent Tube, Cool White Energy Saver, 34 Watts, 30/Box</t>
  </si>
  <si>
    <t>US-2019-148901</t>
  </si>
  <si>
    <t>MK-17905</t>
  </si>
  <si>
    <t>Michael Kennedy</t>
  </si>
  <si>
    <t>GBC DocuBind P50 Personal Binding Machine</t>
  </si>
  <si>
    <t>Xerox 23</t>
  </si>
  <si>
    <t>DAX Copper Panel Document Frame, 5 x 7 Size</t>
  </si>
  <si>
    <t>LF Elite 3D Dazzle Designer Hard Case Cover, Lf Stylus Pen and Wiper For Apple Iphone 5c Mini Lite</t>
  </si>
  <si>
    <t>Dixon Ticonderoga Pencils</t>
  </si>
  <si>
    <t>Wilson Jones International Size A4 Ring Binders</t>
  </si>
  <si>
    <t>CA-2019-108224</t>
  </si>
  <si>
    <t>TH-21235</t>
  </si>
  <si>
    <t>Tiffany House</t>
  </si>
  <si>
    <t>US-2019-146570</t>
  </si>
  <si>
    <t>SN-20710</t>
  </si>
  <si>
    <t>Steve Nguyen</t>
  </si>
  <si>
    <t>Boston KS Multi-Size Manual Pencil Sharpener</t>
  </si>
  <si>
    <t>Newell 344</t>
  </si>
  <si>
    <t>CA-2019-152408</t>
  </si>
  <si>
    <t>TT-21220</t>
  </si>
  <si>
    <t>Thomas Thornton</t>
  </si>
  <si>
    <t>Binder Posts</t>
  </si>
  <si>
    <t>CA-2019-141180</t>
  </si>
  <si>
    <t>DP-13000</t>
  </si>
  <si>
    <t>Darren Powers</t>
  </si>
  <si>
    <t>GBC Instant Report Kit</t>
  </si>
  <si>
    <t>CA-2019-165673</t>
  </si>
  <si>
    <t>MN-17935</t>
  </si>
  <si>
    <t>Michael Nguyen</t>
  </si>
  <si>
    <t>TOPS Voice Message Log Book, Flash Format</t>
  </si>
  <si>
    <t>CA-2019-122133</t>
  </si>
  <si>
    <t>JR-15670</t>
  </si>
  <si>
    <t>Jim Radford</t>
  </si>
  <si>
    <t>CA-2019-133144</t>
  </si>
  <si>
    <t>DO-13435</t>
  </si>
  <si>
    <t>Denny Ordway</t>
  </si>
  <si>
    <t>Xerox 196</t>
  </si>
  <si>
    <t>CA-2019-130638</t>
  </si>
  <si>
    <t>SC-20095</t>
  </si>
  <si>
    <t>Sanjit Chand</t>
  </si>
  <si>
    <t>Tenex Carpeted, Granite-Look or Clear Contemporary Contour Shape Chair Mats</t>
  </si>
  <si>
    <t>Avery 481</t>
  </si>
  <si>
    <t>US-2019-150567</t>
  </si>
  <si>
    <t>RP-19855</t>
  </si>
  <si>
    <t>Roy Phan</t>
  </si>
  <si>
    <t>CA-2019-158435</t>
  </si>
  <si>
    <t>AG-10900</t>
  </si>
  <si>
    <t>Arthur Gainer</t>
  </si>
  <si>
    <t>Acme Forged Steel Scissors with Black Enamel Handles</t>
  </si>
  <si>
    <t>Avery 519</t>
  </si>
  <si>
    <t>US-2019-117037</t>
  </si>
  <si>
    <t>LW-17215</t>
  </si>
  <si>
    <t>Luke Weiss</t>
  </si>
  <si>
    <t>Acco Recycled 2" Capacity Laser Printer Hanging Data Binders</t>
  </si>
  <si>
    <t>Acco Hot Clips Clips to Go</t>
  </si>
  <si>
    <t>CA-2019-122728</t>
  </si>
  <si>
    <t>Home/Office Personal File Carts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</si>
  <si>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</si>
  <si>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</si>
  <si>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</si>
  <si>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</si>
  <si>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</si>
  <si>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</si>
  <si>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</si>
  <si>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Belkin Premiere Surge Master II 8-outlet surge protector</t>
  </si>
  <si>
    <t>Safco Industrial Wire Shelving System</t>
  </si>
  <si>
    <t>Recycled Easel Ring Binders</t>
  </si>
  <si>
    <t>CA-2019-126935</t>
  </si>
  <si>
    <t>BT-11395</t>
  </si>
  <si>
    <t>Bill Tyler</t>
  </si>
  <si>
    <t>GBC Personal VeloBind Strips</t>
  </si>
  <si>
    <t>US-2019-152835</t>
  </si>
  <si>
    <t>CA-2019-138282</t>
  </si>
  <si>
    <t>AH-10690</t>
  </si>
  <si>
    <t>Anna Häberlin</t>
  </si>
  <si>
    <t>CA-2019-115917</t>
  </si>
  <si>
    <t>Luxo Professional Fluorescent Magnifier Lamp with Clamp-Mount Base</t>
  </si>
  <si>
    <t>Wilson Jones Turn Tabs Binder Tool for Ring Binders</t>
  </si>
  <si>
    <t>CA-2019-105256</t>
  </si>
  <si>
    <t>JK-15730</t>
  </si>
  <si>
    <t>Joe Kamberova</t>
  </si>
  <si>
    <t>CA-2019-108567</t>
  </si>
  <si>
    <t>CA-2019-146010</t>
  </si>
  <si>
    <t>GBC Durable Plastic Covers</t>
  </si>
  <si>
    <t>US-2019-139486</t>
  </si>
  <si>
    <t>Motorola HK250 Universal Bluetooth Headset</t>
  </si>
  <si>
    <t>CA-2019-107202</t>
  </si>
  <si>
    <t>LC-16930</t>
  </si>
  <si>
    <t>Linda Cazamias</t>
  </si>
  <si>
    <t>Panasonic KX MB2061 Multifunction Printer</t>
  </si>
  <si>
    <t>CA-2019-127642</t>
  </si>
  <si>
    <t>CP-12340</t>
  </si>
  <si>
    <t>Christine Phan</t>
  </si>
  <si>
    <t>CA-2019-114209</t>
  </si>
  <si>
    <t>AS-10285</t>
  </si>
  <si>
    <t>Alejandro Savely</t>
  </si>
  <si>
    <t>Pressboard Covers with Storage Hooks, 9 1/2" x 11", Light Blue</t>
  </si>
  <si>
    <t>Southworth 100% Cotton The Best Paper</t>
  </si>
  <si>
    <t>CA-2019-125920</t>
  </si>
  <si>
    <t>SH-19975</t>
  </si>
  <si>
    <t>Sally Hughsby</t>
  </si>
  <si>
    <t>Cardinal HOLDit! Binder Insert Strips,Extra Strips</t>
  </si>
  <si>
    <t>CA-2019-146934</t>
  </si>
  <si>
    <t>Eureka Sanitaire  Commercial Upright</t>
  </si>
  <si>
    <t>SanDisk Cruzer 32 GB USB Flash Drive</t>
  </si>
  <si>
    <t>Digium D40 VoIP phone</t>
  </si>
  <si>
    <t>CA-2019-159653</t>
  </si>
  <si>
    <t>CA-2019-154081</t>
  </si>
  <si>
    <t>JE-15610</t>
  </si>
  <si>
    <t>Jim Epp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</si>
  <si>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</si>
  <si>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</si>
  <si>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</si>
  <si>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</si>
  <si>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</si>
  <si>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</si>
  <si>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</si>
  <si>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Mitel MiVoice 5330e IP Phone</t>
  </si>
  <si>
    <t>CA-2019-154403</t>
  </si>
  <si>
    <t>AP-10720</t>
  </si>
  <si>
    <t>Anne Pryor</t>
  </si>
  <si>
    <t>Xerox 1949</t>
  </si>
  <si>
    <t>CA-2019-143714</t>
  </si>
  <si>
    <t>CC-12370</t>
  </si>
  <si>
    <t>Christopher Conant</t>
  </si>
  <si>
    <t>Canon imageCLASS 2200 Advanced Copier</t>
  </si>
  <si>
    <t>Avery Legal 4-Ring Binder</t>
  </si>
  <si>
    <t>Xerox 224</t>
  </si>
  <si>
    <t>CA-2019-136126</t>
  </si>
  <si>
    <t>Acme Hot Forged Carbon Steel Scissors with Nickel-Plated Handles, 3 7/8" Cut, 8"L</t>
  </si>
  <si>
    <t>CA-2019-138583</t>
  </si>
  <si>
    <t>DP-13390</t>
  </si>
  <si>
    <t>Dennis Pardue</t>
  </si>
  <si>
    <t>BIC Liqua Brite Liner</t>
  </si>
  <si>
    <t>CA-2019-139269</t>
  </si>
  <si>
    <t>Eldon Expressions Mahogany Wood Desk Collection</t>
  </si>
  <si>
    <t>Wirebound Service Call Books, 5 1/2" x 4"</t>
  </si>
  <si>
    <t>Fellowes Strictly Business Drawer File, Letter/Legal Size</t>
  </si>
  <si>
    <t>CA-2019-119186</t>
  </si>
  <si>
    <t>MS-17710</t>
  </si>
  <si>
    <t>Maurice Satty</t>
  </si>
  <si>
    <t>Office Star Flex Back Scooter Chair with White Frame</t>
  </si>
  <si>
    <t>Logitech G13 Programmable Gameboard with LCD Display</t>
  </si>
  <si>
    <t>CA-2019-157266</t>
  </si>
  <si>
    <t>Weyerhaeuser First Choice Laser/Copy Paper (20Lb. and 88 Bright)</t>
  </si>
  <si>
    <t>Telephone Message Books with Fax/Mobile Section, 5 1/2" x 3 3/16"</t>
  </si>
  <si>
    <t>CA-2019-132409</t>
  </si>
  <si>
    <t>OIC #2 Pencils, Medium Soft</t>
  </si>
  <si>
    <t>Holmes HEPA Air Purifier</t>
  </si>
  <si>
    <t>CA-2019-148852</t>
  </si>
  <si>
    <t>SV-20785</t>
  </si>
  <si>
    <t>Stewart Visinsky</t>
  </si>
  <si>
    <t>Alliance Big Bands Rubber Bands, 12/Pack</t>
  </si>
  <si>
    <t>Xerox 1946</t>
  </si>
  <si>
    <t>Cisco SPA508G</t>
  </si>
  <si>
    <t>Global Low Back Tilter Chair</t>
  </si>
  <si>
    <t>Fellowes Powershred HS-440 4-Sheet High Security Shredder</t>
  </si>
  <si>
    <t>CA-2019-113236</t>
  </si>
  <si>
    <t>Advantus Rolling Drawer Organizers</t>
  </si>
  <si>
    <t>Imation 32GB Pocket Pro USB 3.0 Flash Drive - 32 GB - Black - 1 P ...</t>
  </si>
  <si>
    <t>CA-2019-149237</t>
  </si>
  <si>
    <t>CA-2019-122903</t>
  </si>
  <si>
    <t>Xerox 1910</t>
  </si>
  <si>
    <t>Xerox 1915</t>
  </si>
  <si>
    <t>CA-2019-101791</t>
  </si>
  <si>
    <t>BS-11665</t>
  </si>
  <si>
    <t>Brian Stugart</t>
  </si>
  <si>
    <t>36X48 HARDFLOOR CHAIRMAT</t>
  </si>
  <si>
    <t>G.E. Halogen Desk Lamp Bulbs</t>
  </si>
  <si>
    <t>CA-2019-136994</t>
  </si>
  <si>
    <t>LS-17245</t>
  </si>
  <si>
    <t>Lynn Smith</t>
  </si>
  <si>
    <t>Wirebound Message Books, Four 2 3/4 x 5 White Forms per Page</t>
  </si>
  <si>
    <t>CA-2019-113747</t>
  </si>
  <si>
    <t>VD-21670</t>
  </si>
  <si>
    <t>Valerie Dominguez</t>
  </si>
  <si>
    <t>Boston School Pro Electric Pencil Sharpener, 1670</t>
  </si>
  <si>
    <t>CA-2019-138695</t>
  </si>
  <si>
    <t>KC-16675</t>
  </si>
  <si>
    <t>Kimberly Carter</t>
  </si>
  <si>
    <t>Novimex Fabric Task Chair</t>
  </si>
  <si>
    <t>Great White Multi-Use Recycled Paper (20Lb. and 84 Bright)</t>
  </si>
  <si>
    <t>CA-2019-134803</t>
  </si>
  <si>
    <t>Kensington 7 Outlet MasterPiece HOMEOFFICE Power Control Center</t>
  </si>
  <si>
    <t>Xerox 1991</t>
  </si>
  <si>
    <t>Okidata C331dn Printer</t>
  </si>
  <si>
    <t>CA-2019-155565</t>
  </si>
  <si>
    <t>CA-2019-121377</t>
  </si>
  <si>
    <t>Wilson Electronics DB Pro Signal Booster</t>
  </si>
  <si>
    <t>CA-2019-168753</t>
  </si>
  <si>
    <t>RL-19615</t>
  </si>
  <si>
    <t>Rob Lucas</t>
  </si>
  <si>
    <t>Panasonic KX-TG9471B</t>
  </si>
  <si>
    <t>CA-2019-156573</t>
  </si>
  <si>
    <t>Newell 333</t>
  </si>
  <si>
    <t>3M Polarizing Light Filter Sleeves</t>
  </si>
  <si>
    <t>US-2019-105578</t>
  </si>
  <si>
    <t>MY-17380</t>
  </si>
  <si>
    <t>Maribeth Yedwab</t>
  </si>
  <si>
    <t>GBC Standard Therm-A-Bind Covers</t>
  </si>
  <si>
    <t>Global Troy Executive Leather Low-Back Tilter</t>
  </si>
  <si>
    <t>CA-2019-145499</t>
  </si>
  <si>
    <t>RW-19690</t>
  </si>
  <si>
    <t>Robert Waldorf</t>
  </si>
  <si>
    <t>Angle-D Ring Binders</t>
  </si>
  <si>
    <t>CA-2019-153682</t>
  </si>
  <si>
    <t>BG-11695</t>
  </si>
  <si>
    <t>Brooke Gillingham</t>
  </si>
  <si>
    <t>Canon Imageclass D680 Copier / Fax</t>
  </si>
  <si>
    <t>CA-2019-113831</t>
  </si>
  <si>
    <t>Hon Rectangular Conference Tables</t>
  </si>
  <si>
    <t>Plantronics CS510 - Over-the-Head monaural Wireless Headset System</t>
  </si>
  <si>
    <t>CA-2019-158547</t>
  </si>
  <si>
    <t>JM-16195</t>
  </si>
  <si>
    <t>Justin MacKendrick</t>
  </si>
  <si>
    <t>CA-2019-147473</t>
  </si>
  <si>
    <t>NL-18310</t>
  </si>
  <si>
    <t>Nancy Lomonaco</t>
  </si>
  <si>
    <t>Xerox 228</t>
  </si>
  <si>
    <t>CA-2019-152730</t>
  </si>
  <si>
    <t>EM-14140</t>
  </si>
  <si>
    <t>Eugene Moren</t>
  </si>
  <si>
    <t>Acco 7-Outlet Masterpiece Power Center, Wihtout Fax/Phone Line Protection</t>
  </si>
  <si>
    <t>Eldon Simplefile Box Office</t>
  </si>
  <si>
    <t>Newell 343</t>
  </si>
  <si>
    <t>Xerox 217</t>
  </si>
  <si>
    <t>VTech DS6151</t>
  </si>
  <si>
    <t>CA-2019-129728</t>
  </si>
  <si>
    <t>CA-2019-166380</t>
  </si>
  <si>
    <t>Redi-Strip #10 Envelopes, 4 1/8 x 9 1/2</t>
  </si>
  <si>
    <t>Sony Micro Vault Click 16 GB USB 2.0 Flash Drive</t>
  </si>
  <si>
    <t>CA-2019-108210</t>
  </si>
  <si>
    <t>AT-10735</t>
  </si>
  <si>
    <t>Annie Thurman</t>
  </si>
  <si>
    <t>Anker 36W 4-Port USB Wall Charger Travel Power Adapter for iPhone 5s 5c 5</t>
  </si>
  <si>
    <t>CA-2019-150483</t>
  </si>
  <si>
    <t>Executive Impressions 16-1/2" Circular Wall Clock</t>
  </si>
  <si>
    <t>Xerox 1899</t>
  </si>
  <si>
    <t>Global Highback Leather Tilter in Burgundy</t>
  </si>
  <si>
    <t>CA-2019-168844</t>
  </si>
  <si>
    <t>Avery Hidden Tab Dividers for Binding Systems</t>
  </si>
  <si>
    <t>Jackery Bar Premium Fast-charging Portable Charger</t>
  </si>
  <si>
    <t>US-2019-128293</t>
  </si>
  <si>
    <t>KC-16255</t>
  </si>
  <si>
    <t>Karen Carlisle</t>
  </si>
  <si>
    <t>US-2019-119046</t>
  </si>
  <si>
    <t>Riverleaf Stik-Withit Designer Note Cubes</t>
  </si>
  <si>
    <t>Acco PRESSTEX Data Binder with Storage Hooks, Dark Blue, 14 7/8" X 11"</t>
  </si>
  <si>
    <t>Acco Translucent Poly Ring Binders</t>
  </si>
  <si>
    <t>CA-2019-164889</t>
  </si>
  <si>
    <t>CA-2019-119823</t>
  </si>
  <si>
    <t>Snap-A-Way Black Print Carbonless Ruled Speed Letter, Triplicate</t>
  </si>
  <si>
    <t>CA-2019-157749</t>
  </si>
  <si>
    <t>Xerox 1957</t>
  </si>
  <si>
    <t>PureGear Roll-On Screen Protector</t>
  </si>
  <si>
    <t>KI Conference Tables</t>
  </si>
  <si>
    <t>Eldon 100 Class Desk Accessories</t>
  </si>
  <si>
    <t>Binney &amp; Smith Crayola Metallic Colored Pencils, 8-Color Set</t>
  </si>
  <si>
    <t>CA-2019-165848</t>
  </si>
  <si>
    <t>EN-13780</t>
  </si>
  <si>
    <t>Edward Nazzal</t>
  </si>
  <si>
    <t>Panasonic KX MC6040 Color Laser Multifunction Printer</t>
  </si>
  <si>
    <t>Sauder Inglewood Library Bookcases</t>
  </si>
  <si>
    <t>Linden 10" Round Wall Clock, Black</t>
  </si>
  <si>
    <t>US-2019-134908</t>
  </si>
  <si>
    <t>JS-15940</t>
  </si>
  <si>
    <t>Joni Sundaresam</t>
  </si>
  <si>
    <t>Eldon Base for stackable storage shelf, platinum</t>
  </si>
  <si>
    <t>CA-2019-165169</t>
  </si>
  <si>
    <t>JL-15235</t>
  </si>
  <si>
    <t>Janet Lee</t>
  </si>
  <si>
    <t>Newell 314</t>
  </si>
  <si>
    <t>Avery White Multi-Purpose Labels</t>
  </si>
  <si>
    <t>CA-2019-110982</t>
  </si>
  <si>
    <t>CK-12205</t>
  </si>
  <si>
    <t>Chloris Kastensmidt</t>
  </si>
  <si>
    <t>Acco 6 Outlet Guardian Premium Surge Suppressor</t>
  </si>
  <si>
    <t>CA-2019-149671</t>
  </si>
  <si>
    <t>KB-16600</t>
  </si>
  <si>
    <t>Ken Brennan</t>
  </si>
  <si>
    <t>Acme Box Cutter Scissors</t>
  </si>
  <si>
    <t>CA-2019-125318</t>
  </si>
  <si>
    <t>CA-2019-127369</t>
  </si>
  <si>
    <t>Letter Size Cart</t>
  </si>
  <si>
    <t>CA-2019-108350</t>
  </si>
  <si>
    <t>SC-20230</t>
  </si>
  <si>
    <t>Scot Coram</t>
  </si>
  <si>
    <t>US-2019-167472</t>
  </si>
  <si>
    <t>Xerox 191</t>
  </si>
  <si>
    <t>Trimflex Flexible Post Binders</t>
  </si>
  <si>
    <t>Xerox 230</t>
  </si>
  <si>
    <t>US-2019-155971</t>
  </si>
  <si>
    <t>Avery 488</t>
  </si>
  <si>
    <t>Xerox Blank Computer Paper</t>
  </si>
  <si>
    <t>CA-2019-160717</t>
  </si>
  <si>
    <t>Samsung Galaxy Mega 6.3</t>
  </si>
  <si>
    <t>Rosewill 107 Normal Keys USB Wired Standard Keyboard</t>
  </si>
  <si>
    <t>Bose SoundLink Bluetooth Speaker</t>
  </si>
  <si>
    <t>CA-2019-112830</t>
  </si>
  <si>
    <t>LP-17095</t>
  </si>
  <si>
    <t>Liz Preis</t>
  </si>
  <si>
    <t>Deflect-o EconoMat Nonstudded, No Bevel Mat</t>
  </si>
  <si>
    <t>CA-2019-120558</t>
  </si>
  <si>
    <t>CA-2019-103163</t>
  </si>
  <si>
    <t>FM-14290</t>
  </si>
  <si>
    <t>Frank Merwin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</si>
  <si>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</si>
  <si>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</si>
  <si>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</si>
  <si>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</si>
  <si>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</si>
  <si>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</si>
  <si>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</si>
  <si>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</si>
  <si>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</si>
  <si>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</si>
  <si>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Cisco CP-7937G Unified IP Conference Station Phone</t>
  </si>
  <si>
    <t>CA-2019-122448</t>
  </si>
  <si>
    <t>Global Deluxe Stacking Chair, Gray</t>
  </si>
  <si>
    <t>CA-2019-154662</t>
  </si>
  <si>
    <t>BF-11215</t>
  </si>
  <si>
    <t>Benjamin Farhat</t>
  </si>
  <si>
    <t>Bush Cubix Conference Tables, Fully Assembled</t>
  </si>
  <si>
    <t>CA-2019-113243</t>
  </si>
  <si>
    <t>OT-18730</t>
  </si>
  <si>
    <t>Olvera Toch</t>
  </si>
  <si>
    <t>CA-2019-121993</t>
  </si>
  <si>
    <t>Avery 487</t>
  </si>
  <si>
    <t>CA-2019-169922</t>
  </si>
  <si>
    <t>MZ-17515</t>
  </si>
  <si>
    <t>Mary Zewe</t>
  </si>
  <si>
    <t>GBC Wire Binding Combs</t>
  </si>
  <si>
    <t>Stacking Tray, Side-Loading, Legal, Smoke</t>
  </si>
  <si>
    <t>CA-2019-127775</t>
  </si>
  <si>
    <t>ES-14020</t>
  </si>
  <si>
    <t>Erica Smith</t>
  </si>
  <si>
    <t>Razer Kraken PRO Over Ear PC and Music Headset</t>
  </si>
  <si>
    <t>CA-2019-142405</t>
  </si>
  <si>
    <t>Avery 486</t>
  </si>
  <si>
    <t>Logitech G35 7.1-Channel Surround Sound Headset</t>
  </si>
  <si>
    <t>CA-2019-118745</t>
  </si>
  <si>
    <t>SV-20365</t>
  </si>
  <si>
    <t>Seth Vernon</t>
  </si>
  <si>
    <t>Bretford Rectangular Conference Table Tops</t>
  </si>
  <si>
    <t>CA-2019-138688</t>
  </si>
  <si>
    <t>DV-13045</t>
  </si>
  <si>
    <t>Darrin Van Huff</t>
  </si>
  <si>
    <t>Self-Adhesive Address Labels for Typewriters by Universal</t>
  </si>
  <si>
    <t>CA-2019-127208</t>
  </si>
  <si>
    <t>1.7 Cubic Foot Compact "Cube" Office Refrigerators</t>
  </si>
  <si>
    <t>CA-2019-103730</t>
  </si>
  <si>
    <t>Artistic Insta-Plaque</t>
  </si>
  <si>
    <t>DXL Angle-View Binders with Locking Rings by Samsill</t>
  </si>
  <si>
    <t>Companion Letter/Legal File, Black</t>
  </si>
  <si>
    <t>KLD Oscar II Style Snap-on Ultra Thin Side Flip Synthetic Leather Cover Case for HTC One HTC M7</t>
  </si>
  <si>
    <t>CA-2019-147375</t>
  </si>
  <si>
    <t>PO-19180</t>
  </si>
  <si>
    <t>Philisse Overcash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</si>
  <si>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</si>
  <si>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</si>
  <si>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</si>
  <si>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</si>
  <si>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</si>
  <si>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Xerox 1978</t>
  </si>
  <si>
    <t>CA-2019-139941</t>
  </si>
  <si>
    <t>IBM Multi-Purpose Copy Paper, 8 1/2 x 11", Case</t>
  </si>
  <si>
    <t>Bionaire 99.97% HEPA Air Cleaner</t>
  </si>
  <si>
    <t>CA-2019-104633</t>
  </si>
  <si>
    <t>CA-2019-120824</t>
  </si>
  <si>
    <t>AW-10930</t>
  </si>
  <si>
    <t>Arthur Wiediger</t>
  </si>
  <si>
    <t>APC 7 Outlet Network SurgeArrest Surge Protector</t>
  </si>
  <si>
    <t>Dax Clear Box Frame</t>
  </si>
  <si>
    <t>Nontoxic Chalk</t>
  </si>
  <si>
    <t>Xerox 1975</t>
  </si>
  <si>
    <t>Global Enterprise Series Seating High-Back Swivel/Tilt Chairs</t>
  </si>
  <si>
    <t>Staple magnet</t>
  </si>
  <si>
    <t>Acco Pressboard Covers with Storage Hooks, 14 7/8" x 11", Executive Red</t>
  </si>
  <si>
    <t>CA-2019-155005</t>
  </si>
  <si>
    <t>Ooma Telo VoIP Home Phone System</t>
  </si>
  <si>
    <t>CA-2019-136287</t>
  </si>
  <si>
    <t>Avery 51</t>
  </si>
  <si>
    <t>CA-2019-126795</t>
  </si>
  <si>
    <t>Premium Transparent Presentation Covers by GBC</t>
  </si>
  <si>
    <t>CA-2019-107216</t>
  </si>
  <si>
    <t>Newell 326</t>
  </si>
  <si>
    <t>Newell 346</t>
  </si>
  <si>
    <t>US-2019-108497</t>
  </si>
  <si>
    <t>MH-17290</t>
  </si>
  <si>
    <t>Marc Harrigan</t>
  </si>
  <si>
    <t>Bush Heritage Pine Collection 5-Shelf Bookcase, Albany Pine Finish, *Special Order</t>
  </si>
  <si>
    <t>CA-2019-128223</t>
  </si>
  <si>
    <t>CA-2019-155747</t>
  </si>
  <si>
    <t>JS-15685</t>
  </si>
  <si>
    <t>Jim Sink</t>
  </si>
  <si>
    <t>CA-2019-133872</t>
  </si>
  <si>
    <t>GBC Twin Loop Wire Binding Elements</t>
  </si>
  <si>
    <t>Verbatim Slim CD and DVD Storage Cases, 50/Pack</t>
  </si>
  <si>
    <t>CA-2019-132304</t>
  </si>
  <si>
    <t>AR-10825</t>
  </si>
  <si>
    <t>Anthony Rawles</t>
  </si>
  <si>
    <t>CA-2019-152765</t>
  </si>
  <si>
    <t>Xerox 19</t>
  </si>
  <si>
    <t>CA-2019-148593</t>
  </si>
  <si>
    <t>CA-2019-140977</t>
  </si>
  <si>
    <t>JL-15175</t>
  </si>
  <si>
    <t>James Lanier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</si>
  <si>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</si>
  <si>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</si>
  <si>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</si>
  <si>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</si>
  <si>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</si>
  <si>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</si>
  <si>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</si>
  <si>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Xerox 232</t>
  </si>
  <si>
    <t>Novimex Turbo Task Chair</t>
  </si>
  <si>
    <t>Array Parchment Paper, Assorted Colors</t>
  </si>
  <si>
    <t>Imation 8gb Micro Traveldrive Usb 2.0 Flash Drive</t>
  </si>
  <si>
    <t>CA-2019-159345</t>
  </si>
  <si>
    <t>IG-15085</t>
  </si>
  <si>
    <t>Ivan Gibson</t>
  </si>
  <si>
    <t>Xerox 1934</t>
  </si>
  <si>
    <t>CA-2019-145842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</si>
  <si>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</si>
  <si>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</si>
  <si>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</si>
  <si>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</si>
  <si>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</si>
  <si>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</si>
  <si>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</si>
  <si>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Rubbermaid ClusterMat Chairmats, Mat Size- 66" x 60", Lip 20" x 11" -90 Degree Angle</t>
  </si>
  <si>
    <t>Global Manager's Adjustable Task Chair, Storm</t>
  </si>
  <si>
    <t>CA-2019-133613</t>
  </si>
  <si>
    <t>Ibico Presentation Index for Binding Systems</t>
  </si>
  <si>
    <t>Wireless Extenders zBoost YX545 SOHO Signal Booster</t>
  </si>
  <si>
    <t>Newell 35</t>
  </si>
  <si>
    <t>CA-2019-129861</t>
  </si>
  <si>
    <t>DM-13345</t>
  </si>
  <si>
    <t>Denise Monton</t>
  </si>
  <si>
    <t>Hon 2111 Invitation Series Corner Table</t>
  </si>
  <si>
    <t>US-2019-163461</t>
  </si>
  <si>
    <t>Xerox 1937</t>
  </si>
  <si>
    <t>CA-2019-131744</t>
  </si>
  <si>
    <t>Xerox 1900</t>
  </si>
  <si>
    <t>Harmony Air Purifier</t>
  </si>
  <si>
    <t>CA-2019-105760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</si>
  <si>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</si>
  <si>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</si>
  <si>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</si>
  <si>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</si>
  <si>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</si>
  <si>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</si>
  <si>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</si>
  <si>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DIXON Oriole Pencils</t>
  </si>
  <si>
    <t>Xerox 202</t>
  </si>
  <si>
    <t>CA-2019-140081</t>
  </si>
  <si>
    <t>CG-12040</t>
  </si>
  <si>
    <t>Catherine Glotzbach</t>
  </si>
  <si>
    <t>Wirebound Message Books, 2 7/8" x 5", 3 Forms per Page</t>
  </si>
  <si>
    <t>Sanyo 2.5 Cubic Foot Mid-Size Office Refrigerators</t>
  </si>
  <si>
    <t>CA-2019-141397</t>
  </si>
  <si>
    <t>Belkin 6 Outlet Metallic Surge Strip</t>
  </si>
  <si>
    <t>Hon Valutask Swivel Chairs</t>
  </si>
  <si>
    <t>CA-2019-108581</t>
  </si>
  <si>
    <t>CA-2019-149965</t>
  </si>
  <si>
    <t>Imation 30456 USB Flash Drive 8GB</t>
  </si>
  <si>
    <t>CA-2019-119865</t>
  </si>
  <si>
    <t>SpineVue Locking Slant-D Ring Binders by Cardinal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</si>
  <si>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</si>
  <si>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</si>
  <si>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</si>
  <si>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</si>
  <si>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</si>
  <si>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Avery 4027 File Folder Labels for Dot Matrix Printers, 5000 Labels per Box, White</t>
  </si>
  <si>
    <t>Avery 52</t>
  </si>
  <si>
    <t>Tops White Computer Printout Paper</t>
  </si>
  <si>
    <t>Translucent Push Pins by OIC</t>
  </si>
  <si>
    <t>US-2019-142685</t>
  </si>
  <si>
    <t>MG-17695</t>
  </si>
  <si>
    <t>Maureen Gnade</t>
  </si>
  <si>
    <t>Compact Automatic Electric Letter Opener</t>
  </si>
  <si>
    <t>CA-2019-140382</t>
  </si>
  <si>
    <t>RD-19900</t>
  </si>
  <si>
    <t>Ruben Dartt</t>
  </si>
  <si>
    <t>Mobile Personal File Cube</t>
  </si>
  <si>
    <t>Avery 516</t>
  </si>
  <si>
    <t>Xerox 1884</t>
  </si>
  <si>
    <t>US-2019-154256</t>
  </si>
  <si>
    <t>SM-20005</t>
  </si>
  <si>
    <t>Sally Matthias</t>
  </si>
  <si>
    <t>CA-2019-130680</t>
  </si>
  <si>
    <t>Macally Suction Cup Mount</t>
  </si>
  <si>
    <t>CA-2019-101987</t>
  </si>
  <si>
    <t>HL-15040</t>
  </si>
  <si>
    <t>Hunter Lopez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</si>
  <si>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</si>
  <si>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</si>
  <si>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</si>
  <si>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</si>
  <si>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</si>
  <si>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</si>
  <si>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Gould Plastics 9-Pocket Panel Bin, 18-3/8w x 5-1/4d x 20-1/2h, Black</t>
  </si>
  <si>
    <t>CA-2019-118913</t>
  </si>
  <si>
    <t>CA-2019-101693</t>
  </si>
  <si>
    <t>Global Value Mid-Back Manager's Chair, Gray</t>
  </si>
  <si>
    <t>Eldon Executive Woodline II Cherry Finish Desk Accessories</t>
  </si>
  <si>
    <t>CA-2019-100790</t>
  </si>
  <si>
    <t>JG-15805</t>
  </si>
  <si>
    <t>John Grady</t>
  </si>
  <si>
    <t>Prang Colored Pencils</t>
  </si>
  <si>
    <t>CA-2019-119445</t>
  </si>
  <si>
    <t>US-2019-158708</t>
  </si>
  <si>
    <t>AB-10255</t>
  </si>
  <si>
    <t>Alejandro Ballentine</t>
  </si>
  <si>
    <t>Memorex Mini Travel Drive 4 GB USB 2.0 Flash Drive</t>
  </si>
  <si>
    <t>CA-2019-114951</t>
  </si>
  <si>
    <t>Eldon Expressions Wood Desk Accessories, Oak</t>
  </si>
  <si>
    <t>CA-2019-152331</t>
  </si>
  <si>
    <t>LD-16855</t>
  </si>
  <si>
    <t>Lela Donovan</t>
  </si>
  <si>
    <t>Newell 311</t>
  </si>
  <si>
    <t>CA-2019-118101</t>
  </si>
  <si>
    <t>SN-20560</t>
  </si>
  <si>
    <t>Skye Norling</t>
  </si>
  <si>
    <t>SAFCO Mobile Desk Side File, Wire Frame</t>
  </si>
  <si>
    <t>CA-2019-144015</t>
  </si>
  <si>
    <t>AH-10075</t>
  </si>
  <si>
    <t>Adam Hart</t>
  </si>
  <si>
    <t>OIC Binder Clips</t>
  </si>
  <si>
    <t>Ampad Phone Message Book, Recycled, 400 Message Capacity, 5 ¾” x 11”</t>
  </si>
  <si>
    <t>CA-2019-102127</t>
  </si>
  <si>
    <t>VP-21760</t>
  </si>
  <si>
    <t>Victoria Pisteka</t>
  </si>
  <si>
    <t>AmazonBasics 3-Button USB Wired Mouse</t>
  </si>
  <si>
    <t>Perixx PERIBOARD-512B, Ergonomic Split Keyboard</t>
  </si>
  <si>
    <t>DAX Executive Solid Wood Document Frame, Desktop or Hang, Mahogany, 5 x 7</t>
  </si>
  <si>
    <t>CA-2019-160234</t>
  </si>
  <si>
    <t>PF-19225</t>
  </si>
  <si>
    <t>Phillip Flathmann</t>
  </si>
  <si>
    <t>Cisco IP Phone 7961G VoIP phone - Dark gray</t>
  </si>
  <si>
    <t>CA-2019-153577</t>
  </si>
  <si>
    <t>KH-16330</t>
  </si>
  <si>
    <t>Katharine Harms</t>
  </si>
  <si>
    <t>Global Commerce Series Low-Back Swivel/Tilt Chairs</t>
  </si>
  <si>
    <t>CA-2019-161928</t>
  </si>
  <si>
    <t>CA-2019-110044</t>
  </si>
  <si>
    <t>RF-19735</t>
  </si>
  <si>
    <t>Roland Fjeld</t>
  </si>
  <si>
    <t>Polycom CX300 Desktop Phone USB VoIP phone</t>
  </si>
  <si>
    <t>CA-2019-161095</t>
  </si>
  <si>
    <t>CS-12250</t>
  </si>
  <si>
    <t>Chris Selesnick</t>
  </si>
  <si>
    <t>GBC Premium Transparent Covers with Diagonal Lined Pattern</t>
  </si>
  <si>
    <t>CA-2019-154767</t>
  </si>
  <si>
    <t>BP-11155</t>
  </si>
  <si>
    <t>Becky Pak</t>
  </si>
  <si>
    <t>Global Armless Task Chair, Royal Blue</t>
  </si>
  <si>
    <t>Disposable Triple-Filter Dust Bags</t>
  </si>
  <si>
    <t>Xerox 1960</t>
  </si>
  <si>
    <t>Holmes Replacement Filter for HEPA Air Cleaner, Very Large Room, HEPA Filter</t>
  </si>
  <si>
    <t>CA-2019-140543</t>
  </si>
  <si>
    <t>Co-12640</t>
  </si>
  <si>
    <t>Corey-Lock</t>
  </si>
  <si>
    <t>CA-2019-162355</t>
  </si>
  <si>
    <t>PF-19165</t>
  </si>
  <si>
    <t>Philip Fox</t>
  </si>
  <si>
    <t>Bulldog Vacuum Base Pencil Sharpener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</si>
  <si>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</si>
  <si>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</si>
  <si>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</si>
  <si>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</si>
  <si>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</si>
  <si>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</si>
  <si>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</si>
  <si>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Xerox 210</t>
  </si>
  <si>
    <t>Binding Machine Supplies</t>
  </si>
  <si>
    <t>CA-2019-139997</t>
  </si>
  <si>
    <t>US-2019-126431</t>
  </si>
  <si>
    <t>SU-20665</t>
  </si>
  <si>
    <t>Stephanie Ulpright</t>
  </si>
  <si>
    <t>Avery 477</t>
  </si>
  <si>
    <t>KeyTronic KT400U2 - Keyboard - Black</t>
  </si>
  <si>
    <t>Southworth 25% Cotton Antique Laid Paper &amp; Envelopes</t>
  </si>
  <si>
    <t>US-2019-158680</t>
  </si>
  <si>
    <t>NZ-18565</t>
  </si>
  <si>
    <t>Nick Zandusky</t>
  </si>
  <si>
    <t>Zipper Ring Binder Pockets</t>
  </si>
  <si>
    <t>CA-2019-149314</t>
  </si>
  <si>
    <t>Hon Deluxe Fabric Upholstered Stacking Chairs</t>
  </si>
  <si>
    <t>CA-2019-101469</t>
  </si>
  <si>
    <t>KH-16360</t>
  </si>
  <si>
    <t>Katherine Hughes</t>
  </si>
  <si>
    <t>Avery Hi-Liter Pen Style Six-Color Fluorescent Set</t>
  </si>
  <si>
    <t>CA-2019-102813</t>
  </si>
  <si>
    <t>Xerox 201</t>
  </si>
  <si>
    <t>CA-2019-130029</t>
  </si>
  <si>
    <t>GT-14755</t>
  </si>
  <si>
    <t>Guy Thornton</t>
  </si>
  <si>
    <t>Xerox 200</t>
  </si>
  <si>
    <t>Brites Rubber Bands, 1 1/2 oz. Box</t>
  </si>
  <si>
    <t>CA-2019-168543</t>
  </si>
  <si>
    <t>Avanti 1.7 Cu. Ft. Refrigerator</t>
  </si>
  <si>
    <t>CA-2019-104983</t>
  </si>
  <si>
    <t>Xerox 1925</t>
  </si>
  <si>
    <t>CA-2019-147137</t>
  </si>
  <si>
    <t>AA-10645</t>
  </si>
  <si>
    <t>Anna Andreadi</t>
  </si>
  <si>
    <t>Inter-Office Recycled Envelopes, Brown Kraft, Button-String,10" x 13" , 100/Box</t>
  </si>
  <si>
    <t>Atlantic Metals Mobile 5-Shelf Bookcases, Custom Colors</t>
  </si>
  <si>
    <t>Eldon Shelf Savers Cubes and Bins</t>
  </si>
  <si>
    <t>CA-2019-103107</t>
  </si>
  <si>
    <t>OtterBox Defender Series Case - Samsung Galaxy S4</t>
  </si>
  <si>
    <t>CA-2019-114713</t>
  </si>
  <si>
    <t>SC-20695</t>
  </si>
  <si>
    <t>Steve Chapman</t>
  </si>
  <si>
    <t>Acme Softgrip Scissors</t>
  </si>
  <si>
    <t>CA-2019-100965</t>
  </si>
  <si>
    <t>Howard Miller 11-1/2" Diameter Grantwood Wall Clock</t>
  </si>
  <si>
    <t>CA-2019-159940</t>
  </si>
  <si>
    <t>BF-11020</t>
  </si>
  <si>
    <t>Barry Französisch</t>
  </si>
  <si>
    <t>Tops Wirebound Message Log Books</t>
  </si>
  <si>
    <t>CA-2019-135265</t>
  </si>
  <si>
    <t>Global Leather Task Chair, Black</t>
  </si>
  <si>
    <t>Canon PC1060 Personal Laser Copier</t>
  </si>
  <si>
    <t>CA-2019-129308</t>
  </si>
  <si>
    <t>CC-12100</t>
  </si>
  <si>
    <t>Chad Cunningham</t>
  </si>
  <si>
    <t>Permanent Self-Adhesive File Folder Labels for Typewriters, 1 1/8 x 3 1/2, White</t>
  </si>
  <si>
    <t>Panasonic KX T7731-B Digital phone</t>
  </si>
  <si>
    <t>GBC Standard Plastic Binding Systems' Combs</t>
  </si>
  <si>
    <t>CA-2019-106397</t>
  </si>
  <si>
    <t>CA-2019-156685</t>
  </si>
  <si>
    <t>Cisco SPA 502G IP Phone</t>
  </si>
  <si>
    <t>CA-2019-112109</t>
  </si>
  <si>
    <t>JE-15715</t>
  </si>
  <si>
    <t>Joe Elijah</t>
  </si>
  <si>
    <t>CA-2019-155474</t>
  </si>
  <si>
    <t>Logitech Mobile Speakerphone P710e - speaker phone</t>
  </si>
  <si>
    <t>Fellowes Twister Kit, Gray/Clear, 3/pkg</t>
  </si>
  <si>
    <t>CA-2019-152471</t>
  </si>
  <si>
    <t>Jabra SPEAK 410 Multidevice Speakerphone</t>
  </si>
  <si>
    <t>Xerox 1921</t>
  </si>
  <si>
    <t>CA-2019-152520</t>
  </si>
  <si>
    <t>Xerox 213</t>
  </si>
  <si>
    <t>CA-2019-136329</t>
  </si>
  <si>
    <t>Hon GuestStacker Chair</t>
  </si>
  <si>
    <t>CA-2019-126613</t>
  </si>
  <si>
    <t>AA-10375</t>
  </si>
  <si>
    <t>Allen Armold</t>
  </si>
  <si>
    <t>Sterilite Officeware Hinged File Box</t>
  </si>
  <si>
    <t>US-2019-131149</t>
  </si>
  <si>
    <t>Boston Heavy-Duty Trimline Electric Pencil Sharpeners</t>
  </si>
  <si>
    <t>CA-2019-134222</t>
  </si>
  <si>
    <t>CA-2019-164924</t>
  </si>
  <si>
    <t>Brother MFC-9340CDW LED All-In-One Printer, Copier Scanner</t>
  </si>
  <si>
    <t>CA-2019-103891</t>
  </si>
  <si>
    <t>KH-16690</t>
  </si>
  <si>
    <t>Kristen Hastings</t>
  </si>
  <si>
    <t>Cisco SPA525G2 IP Phone - Wireless</t>
  </si>
  <si>
    <t>CA-2019-136924</t>
  </si>
  <si>
    <t>LG Electronics Tone+ HBS-730 Bluetooth Headset</t>
  </si>
  <si>
    <t>CA-2019-120200</t>
  </si>
  <si>
    <t>TP-21130</t>
  </si>
  <si>
    <t>Theone Pippenger</t>
  </si>
  <si>
    <t>Acme Stainless Steel Office Snips</t>
  </si>
  <si>
    <t>CA-2019-137050</t>
  </si>
  <si>
    <t>SW-20755</t>
  </si>
  <si>
    <t>Steven Ward</t>
  </si>
  <si>
    <t>Acco Hanging Data Binders</t>
  </si>
  <si>
    <t>Newell 315</t>
  </si>
  <si>
    <t>Pressboard Data Binders by Wilson Jones</t>
  </si>
  <si>
    <t>CA-2019-101966</t>
  </si>
  <si>
    <t>Blue Parrot B250XT Professional Grade Wireless Bluetooth Headset with</t>
  </si>
  <si>
    <t>CA-2019-117282</t>
  </si>
  <si>
    <t>GBC Standard Plastic Binding Systems Combs</t>
  </si>
  <si>
    <t>CA-2019-101378</t>
  </si>
  <si>
    <t>RH-19600</t>
  </si>
  <si>
    <t>Rob Haberlin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</si>
  <si>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</si>
  <si>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</si>
  <si>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</si>
  <si>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</si>
  <si>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</si>
  <si>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</si>
  <si>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</si>
  <si>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</si>
  <si>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Cardinal Holdit Data Disk Pockets</t>
  </si>
  <si>
    <t>CA-2019-109953</t>
  </si>
  <si>
    <t>Holmes 99% HEPA Air Purifier</t>
  </si>
  <si>
    <t>Deflect-O Glasstique Clear Desk Accessories</t>
  </si>
  <si>
    <t>CA-2019-122322</t>
  </si>
  <si>
    <t>Fiskars Home &amp; Office Scissors</t>
  </si>
  <si>
    <t>US-2019-168095</t>
  </si>
  <si>
    <t>MC-17425</t>
  </si>
  <si>
    <t>Mark Cousins</t>
  </si>
  <si>
    <t>CA-2019-157000</t>
  </si>
  <si>
    <t>AM-10360</t>
  </si>
  <si>
    <t>Alice McCarthy</t>
  </si>
  <si>
    <t>Personal Filing Tote with Lid, Black/Gray</t>
  </si>
  <si>
    <t>US-2019-100720</t>
  </si>
  <si>
    <t>Mophie Juice Pack Helium for iPhone</t>
  </si>
  <si>
    <t>GE 2-Jack Phone Line Splitter</t>
  </si>
  <si>
    <t>CA-2019-130050</t>
  </si>
  <si>
    <t>CA-2019-157161</t>
  </si>
  <si>
    <t>Eberhard Faber 3 1/2" Golf Pencils</t>
  </si>
  <si>
    <t>Imation Secure Drive + Hardware Encrypted USB flash drive - 16 GB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</si>
  <si>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</si>
  <si>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</si>
  <si>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</si>
  <si>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</si>
  <si>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</si>
  <si>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</si>
  <si>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</si>
  <si>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Eaton Premium Continuous-Feed Paper, 25% Cotton, Letter Size, White, 1000 Shts/Box</t>
  </si>
  <si>
    <t>CA-2019-121671</t>
  </si>
  <si>
    <t>AA-10480</t>
  </si>
  <si>
    <t>Andrew Allen</t>
  </si>
  <si>
    <t>Strathmore Photo Frame Cards</t>
  </si>
  <si>
    <t>Tennsco 6- and 18-Compartment Lockers</t>
  </si>
  <si>
    <t>US-2019-139087</t>
  </si>
  <si>
    <t>DK-13375</t>
  </si>
  <si>
    <t>Dennis Kane</t>
  </si>
  <si>
    <t>Eldon Image Series Black Desk Accessories</t>
  </si>
  <si>
    <t>First Data TMFD35 PIN Pad</t>
  </si>
  <si>
    <t>Eldon 300 Class Desk Accessories, Black</t>
  </si>
  <si>
    <t>Round Specialty Laser Printer Labels</t>
  </si>
  <si>
    <t>Pressboard Data Binder, Crimson, 12" X 8 1/2"</t>
  </si>
  <si>
    <t>CA-2019-116603</t>
  </si>
  <si>
    <t>Belkin F5C206VTEL 6 Outlet Surge</t>
  </si>
  <si>
    <t>CA-2019-114727</t>
  </si>
  <si>
    <t>LS-16945</t>
  </si>
  <si>
    <t>Linda Southworth</t>
  </si>
  <si>
    <t>Hon 4700 Series Mobuis Mid-Back Task Chairs with Adjustable Arms</t>
  </si>
  <si>
    <t>Sauder Facets Collection Locker/File Cabinet, Sky Alder Finish</t>
  </si>
  <si>
    <t>CA-2019-157763</t>
  </si>
  <si>
    <t>Hon Olson Stacker Stools</t>
  </si>
  <si>
    <t>CA-2019-161676</t>
  </si>
  <si>
    <t>JP-15460</t>
  </si>
  <si>
    <t>Jennifer Patt</t>
  </si>
  <si>
    <t>CA-2019-124681</t>
  </si>
  <si>
    <t>SanDisk Cruzer 4 GB USB Flash Drive</t>
  </si>
  <si>
    <t>CA-2019-162110</t>
  </si>
  <si>
    <t>NP-18670</t>
  </si>
  <si>
    <t>Nora Paige</t>
  </si>
  <si>
    <t>iHome FM Clock Radio with Lightning Dock</t>
  </si>
  <si>
    <t>CA-2019-102561</t>
  </si>
  <si>
    <t>NK-18490</t>
  </si>
  <si>
    <t>Neil Knudson</t>
  </si>
  <si>
    <t>Steel Personal Filing/Posting Tote</t>
  </si>
  <si>
    <t>CA-2019-163776</t>
  </si>
  <si>
    <t>JS-16030</t>
  </si>
  <si>
    <t>Joy Smith</t>
  </si>
  <si>
    <t>Advantus Employee of the Month Certificate Frame, 11 x 13-1/2</t>
  </si>
  <si>
    <t>Avery Printable Repositionable Plastic Tabs</t>
  </si>
  <si>
    <t>Hon 4-Shelf Metal Bookcases</t>
  </si>
  <si>
    <t>CA-2019-157217</t>
  </si>
  <si>
    <t>TC-21535</t>
  </si>
  <si>
    <t>Tracy Collins</t>
  </si>
  <si>
    <t>Griffin GC36547 PowerJolt SE Lightning Charger</t>
  </si>
  <si>
    <t>CA-2019-137939</t>
  </si>
  <si>
    <t>PJ-19015</t>
  </si>
  <si>
    <t>Pauline Johnson</t>
  </si>
  <si>
    <t>invisibleSHIELD by ZAGG Smudge-Free Screen Protector</t>
  </si>
  <si>
    <t>CA-2019-146521</t>
  </si>
  <si>
    <t>CA-2019-141957</t>
  </si>
  <si>
    <t>Boston 16765 Mini Stand Up Battery Pencil Sharpener</t>
  </si>
  <si>
    <t>Wilson Jones 1" Hanging DublLock Ring Binders</t>
  </si>
  <si>
    <t>Safco Steel Mobile File Cart</t>
  </si>
  <si>
    <t>CA-2019-142895</t>
  </si>
  <si>
    <t>Avery 494</t>
  </si>
  <si>
    <t>Leather Task Chair, Black</t>
  </si>
  <si>
    <t>CA-2019-160941</t>
  </si>
  <si>
    <t>Self-Adhesive Removable Labels</t>
  </si>
  <si>
    <t>CA-2019-144855</t>
  </si>
  <si>
    <t>CA-2019-122392</t>
  </si>
  <si>
    <t>12 Colored Short Pencils</t>
  </si>
  <si>
    <t>Master Caster Door Stop, Large Neon Orange</t>
  </si>
  <si>
    <t>US-2019-111290</t>
  </si>
  <si>
    <t>Plantronics Audio 995 Wireless Stereo Headset</t>
  </si>
  <si>
    <t>Avery Hi-Liter Smear-Safe Highlighters</t>
  </si>
  <si>
    <t>Xerox 192</t>
  </si>
  <si>
    <t>CA-2019-140613</t>
  </si>
  <si>
    <t>KN-16705</t>
  </si>
  <si>
    <t>Kristina Nunn</t>
  </si>
  <si>
    <t>Fiskars 8" Scissors, 2/Pack</t>
  </si>
  <si>
    <t>CA-2019-114307</t>
  </si>
  <si>
    <t>Xerox 216</t>
  </si>
  <si>
    <t>Eldon Stackable Tray, Side-Load, Legal, Smoke</t>
  </si>
  <si>
    <t>Wilson Jones Easy Flow II Sheet Lifters</t>
  </si>
  <si>
    <t>CA-2019-165316</t>
  </si>
  <si>
    <t>Holmes Replacement Filter for HEPA Air Cleaner, Large Room</t>
  </si>
  <si>
    <t>Zebra GX420t Direct Thermal/Thermal Transfer Printer</t>
  </si>
  <si>
    <t>CA-2019-162404</t>
  </si>
  <si>
    <t>NF-18475</t>
  </si>
  <si>
    <t>Neil Französisch</t>
  </si>
  <si>
    <t>GBC Laser Imprintable Binding System Covers, Desert Sand</t>
  </si>
  <si>
    <t>CA-2019-112256</t>
  </si>
  <si>
    <t>Newell 339</t>
  </si>
  <si>
    <t>Xerox 231</t>
  </si>
  <si>
    <t>Acme Elite Stainless Steel Scissors</t>
  </si>
  <si>
    <t>CA-2019-111318</t>
  </si>
  <si>
    <t>IL-15100</t>
  </si>
  <si>
    <t>Ivan Liston</t>
  </si>
  <si>
    <t>Griffin GC17055 Auxiliary Audio Cable</t>
  </si>
  <si>
    <t>CA-2019-162943</t>
  </si>
  <si>
    <t>DB-12970</t>
  </si>
  <si>
    <t>Darren Budd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</si>
  <si>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</si>
  <si>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</si>
  <si>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</si>
  <si>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</si>
  <si>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</si>
  <si>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DMI Arturo Collection Mission-style Design Wood Chair</t>
  </si>
  <si>
    <t>CA-2019-147417</t>
  </si>
  <si>
    <t>Hewlett Packard LaserJet 3310 Copier</t>
  </si>
  <si>
    <t>CA-2019-111115</t>
  </si>
  <si>
    <t>LB-16735</t>
  </si>
  <si>
    <t>Larry Blacks</t>
  </si>
  <si>
    <t>CA-2019-115525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</si>
  <si>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</si>
  <si>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</si>
  <si>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</si>
  <si>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</si>
  <si>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</si>
  <si>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</si>
  <si>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</si>
  <si>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Advantus Motivational Note Cards</t>
  </si>
  <si>
    <t>CA-2019-149454</t>
  </si>
  <si>
    <t>KM-16375</t>
  </si>
  <si>
    <t>Katherine Murray</t>
  </si>
  <si>
    <t>Avery 3 1/2" Diskette Storage Pages, 10/Pack</t>
  </si>
  <si>
    <t>CA-2019-128307</t>
  </si>
  <si>
    <t>CA-2019-149335</t>
  </si>
  <si>
    <t>Newell 325</t>
  </si>
  <si>
    <t>US-2019-115441</t>
  </si>
  <si>
    <t>Memorex Froggy Flash Drive 8 GB</t>
  </si>
  <si>
    <t>Office Star Flex Back Scooter Chair with Aluminum Finish Frame</t>
  </si>
  <si>
    <t>Eldon Expressions Desk Accessory, Wood Photo Frame, Mahogany</t>
  </si>
  <si>
    <t>CA-2019-143924</t>
  </si>
  <si>
    <t>SC-20680</t>
  </si>
  <si>
    <t>Steve Carroll</t>
  </si>
  <si>
    <t>Xerox 1889</t>
  </si>
  <si>
    <t>CA-2019-140046</t>
  </si>
  <si>
    <t>KM-16660</t>
  </si>
  <si>
    <t>Khloe Miller</t>
  </si>
  <si>
    <t>Avery 495</t>
  </si>
  <si>
    <t>CA-2019-107783</t>
  </si>
  <si>
    <t>GBC Ibimaster 500 Manual ProClick Binding System</t>
  </si>
  <si>
    <t>Hoover Replacement Belts For Soft Guard &amp; Commercial Ltweight Upright Vacs, 2/Pk</t>
  </si>
  <si>
    <t>US-2019-105452</t>
  </si>
  <si>
    <t>Tenex Chairmat w/ Average Lip, 45" x 53"</t>
  </si>
  <si>
    <t>CA-2019-116344</t>
  </si>
  <si>
    <t>US-2019-131891</t>
  </si>
  <si>
    <t>PW-19240</t>
  </si>
  <si>
    <t>Pierre Wener</t>
  </si>
  <si>
    <t>Avery Triangle Shaped Sheet Lifters, Black, 2/Pack</t>
  </si>
  <si>
    <t>CA-2019-164574</t>
  </si>
  <si>
    <t>RH-19555</t>
  </si>
  <si>
    <t>Ritsa Hightower</t>
  </si>
  <si>
    <t>Fellowes High-Stak Drawer Files</t>
  </si>
  <si>
    <t>Premier Elliptical Ring Binder, Black</t>
  </si>
  <si>
    <t>CA-2019-112025</t>
  </si>
  <si>
    <t>LS-16975</t>
  </si>
  <si>
    <t>Lindsay Shagiari</t>
  </si>
  <si>
    <t>CA-2019-137743</t>
  </si>
  <si>
    <t>Avery 498</t>
  </si>
  <si>
    <t>CA-2019-112585</t>
  </si>
  <si>
    <t>Hoover Shoulder Vac Commercial Portable Vacuum</t>
  </si>
  <si>
    <t>CA-2019-133550</t>
  </si>
  <si>
    <t>Honeywell Quietcare HEPA Air Cleaner</t>
  </si>
  <si>
    <t>ClearOne Communications CHAT 70 OC Speaker Phone</t>
  </si>
  <si>
    <t>Polycom SoundPoint Pro SE-225 Corded phone</t>
  </si>
  <si>
    <t>Eldon ClusterMat Chair Mat with Cordless Antistatic Protection</t>
  </si>
  <si>
    <t>CA-2019-144148</t>
  </si>
  <si>
    <t>Laminate Occasional Tables</t>
  </si>
  <si>
    <t>CA-2019-144337</t>
  </si>
  <si>
    <t>SG-20890</t>
  </si>
  <si>
    <t>Susan Gilcrest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</si>
  <si>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</si>
  <si>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</si>
  <si>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</si>
  <si>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</si>
  <si>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</si>
  <si>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</si>
  <si>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Barricks Non-Folding Utility Table with Steel Legs, Laminate Tops</t>
  </si>
  <si>
    <t>CA-2019-104150</t>
  </si>
  <si>
    <t>AG-10330</t>
  </si>
  <si>
    <t>Alex Grayson</t>
  </si>
  <si>
    <t>Tyvek  Top-Opening Peel &amp; Seel Envelopes, Plain White</t>
  </si>
  <si>
    <t>Sony Micro Vault Click 4 GB USB 2.0 Flash Drive</t>
  </si>
  <si>
    <t>CA-2019-110254</t>
  </si>
  <si>
    <t>ML-17755</t>
  </si>
  <si>
    <t>Max Ludwig</t>
  </si>
  <si>
    <t>Acme 10" Easy Grip Assistive Scissors</t>
  </si>
  <si>
    <t>Advantus Panel Wall Certificate Holder - 8.5x11</t>
  </si>
  <si>
    <t>Avery 478</t>
  </si>
  <si>
    <t>US-2019-128195</t>
  </si>
  <si>
    <t>RA-19285</t>
  </si>
  <si>
    <t>Ralph Arnett</t>
  </si>
  <si>
    <t>CA-2019-111913</t>
  </si>
  <si>
    <t>Mitel 5320 IP Phone VoIP phone</t>
  </si>
  <si>
    <t>US-2019-102232</t>
  </si>
  <si>
    <t>Boston Model 1800 Electric Pencil Sharpener, Gray</t>
  </si>
  <si>
    <t>CA-2019-158869</t>
  </si>
  <si>
    <t>CA-2019-151092</t>
  </si>
  <si>
    <t>VG-21790</t>
  </si>
  <si>
    <t>Vivek Gonzalez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</si>
  <si>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</si>
  <si>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</si>
  <si>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</si>
  <si>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</si>
  <si>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</si>
  <si>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</si>
  <si>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</si>
  <si>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Logitech Illuminated - Keyboard</t>
  </si>
  <si>
    <t>CA-2019-121034</t>
  </si>
  <si>
    <t>OIC Bulk Pack Metal Binder Clips</t>
  </si>
  <si>
    <t>CA-2019-169026</t>
  </si>
  <si>
    <t>CM-12655</t>
  </si>
  <si>
    <t>Corinna Mitchell</t>
  </si>
  <si>
    <t>Alliance Super-Size Bands, Assorted Sizes</t>
  </si>
  <si>
    <t>CA-2019-107328</t>
  </si>
  <si>
    <t>Chromcraft 48" x 96" Racetrack Double Pedestal Table</t>
  </si>
  <si>
    <t>CA-2019-130078</t>
  </si>
  <si>
    <t>CC-12145</t>
  </si>
  <si>
    <t>Charles Crestani</t>
  </si>
  <si>
    <t>Xerox 1954</t>
  </si>
  <si>
    <t>US-2019-113649</t>
  </si>
  <si>
    <t>HA-14920</t>
  </si>
  <si>
    <t>Helen Andreada</t>
  </si>
  <si>
    <t>Xerox 199</t>
  </si>
  <si>
    <t>Apple EarPods with Remote and Mic</t>
  </si>
  <si>
    <t>Kensington 7 Outlet MasterPiece Power Center</t>
  </si>
  <si>
    <t>CA-2019-118934</t>
  </si>
  <si>
    <t>GH-14410</t>
  </si>
  <si>
    <t>Gary Hansen</t>
  </si>
  <si>
    <t>CA-2019-128671</t>
  </si>
  <si>
    <t>MT-18070</t>
  </si>
  <si>
    <t>Michelle Tran</t>
  </si>
  <si>
    <t>CA-2019-167584</t>
  </si>
  <si>
    <t>CA-2019-155845</t>
  </si>
  <si>
    <t>Logitech diNovo Edge Keyboard</t>
  </si>
  <si>
    <t>CA-2019-143910</t>
  </si>
  <si>
    <t>CA-2019-118073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</si>
  <si>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</si>
  <si>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</si>
  <si>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</si>
  <si>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</si>
  <si>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</si>
  <si>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</si>
  <si>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</si>
  <si>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</si>
  <si>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</si>
  <si>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</si>
  <si>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CA-2019-156251</t>
  </si>
  <si>
    <t>O'Sullivan Living Dimensions 2-Shelf Bookcases</t>
  </si>
  <si>
    <t>US-2019-156692</t>
  </si>
  <si>
    <t>HG-15025</t>
  </si>
  <si>
    <t>Hunter Glantz</t>
  </si>
  <si>
    <t>Sony 64GB Class 10 Micro SDHC R40 Memory Card</t>
  </si>
  <si>
    <t>CA-2019-125843</t>
  </si>
  <si>
    <t>US-2019-141264</t>
  </si>
  <si>
    <t>CT-11995</t>
  </si>
  <si>
    <t>Carol Triggs</t>
  </si>
  <si>
    <t>3.6 Cubic Foot Counter Height Office Refrigerator</t>
  </si>
  <si>
    <t>CA-2019-136021</t>
  </si>
  <si>
    <t>Array Memo Cubes</t>
  </si>
  <si>
    <t>Texas Instruments TI-34 Scientific Calculator</t>
  </si>
  <si>
    <t>CA-2019-119515</t>
  </si>
  <si>
    <t>TR-21325</t>
  </si>
  <si>
    <t>Toby Ritter</t>
  </si>
  <si>
    <t>CA-2019-136770</t>
  </si>
  <si>
    <t>Cisco IP Phone 7961G-GE VoIP phone</t>
  </si>
  <si>
    <t>Plantronics Voyager Pro Legend</t>
  </si>
  <si>
    <t>US-2019-123470</t>
  </si>
  <si>
    <t>ME-17725</t>
  </si>
  <si>
    <t>Max Engle</t>
  </si>
  <si>
    <t>Tripp Lite TLP810NET Broadband Surge for Modem/Fax</t>
  </si>
  <si>
    <t>CA-2019-166163</t>
  </si>
  <si>
    <t>CY-12745</t>
  </si>
  <si>
    <t>Craig Yedwab</t>
  </si>
  <si>
    <t>Nokia Lumia 521 (T-Mobile)</t>
  </si>
  <si>
    <t>CA-2019-118626</t>
  </si>
  <si>
    <t>JC-15775</t>
  </si>
  <si>
    <t>John Castell</t>
  </si>
  <si>
    <t>HTC One Mini</t>
  </si>
  <si>
    <t>CA-2019-154690</t>
  </si>
  <si>
    <t>CA-2019-167241</t>
  </si>
  <si>
    <t>Luxo Professional Magnifying Clamp-On Fluorescent Lamps</t>
  </si>
  <si>
    <t>Rediform S.O.S. 1-Up Phone Message Bk, 4-1/4x3-1/16 Bk, 1 Form/Pg, 40 Messages/Bk, 3/Pk</t>
  </si>
  <si>
    <t>CA-2019-150343</t>
  </si>
  <si>
    <t>Convenience Packs of Business Envelopes</t>
  </si>
  <si>
    <t>CA-2019-148096</t>
  </si>
  <si>
    <t>AO-10810</t>
  </si>
  <si>
    <t>Anthony O'Donnell</t>
  </si>
  <si>
    <t>Barricks 18" x 48" Non-Folding Utility Table with Bottom Storage Shelf</t>
  </si>
  <si>
    <t>CA-2019-113117</t>
  </si>
  <si>
    <t>JP-15520</t>
  </si>
  <si>
    <t>Jeremy Pistek</t>
  </si>
  <si>
    <t>US-2019-157308</t>
  </si>
  <si>
    <t>CA-2019-136133</t>
  </si>
  <si>
    <t>HW-14935</t>
  </si>
  <si>
    <t>Helen Wasserman</t>
  </si>
  <si>
    <t>Belkin 7 Outlet SurgeMaster II</t>
  </si>
  <si>
    <t>CA-2019-153353</t>
  </si>
  <si>
    <t>GG-14650</t>
  </si>
  <si>
    <t>Greg Guthrie</t>
  </si>
  <si>
    <t>GE DSL Phone Line Filter</t>
  </si>
  <si>
    <t>CA-2019-113551</t>
  </si>
  <si>
    <t>NF-18385</t>
  </si>
  <si>
    <t>Natalie Fritzler</t>
  </si>
  <si>
    <t>CA-2019-128916</t>
  </si>
  <si>
    <t>MA-17560</t>
  </si>
  <si>
    <t>Matt Abelman</t>
  </si>
  <si>
    <t>CA-2019-101980</t>
  </si>
  <si>
    <t>RP-19390</t>
  </si>
  <si>
    <t>Resi Pölking</t>
  </si>
  <si>
    <t>Surelock Post Binders</t>
  </si>
  <si>
    <t>CA-2019-151141</t>
  </si>
  <si>
    <t>CA-2019-123414</t>
  </si>
  <si>
    <t>Avery 49</t>
  </si>
  <si>
    <t>US-2019-146066</t>
  </si>
  <si>
    <t>Iceberg OfficeWorks 42" Round Tables</t>
  </si>
  <si>
    <t>US-2019-126452</t>
  </si>
  <si>
    <t>Anker Astro Mini 3000mAh Ultra-Compact Portable Charger</t>
  </si>
  <si>
    <t>Bretford CR8500 Series Meeting Room Furniture</t>
  </si>
  <si>
    <t>Xerox 1997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</si>
  <si>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</si>
  <si>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</si>
  <si>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</si>
  <si>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</si>
  <si>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</si>
  <si>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</si>
  <si>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</si>
  <si>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</si>
  <si>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Tripp Lite Isotel 8 Ultra 8 Outlet Metal Surge</t>
  </si>
  <si>
    <t>Avery Durable Poly Binders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</si>
  <si>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</si>
  <si>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</si>
  <si>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</si>
  <si>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</si>
  <si>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</si>
  <si>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</si>
  <si>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</si>
  <si>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</si>
  <si>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</si>
  <si>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</si>
  <si>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</si>
  <si>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</si>
  <si>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</si>
  <si>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</si>
  <si>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</si>
  <si>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</si>
  <si>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</si>
  <si>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</si>
  <si>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</si>
  <si>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</si>
  <si>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</si>
  <si>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SAFCO Boltless Steel Shelving</t>
  </si>
  <si>
    <t>WD My Passport Ultra 2TB Portable External Hard Drive</t>
  </si>
  <si>
    <t>CA-2019-150350</t>
  </si>
  <si>
    <t>MS-17770</t>
  </si>
  <si>
    <t>Maxwell Schwartz</t>
  </si>
  <si>
    <t>Acco Six-Outlet Power Strip, 4' Cord Length</t>
  </si>
  <si>
    <t>Acme Rosewood Handle Letter Opener</t>
  </si>
  <si>
    <t>CA-2019-158001</t>
  </si>
  <si>
    <t>Newell 331</t>
  </si>
  <si>
    <t>US-2019-117793</t>
  </si>
  <si>
    <t>Avery 515</t>
  </si>
  <si>
    <t>Maxell 4.7GB DVD+R 5/Pack</t>
  </si>
  <si>
    <t>CA-2019-105585</t>
  </si>
  <si>
    <t>Advantus SlideClip Paper Clips</t>
  </si>
  <si>
    <t>Xerox 1979</t>
  </si>
  <si>
    <t>CA-2019-152289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</si>
  <si>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</si>
  <si>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</si>
  <si>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</si>
  <si>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</si>
  <si>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</si>
  <si>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</si>
  <si>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Binney &amp; Smith inkTank Erasable Pocket Highlighter, Chisel Tip, Yellow</t>
  </si>
  <si>
    <t>US-2019-100405</t>
  </si>
  <si>
    <t>TS-21430</t>
  </si>
  <si>
    <t>Tom Stivers</t>
  </si>
  <si>
    <t>Newell Chalk Holder</t>
  </si>
  <si>
    <t>US-2019-127425</t>
  </si>
  <si>
    <t>Samsung Replacement EH64AVFWE Premium Headset</t>
  </si>
  <si>
    <t>US-2019-163538</t>
  </si>
  <si>
    <t>SS-20515</t>
  </si>
  <si>
    <t>Shirley Schmidt</t>
  </si>
  <si>
    <t>Memorex Micro Travel Drive 16 GB</t>
  </si>
  <si>
    <t>CA-2019-114601</t>
  </si>
  <si>
    <t>Xerox 1950</t>
  </si>
  <si>
    <t>ClearSounds CSC500 Amplified Spirit Phone Corded phone</t>
  </si>
  <si>
    <t>Hon 4060 Series Tables</t>
  </si>
  <si>
    <t>NETGEAR AC1750 Dual Band Gigabit Smart WiFi Router</t>
  </si>
  <si>
    <t>Newell 335</t>
  </si>
  <si>
    <t>CA-2019-163174</t>
  </si>
  <si>
    <t>XP-21865</t>
  </si>
  <si>
    <t>Xylona Preis</t>
  </si>
  <si>
    <t>Deflect-o Glass Clear Studded Chair Mats</t>
  </si>
  <si>
    <t>US-2019-102141</t>
  </si>
  <si>
    <t>Deluxe Heavy-Duty Vinyl Round Ring Binder</t>
  </si>
  <si>
    <t>CA-2019-160598</t>
  </si>
  <si>
    <t>SV-20815</t>
  </si>
  <si>
    <t>Stuart Van</t>
  </si>
  <si>
    <t>Xerox 1944</t>
  </si>
  <si>
    <t>US-2019-146710</t>
  </si>
  <si>
    <t>SS-20875</t>
  </si>
  <si>
    <t>Sung Shariari</t>
  </si>
  <si>
    <t>Martin-Yale Premier Letter Opener</t>
  </si>
  <si>
    <t>Ampad Gold Fibre Wirebound Steno Books, 6" x 9", Gregg Ruled</t>
  </si>
  <si>
    <t>CA-2019-145982</t>
  </si>
  <si>
    <t>Xerox 1919</t>
  </si>
  <si>
    <t>SAFCO PlanMaster Heigh-Adjustable Drafting Table Base, 43w x 30d x 30-37h, Black</t>
  </si>
  <si>
    <t>CA-2019-117919</t>
  </si>
  <si>
    <t>Portfile Personal File Boxes</t>
  </si>
  <si>
    <t>Southworth 25% Cotton Premium Laser Paper and Envelopes</t>
  </si>
  <si>
    <t>CA-2019-116764</t>
  </si>
  <si>
    <t>EM-13825</t>
  </si>
  <si>
    <t>Elizabeth Moffitt</t>
  </si>
  <si>
    <t>Avery 484</t>
  </si>
  <si>
    <t>US-2019-144211</t>
  </si>
  <si>
    <t>CS-12130</t>
  </si>
  <si>
    <t>Chad Sievert</t>
  </si>
  <si>
    <t>Wirebound Four 2-3/4 x 5 Forms per Page, 400 Sets per Book</t>
  </si>
  <si>
    <t>CA-2019-145303</t>
  </si>
  <si>
    <t>TP-21415</t>
  </si>
  <si>
    <t>Tom Prescott</t>
  </si>
  <si>
    <t>Sauder Camden County Collection Libraries, Planked Cherry Finish</t>
  </si>
  <si>
    <t>CA-2019-137652</t>
  </si>
  <si>
    <t>GBC VeloBinder Strips</t>
  </si>
  <si>
    <t>CA-2019-158568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</si>
  <si>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</si>
  <si>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</si>
  <si>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</si>
  <si>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</si>
  <si>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</si>
  <si>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</si>
  <si>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O'Sullivan 5-Shelf Heavy-Duty Bookcases</t>
  </si>
  <si>
    <t>Fellowes Black Plastic Comb Bindings</t>
  </si>
  <si>
    <t>US-2019-141544</t>
  </si>
  <si>
    <t>PO-18850</t>
  </si>
  <si>
    <t>Patrick O'Brill</t>
  </si>
  <si>
    <t>Hon 2090 “Pillow Soft” Series Mid Back Swivel/Tilt Chairs</t>
  </si>
  <si>
    <t>CA-2019-165995</t>
  </si>
  <si>
    <t>BG-11740</t>
  </si>
  <si>
    <t>Bruce Geld</t>
  </si>
  <si>
    <t>Panasonic KX TS3282W Corded phone</t>
  </si>
  <si>
    <t>CA-2019-117408</t>
  </si>
  <si>
    <t>CA-2019-129714</t>
  </si>
  <si>
    <t>Sabrent 4-Port USB 2.0 Hub</t>
  </si>
  <si>
    <t>CA-2019-120859</t>
  </si>
  <si>
    <t>White Business Envelopes with Contemporary Seam, Recycled White Business Envelopes</t>
  </si>
  <si>
    <t>CA-2019-155481</t>
  </si>
  <si>
    <t>CA-2019-151561</t>
  </si>
  <si>
    <t>Enermax Aurora Lite Keyboard</t>
  </si>
  <si>
    <t>CA-2019-116526</t>
  </si>
  <si>
    <t>JA-15970</t>
  </si>
  <si>
    <t>Joseph Airdo</t>
  </si>
  <si>
    <t>Eureka The Boss Plus 12-Amp Hard Box Upright Vacuum, Red</t>
  </si>
  <si>
    <t>CA-2019-124583</t>
  </si>
  <si>
    <t>LB-16795</t>
  </si>
  <si>
    <t>Laurel Beltran</t>
  </si>
  <si>
    <t>CA-2019-130407</t>
  </si>
  <si>
    <t>Telescoping Adjustable Floor Lamp</t>
  </si>
  <si>
    <t>CA-2019-116540</t>
  </si>
  <si>
    <t>Colored Push Pins</t>
  </si>
  <si>
    <t>ACCOHIDE 3-Ring Binder, Blue, 1"</t>
  </si>
  <si>
    <t>CA-2019-113096</t>
  </si>
  <si>
    <t>SZ-20035</t>
  </si>
  <si>
    <t>Sam Zeldin</t>
  </si>
  <si>
    <t>CA-2019-144764</t>
  </si>
  <si>
    <t>Okidata C610n Printer</t>
  </si>
  <si>
    <t>CA-2019-129847</t>
  </si>
  <si>
    <t>TA-21385</t>
  </si>
  <si>
    <t>Tom Ashbrook</t>
  </si>
  <si>
    <t>Deflect-o DuraMat Antistatic Studded Beveled Mat for Medium Pile Carpeting</t>
  </si>
  <si>
    <t>CA-2019-106950</t>
  </si>
  <si>
    <t>Belkin F9M820V08 8 Outlet Surge</t>
  </si>
  <si>
    <t>Zebra Zazzle Fluorescent Highlighters</t>
  </si>
  <si>
    <t>Hon Racetrack Conference Tables</t>
  </si>
  <si>
    <t>Plantronics Savi W720 Multi-Device Wireless Headset System</t>
  </si>
  <si>
    <t>GBC Plasticlear Binding Covers</t>
  </si>
  <si>
    <t>CA-2019-166429</t>
  </si>
  <si>
    <t>TG-21310</t>
  </si>
  <si>
    <t>Toby Gnade</t>
  </si>
  <si>
    <t>CA-2019-112739</t>
  </si>
  <si>
    <t>Acco PRESSTEX Data Binder with Storage Hooks, Dark Blue, 9 1/2" X 11"</t>
  </si>
  <si>
    <t>CA-2019-106278</t>
  </si>
  <si>
    <t>BM-11140</t>
  </si>
  <si>
    <t>Becky Martin</t>
  </si>
  <si>
    <t>CA-2019-126732</t>
  </si>
  <si>
    <t>Blackstonian Pencils</t>
  </si>
  <si>
    <t>Chromcraft Rectangular Conference Tables</t>
  </si>
  <si>
    <t>CA-2019-158099</t>
  </si>
  <si>
    <t>PK-18910</t>
  </si>
  <si>
    <t>Paul Knutson</t>
  </si>
  <si>
    <t>Cisco SPA301</t>
  </si>
  <si>
    <t>US-2019-100566</t>
  </si>
  <si>
    <t>Tenex "The Solids" Textured Chair Mats</t>
  </si>
  <si>
    <t>CA-2019-159737</t>
  </si>
  <si>
    <t>CA-2019-132143</t>
  </si>
  <si>
    <t>CA-2019-163986</t>
  </si>
  <si>
    <t>Crate-A-Files</t>
  </si>
  <si>
    <t>US-2019-101616</t>
  </si>
  <si>
    <t>US-2019-147711</t>
  </si>
  <si>
    <t>Acco Expandable Hanging Binders</t>
  </si>
  <si>
    <t>US-2019-104815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</si>
  <si>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</si>
  <si>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</si>
  <si>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</si>
  <si>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</si>
  <si>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</si>
  <si>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Faber Castell Col-Erase Pencils</t>
  </si>
  <si>
    <t>CA-2019-123120</t>
  </si>
  <si>
    <t>CV-12295</t>
  </si>
  <si>
    <t>Christina VanderZanden</t>
  </si>
  <si>
    <t>Acme Preferred Stainless Steel Scissors</t>
  </si>
  <si>
    <t>CA-2019-149783</t>
  </si>
  <si>
    <t>DL-13315</t>
  </si>
  <si>
    <t>Delfina Latchford</t>
  </si>
  <si>
    <t>RSVP Cards &amp; Envelopes, Blank White, 8-1/2" X 11", 24 Cards/25 Envelopes/Set</t>
  </si>
  <si>
    <t>Prismacolor Color Pencil Set</t>
  </si>
  <si>
    <t>CA-2019-131205</t>
  </si>
  <si>
    <t>CA-2019-168774</t>
  </si>
  <si>
    <t>CA-2019-142524</t>
  </si>
  <si>
    <t>CA-2019-117604</t>
  </si>
  <si>
    <t>Xerox 1886</t>
  </si>
  <si>
    <t>CA-2019-129630</t>
  </si>
  <si>
    <t>IM-15055</t>
  </si>
  <si>
    <t>Ionia McGrath</t>
  </si>
  <si>
    <t>6" Cubicle Wall Clock, Black</t>
  </si>
  <si>
    <t>CA-2019-110366</t>
  </si>
  <si>
    <t>CA-2019-115756</t>
  </si>
  <si>
    <t>Aluminum Document Frame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</si>
  <si>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</si>
  <si>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</si>
  <si>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</si>
  <si>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</si>
  <si>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CA-2019-160815</t>
  </si>
  <si>
    <t>Geemarc AmpliPOWER60</t>
  </si>
  <si>
    <t>CA-2019-140774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</si>
  <si>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</si>
  <si>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</si>
  <si>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</si>
  <si>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</si>
  <si>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</si>
  <si>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</si>
  <si>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</si>
  <si>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C-Line Peel &amp; Stick Add-On Filing Pockets, 8-3/4 x 5-1/8, 10/Pack</t>
  </si>
  <si>
    <t>CA-2019-136231</t>
  </si>
  <si>
    <t>Wilson Jones Ledger-Size, Piano-Hinge Binder, 2", Blue</t>
  </si>
  <si>
    <t>Nortel Networks T7316 E Nt8 B27</t>
  </si>
  <si>
    <t>Xerox 1971</t>
  </si>
  <si>
    <t>CA-2019-144540</t>
  </si>
  <si>
    <t>Advantus Map Pennant Flags and Round Head Tacks</t>
  </si>
  <si>
    <t>CA-2019-151372</t>
  </si>
  <si>
    <t>JH-15985</t>
  </si>
  <si>
    <t>Joseph Holt</t>
  </si>
  <si>
    <t>14-7/8 x 11 Blue Bar Computer Printout Paper</t>
  </si>
  <si>
    <t>CA-2019-149195</t>
  </si>
  <si>
    <t>DM-13525</t>
  </si>
  <si>
    <t>Don Miller</t>
  </si>
  <si>
    <t>Xerox 1930</t>
  </si>
  <si>
    <t>CA-2019-133319</t>
  </si>
  <si>
    <t>Xerox 1885</t>
  </si>
  <si>
    <t>US-2019-152373</t>
  </si>
  <si>
    <t>PT-19090</t>
  </si>
  <si>
    <t>Pete Takahito</t>
  </si>
  <si>
    <t>US-2019-121013</t>
  </si>
  <si>
    <t>Avery 50</t>
  </si>
  <si>
    <t>Chromcraft Bull-Nose Wood 48" x 96" Rectangular Conference Tables</t>
  </si>
  <si>
    <t>CA-2019-164490</t>
  </si>
  <si>
    <t>CA-2019-162383</t>
  </si>
  <si>
    <t>MD-17350</t>
  </si>
  <si>
    <t>Maribeth Dona</t>
  </si>
  <si>
    <t>Global Push Button Manager's Chair, Indigo</t>
  </si>
  <si>
    <t>CA-2019-136595</t>
  </si>
  <si>
    <t>Executive Impressions 12" Wall Clock</t>
  </si>
  <si>
    <t>CA-2019-158778</t>
  </si>
  <si>
    <t>Global Task Chair, Black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</si>
  <si>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</si>
  <si>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</si>
  <si>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</si>
  <si>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</si>
  <si>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</si>
  <si>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</si>
  <si>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</si>
  <si>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</si>
  <si>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</si>
  <si>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</si>
  <si>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</si>
  <si>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</si>
  <si>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</si>
  <si>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</si>
  <si>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CA-2019-145240</t>
  </si>
  <si>
    <t>Tenex Personal Project File with Scoop Front Design, Black</t>
  </si>
  <si>
    <t>CA-2019-123932</t>
  </si>
  <si>
    <t>AT&amp;T CL83451 4-Handset Telephone</t>
  </si>
  <si>
    <t>CA-2019-108987</t>
  </si>
  <si>
    <t>Riverside Palais Royal Lawyers Bookcase, Royale Cherry Finish</t>
  </si>
  <si>
    <t>Contico 72"H Heavy-Duty Storage System</t>
  </si>
  <si>
    <t>CA-2019-113516</t>
  </si>
  <si>
    <t>US-2019-114174</t>
  </si>
  <si>
    <t>Bush Westfield Collection Bookcases, Dark Cherry Finish</t>
  </si>
  <si>
    <t>US-2019-115455</t>
  </si>
  <si>
    <t>CA-2019-131499</t>
  </si>
  <si>
    <t>MG-17875</t>
  </si>
  <si>
    <t>Michael Grace</t>
  </si>
  <si>
    <t>Kensington 7 Outlet MasterPiece Power Center with Fax/Phone Line Protection</t>
  </si>
  <si>
    <t>CA-2019-108868</t>
  </si>
  <si>
    <t>Belkin SportFit Armband For iPhone 5s/5c, Fuchsia</t>
  </si>
  <si>
    <t>CA-2019-155138</t>
  </si>
  <si>
    <t>Petty Cash Envelope</t>
  </si>
  <si>
    <t>CA-2019-153101</t>
  </si>
  <si>
    <t>Lesro Round Back Collection Coffee Table, End Table</t>
  </si>
  <si>
    <t>CA-2019-110009</t>
  </si>
  <si>
    <t>CA-2019-103709</t>
  </si>
  <si>
    <t>CA-2019-110023</t>
  </si>
  <si>
    <t>TS-21610</t>
  </si>
  <si>
    <t>Troy Staebel</t>
  </si>
  <si>
    <t>CA-2019-112893</t>
  </si>
  <si>
    <t>VariCap6 Expandable Binder</t>
  </si>
  <si>
    <t>CA-2019-137176</t>
  </si>
  <si>
    <t>Eldon Expressions Punched Metal &amp; Wood Desk Accessories, Black &amp; Cherry</t>
  </si>
  <si>
    <t>US-2019-118780</t>
  </si>
  <si>
    <t>PN-18775</t>
  </si>
  <si>
    <t>Parhena Norris</t>
  </si>
  <si>
    <t>Acco Perma 2700 Stacking Storage Drawers</t>
  </si>
  <si>
    <t>CA-2019-164350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</si>
  <si>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</si>
  <si>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</si>
  <si>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</si>
  <si>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</si>
  <si>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</si>
  <si>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</si>
  <si>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</si>
  <si>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</si>
  <si>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</si>
  <si>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</si>
  <si>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</si>
  <si>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Wirebound Message Books, Two 4 1/4" x 5" Forms per Page</t>
  </si>
  <si>
    <t>CA-2019-121223</t>
  </si>
  <si>
    <t>GD-14590</t>
  </si>
  <si>
    <t>Giulietta Dortch</t>
  </si>
  <si>
    <t>Xerox 1972</t>
  </si>
  <si>
    <t>Cisco 8x8 Inc. 6753i IP Business Phone System</t>
  </si>
  <si>
    <t>CA-2019-164154</t>
  </si>
  <si>
    <t>CA-2019-102162</t>
  </si>
  <si>
    <t>Canon PC-428 Personal Copier</t>
  </si>
  <si>
    <t>CA-2019-116561</t>
  </si>
  <si>
    <t>EB-14110</t>
  </si>
  <si>
    <t>Eugene Barchas</t>
  </si>
  <si>
    <t>Stur-D-Stor Shelving, Vertical 5-Shelf: 72"H x 36"W x 18 1/2"D</t>
  </si>
  <si>
    <t>CA-2019-153157</t>
  </si>
  <si>
    <t>CA-2019-150007</t>
  </si>
  <si>
    <t>Smead Alpha-Z Color-Coded Name Labels First Letter Starter Set</t>
  </si>
  <si>
    <t>CA-2019-143476</t>
  </si>
  <si>
    <t>Crayola Anti Dust Chalk, 12/Pack</t>
  </si>
  <si>
    <t>Xerox 1976</t>
  </si>
  <si>
    <t>CA-2019-130225</t>
  </si>
  <si>
    <t>RC-19960</t>
  </si>
  <si>
    <t>Ryan Crowe</t>
  </si>
  <si>
    <t>CA-2019-142902</t>
  </si>
  <si>
    <t>C-Line Cubicle Keepers Polyproplyene Holder With Velcro Backings</t>
  </si>
  <si>
    <t>Avery 509</t>
  </si>
  <si>
    <t>CA-2019-128811</t>
  </si>
  <si>
    <t>CA-2019-123946</t>
  </si>
  <si>
    <t>Hon Olson Stacker Chairs</t>
  </si>
  <si>
    <t>CA-2019-152457</t>
  </si>
  <si>
    <t>CA-2019-151148</t>
  </si>
  <si>
    <t>Lunatik TT5L-002 Taktik Strike Impact Protection System for iPhone 5</t>
  </si>
  <si>
    <t>CA-2019-113082</t>
  </si>
  <si>
    <t>DAX Contemporary Wood Frame with Silver Metal Mat, Desktop, 11 x 14 Size</t>
  </si>
  <si>
    <t>CA-2019-105732</t>
  </si>
  <si>
    <t>AG-10270</t>
  </si>
  <si>
    <t>Alejandro Grove</t>
  </si>
  <si>
    <t>BlueLounge Milo Smartphone Stand, White/Metallic</t>
  </si>
  <si>
    <t>Things To Do Today Pad</t>
  </si>
  <si>
    <t>Electrix Architect's Clamp-On Swing Arm Lamp, Black</t>
  </si>
  <si>
    <t>CA-2019-155439</t>
  </si>
  <si>
    <t>CA-2019-153178</t>
  </si>
  <si>
    <t>Wi-Ex zBoost YX540 Cellular Phone Signal Booster</t>
  </si>
  <si>
    <t>GBC DocuBind 200 Manual Binding Machine</t>
  </si>
  <si>
    <t>CA-2019-149370</t>
  </si>
  <si>
    <t>Xerox 1968</t>
  </si>
  <si>
    <t>CA-2019-149797</t>
  </si>
  <si>
    <t>GBC DocuBind 300 Electric Binding Machine</t>
  </si>
  <si>
    <t>US-2019-128678</t>
  </si>
  <si>
    <t>Cardinal Slant-D Ring Binder, Heavy Gauge Vinyl</t>
  </si>
  <si>
    <t>CA-2019-116911</t>
  </si>
  <si>
    <t>JD-16150</t>
  </si>
  <si>
    <t>Justin Deggeller</t>
  </si>
  <si>
    <t>Avery Heavy-Duty EZD View Binder with Locking Rings</t>
  </si>
  <si>
    <t>CA-2019-160479</t>
  </si>
  <si>
    <t>AH-10585</t>
  </si>
  <si>
    <t>Angele Hood</t>
  </si>
  <si>
    <t>SANFORD Major Accent Highlighters</t>
  </si>
  <si>
    <t>US-2019-134369</t>
  </si>
  <si>
    <t>Xerox 1966</t>
  </si>
  <si>
    <t>CA-2019-123337</t>
  </si>
  <si>
    <t>KD-16495</t>
  </si>
  <si>
    <t>Keith Dawkins</t>
  </si>
  <si>
    <t>Sauder Forest Hills Library with Doors, Woodland Oak Finish</t>
  </si>
  <si>
    <t>Eureka Sanitaire  Multi-Pro Heavy-Duty Upright, Disposable Bags</t>
  </si>
  <si>
    <t>CA-2019-162159</t>
  </si>
  <si>
    <t>CR-12625</t>
  </si>
  <si>
    <t>Corey Roper</t>
  </si>
  <si>
    <t>CA-2019-109806</t>
  </si>
  <si>
    <t>Turquoise Lead Holder with Pocket Clip</t>
  </si>
  <si>
    <t>Xerox 1995</t>
  </si>
  <si>
    <t>CA-2019-134208</t>
  </si>
  <si>
    <t>CS-12505</t>
  </si>
  <si>
    <t>Cindy Stewart</t>
  </si>
  <si>
    <t>Lexmark X 9575 Professional All-in-One Color Printer</t>
  </si>
  <si>
    <t>CA-2019-164091</t>
  </si>
  <si>
    <t>C-Line Cubicle Keepers Polyproplyene Holder w/Velcro Back, 8-1/2x11, 25/Bx</t>
  </si>
  <si>
    <t>CA-2019-159730</t>
  </si>
  <si>
    <t>Harbour Creations 67200 Series Stacking Chairs</t>
  </si>
  <si>
    <t>Clarity 53712</t>
  </si>
  <si>
    <t>CA-2019-111416</t>
  </si>
  <si>
    <t>CA-2019-105900</t>
  </si>
  <si>
    <t>BS-11590</t>
  </si>
  <si>
    <t>Brendan Sweed</t>
  </si>
  <si>
    <t>Sanford Liquid Accent Highlighters</t>
  </si>
  <si>
    <t>US-2019-152415</t>
  </si>
  <si>
    <t>PO-18865</t>
  </si>
  <si>
    <t>Patrick O'Donnell</t>
  </si>
  <si>
    <t>CA-2019-131093</t>
  </si>
  <si>
    <t>Safco Industrial Shelving</t>
  </si>
  <si>
    <t>US-2019-148957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</si>
  <si>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</si>
  <si>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</si>
  <si>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</si>
  <si>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</si>
  <si>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</si>
  <si>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</si>
  <si>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</si>
  <si>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</si>
  <si>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Office Star - Professional Matrix Back Chair with 2-to-1 Synchro Tilt and Mesh Fabric Seat</t>
  </si>
  <si>
    <t>CA-2019-157511</t>
  </si>
  <si>
    <t>Eldon Spacemaker Box, Quick-Snap Lid, Clear</t>
  </si>
  <si>
    <t>CA-2019-120355</t>
  </si>
  <si>
    <t>MM-17260</t>
  </si>
  <si>
    <t>Magdelene Morse</t>
  </si>
  <si>
    <t>Global Leather Executive Chair</t>
  </si>
  <si>
    <t>CA-2019-111409</t>
  </si>
  <si>
    <t>Avery 480</t>
  </si>
  <si>
    <t>CA-2019-133935</t>
  </si>
  <si>
    <t>JW-15220</t>
  </si>
  <si>
    <t>Jane Waco</t>
  </si>
  <si>
    <t>CA-2019-110086</t>
  </si>
  <si>
    <t>US-2019-156097</t>
  </si>
  <si>
    <t>CA-2019-168354</t>
  </si>
  <si>
    <t>Lifetime Advantage Folding Chairs, 4/Carton</t>
  </si>
  <si>
    <t>CA-2019-130267</t>
  </si>
  <si>
    <t>CA-2019-102932</t>
  </si>
  <si>
    <t>SD-20485</t>
  </si>
  <si>
    <t>Shirley Daniels</t>
  </si>
  <si>
    <t>Storex DuraTech Recycled Plastic Frosted Binders</t>
  </si>
  <si>
    <t>CA-2019-142370</t>
  </si>
  <si>
    <t>Letter Slitter</t>
  </si>
  <si>
    <t>CA-2019-120250</t>
  </si>
  <si>
    <t>Nu-Dell Oak Frame</t>
  </si>
  <si>
    <t>US-2019-114888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</si>
  <si>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</si>
  <si>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</si>
  <si>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</si>
  <si>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</si>
  <si>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</si>
  <si>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</si>
  <si>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</si>
  <si>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</si>
  <si>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Fellowes PB200 Plastic Comb Binding Machine</t>
  </si>
  <si>
    <t>Ibico Plastic Spiral Binding Combs</t>
  </si>
  <si>
    <t>CA-2019-134516</t>
  </si>
  <si>
    <t>Dana Swing-Arm Lamps</t>
  </si>
  <si>
    <t>CA-2019-145611</t>
  </si>
  <si>
    <t>HA-14905</t>
  </si>
  <si>
    <t>Helen Abelman</t>
  </si>
  <si>
    <t>CA-2019-126284</t>
  </si>
  <si>
    <t>GBC Poly Designer Binding Covers</t>
  </si>
  <si>
    <t>CA-2019-166772</t>
  </si>
  <si>
    <t>HJ-14875</t>
  </si>
  <si>
    <t>Heather Jas</t>
  </si>
  <si>
    <t>CA-2019-109743</t>
  </si>
  <si>
    <t>PayAnywhere Card Reader</t>
  </si>
  <si>
    <t>CA-2019-120257</t>
  </si>
  <si>
    <t>Newell 348</t>
  </si>
  <si>
    <t>CA-2019-116232</t>
  </si>
  <si>
    <t>AC-10450</t>
  </si>
  <si>
    <t>Amy Cox</t>
  </si>
  <si>
    <t>Acco Suede Grain Vinyl Round Ring Binder</t>
  </si>
  <si>
    <t>Avery Address/Shipping Labels for Typewriters, 4" x 2"</t>
  </si>
  <si>
    <t>US-2019-155404</t>
  </si>
  <si>
    <t>AS-10630</t>
  </si>
  <si>
    <t>Ann Steele</t>
  </si>
  <si>
    <t>G.E. Longer-Life Indoor Recessed Floodlight Bulbs</t>
  </si>
  <si>
    <t>CA-2019-151974</t>
  </si>
  <si>
    <t>CA-2019-135965</t>
  </si>
  <si>
    <t>Sortfiler Multipurpose Personal File Organizer, Black</t>
  </si>
  <si>
    <t>CA-2019-158617</t>
  </si>
  <si>
    <t>Xerox 1895</t>
  </si>
  <si>
    <t>CA-2019-125724</t>
  </si>
  <si>
    <t>CA-2019-119641</t>
  </si>
  <si>
    <t>CA-2019-166653</t>
  </si>
  <si>
    <t>NP-18685</t>
  </si>
  <si>
    <t>Nora Pelletier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</si>
  <si>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</si>
  <si>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</si>
  <si>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</si>
  <si>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</si>
  <si>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</si>
  <si>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</si>
  <si>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</si>
  <si>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</si>
  <si>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</si>
  <si>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</si>
  <si>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Acme Design Stainless Steel Bent Scissors</t>
  </si>
  <si>
    <t>CA-2019-106656</t>
  </si>
  <si>
    <t>CA-2019-101742</t>
  </si>
  <si>
    <t>3-ring staple pack</t>
  </si>
  <si>
    <t>CA-2019-124016</t>
  </si>
  <si>
    <t>Xerox 1970</t>
  </si>
  <si>
    <t>Eldon 400 Class Desk Accessories, Black Carbon</t>
  </si>
  <si>
    <t>CA-2019-159009</t>
  </si>
  <si>
    <t>Global Deluxe Steno Chair</t>
  </si>
  <si>
    <t>US-2019-134488</t>
  </si>
  <si>
    <t>Office Star - Contemporary Task Swivel Chair</t>
  </si>
  <si>
    <t>CA-2019-155187</t>
  </si>
  <si>
    <t>Tennsco Lockers, Gray</t>
  </si>
  <si>
    <t>REDIFORM Incoming/Outgoing Call Register, 11" X 8 1/2", 100 Messages</t>
  </si>
  <si>
    <t>US-2019-147340</t>
  </si>
  <si>
    <t>Nu-Dell Executive Frame</t>
  </si>
  <si>
    <t>CA-2019-108875</t>
  </si>
  <si>
    <t>Electrix 20W Halogen Replacement Bulb for Zoom-In Desk Lamp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</si>
  <si>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</si>
  <si>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</si>
  <si>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</si>
  <si>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</si>
  <si>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</si>
  <si>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</si>
  <si>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</si>
  <si>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</si>
  <si>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</si>
  <si>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</si>
  <si>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</si>
  <si>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</si>
  <si>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</si>
  <si>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</si>
  <si>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CA-2019-101385</t>
  </si>
  <si>
    <t>BIC Brite Liner Highlighters</t>
  </si>
  <si>
    <t>US-2019-124163</t>
  </si>
  <si>
    <t>Manco Dry-Lighter Erasable Highlighter</t>
  </si>
  <si>
    <t>Global Fabric Manager's Chair, Dark Gray</t>
  </si>
  <si>
    <t>CA-2019-113978</t>
  </si>
  <si>
    <t>TS-21505</t>
  </si>
  <si>
    <t>Tony Sayre</t>
  </si>
  <si>
    <t>Eldon Gobal File Keepers</t>
  </si>
  <si>
    <t>CA-2019-148747</t>
  </si>
  <si>
    <t>Atlantic Metals Mobile 4-Shelf Bookcases, Custom Colors</t>
  </si>
  <si>
    <t>US-2019-125402</t>
  </si>
  <si>
    <t>Ampad Evidence Wirebond Steno Books, 6" x 9"</t>
  </si>
  <si>
    <t>Avery 513</t>
  </si>
  <si>
    <t>SmartStand Mobile Device Holder, Assorted Colors</t>
  </si>
  <si>
    <t>US-2019-157945</t>
  </si>
  <si>
    <t>US-2019-146794</t>
  </si>
  <si>
    <t>Bestar Classic Bookcase</t>
  </si>
  <si>
    <t>CA-2019-169957</t>
  </si>
  <si>
    <t>CA-2019-157714</t>
  </si>
  <si>
    <t>CA-2019-145898</t>
  </si>
  <si>
    <t>CM-12445</t>
  </si>
  <si>
    <t>Chuck Magee</t>
  </si>
  <si>
    <t>Advantus Rolling Storage Box</t>
  </si>
  <si>
    <t>CA-2019-165820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</si>
  <si>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</si>
  <si>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</si>
  <si>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</si>
  <si>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</si>
  <si>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</si>
  <si>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</si>
  <si>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</si>
  <si>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</si>
  <si>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</si>
  <si>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Hoover Commercial Lightweight Upright Vacuum with E-Z Empty Dirt Cup</t>
  </si>
  <si>
    <t>High-Back Leather Manager's Chair</t>
  </si>
  <si>
    <t>CA-2019-132019</t>
  </si>
  <si>
    <t>GBC Recycled VeloBinder Covers</t>
  </si>
  <si>
    <t>US-2019-110170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</si>
  <si>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</si>
  <si>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</si>
  <si>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</si>
  <si>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</si>
  <si>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</si>
  <si>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</si>
  <si>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</si>
  <si>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Samsung Galaxy S4</t>
  </si>
  <si>
    <t>CA-2019-123176</t>
  </si>
  <si>
    <t>US-2019-134656</t>
  </si>
  <si>
    <t>CA-2019-134362</t>
  </si>
  <si>
    <t>Avery 483</t>
  </si>
  <si>
    <t>CA-2019-161781</t>
  </si>
  <si>
    <t>Newell 328</t>
  </si>
  <si>
    <t>US-2019-101497</t>
  </si>
  <si>
    <t>Xerox 1887</t>
  </si>
  <si>
    <t>CA-2019-108616</t>
  </si>
  <si>
    <t>Sanford Colorific Colored Pencils, 12/Box</t>
  </si>
  <si>
    <t>CA-2019-138037</t>
  </si>
  <si>
    <t>AR-10540</t>
  </si>
  <si>
    <t>Andy Reiter</t>
  </si>
  <si>
    <t>CA-2019-106621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</si>
  <si>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</si>
  <si>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</si>
  <si>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</si>
  <si>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</si>
  <si>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</si>
  <si>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</si>
  <si>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</si>
  <si>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</si>
  <si>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</si>
  <si>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O'Sullivan Elevations Bookcase, Cherry Finish</t>
  </si>
  <si>
    <t>CA-2019-157686</t>
  </si>
  <si>
    <t>CA-2019-155992</t>
  </si>
  <si>
    <t>CA-2019-139157</t>
  </si>
  <si>
    <t>CA-2019-111794</t>
  </si>
  <si>
    <t>CA-2019-116918</t>
  </si>
  <si>
    <t>JK-15205</t>
  </si>
  <si>
    <t>Jamie Kunitz</t>
  </si>
  <si>
    <t>Staples in misc. colors</t>
  </si>
  <si>
    <t>CA-2019-134376</t>
  </si>
  <si>
    <t>TT-21265</t>
  </si>
  <si>
    <t>Tim Taslimi</t>
  </si>
  <si>
    <t>Kensington 6 Outlet Guardian Standard Surge Protector</t>
  </si>
  <si>
    <t>CA-2019-118969</t>
  </si>
  <si>
    <t>CA-2019-118689</t>
  </si>
  <si>
    <t>TC-20980</t>
  </si>
  <si>
    <t>Tamara Chand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</si>
  <si>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</si>
  <si>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</si>
  <si>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</si>
  <si>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</si>
  <si>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</si>
  <si>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</si>
  <si>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</si>
  <si>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</si>
  <si>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</si>
  <si>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Smead Alpha-Z Color-Coded Second Alphabetical Labels and Starter Set</t>
  </si>
  <si>
    <t>Global Deluxe High-Back Manager's Chair</t>
  </si>
  <si>
    <t>Xerox 1891</t>
  </si>
  <si>
    <t>CA-2019-121601</t>
  </si>
  <si>
    <t>Laser &amp; Ink Jet Business Envelopes</t>
  </si>
  <si>
    <t>US-2019-140158</t>
  </si>
  <si>
    <t>DR-12940</t>
  </si>
  <si>
    <t>Daniel Raglin</t>
  </si>
  <si>
    <t>Letter Size File</t>
  </si>
  <si>
    <t>CA-2019-131296</t>
  </si>
  <si>
    <t>MS-17830</t>
  </si>
  <si>
    <t>Melanie Seite</t>
  </si>
  <si>
    <t>CA-2019-145709</t>
  </si>
  <si>
    <t>Samsung HM1900 Bluetooth Headset</t>
  </si>
  <si>
    <t>Magna Visual Magnetic Picture Hangers</t>
  </si>
  <si>
    <t>US-2019-115952</t>
  </si>
  <si>
    <t>JH-15910</t>
  </si>
  <si>
    <t>Jonathan Howell</t>
  </si>
  <si>
    <t>US-2019-157490</t>
  </si>
  <si>
    <t>Zebra GK420t Direct Thermal/Thermal Transfer Printer</t>
  </si>
  <si>
    <t>Avery Framed View Binder, EZD Ring (Locking), Navy, 1 1/2"</t>
  </si>
  <si>
    <t>Memorex 25GB 6X Branded Blu-Ray Recordable Disc, 15/Pack</t>
  </si>
  <si>
    <t>CA-2019-162614</t>
  </si>
  <si>
    <t>CA-2019-127649</t>
  </si>
  <si>
    <t>CA-2019-155033</t>
  </si>
  <si>
    <t>Astroparche Fine Business Paper</t>
  </si>
  <si>
    <t>CA-2019-163216</t>
  </si>
  <si>
    <t>Avery 511</t>
  </si>
  <si>
    <t>CA-2019-139808</t>
  </si>
  <si>
    <t>MC-18100</t>
  </si>
  <si>
    <t>Mick Crebagga</t>
  </si>
  <si>
    <t>US-2019-126844</t>
  </si>
  <si>
    <t>BW-11110</t>
  </si>
  <si>
    <t>Bart Watters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</si>
  <si>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</si>
  <si>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</si>
  <si>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</si>
  <si>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</si>
  <si>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</si>
  <si>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</si>
  <si>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</si>
  <si>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</si>
  <si>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</si>
  <si>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</si>
  <si>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Fellowes Econo/Stor Drawers</t>
  </si>
  <si>
    <t>CA-2019-116974</t>
  </si>
  <si>
    <t>MP-17965</t>
  </si>
  <si>
    <t>Michael Paige</t>
  </si>
  <si>
    <t>US-2019-128909</t>
  </si>
  <si>
    <t>Xerox 1947</t>
  </si>
  <si>
    <t>CA-2019-114748</t>
  </si>
  <si>
    <t>MZ-17335</t>
  </si>
  <si>
    <t>Maria Zettner</t>
  </si>
  <si>
    <t>Newell 310</t>
  </si>
  <si>
    <t>US-2019-150357</t>
  </si>
  <si>
    <t>CA-2019-157707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</si>
  <si>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</si>
  <si>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</si>
  <si>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</si>
  <si>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</si>
  <si>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</si>
  <si>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Avery Fluorescent Highlighter Four-Color Set</t>
  </si>
  <si>
    <t>Newell 309</t>
  </si>
  <si>
    <t>CA-2019-145583</t>
  </si>
  <si>
    <t>Xerox 195</t>
  </si>
  <si>
    <t>Longer-Life Soft White Bulbs</t>
  </si>
  <si>
    <t>US-2019-100839</t>
  </si>
  <si>
    <t>NC-18625</t>
  </si>
  <si>
    <t>Noah Childs</t>
  </si>
  <si>
    <t>Hon 5100 Series Wood Tables</t>
  </si>
  <si>
    <t>CA-2019-154018</t>
  </si>
  <si>
    <t>Newell 334</t>
  </si>
  <si>
    <t>CA-2019-101161</t>
  </si>
  <si>
    <t>Fellowes Bases and Tops For Staxonsteel/High-Stak Systems</t>
  </si>
  <si>
    <t>Howard Miller Distant Time Traveler Alarm Clock</t>
  </si>
  <si>
    <t>US-2019-108098</t>
  </si>
  <si>
    <t>WD My Passport Ultra 500GB Portable External Hard Drive</t>
  </si>
  <si>
    <t>CA-2019-156503</t>
  </si>
  <si>
    <t>NC-18415</t>
  </si>
  <si>
    <t>Nathan Cano</t>
  </si>
  <si>
    <t>SAFCO Folding Chair Trolley</t>
  </si>
  <si>
    <t>Maxell 4.7GB DVD-R</t>
  </si>
  <si>
    <t>Xerox 1916</t>
  </si>
  <si>
    <t>CA-2019-113607</t>
  </si>
  <si>
    <t>CA-2019-125220</t>
  </si>
  <si>
    <t>CA-2019-125738</t>
  </si>
  <si>
    <t>PB-18805</t>
  </si>
  <si>
    <t>Patrick Bzostek</t>
  </si>
  <si>
    <t>Xerox 1982</t>
  </si>
  <si>
    <t>Xerox 1986</t>
  </si>
  <si>
    <t>Acco Data Flex Cable Posts For Top &amp; Bottom Load Binders, 6" Capacity</t>
  </si>
  <si>
    <t>Recycled Desk Saver Line "While You Were Out" Book, 5 1/2" X 4"</t>
  </si>
  <si>
    <t>CA-2019-124352</t>
  </si>
  <si>
    <t>CD-12790</t>
  </si>
  <si>
    <t>Cynthia Delaney</t>
  </si>
  <si>
    <t>Hoover Upright Vacuum With Dirt Cup</t>
  </si>
  <si>
    <t>Xerox 1999</t>
  </si>
  <si>
    <t>CA-2019-142097</t>
  </si>
  <si>
    <t>Holmes Odor Grabber</t>
  </si>
  <si>
    <t>CA-2019-132066</t>
  </si>
  <si>
    <t>CA-2019-141586</t>
  </si>
  <si>
    <t>Avery Durable Plastic 1" Binders</t>
  </si>
  <si>
    <t>CA-2019-163972</t>
  </si>
  <si>
    <t>CA-2019-147256</t>
  </si>
  <si>
    <t>FC-14245</t>
  </si>
  <si>
    <t>Frank Carlisle</t>
  </si>
  <si>
    <t>Panasonic KX-TG9541B DECT 6.0 Digital 2-Line Expandable Cordless Phone With Digital Answering System</t>
  </si>
  <si>
    <t>Honeywell Enviracaire Portable HEPA Air Cleaner for 16' x 20' Room</t>
  </si>
  <si>
    <t>CA-2019-152688</t>
  </si>
  <si>
    <t>US-2019-159856</t>
  </si>
  <si>
    <t>CA-2019-106341</t>
  </si>
  <si>
    <t>LF-17185</t>
  </si>
  <si>
    <t>Luke Foster</t>
  </si>
  <si>
    <t>Premium Writing Pencils, Soft, #2 by Central Association for the Blind</t>
  </si>
  <si>
    <t>CA-2019-133697</t>
  </si>
  <si>
    <t>Black Print Carbonless Snap-Off Rapid Letter, 8 1/2" x 7"</t>
  </si>
  <si>
    <t>CA-2019-160220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</si>
  <si>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</si>
  <si>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</si>
  <si>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</si>
  <si>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</si>
  <si>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</si>
  <si>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</si>
  <si>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CA-2019-155516</t>
  </si>
  <si>
    <t>CA-2019-112340</t>
  </si>
  <si>
    <t>CA-2019-144729</t>
  </si>
  <si>
    <t>CA-2019-151169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</si>
  <si>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</si>
  <si>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</si>
  <si>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</si>
  <si>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</si>
  <si>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</si>
  <si>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</si>
  <si>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</si>
  <si>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</si>
  <si>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</si>
  <si>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Ibico EPK-21 Electric Binding System</t>
  </si>
  <si>
    <t>CA-2019-169334</t>
  </si>
  <si>
    <t>Tenex Personal Filing Tote With Secure Closure Lid, Black/Frost</t>
  </si>
  <si>
    <t>CA-2019-166373</t>
  </si>
  <si>
    <t>SanDisk Ultra 32 GB MicroSDHC Class 10 Memory Card</t>
  </si>
  <si>
    <t>CA-2019-161746</t>
  </si>
  <si>
    <t>CA-2019-136322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</si>
  <si>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</si>
  <si>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</si>
  <si>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</si>
  <si>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</si>
  <si>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</si>
  <si>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</si>
  <si>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Linden 12" Wall Clock With Oak Frame</t>
  </si>
  <si>
    <t>CA-2019-132661</t>
  </si>
  <si>
    <t>CA-2019-165484</t>
  </si>
  <si>
    <t>DAX Cubicle Frames - 8x10</t>
  </si>
  <si>
    <t>Xerox 1929</t>
  </si>
  <si>
    <t>CA-2019-151323</t>
  </si>
  <si>
    <t>CA-2019-121748</t>
  </si>
  <si>
    <t>CA-2019-121020</t>
  </si>
  <si>
    <t>Apple iPhone 5C</t>
  </si>
  <si>
    <t>CA-2019-166275</t>
  </si>
  <si>
    <t>Razer Tiamat Over Ear 7.1 Surround Sound PC Gaming Headset</t>
  </si>
  <si>
    <t>CA-2019-158925</t>
  </si>
  <si>
    <t>Eureka Recycled Copy Paper 8 1/2" x 11", Ream</t>
  </si>
  <si>
    <t>CA-2019-118311</t>
  </si>
  <si>
    <t>ED-13885</t>
  </si>
  <si>
    <t>Emily Ducich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</si>
  <si>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</si>
  <si>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</si>
  <si>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</si>
  <si>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</si>
  <si>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</si>
  <si>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</si>
  <si>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</si>
  <si>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</si>
  <si>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</si>
  <si>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</si>
  <si>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</si>
  <si>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</si>
  <si>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</si>
  <si>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US-2019-117387</t>
  </si>
  <si>
    <t>PA-19060</t>
  </si>
  <si>
    <t>Pete Armstrong</t>
  </si>
  <si>
    <t>CA-2019-116596</t>
  </si>
  <si>
    <t>Metal Folding Chairs, Beige, 4/Carton</t>
  </si>
  <si>
    <t>Prestige Round Ring Binders</t>
  </si>
  <si>
    <t>CA-2019-130162</t>
  </si>
  <si>
    <t>Adtran 1202752G1</t>
  </si>
  <si>
    <t>CA-2019-142545</t>
  </si>
  <si>
    <t>Xerox 223</t>
  </si>
  <si>
    <t>Avery Premier Heavy-Duty Binder with Round Locking Rings</t>
  </si>
  <si>
    <t>CA-2019-134775</t>
  </si>
  <si>
    <t>Southworth Structures Collection</t>
  </si>
  <si>
    <t>CA-2019-144344</t>
  </si>
  <si>
    <t>Large Capacity Hanging Post Binders</t>
  </si>
  <si>
    <t>Howard Miller 13-1/2" Diameter Rosebrook Wall Clock</t>
  </si>
  <si>
    <t>US-2019-144393</t>
  </si>
  <si>
    <t>CA-2019-140641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</si>
  <si>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</si>
  <si>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</si>
  <si>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</si>
  <si>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</si>
  <si>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</si>
  <si>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</si>
  <si>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</si>
  <si>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</si>
  <si>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</si>
  <si>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</si>
  <si>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CA-2019-146682</t>
  </si>
  <si>
    <t>KW-16435</t>
  </si>
  <si>
    <t>Katrina Willman</t>
  </si>
  <si>
    <t>US-2019-131912</t>
  </si>
  <si>
    <t>CA-2019-167290</t>
  </si>
  <si>
    <t>CA-2019-153836</t>
  </si>
  <si>
    <t>CA-2019-105291</t>
  </si>
  <si>
    <t>Assorted Color Push Pins</t>
  </si>
  <si>
    <t>CA-2019-119165</t>
  </si>
  <si>
    <t>CA-2019-144218</t>
  </si>
  <si>
    <t>Dual Level, Single-Width Filing Carts</t>
  </si>
  <si>
    <t>US-2019-142251</t>
  </si>
  <si>
    <t>FO-14305</t>
  </si>
  <si>
    <t>Frank Olsen</t>
  </si>
  <si>
    <t>CA-2019-140130</t>
  </si>
  <si>
    <t>Newell 31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</si>
  <si>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</si>
  <si>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</si>
  <si>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</si>
  <si>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</si>
  <si>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</si>
  <si>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</si>
  <si>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CA-2019-129196</t>
  </si>
  <si>
    <t>CA-2019-128867</t>
  </si>
  <si>
    <t>Hunt PowerHouse Electric Pencil Sharpener, Blue</t>
  </si>
  <si>
    <t>CA-2019-127250</t>
  </si>
  <si>
    <t>Newell 332</t>
  </si>
  <si>
    <t>CA-2019-114972</t>
  </si>
  <si>
    <t>Kensington K72356US Mouse-in-a-Box USB Desktop Mouse</t>
  </si>
  <si>
    <t>CA-2019-168893</t>
  </si>
  <si>
    <t>Boston 16750 Black Compact Battery Pencil Sharpener</t>
  </si>
  <si>
    <t>CA-2019-109365</t>
  </si>
  <si>
    <t>Stockwell Push Pins</t>
  </si>
  <si>
    <t>Xerox 1892</t>
  </si>
  <si>
    <t>Xerox 22</t>
  </si>
  <si>
    <t>Multicolor Computer Printout Paper</t>
  </si>
  <si>
    <t>CA-2019-160136</t>
  </si>
  <si>
    <t>CA-2019-159023</t>
  </si>
  <si>
    <t>NW-18400</t>
  </si>
  <si>
    <t>Natalie Webber</t>
  </si>
  <si>
    <t>Okidata B401 Printer</t>
  </si>
  <si>
    <t>CA-2019-134180</t>
  </si>
  <si>
    <t>CA-2019-143308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</si>
  <si>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</si>
  <si>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</si>
  <si>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</si>
  <si>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</si>
  <si>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</si>
  <si>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</si>
  <si>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CA-2019-163328</t>
  </si>
  <si>
    <t>Serrated Blade or Curved Handle Hand Letter Openers</t>
  </si>
  <si>
    <t>Dot Matrix Printer Tape Reel Labels, White, 5000/Box</t>
  </si>
  <si>
    <t>CA-2019-165827</t>
  </si>
  <si>
    <t>CA-2019-119018</t>
  </si>
  <si>
    <t>CW-11905</t>
  </si>
  <si>
    <t>Carl Weiss</t>
  </si>
  <si>
    <t>Acco Economy Flexible Poly Round Ring Binder</t>
  </si>
  <si>
    <t>Xerox 229</t>
  </si>
  <si>
    <t>CA-2019-162236</t>
  </si>
  <si>
    <t>CA-2019-158260</t>
  </si>
  <si>
    <t>Okidata B400 Printer</t>
  </si>
  <si>
    <t>US-2019-111563</t>
  </si>
  <si>
    <t>CA-2019-140207</t>
  </si>
  <si>
    <t>US-2019-106677</t>
  </si>
  <si>
    <t>US-2019-131611</t>
  </si>
  <si>
    <t>Logitech Wireless Headset H600 Over-The-Head Design</t>
  </si>
  <si>
    <t>US-2019-165078</t>
  </si>
  <si>
    <t>MA-17995</t>
  </si>
  <si>
    <t>Michelle Arnett</t>
  </si>
  <si>
    <t>Avery 503</t>
  </si>
  <si>
    <t>CA-2019-148908</t>
  </si>
  <si>
    <t>CA-2019-143441</t>
  </si>
  <si>
    <t>EB-14170</t>
  </si>
  <si>
    <t>Evan Bailliet</t>
  </si>
  <si>
    <t>Avery 490</t>
  </si>
  <si>
    <t>CA-2019-125094</t>
  </si>
  <si>
    <t>Cherry 142-key Programmable Keyboard</t>
  </si>
  <si>
    <t>CA-2019-144092</t>
  </si>
  <si>
    <t>KeyTronic E03601U1 - Keyboard - Beige</t>
  </si>
  <si>
    <t>Strathmore #10 Envelopes, Ultimate White</t>
  </si>
  <si>
    <t>CA-2019-157280</t>
  </si>
  <si>
    <t>LW-17125</t>
  </si>
  <si>
    <t>Liz Willingham</t>
  </si>
  <si>
    <t>3M Polarizing Task Lamp with Clamp Arm, Light Gray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</si>
  <si>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</si>
  <si>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</si>
  <si>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</si>
  <si>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</si>
  <si>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</si>
  <si>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</si>
  <si>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</si>
  <si>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</si>
  <si>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Fellowes Binding Cases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</si>
  <si>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</si>
  <si>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</si>
  <si>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</si>
  <si>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</si>
  <si>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</si>
  <si>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</si>
  <si>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</si>
  <si>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</si>
  <si>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CA-2019-132997</t>
  </si>
  <si>
    <t>AT&amp;T SB67148 SynJ</t>
  </si>
  <si>
    <t>Jabra Supreme Plus Driver Edition Headset</t>
  </si>
  <si>
    <t>CA-2019-116337</t>
  </si>
  <si>
    <t>MC-17845</t>
  </si>
  <si>
    <t>Michael Chen</t>
  </si>
  <si>
    <t>Executive Impressions 14" Contract Wall Clock with Quartz Movement</t>
  </si>
  <si>
    <t>CA-2019-168830</t>
  </si>
  <si>
    <t>CA-2019-116379</t>
  </si>
  <si>
    <t>GBC VeloBinder Manual Binding System</t>
  </si>
  <si>
    <t>CA-2019-152156</t>
  </si>
  <si>
    <t>CG-12520</t>
  </si>
  <si>
    <t>Claire Gute</t>
  </si>
  <si>
    <t>CA-2019-138233</t>
  </si>
  <si>
    <t>Logitech Wireless Gaming Headset G930</t>
  </si>
  <si>
    <t>CA-2019-105494</t>
  </si>
  <si>
    <t>PC-18745</t>
  </si>
  <si>
    <t>Pamela Coakley</t>
  </si>
  <si>
    <t>File Shuttle I and Handi-File</t>
  </si>
  <si>
    <t>CA-2019-163384</t>
  </si>
  <si>
    <t>Xerox 1996</t>
  </si>
  <si>
    <t>CA-2019-137736</t>
  </si>
  <si>
    <t>DC-13285</t>
  </si>
  <si>
    <t>Debra Catini</t>
  </si>
  <si>
    <t>CA-2019-115588</t>
  </si>
  <si>
    <t>AF-10885</t>
  </si>
  <si>
    <t>Art Foster</t>
  </si>
  <si>
    <t>CA-2019-145177</t>
  </si>
  <si>
    <t>Avery File Folder Labels</t>
  </si>
  <si>
    <t>Square Credit Card Reader</t>
  </si>
  <si>
    <t>DAX Natural Wood-Tone Poster Frame</t>
  </si>
  <si>
    <t>Xerox 1924</t>
  </si>
  <si>
    <t>Memorex 25GB 6X Branded Blu-Ray Recordable Disc, 30/Pack</t>
  </si>
  <si>
    <t>US-2019-144547</t>
  </si>
  <si>
    <t>Kensington SlimBlade Notebook Wireless Mouse with Nano Receiver</t>
  </si>
  <si>
    <t>CA-2019-119935</t>
  </si>
  <si>
    <t>KM-16225</t>
  </si>
  <si>
    <t>Kalyca Meade</t>
  </si>
  <si>
    <t>CA-2019-125164</t>
  </si>
  <si>
    <t>Wilson Jones Century Plastic Molded Ring Binders</t>
  </si>
  <si>
    <t>CA-2019-158694</t>
  </si>
  <si>
    <t>AI-10855</t>
  </si>
  <si>
    <t>Arianne Irving</t>
  </si>
  <si>
    <t>Belkin F9S820V06 8 Outlet Surge</t>
  </si>
  <si>
    <t>Howard Miller 11-1/2" Diameter Ridgewood Wall Clock</t>
  </si>
  <si>
    <t>Xerox 1933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</si>
  <si>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</si>
  <si>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</si>
  <si>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</si>
  <si>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</si>
  <si>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</si>
  <si>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</si>
  <si>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</si>
  <si>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Samsung Convoy 3</t>
  </si>
  <si>
    <t>Sauder Facets Collection Library, Sky Alder Finish</t>
  </si>
  <si>
    <t>CA-2019-127761</t>
  </si>
  <si>
    <t>SW-20275</t>
  </si>
  <si>
    <t>Scott Williamson</t>
  </si>
  <si>
    <t>CA-2019-124667</t>
  </si>
  <si>
    <t>Micropad Numeric Keypads</t>
  </si>
  <si>
    <t>CA-2019-124506</t>
  </si>
  <si>
    <t>BB-11545</t>
  </si>
  <si>
    <t>Brenda Bowman</t>
  </si>
  <si>
    <t>Belkin F8E887 USB Wired Ergonomic Keyboard</t>
  </si>
  <si>
    <t>CA-2019-139878</t>
  </si>
  <si>
    <t>CA-2019-130799</t>
  </si>
  <si>
    <t>BK-11260</t>
  </si>
  <si>
    <t>Berenike Kampe</t>
  </si>
  <si>
    <t>Eldon Regeneration Recycled Desk Accessories, Smoke</t>
  </si>
  <si>
    <t>CA-2019-131968</t>
  </si>
  <si>
    <t>CA-2019-145548</t>
  </si>
  <si>
    <t>Global Wood Trimmed Manager's Task Chair, Khaki</t>
  </si>
  <si>
    <t>CA-2019-116722</t>
  </si>
  <si>
    <t>LP-17080</t>
  </si>
  <si>
    <t>Liz Pelletier</t>
  </si>
  <si>
    <t>Magnifier Swing Arm Lamp</t>
  </si>
  <si>
    <t>Hon Every-Day Series Multi-Task Chairs</t>
  </si>
  <si>
    <t>US-2019-164196</t>
  </si>
  <si>
    <t>Balt Solid Wood Round Tables</t>
  </si>
  <si>
    <t>CA-2019-103128</t>
  </si>
  <si>
    <t>SC-20845</t>
  </si>
  <si>
    <t>Sung Chung</t>
  </si>
  <si>
    <t>CA-2019-134348</t>
  </si>
  <si>
    <t>CA-2019-152170</t>
  </si>
  <si>
    <t>Tyvek  Top-Opening Peel &amp; Seel  Envelopes, Gray</t>
  </si>
  <si>
    <t>Xerox 1896</t>
  </si>
  <si>
    <t>Cardinal Slant-D Ring Binders</t>
  </si>
  <si>
    <t>CA-2019-124590</t>
  </si>
  <si>
    <t>Global Leather and Oak Executive Chair, Black</t>
  </si>
  <si>
    <t>CA-2019-164399</t>
  </si>
  <si>
    <t>CA-2019-149349</t>
  </si>
  <si>
    <t>CA-2019-155488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</si>
  <si>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</si>
  <si>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</si>
  <si>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</si>
  <si>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</si>
  <si>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</si>
  <si>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</si>
  <si>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</si>
  <si>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Boston Electric Pencil Sharpener, Model 1818, Charcoal Black</t>
  </si>
  <si>
    <t>Portable Personal File Box</t>
  </si>
  <si>
    <t>CA-2019-128972</t>
  </si>
  <si>
    <t>Master Giant Foot Doorstop, Safety Yellow</t>
  </si>
  <si>
    <t>US-2019-113677</t>
  </si>
  <si>
    <t>Xiaomi Mi3</t>
  </si>
  <si>
    <t>CA-2019-147683</t>
  </si>
  <si>
    <t>CA-2019-131065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</si>
  <si>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</si>
  <si>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</si>
  <si>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</si>
  <si>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</si>
  <si>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</si>
  <si>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</si>
  <si>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</si>
  <si>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</si>
  <si>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</si>
  <si>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Sharp AL-1530CS Digital Copier</t>
  </si>
  <si>
    <t>US-2019-112970</t>
  </si>
  <si>
    <t>US-2019-117541</t>
  </si>
  <si>
    <t>US-2019-144351</t>
  </si>
  <si>
    <t>CA-2019-166618</t>
  </si>
  <si>
    <t>Boston Home &amp; Office Model 2000 Electric Pencil Sharpeners</t>
  </si>
  <si>
    <t>CA-2019-105963</t>
  </si>
  <si>
    <t>CA-2019-146633</t>
  </si>
  <si>
    <t>CA-2019-148740</t>
  </si>
  <si>
    <t>Polycom SoundPoint IP 450 VoIP phone</t>
  </si>
  <si>
    <t>CA-2019-130820</t>
  </si>
  <si>
    <t>CA-2019-154508</t>
  </si>
  <si>
    <t>CA-2019-124527</t>
  </si>
  <si>
    <t>CA-2019-150658</t>
  </si>
  <si>
    <t>CA-2019-134110</t>
  </si>
  <si>
    <t>BG-11035</t>
  </si>
  <si>
    <t>Barry Gonzalez</t>
  </si>
  <si>
    <t>CA-2019-118500</t>
  </si>
  <si>
    <t>Acme Tagit Stainless Steel Antibacterial Scissors</t>
  </si>
  <si>
    <t>CA-2019-136812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</si>
  <si>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</si>
  <si>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</si>
  <si>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</si>
  <si>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</si>
  <si>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</si>
  <si>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CA-2019-166226</t>
  </si>
  <si>
    <t>Grandstream GXP2100 Mainstream Business Phone</t>
  </si>
  <si>
    <t>Fellowes Command Center 5-outlet power strip</t>
  </si>
  <si>
    <t>CA-2019-115378</t>
  </si>
  <si>
    <t>AJ-10945</t>
  </si>
  <si>
    <t>Ashley Jarboe</t>
  </si>
  <si>
    <t>US-2019-138408</t>
  </si>
  <si>
    <t>Logitech Z-906 Speaker sys - home theater - 5.1-CH</t>
  </si>
  <si>
    <t>CA-2019-103464</t>
  </si>
  <si>
    <t>CA-2019-108630</t>
  </si>
  <si>
    <t>Recycled Premium Regency Composition Covers</t>
  </si>
  <si>
    <t>CA-2019-164511</t>
  </si>
  <si>
    <t>DJ-13630</t>
  </si>
  <si>
    <t>Doug Jacobs</t>
  </si>
  <si>
    <t>US-2019-110156</t>
  </si>
  <si>
    <t>Recycled Interoffice Envelopes with Re-Use-A-Seal Closure, 10 x 13</t>
  </si>
  <si>
    <t>CA-2019-113138</t>
  </si>
  <si>
    <t>Newell 340</t>
  </si>
  <si>
    <t>CA-2019-111143</t>
  </si>
  <si>
    <t>Acco 6 Outlet Guardian Premium Plus Surge Suppressor</t>
  </si>
  <si>
    <t>CA-2019-157364</t>
  </si>
  <si>
    <t>Deluxe Chalkboard Eraser Cleaner</t>
  </si>
  <si>
    <t>CA-2019-130778</t>
  </si>
  <si>
    <t>CA-2019-126858</t>
  </si>
  <si>
    <t>JM-15265</t>
  </si>
  <si>
    <t>Janet Molinari</t>
  </si>
  <si>
    <t>Tenex Chairmats For Use With Carpeted Floors</t>
  </si>
  <si>
    <t>CA-2019-114104</t>
  </si>
  <si>
    <t>Avaya 5420 Digital phone</t>
  </si>
  <si>
    <t>CA-2019-110772</t>
  </si>
  <si>
    <t>CA-2019-109820</t>
  </si>
  <si>
    <t>AG-10390</t>
  </si>
  <si>
    <t>Allen Goldenen</t>
  </si>
  <si>
    <t>Southworth 25% Cotton Granite Paper &amp; Envelopes</t>
  </si>
  <si>
    <t>Acco 3-Hole Punch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</si>
  <si>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</si>
  <si>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</si>
  <si>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</si>
  <si>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</si>
  <si>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</si>
  <si>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</si>
  <si>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</si>
  <si>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</si>
  <si>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</si>
  <si>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</si>
  <si>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</si>
  <si>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</si>
  <si>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Bravo II Megaboss 12-Amp Hard Body Upright, Replacement Belts, 2 Belts per Pack</t>
  </si>
  <si>
    <t>CA-2019-121356</t>
  </si>
  <si>
    <t>SJ-20500</t>
  </si>
  <si>
    <t>Shirley Jackson</t>
  </si>
  <si>
    <t>Wilson Jones Elliptical Ring 3 1/2" Capacity Binders, 800 sheets</t>
  </si>
  <si>
    <t>CA-2019-113845</t>
  </si>
  <si>
    <t>FA-14230</t>
  </si>
  <si>
    <t>Frank Atkinson</t>
  </si>
  <si>
    <t>Akro-Mils 12-Gallon Tote</t>
  </si>
  <si>
    <t>CA-2019-142615</t>
  </si>
  <si>
    <t>US-2019-114293</t>
  </si>
  <si>
    <t>CA-2019-114482</t>
  </si>
  <si>
    <t>Xerox 1987</t>
  </si>
  <si>
    <t>CA-2019-140018</t>
  </si>
  <si>
    <t>Texas Instrument TI-15 Fraction Calculator</t>
  </si>
  <si>
    <t>CA-2019-146157</t>
  </si>
  <si>
    <t>Lenovo 17-Key USB Numeric Keypad</t>
  </si>
  <si>
    <t>CA-2019-114895</t>
  </si>
  <si>
    <t>CA-2019-113425</t>
  </si>
  <si>
    <t>Hon Metal Bookcases, Putty</t>
  </si>
  <si>
    <t>CA-2019-152646</t>
  </si>
  <si>
    <t>CA-2019-154711</t>
  </si>
  <si>
    <t>Luxo Economy Swing Arm Lamp</t>
  </si>
  <si>
    <t>Acco Pressboard Covers with Storage Hooks, 9 1/2" x 11", Executive Red</t>
  </si>
  <si>
    <t>CA-2019-131576</t>
  </si>
  <si>
    <t>RD-19585</t>
  </si>
  <si>
    <t>Rob Dowd</t>
  </si>
  <si>
    <t>US-2019-132577</t>
  </si>
  <si>
    <t>KeyTronic KT800P2 - Keyboard - Black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</si>
  <si>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</si>
  <si>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</si>
  <si>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</si>
  <si>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</si>
  <si>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</si>
  <si>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</si>
  <si>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</si>
  <si>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</si>
  <si>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Stockwell Gold Paper Clips</t>
  </si>
  <si>
    <t>CA-2019-124485</t>
  </si>
  <si>
    <t>NC-18340</t>
  </si>
  <si>
    <t>Nat Carroll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</si>
  <si>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</si>
  <si>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</si>
  <si>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</si>
  <si>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</si>
  <si>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</si>
  <si>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</si>
  <si>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</si>
  <si>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Logitech G105 Gaming Keyboard</t>
  </si>
  <si>
    <t>Dixon My First Ticonderoga Pencil, #2</t>
  </si>
  <si>
    <t>CA-2019-100083</t>
  </si>
  <si>
    <t>CD-11980</t>
  </si>
  <si>
    <t>Carol Darley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</si>
  <si>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</si>
  <si>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</si>
  <si>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</si>
  <si>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</si>
  <si>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</si>
  <si>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</si>
  <si>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</si>
  <si>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</si>
  <si>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</si>
  <si>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</si>
  <si>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Brown Kraft Recycled Envelopes</t>
  </si>
  <si>
    <t>CA-2019-165561</t>
  </si>
  <si>
    <t>CA-2019-113726</t>
  </si>
  <si>
    <t>CA-2019-123533</t>
  </si>
  <si>
    <t>O'Sullivan Cherrywood Estates Traditional Bookcase</t>
  </si>
  <si>
    <t>Fellowes Advanced Computer Series Surge Protectors</t>
  </si>
  <si>
    <t>CA-2019-165470</t>
  </si>
  <si>
    <t>CA-2019-160535</t>
  </si>
  <si>
    <t>BP-11050</t>
  </si>
  <si>
    <t>Barry Pond</t>
  </si>
  <si>
    <t>Konica Minolta magicolor 1690MF Multifunction Printer</t>
  </si>
  <si>
    <t>US-2019-119298</t>
  </si>
  <si>
    <t>CA-2019-169838</t>
  </si>
  <si>
    <t>CA-2019-108196</t>
  </si>
  <si>
    <t>Cubify CubeX 3D Printer Double Head Print</t>
  </si>
  <si>
    <t>NETGEAR RangeMax WNR1000 Wireless Router</t>
  </si>
  <si>
    <t>CA-2019-132549</t>
  </si>
  <si>
    <t>CA-2019-113341</t>
  </si>
  <si>
    <t>MH-17455</t>
  </si>
  <si>
    <t>Mark Hamilton</t>
  </si>
  <si>
    <t>Padded Folding Chairs, Black, 4/Carton</t>
  </si>
  <si>
    <t>CA-2019-133711</t>
  </si>
  <si>
    <t>Wilson Jones DublLock D-Ring Binders</t>
  </si>
  <si>
    <t>Hewlett-Packard Deskjet 3050a All-in-One Color Inkjet Printer</t>
  </si>
  <si>
    <t>CA-2019-129693</t>
  </si>
  <si>
    <t>US-2019-126893</t>
  </si>
  <si>
    <t>US-2019-158309</t>
  </si>
  <si>
    <t>CA-2019-130288</t>
  </si>
  <si>
    <t>Bevis Oval Conference Table, Walnut</t>
  </si>
  <si>
    <t>CA-2019-106915</t>
  </si>
  <si>
    <t>CA-2019-145135</t>
  </si>
  <si>
    <t>US-2019-158288</t>
  </si>
  <si>
    <t>CA-2019-107104</t>
  </si>
  <si>
    <t>DMI Eclipse Executive Suite Bookcases</t>
  </si>
  <si>
    <t>CA-2019-129686</t>
  </si>
  <si>
    <t>Memorex Micro Travel Drive 8 GB</t>
  </si>
  <si>
    <t>CA-2019-152121</t>
  </si>
  <si>
    <t>Motorola Moto X</t>
  </si>
  <si>
    <t>CA-2019-162313</t>
  </si>
  <si>
    <t>CA-2019-144911</t>
  </si>
  <si>
    <t>CA-2019-159639</t>
  </si>
  <si>
    <t>CA-2019-104276</t>
  </si>
  <si>
    <t>US-2019-114230</t>
  </si>
  <si>
    <t>CA-2019-117583</t>
  </si>
  <si>
    <t>CB-12025</t>
  </si>
  <si>
    <t>Cassandra Brandow</t>
  </si>
  <si>
    <t>Xerox 215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</si>
  <si>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</si>
  <si>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</si>
  <si>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</si>
  <si>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</si>
  <si>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</si>
  <si>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</si>
  <si>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</si>
  <si>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ACCOHIDE Binder by Acco</t>
  </si>
  <si>
    <t>CA-2019-163167</t>
  </si>
  <si>
    <t>Kingston Digital DataTraveler 32GB USB 2.0</t>
  </si>
  <si>
    <t>Tennsco Single-Tier Lockers</t>
  </si>
  <si>
    <t>24 Capacity Maxi Data Binder Racks, Pearl</t>
  </si>
  <si>
    <t>CA-2019-127243</t>
  </si>
  <si>
    <t>Tennsco Commercial Shelving</t>
  </si>
  <si>
    <t>US-2019-131674</t>
  </si>
  <si>
    <t>NC-18535</t>
  </si>
  <si>
    <t>Nick Crebassa</t>
  </si>
  <si>
    <t>Memorex Micro Travel Drive 32 GB</t>
  </si>
  <si>
    <t>CA-2019-160241</t>
  </si>
  <si>
    <t>US-2019-134761</t>
  </si>
  <si>
    <t>CA-2019-156748</t>
  </si>
  <si>
    <t>BS-11755</t>
  </si>
  <si>
    <t>Bruce Stewart</t>
  </si>
  <si>
    <t>CA-2019-143805</t>
  </si>
  <si>
    <t>US-2019-155768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</si>
  <si>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</si>
  <si>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</si>
  <si>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</si>
  <si>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</si>
  <si>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</si>
  <si>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</si>
  <si>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</si>
  <si>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</si>
  <si>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CA-2019-113621</t>
  </si>
  <si>
    <t>JBL Micro Wireless Portable Bluetooth Speaker</t>
  </si>
  <si>
    <t>Jensen SMPS-640 - speaker phone</t>
  </si>
  <si>
    <t>Executive Impressions 14"</t>
  </si>
  <si>
    <t>CA-2019-129903</t>
  </si>
  <si>
    <t>CA-2019-104689</t>
  </si>
  <si>
    <t>FH-14365</t>
  </si>
  <si>
    <t>Fred Hopkins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</si>
  <si>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</si>
  <si>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</si>
  <si>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</si>
  <si>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</si>
  <si>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</si>
  <si>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</si>
  <si>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</si>
  <si>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Deluxe Rollaway Locking File with Drawer</t>
  </si>
  <si>
    <t>CA-2019-164770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</si>
  <si>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</si>
  <si>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</si>
  <si>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</si>
  <si>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</si>
  <si>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</si>
  <si>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</si>
  <si>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</si>
  <si>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</si>
  <si>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GBC White Gloss Covers, Plain Front</t>
  </si>
  <si>
    <t>US-2019-113985</t>
  </si>
  <si>
    <t>Holmes Cool Mist Humidifier for the Whole House with 8-Gallon Output per Day, Extended Life Filter</t>
  </si>
  <si>
    <t>Green Bar Computer Printout Paper</t>
  </si>
  <si>
    <t>US-2019-108455</t>
  </si>
  <si>
    <t>MK-18160</t>
  </si>
  <si>
    <t>Mike Kennedy</t>
  </si>
  <si>
    <t>HP Office Recycled Paper (20Lb. and 87 Bright)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</si>
  <si>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</si>
  <si>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</si>
  <si>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</si>
  <si>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</si>
  <si>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</si>
  <si>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</si>
  <si>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</si>
  <si>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</si>
  <si>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</si>
  <si>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Bevis Traditional Conference Table Top, Plinth Base</t>
  </si>
  <si>
    <t>US-2019-161683</t>
  </si>
  <si>
    <t>Honeywell Enviracaire Portable HEPA Air Cleaner for up to 10 x 16 Room</t>
  </si>
  <si>
    <t>CA-2019-149762</t>
  </si>
  <si>
    <t>GBC Clear Cover, 8-1/2 x 11, unpunched, 25 covers per pack</t>
  </si>
  <si>
    <t>CA-2019-139885</t>
  </si>
  <si>
    <t>EB-13840</t>
  </si>
  <si>
    <t>Ellis Ballard</t>
  </si>
  <si>
    <t>Belkin OmniView SE Rackmount Kit</t>
  </si>
  <si>
    <t>CA-2019-126004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</si>
  <si>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</si>
  <si>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</si>
  <si>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</si>
  <si>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</si>
  <si>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</si>
  <si>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</si>
  <si>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</si>
  <si>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Samsung Galaxy S III - 16GB - pebble blue (T-Mobile)</t>
  </si>
  <si>
    <t>CA-2019-108434</t>
  </si>
  <si>
    <t>CA-2019-161389</t>
  </si>
  <si>
    <t>CA-2019-124772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</si>
  <si>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</si>
  <si>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</si>
  <si>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</si>
  <si>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</si>
  <si>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</si>
  <si>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</si>
  <si>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</si>
  <si>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</si>
  <si>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</si>
  <si>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</si>
  <si>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</si>
  <si>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Brother DCP1000 Digital 3 in 1 Multifunction Machine</t>
  </si>
  <si>
    <t>US-2019-103674</t>
  </si>
  <si>
    <t>US-2019-169040</t>
  </si>
  <si>
    <t>Google Nexus 5</t>
  </si>
  <si>
    <t>Plantronics Calisto P620-M USB Wireless Speakerphone System</t>
  </si>
  <si>
    <t>Jet-Pak Recycled Peel 'N' Seal Padded Mailers</t>
  </si>
  <si>
    <t>US-2019-114776</t>
  </si>
  <si>
    <t>Xerox 1977</t>
  </si>
  <si>
    <t>CA-2019-131289</t>
  </si>
  <si>
    <t>SP-20620</t>
  </si>
  <si>
    <t>Stefania Perrino</t>
  </si>
  <si>
    <t>Hon 94000 Series Round Tables</t>
  </si>
  <si>
    <t>CA-2019-117590</t>
  </si>
  <si>
    <t>GH-14485</t>
  </si>
  <si>
    <t>Gene Hale</t>
  </si>
  <si>
    <t>GE 30524EE4</t>
  </si>
  <si>
    <t>CA-2019-160108</t>
  </si>
  <si>
    <t>CA-2019-115224</t>
  </si>
  <si>
    <t>CA-2019-113733</t>
  </si>
  <si>
    <t>CA-2019-134425</t>
  </si>
  <si>
    <t>Xerox 204</t>
  </si>
  <si>
    <t>SimpliFile Personal File, Black Granite, 15w x 6-15/16d x 11-1/4h</t>
  </si>
  <si>
    <t>CA-2019-124562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</si>
  <si>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</si>
  <si>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</si>
  <si>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</si>
  <si>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</si>
  <si>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</si>
  <si>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</si>
  <si>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</si>
  <si>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</si>
  <si>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</si>
  <si>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</si>
  <si>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CA-2019-159989</t>
  </si>
  <si>
    <t>ARKON Windshield Dashboard Air Vent Car Mount Holder</t>
  </si>
  <si>
    <t>US-2019-131114</t>
  </si>
  <si>
    <t>Newell 318</t>
  </si>
  <si>
    <t>Kingston Digital DataTraveler 8GB USB 2.0</t>
  </si>
  <si>
    <t>CA-2019-128923</t>
  </si>
  <si>
    <t>Avery 517</t>
  </si>
  <si>
    <t>US-2019-143448</t>
  </si>
  <si>
    <t>Global Commerce Series High-Back Swivel/Tilt Chairs</t>
  </si>
  <si>
    <t>CA-2019-144309</t>
  </si>
  <si>
    <t>CA-2019-146941</t>
  </si>
  <si>
    <t>Tyvek Side-Opening Peel &amp; Seel Expanding Envelopes</t>
  </si>
  <si>
    <t>CA-2019-154739</t>
  </si>
  <si>
    <t>CA-2019-128412</t>
  </si>
  <si>
    <t>Xerox 1988</t>
  </si>
  <si>
    <t>CA-2019-147123</t>
  </si>
  <si>
    <t>CA-2019-127194</t>
  </si>
  <si>
    <t>Adams Phone Message Book, Professional, 400 Message Capacity, 5 3/6” x 11”</t>
  </si>
  <si>
    <t>Harmony HEPA Quiet Air Purifiers</t>
  </si>
  <si>
    <t>CA-2019-100587</t>
  </si>
  <si>
    <t>SL-20155</t>
  </si>
  <si>
    <t>Sara Luxemburg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</si>
  <si>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</si>
  <si>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</si>
  <si>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</si>
  <si>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</si>
  <si>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</si>
  <si>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</si>
  <si>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</si>
  <si>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AT&amp;T TR1909W</t>
  </si>
  <si>
    <t>US-2019-135720</t>
  </si>
  <si>
    <t>Jabra SPEAK 410</t>
  </si>
  <si>
    <t>Tennsco Regal Shelving Units</t>
  </si>
  <si>
    <t>US-2019-148803</t>
  </si>
  <si>
    <t>Fellowes 8 Outlet Superior Workstation Surge Protector</t>
  </si>
  <si>
    <t>US-2019-151260</t>
  </si>
  <si>
    <t>3M Hangers With Command Adhesive</t>
  </si>
  <si>
    <t>US-2019-132857</t>
  </si>
  <si>
    <t>CA-12775</t>
  </si>
  <si>
    <t>Cynthia Arntzen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</si>
  <si>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</si>
  <si>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</si>
  <si>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</si>
  <si>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</si>
  <si>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</si>
  <si>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</si>
  <si>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</si>
  <si>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</si>
  <si>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Xerox 1907</t>
  </si>
  <si>
    <t>Fellowes Desktop Hanging File Manager</t>
  </si>
  <si>
    <t>CA-2019-142958</t>
  </si>
  <si>
    <t>Bretford CR4500 Series Slim Rectangular Table</t>
  </si>
  <si>
    <t>CA-2019-100153</t>
  </si>
  <si>
    <t>Memorex Mini Travel Drive 16 GB USB 2.0 Flash Drive</t>
  </si>
  <si>
    <t>CA-2019-102792</t>
  </si>
  <si>
    <t>Crayola Colored Pencils</t>
  </si>
  <si>
    <t>Acco Pressboard Covers with Storage Hooks, 14 7/8" x 11", Dark Blue</t>
  </si>
  <si>
    <t>CA-2019-129126</t>
  </si>
  <si>
    <t>CA-2019-146325</t>
  </si>
  <si>
    <t>CA-2019-146143</t>
  </si>
  <si>
    <t>Avery 474</t>
  </si>
  <si>
    <t>CA-2019-142335</t>
  </si>
  <si>
    <t>Chromcraft Bull-Nose Wood Oval Conference Tables &amp; Bases</t>
  </si>
  <si>
    <t>US-2019-127334</t>
  </si>
  <si>
    <t>CA-2019-100307</t>
  </si>
  <si>
    <t>Xerox 1958</t>
  </si>
  <si>
    <t>US-2019-116442</t>
  </si>
  <si>
    <t>CA-2019-113600</t>
  </si>
  <si>
    <t>SH-20395</t>
  </si>
  <si>
    <t>Shahid Hopkins</t>
  </si>
  <si>
    <t>CA-2019-118332</t>
  </si>
  <si>
    <t>CA-2019-130442</t>
  </si>
  <si>
    <t>SF-20065</t>
  </si>
  <si>
    <t>Sandra Flanagan</t>
  </si>
  <si>
    <t>CA-2019-155446</t>
  </si>
  <si>
    <t>Imation USB 2.0 Swivel Flash Drive USB flash drive - 4 GB - Pink</t>
  </si>
  <si>
    <t>US-2019-100419</t>
  </si>
  <si>
    <t>Cardinal Hold-It CD Pocket</t>
  </si>
  <si>
    <t>US-2019-104794</t>
  </si>
  <si>
    <t>CA-2019-117121</t>
  </si>
  <si>
    <t>CA-2019-155530</t>
  </si>
  <si>
    <t>CA-2019-147109</t>
  </si>
  <si>
    <t>Xerox 214</t>
  </si>
  <si>
    <t>CA-2019-155383</t>
  </si>
  <si>
    <t>CA-2019-131639</t>
  </si>
  <si>
    <t>CA-2019-101546</t>
  </si>
  <si>
    <t>GBC DocuBind TL300 Electric Binding System</t>
  </si>
  <si>
    <t>CA-2019-112697</t>
  </si>
  <si>
    <t>AH-10195</t>
  </si>
  <si>
    <t>Alan Haines</t>
  </si>
  <si>
    <t>CA-2019-150945</t>
  </si>
  <si>
    <t>CA-2019-133795</t>
  </si>
  <si>
    <t>CA-2019-145919</t>
  </si>
  <si>
    <t>CA-2019-138597</t>
  </si>
  <si>
    <t>CA-2019-145261</t>
  </si>
  <si>
    <t>GBC VeloBinder Electric Binding Machine</t>
  </si>
  <si>
    <t>Seth Thomas 12" Clock w/ Goldtone Case</t>
  </si>
  <si>
    <t>CA-2019-139934</t>
  </si>
  <si>
    <t>AY-10555</t>
  </si>
  <si>
    <t>Andy Yotov</t>
  </si>
  <si>
    <t>CA-2019-147067</t>
  </si>
  <si>
    <t>Black Print Carbonless 8 1/2" x 8 1/4" Rapid Memo Book</t>
  </si>
  <si>
    <t>CA-2019-134936</t>
  </si>
  <si>
    <t>SAFCO PlanMaster Boards, 60w x 37-1/2d, White Melamine</t>
  </si>
  <si>
    <t>CA-2019-118129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</si>
  <si>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</si>
  <si>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</si>
  <si>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</si>
  <si>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</si>
  <si>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</si>
  <si>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</si>
  <si>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</si>
  <si>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</si>
  <si>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</si>
  <si>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Strathmore Photo Mount Cards</t>
  </si>
  <si>
    <t>CA-2019-151155</t>
  </si>
  <si>
    <t>CA-2019-114860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</si>
  <si>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</si>
  <si>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</si>
  <si>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</si>
  <si>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</si>
  <si>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</si>
  <si>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</si>
  <si>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</si>
  <si>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</si>
  <si>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</si>
  <si>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LG G2</t>
  </si>
  <si>
    <t>CA-2019-135776</t>
  </si>
  <si>
    <t>CA-2019-137043</t>
  </si>
  <si>
    <t>CA-2019-132829</t>
  </si>
  <si>
    <t>CA-2019-115574</t>
  </si>
  <si>
    <t>Cisco SPA112 2 Port Phone Adapter</t>
  </si>
  <si>
    <t>CA-2019-157868</t>
  </si>
  <si>
    <t>Newell 317</t>
  </si>
  <si>
    <t>Xerox 1952</t>
  </si>
  <si>
    <t>CA-2019-136049</t>
  </si>
  <si>
    <t>Sanford EarthWrite Recycled Pencils, Medium Soft, #2</t>
  </si>
  <si>
    <t>CA-2019-157259</t>
  </si>
  <si>
    <t>Luxo Adjustable Task Clamp Lamp</t>
  </si>
  <si>
    <t>US-2019-168620</t>
  </si>
  <si>
    <t>CA-2019-140438</t>
  </si>
  <si>
    <t>Samsung Rugby III</t>
  </si>
  <si>
    <t>CA-2019-101651</t>
  </si>
  <si>
    <t>SC-20305</t>
  </si>
  <si>
    <t>Sean Christensen</t>
  </si>
  <si>
    <t>Eldon 200 Class Desk Accessories, Smoke</t>
  </si>
  <si>
    <t>CA-2019-123526</t>
  </si>
  <si>
    <t>GBC Linen Binding Covers</t>
  </si>
  <si>
    <t>US-2019-116729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</si>
  <si>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</si>
  <si>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</si>
  <si>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</si>
  <si>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</si>
  <si>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</si>
  <si>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</si>
  <si>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</si>
  <si>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</si>
  <si>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</si>
  <si>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</si>
  <si>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Xerox 1906</t>
  </si>
  <si>
    <t>Hypercom P1300 Pinpad</t>
  </si>
  <si>
    <t>CA-2019-111941</t>
  </si>
  <si>
    <t>CA-2019-101168</t>
  </si>
  <si>
    <t>SS-20140</t>
  </si>
  <si>
    <t>Saphhira Shifley</t>
  </si>
  <si>
    <t>Master Big Foot Doorstop, Beige</t>
  </si>
  <si>
    <t>Newell 327</t>
  </si>
  <si>
    <t>CA-2019-129868</t>
  </si>
  <si>
    <t>CA-2019-155166</t>
  </si>
  <si>
    <t>CA-2019-147536</t>
  </si>
  <si>
    <t>AR-10510</t>
  </si>
  <si>
    <t>Andrew Roberts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</si>
  <si>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</si>
  <si>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</si>
  <si>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</si>
  <si>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</si>
  <si>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</si>
  <si>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</si>
  <si>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CA-2019-138667</t>
  </si>
  <si>
    <t>MW-18220</t>
  </si>
  <si>
    <t>Mitch Webber</t>
  </si>
  <si>
    <t>CA-2019-162726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</si>
  <si>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</si>
  <si>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</si>
  <si>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</si>
  <si>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</si>
  <si>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</si>
  <si>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</si>
  <si>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Avery 479</t>
  </si>
  <si>
    <t>CA-2019-156300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</si>
  <si>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</si>
  <si>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</si>
  <si>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</si>
  <si>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</si>
  <si>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</si>
  <si>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</si>
  <si>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</si>
  <si>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Belkin 8 Outlet Surge Protector</t>
  </si>
  <si>
    <t>CA-2019-139689</t>
  </si>
  <si>
    <t>US-2019-135209</t>
  </si>
  <si>
    <t>CA-2019-112578</t>
  </si>
  <si>
    <t>Fiskars Spring-Action Scissors</t>
  </si>
  <si>
    <t>CA-2019-157742</t>
  </si>
  <si>
    <t>Peel &amp; Seel Recycled Catalog Envelopes, Brown</t>
  </si>
  <si>
    <t>Project Tote Personal File</t>
  </si>
  <si>
    <t>US-2019-163258</t>
  </si>
  <si>
    <t>US-2019-111528</t>
  </si>
  <si>
    <t>CA-2019-105746</t>
  </si>
  <si>
    <t>CA-2019-160486</t>
  </si>
  <si>
    <t>CA-2019-163951</t>
  </si>
  <si>
    <t>CJ-11875</t>
  </si>
  <si>
    <t>Carl Jackson</t>
  </si>
  <si>
    <t>CA-2019-117660</t>
  </si>
  <si>
    <t>CA-2019-117226</t>
  </si>
  <si>
    <t>CA-2019-100202</t>
  </si>
  <si>
    <t>CA-2019-160395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</si>
  <si>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</si>
  <si>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</si>
  <si>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</si>
  <si>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</si>
  <si>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</si>
  <si>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</si>
  <si>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</si>
  <si>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</si>
  <si>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Howard Miller 11-1/2" Diameter Brentwood Wall Clock</t>
  </si>
  <si>
    <t>Fluorescent Highlighters by Dixon</t>
  </si>
  <si>
    <t>CA-2020-154466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</si>
  <si>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</si>
  <si>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</si>
  <si>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</si>
  <si>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</si>
  <si>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</si>
  <si>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</si>
  <si>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</si>
  <si>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</si>
  <si>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</si>
  <si>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</si>
  <si>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</si>
  <si>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</si>
  <si>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CA-2020-150931</t>
  </si>
  <si>
    <t>US-2020-123862</t>
  </si>
  <si>
    <t>Acme Galleria Hot Forged Steel Scissors with Colored Handles</t>
  </si>
  <si>
    <t>CA-2020-159366</t>
  </si>
  <si>
    <t>Lexmark MX611dhe Monochrome Laser Printer</t>
  </si>
  <si>
    <t>US-2020-168690</t>
  </si>
  <si>
    <t>TS-21085</t>
  </si>
  <si>
    <t>Thais Sissman</t>
  </si>
  <si>
    <t>CA-2020-115154</t>
  </si>
  <si>
    <t>CA-2020-154760</t>
  </si>
  <si>
    <t>US-2020-148551</t>
  </si>
  <si>
    <t>DB-13120</t>
  </si>
  <si>
    <t>David Bremer</t>
  </si>
  <si>
    <t>CA-2020-108000</t>
  </si>
  <si>
    <t>US-2020-158512</t>
  </si>
  <si>
    <t>DA-13450</t>
  </si>
  <si>
    <t>Dianna Arnett</t>
  </si>
  <si>
    <t>US-2020-167402</t>
  </si>
  <si>
    <t>Hunt Boston Vacuum Mount KS Pencil Sharpener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</si>
  <si>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</si>
  <si>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</si>
  <si>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</si>
  <si>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</si>
  <si>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</si>
  <si>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</si>
  <si>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</si>
  <si>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</si>
  <si>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</si>
  <si>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</si>
  <si>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Sannysis Cute Owl Design Soft Skin Case Cover for Samsung Galaxy S4</t>
  </si>
  <si>
    <t>US-2020-104661</t>
  </si>
  <si>
    <t>Maxell 74 Minute CDR, 10/Pack</t>
  </si>
  <si>
    <t>CA-2020-167752</t>
  </si>
  <si>
    <t>Acco D-Ring Binder w/DublLock</t>
  </si>
  <si>
    <t>CA-2020-160934</t>
  </si>
  <si>
    <t>Newell 347</t>
  </si>
  <si>
    <t>CA-2020-152961</t>
  </si>
  <si>
    <t>CA-2020-138289</t>
  </si>
  <si>
    <t>CA-2020-125913</t>
  </si>
  <si>
    <t>Lesro Sheffield Collection Coffee Table, End Table, Center Table, Corner Table</t>
  </si>
  <si>
    <t>Eldon Expressions Wood and Plastic Desk Accessories, Cherry Wood</t>
  </si>
  <si>
    <t>US-2020-127292</t>
  </si>
  <si>
    <t>CA-2020-153045</t>
  </si>
  <si>
    <t>Avanti 4.4 Cu. Ft. Refrigerator</t>
  </si>
  <si>
    <t>CA-2020-154718</t>
  </si>
  <si>
    <t>Avery 510</t>
  </si>
  <si>
    <t>CA-2020-161809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</si>
  <si>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</si>
  <si>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</si>
  <si>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</si>
  <si>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</si>
  <si>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</si>
  <si>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</si>
  <si>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</si>
  <si>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</si>
  <si>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</si>
  <si>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</si>
  <si>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</si>
  <si>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Avery Flip-Chart Easel Binder, Black</t>
  </si>
  <si>
    <t>Ativa D5772 2-Line 5.8GHz Digital Expandable Corded/Cordless Phone System with Answering &amp; Caller ID/Call Waiting, Black/Silver</t>
  </si>
  <si>
    <t>CA-2020-141782</t>
  </si>
  <si>
    <t>I.R.I.S IRISCard Anywhere 5 Card Scanner</t>
  </si>
  <si>
    <t>CA-2020-160423</t>
  </si>
  <si>
    <t>CA-2020-127432</t>
  </si>
  <si>
    <t>AD-10180</t>
  </si>
  <si>
    <t>Alan Dominguez</t>
  </si>
  <si>
    <t>Canon Image Class D660 Copier</t>
  </si>
  <si>
    <t>CA-2020-152499</t>
  </si>
  <si>
    <t>CA-2020-161893</t>
  </si>
  <si>
    <t>HP-14815</t>
  </si>
  <si>
    <t>Harold Pawlan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</si>
  <si>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</si>
  <si>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</si>
  <si>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</si>
  <si>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</si>
  <si>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</si>
  <si>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</si>
  <si>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</si>
  <si>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</si>
  <si>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</si>
  <si>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CA-2020-150469</t>
  </si>
  <si>
    <t>Binder Clips by OIC</t>
  </si>
  <si>
    <t>CA-2020-164098</t>
  </si>
  <si>
    <t>CA-2020-117870</t>
  </si>
  <si>
    <t>JH-15820</t>
  </si>
  <si>
    <t>John Huston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</si>
  <si>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</si>
  <si>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</si>
  <si>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</si>
  <si>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</si>
  <si>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</si>
  <si>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</si>
  <si>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</si>
  <si>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</si>
  <si>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</si>
  <si>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</si>
  <si>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</si>
  <si>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</si>
  <si>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</si>
  <si>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Balt Split Level Computer Training Table</t>
  </si>
  <si>
    <t>CA-2020-112725</t>
  </si>
  <si>
    <t>CA-2020-164329</t>
  </si>
  <si>
    <t>Space Solutions Commercial Steel Shelving</t>
  </si>
  <si>
    <t>CA-2020-104220</t>
  </si>
  <si>
    <t>CA-2020-148999</t>
  </si>
  <si>
    <t>Office Star - Contemporary Task Swivel chair with 2-way adjustable arms, Plum</t>
  </si>
  <si>
    <t>CA-2020-157273</t>
  </si>
  <si>
    <t>Quartet Omega Colored Chalk, 12/Pack</t>
  </si>
  <si>
    <t>Boston 19500 Mighty Mite Electric Pencil Sharpener</t>
  </si>
  <si>
    <t>US-2020-164147</t>
  </si>
  <si>
    <t>CA-2020-161333</t>
  </si>
  <si>
    <t>CA-2020-128076</t>
  </si>
  <si>
    <t>Eldon Antistatic Chair Mats for Low to Medium Pile Carpets</t>
  </si>
  <si>
    <t>HP Officejet Pro 8600 e-All-In-One Printer, Copier, Scanner, Fax</t>
  </si>
  <si>
    <t>Multi-Use Personal File Cart and Caster Set, Three Stacking Bins</t>
  </si>
  <si>
    <t>CA-2020-126354</t>
  </si>
  <si>
    <t>CA-2020-127474</t>
  </si>
  <si>
    <t>CA-2020-167703</t>
  </si>
  <si>
    <t>Eldon Cleatmat Chair Mats for Medium Pile Carpets</t>
  </si>
  <si>
    <t>CA-2020-169474</t>
  </si>
  <si>
    <t>CA-2020-131282</t>
  </si>
  <si>
    <t>CA-2020-107517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</si>
  <si>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</si>
  <si>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</si>
  <si>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</si>
  <si>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</si>
  <si>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</si>
  <si>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</si>
  <si>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</si>
  <si>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</si>
  <si>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</si>
  <si>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</si>
  <si>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</si>
  <si>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</si>
  <si>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</si>
  <si>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</si>
  <si>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</si>
  <si>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</si>
  <si>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</si>
  <si>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</si>
  <si>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</si>
  <si>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Holmes Replacement Filter for HEPA Air Cleaner, Medium Room</t>
  </si>
  <si>
    <t>CA-2020-104801</t>
  </si>
  <si>
    <t>FH-14350</t>
  </si>
  <si>
    <t>Fred Harton</t>
  </si>
  <si>
    <t>CA-2020-104906</t>
  </si>
  <si>
    <t>Xerox 1903</t>
  </si>
  <si>
    <t>CA-2020-151176</t>
  </si>
  <si>
    <t>CA-2020-120019</t>
  </si>
  <si>
    <t>NG-18355</t>
  </si>
  <si>
    <t>Nat Gilpin</t>
  </si>
  <si>
    <t>CA-2020-163265</t>
  </si>
  <si>
    <t>Vinyl Coated Wire Paper Clips in Organizer Box, 800/Box</t>
  </si>
  <si>
    <t>CA-2020-118521</t>
  </si>
  <si>
    <t>CA-2020-109085</t>
  </si>
  <si>
    <t>Vtech CS6719</t>
  </si>
  <si>
    <t>CA-2020-159149</t>
  </si>
  <si>
    <t>CR-12820</t>
  </si>
  <si>
    <t>Cyra Reiten</t>
  </si>
  <si>
    <t>Sauder Mission Library with Doors, Fruitwood Finish</t>
  </si>
  <si>
    <t>CA-2020-154039</t>
  </si>
  <si>
    <t>CA-2020-132647</t>
  </si>
  <si>
    <t>Dixon Ticonderoga Core-Lock Colored Pencils, 48-Color Set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</si>
  <si>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</si>
  <si>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</si>
  <si>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</si>
  <si>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</si>
  <si>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</si>
  <si>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</si>
  <si>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</si>
  <si>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CA-2020-134838</t>
  </si>
  <si>
    <t>Newell 320</t>
  </si>
  <si>
    <t>Tensor Computer Mounted Lamp</t>
  </si>
  <si>
    <t>CA-2020-135937</t>
  </si>
  <si>
    <t>CA-2020-105809</t>
  </si>
  <si>
    <t>Toshiba IPT2010-SD IP Telephone</t>
  </si>
  <si>
    <t>Letter or Legal Size Expandable Poly String Tie Envelopes</t>
  </si>
  <si>
    <t>CA-2020-150525</t>
  </si>
  <si>
    <t>CA-2020-105445</t>
  </si>
  <si>
    <t>Microsoft Wireless Mobile Mouse 4000</t>
  </si>
  <si>
    <t>CA-2020-124940</t>
  </si>
  <si>
    <t>Microsoft Natural Keyboard Elite</t>
  </si>
  <si>
    <t>CA-2020-136007</t>
  </si>
  <si>
    <t>AC-10615</t>
  </si>
  <si>
    <t>Ann Chong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</si>
  <si>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</si>
  <si>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</si>
  <si>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</si>
  <si>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</si>
  <si>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</si>
  <si>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</si>
  <si>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</si>
  <si>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</si>
  <si>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</si>
  <si>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</si>
  <si>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</si>
  <si>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GuestStacker Chair with Chrome Finish Legs</t>
  </si>
  <si>
    <t>CA-2020-101959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</si>
  <si>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</si>
  <si>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</si>
  <si>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</si>
  <si>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</si>
  <si>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</si>
  <si>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</si>
  <si>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Panasonic KX TS3282B Corded phone</t>
  </si>
  <si>
    <t>Bush Cubix Collection Bookcases, Fully Assembled</t>
  </si>
  <si>
    <t>CA-2020-146024</t>
  </si>
  <si>
    <t>CA-2020-124114</t>
  </si>
  <si>
    <t>RS-19765</t>
  </si>
  <si>
    <t>Roland Schwarz</t>
  </si>
  <si>
    <t>CA-2020-152261</t>
  </si>
  <si>
    <t>CA-2020-121804</t>
  </si>
  <si>
    <t>CA-2020-111815</t>
  </si>
  <si>
    <t>CA-2020-123085</t>
  </si>
  <si>
    <t>EJ-13720</t>
  </si>
  <si>
    <t>Ed Jacobs</t>
  </si>
  <si>
    <t>CA-2020-117513</t>
  </si>
  <si>
    <t>Imation Bio 2GB USB Flash Drive Imation Corp</t>
  </si>
  <si>
    <t>CA-2020-127621</t>
  </si>
  <si>
    <t>Important Message Pads, 50 4-1/4 x 5-1/2 Forms per Pad</t>
  </si>
  <si>
    <t>US-2020-119816</t>
  </si>
  <si>
    <t>CA-2020-142174</t>
  </si>
  <si>
    <t>CA-2020-110478</t>
  </si>
  <si>
    <t>Avery 497</t>
  </si>
  <si>
    <t>CA-2020-168123</t>
  </si>
  <si>
    <t>JD-16060</t>
  </si>
  <si>
    <t>Julia Dunbar</t>
  </si>
  <si>
    <t>Recycled Steel Personal File for Standard File Folders</t>
  </si>
  <si>
    <t>CA-2020-161046</t>
  </si>
  <si>
    <t>CA-2020-147753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</si>
  <si>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</si>
  <si>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</si>
  <si>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</si>
  <si>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</si>
  <si>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</si>
  <si>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</si>
  <si>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</si>
  <si>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Economy Binders</t>
  </si>
  <si>
    <t>Westinghouse Floor Lamp with Metal Mesh Shade, Black</t>
  </si>
  <si>
    <t>CA-2020-125101</t>
  </si>
  <si>
    <t>CA-2020-110884</t>
  </si>
  <si>
    <t>3M Organizer Strips</t>
  </si>
  <si>
    <t>CA-2020-136672</t>
  </si>
  <si>
    <t>CA-2020-104080</t>
  </si>
  <si>
    <t>CA-2020-155698</t>
  </si>
  <si>
    <t>Belkin 8 Outlet SurgeMaster II Gold Surge Protector with Phone Protection</t>
  </si>
  <si>
    <t>Newell 323</t>
  </si>
  <si>
    <t>CA-2020-102834</t>
  </si>
  <si>
    <t>CA-2020-147354</t>
  </si>
  <si>
    <t>CA-2020-140494</t>
  </si>
  <si>
    <t>Maxell LTO Ultrium - 800 GB</t>
  </si>
  <si>
    <t>CA-2020-132290</t>
  </si>
  <si>
    <t>CA-2020-144638</t>
  </si>
  <si>
    <t>CA-2020-155824</t>
  </si>
  <si>
    <t>KS-16300</t>
  </si>
  <si>
    <t>Karen Seio</t>
  </si>
  <si>
    <t>CA-2020-130967</t>
  </si>
  <si>
    <t>US-2020-133081</t>
  </si>
  <si>
    <t>US-2020-141558</t>
  </si>
  <si>
    <t>CA-2020-147291</t>
  </si>
  <si>
    <t>GBC DocuBind TL200 Manual Binding Machine</t>
  </si>
  <si>
    <t>Avery Trapezoid Ring Binder, 3" Capacity, Black, 1040 sheets</t>
  </si>
  <si>
    <t>Desktop 3-Pocket Hot File</t>
  </si>
  <si>
    <t>CA-2020-159352</t>
  </si>
  <si>
    <t>CA-2020-116288</t>
  </si>
  <si>
    <t>BS-11380</t>
  </si>
  <si>
    <t>Bill Stewart</t>
  </si>
  <si>
    <t>CA-2020-152786</t>
  </si>
  <si>
    <t>CA-2020-106859</t>
  </si>
  <si>
    <t>CA-2020-157966</t>
  </si>
  <si>
    <t>OtterBox Commuter Series Case - iPhone 5 &amp; 5s</t>
  </si>
  <si>
    <t>CA-2020-107713</t>
  </si>
  <si>
    <t>US-2020-146906</t>
  </si>
  <si>
    <t>Panasonic KX T7736-B Digital phone</t>
  </si>
  <si>
    <t>CA-2020-166296</t>
  </si>
  <si>
    <t>CA-2020-153843</t>
  </si>
  <si>
    <t>CA-2020-105851</t>
  </si>
  <si>
    <t>CA-2020-162474</t>
  </si>
  <si>
    <t>Col-Erase Pencils with Erasers</t>
  </si>
  <si>
    <t>Plantronics MX500i Earset</t>
  </si>
  <si>
    <t>CA-2020-114370</t>
  </si>
  <si>
    <t>BN-11470</t>
  </si>
  <si>
    <t>Brad Norvell</t>
  </si>
  <si>
    <t>Seidio BD2-HK3IPH5-BK DILEX Case and Holster Combo for Apple iPhone 5/5s - Black</t>
  </si>
  <si>
    <t>CA-2020-129294</t>
  </si>
  <si>
    <t>Bionaire Personal Warm Mist Humidifier/Vaporizer</t>
  </si>
  <si>
    <t>CA-2020-161172</t>
  </si>
  <si>
    <t>CA-2020-152135</t>
  </si>
  <si>
    <t>US-2020-101539</t>
  </si>
  <si>
    <t>OtterBox Defender Series Case - iPhone 5c</t>
  </si>
  <si>
    <t>CA-2020-140949</t>
  </si>
  <si>
    <t>DB-13405</t>
  </si>
  <si>
    <t>Denny Blanton</t>
  </si>
  <si>
    <t>Neat Ideas Personal Hanging Folder Files, Black</t>
  </si>
  <si>
    <t>CA-2020-142867</t>
  </si>
  <si>
    <t>CA-2020-129567</t>
  </si>
  <si>
    <t>US-2020-129224</t>
  </si>
  <si>
    <t>Lumber Crayons</t>
  </si>
  <si>
    <t>US-2020-119438</t>
  </si>
  <si>
    <t>CA-2020-122007</t>
  </si>
  <si>
    <t>CA-2020-162075</t>
  </si>
  <si>
    <t>Hoover Portapower Portable Vacuum</t>
  </si>
  <si>
    <t>CA-2020-143084</t>
  </si>
  <si>
    <t>CA-2020-160087</t>
  </si>
  <si>
    <t>Peel-Off China Markers</t>
  </si>
  <si>
    <t>Peel &amp; Seel Envelopes</t>
  </si>
  <si>
    <t>CA-2020-148145</t>
  </si>
  <si>
    <t>Verbatim 25 GB 6x Blu-ray Single Layer Recordable Disc, 10/Pack</t>
  </si>
  <si>
    <t>CA-2020-105410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</si>
  <si>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</si>
  <si>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</si>
  <si>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</si>
  <si>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</si>
  <si>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</si>
  <si>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</si>
  <si>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</si>
  <si>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</si>
  <si>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</si>
  <si>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</si>
  <si>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</si>
  <si>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</si>
  <si>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</si>
  <si>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</si>
  <si>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</si>
  <si>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CA-2020-169285</t>
  </si>
  <si>
    <t>CA-2020-111591</t>
  </si>
  <si>
    <t>CA-2020-108539</t>
  </si>
  <si>
    <t>CA-2020-119452</t>
  </si>
  <si>
    <t>Super Bands, 12/Pack</t>
  </si>
  <si>
    <t>CA-2020-117156</t>
  </si>
  <si>
    <t>Colored Envelopes</t>
  </si>
  <si>
    <t>CA-2020-135650</t>
  </si>
  <si>
    <t>CA-2020-155985</t>
  </si>
  <si>
    <t>CA-2020-136511</t>
  </si>
  <si>
    <t>CA-2020-140151</t>
  </si>
  <si>
    <t>US-2020-140074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</si>
  <si>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</si>
  <si>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</si>
  <si>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</si>
  <si>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</si>
  <si>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</si>
  <si>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</si>
  <si>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</si>
  <si>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</si>
  <si>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</si>
  <si>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Iris Project Case</t>
  </si>
  <si>
    <t>CA-2020-155880</t>
  </si>
  <si>
    <t>US-2020-117534</t>
  </si>
  <si>
    <t>CA-2020-112039</t>
  </si>
  <si>
    <t>CA-2020-101077</t>
  </si>
  <si>
    <t>Xerox 1953</t>
  </si>
  <si>
    <t>CA-2020-105193</t>
  </si>
  <si>
    <t>CA-2020-143651</t>
  </si>
  <si>
    <t>CA-2020-113208</t>
  </si>
  <si>
    <t>ML-18040</t>
  </si>
  <si>
    <t>Michelle Lonsdale</t>
  </si>
  <si>
    <t>Career Cubicle Clock, 8 1/4", Black</t>
  </si>
  <si>
    <t>US-2020-141677</t>
  </si>
  <si>
    <t>US-2020-121251</t>
  </si>
  <si>
    <t>Canon PC1080F Personal Copier</t>
  </si>
  <si>
    <t>CA-2020-147144</t>
  </si>
  <si>
    <t>Boston 1827 Commercial Additional Cutter, Drive Gear &amp; Gear Rack for 1606</t>
  </si>
  <si>
    <t>CA-2020-162033</t>
  </si>
  <si>
    <t>EM-14200</t>
  </si>
  <si>
    <t>Evan Minnotte</t>
  </si>
  <si>
    <t>CA-2020-124716</t>
  </si>
  <si>
    <t>BD-11560</t>
  </si>
  <si>
    <t>Brendan Dodson</t>
  </si>
  <si>
    <t>Xerox 1913</t>
  </si>
  <si>
    <t>CA-2020-113705</t>
  </si>
  <si>
    <t>Panasonic KX - TS880B Telephone</t>
  </si>
  <si>
    <t>CA-2020-144491</t>
  </si>
  <si>
    <t>CA-2020-139416</t>
  </si>
  <si>
    <t>Avery 05222 Permanent Self-Adhesive File Folder Labels for Typewriters, on Rolls, White, 250/Roll</t>
  </si>
  <si>
    <t>Unpadded Memo Slips</t>
  </si>
  <si>
    <t>GBC Instant Index System for Binding Systems</t>
  </si>
  <si>
    <t>US-2020-166611</t>
  </si>
  <si>
    <t>US-2020-147886</t>
  </si>
  <si>
    <t>StarTech.com 10/100 VDSL2 Ethernet Extender Kit</t>
  </si>
  <si>
    <t>Stackable Trays</t>
  </si>
  <si>
    <t>DAX Black Cherry Wood-Tone Poster Frame</t>
  </si>
  <si>
    <t>CA-2020-126550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</si>
  <si>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</si>
  <si>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</si>
  <si>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</si>
  <si>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</si>
  <si>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</si>
  <si>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</si>
  <si>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</si>
  <si>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</si>
  <si>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Multimedia Mailers</t>
  </si>
  <si>
    <t>US-2020-154851</t>
  </si>
  <si>
    <t>CA-2020-129910</t>
  </si>
  <si>
    <t>Advantus 10-Drawer Portable Organizer, Chrome Metal Frame, Smoke Drawers</t>
  </si>
  <si>
    <t>US-2020-159205</t>
  </si>
  <si>
    <t>CA-2020-102771</t>
  </si>
  <si>
    <t>Spigen Samsung Galaxy S5 Case Wallet</t>
  </si>
  <si>
    <t>CA-2020-154907</t>
  </si>
  <si>
    <t>Bush Mission Pointe Library</t>
  </si>
  <si>
    <t>CA-2020-100524</t>
  </si>
  <si>
    <t>CM-12115</t>
  </si>
  <si>
    <t>Chad McGuire</t>
  </si>
  <si>
    <t>CA-2020-133263</t>
  </si>
  <si>
    <t>CA-2020-114524</t>
  </si>
  <si>
    <t>SlimView Poly Binder, 3/8"</t>
  </si>
  <si>
    <t>US-2020-160143</t>
  </si>
  <si>
    <t>CA-2020-144680</t>
  </si>
  <si>
    <t>SC-20260</t>
  </si>
  <si>
    <t>Scott Cohen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</si>
  <si>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</si>
  <si>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</si>
  <si>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</si>
  <si>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</si>
  <si>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</si>
  <si>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</si>
  <si>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</si>
  <si>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</si>
  <si>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</si>
  <si>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</si>
  <si>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US-2020-123281</t>
  </si>
  <si>
    <t>CA-2020-127264</t>
  </si>
  <si>
    <t>CA-2020-131156</t>
  </si>
  <si>
    <t>CA-2020-144848</t>
  </si>
  <si>
    <t>CA-2020-157903</t>
  </si>
  <si>
    <t>CA-2020-109211</t>
  </si>
  <si>
    <t>CA-2020-140536</t>
  </si>
  <si>
    <t>CA-2020-107265</t>
  </si>
  <si>
    <t>CA-2020-161592</t>
  </si>
  <si>
    <t>CA-2020-165904</t>
  </si>
  <si>
    <t>AT&amp;T 1080 Corded phone</t>
  </si>
  <si>
    <t>US-2020-100930</t>
  </si>
  <si>
    <t>Bush Advantage Collection Round Conference Table</t>
  </si>
  <si>
    <t>CA-2020-150987</t>
  </si>
  <si>
    <t>US-2020-136721</t>
  </si>
  <si>
    <t>Luxo Professional Combination Clamp-On Lamps</t>
  </si>
  <si>
    <t>CA-2020-112333</t>
  </si>
  <si>
    <t>CA-2020-157854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</si>
  <si>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</si>
  <si>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</si>
  <si>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</si>
  <si>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</si>
  <si>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</si>
  <si>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Computer Printout Paper with Letter-Trim Fine Perforations</t>
  </si>
  <si>
    <t>CA-2020-122154</t>
  </si>
  <si>
    <t>CA-2020-112900</t>
  </si>
  <si>
    <t>GBC Recycled Regency Composition Covers</t>
  </si>
  <si>
    <t>Office Impressions Heavy Duty Welded Shelving &amp; Multimedia Storage Drawers</t>
  </si>
  <si>
    <t>Color-Coded Legal Exhibit Labels</t>
  </si>
  <si>
    <t>Avery 48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</si>
  <si>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</si>
  <si>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</si>
  <si>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</si>
  <si>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</si>
  <si>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</si>
  <si>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</si>
  <si>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</si>
  <si>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CA-2020-115070</t>
  </si>
  <si>
    <t>MG-18205</t>
  </si>
  <si>
    <t>Mitch Gastineau</t>
  </si>
  <si>
    <t>CA-2020-166128</t>
  </si>
  <si>
    <t>CA-2020-130904</t>
  </si>
  <si>
    <t>Newell 321</t>
  </si>
  <si>
    <t>Pencil and Crayon Sharpener</t>
  </si>
  <si>
    <t>US-2020-100482</t>
  </si>
  <si>
    <t>US-2020-143028</t>
  </si>
  <si>
    <t>CA-2020-122735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</si>
  <si>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</si>
  <si>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</si>
  <si>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</si>
  <si>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</si>
  <si>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</si>
  <si>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</si>
  <si>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</si>
  <si>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Sanford Prismacolor Professional Thick Lead Art Pencils, 36-Color Set</t>
  </si>
  <si>
    <t>US-2020-126060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</si>
  <si>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</si>
  <si>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</si>
  <si>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</si>
  <si>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</si>
  <si>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</si>
  <si>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</si>
  <si>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Howard Miller 12" Round Wall Clock</t>
  </si>
  <si>
    <t>CA-2020-126774</t>
  </si>
  <si>
    <t>CA-2020-161851</t>
  </si>
  <si>
    <t>US-2020-141698</t>
  </si>
  <si>
    <t>Xerox 207</t>
  </si>
  <si>
    <t>CA-2020-114412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</si>
  <si>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</si>
  <si>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</si>
  <si>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</si>
  <si>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</si>
  <si>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</si>
  <si>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</si>
  <si>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</si>
  <si>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</si>
  <si>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</si>
  <si>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</si>
  <si>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Eldon Executive Woodline II Desk Accessories, Mahogany</t>
  </si>
  <si>
    <t>US-2020-129203</t>
  </si>
  <si>
    <t>CA-2020-128965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</si>
  <si>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</si>
  <si>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</si>
  <si>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</si>
  <si>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</si>
  <si>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</si>
  <si>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</si>
  <si>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</si>
  <si>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</si>
  <si>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</si>
  <si>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</si>
  <si>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</si>
  <si>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</si>
  <si>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</si>
  <si>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</si>
  <si>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</si>
  <si>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</si>
  <si>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</si>
  <si>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UniKeep View Case Binders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</si>
  <si>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</si>
  <si>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</si>
  <si>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</si>
  <si>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</si>
  <si>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</si>
  <si>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Tenex Chairmats For Use with Hard Floors</t>
  </si>
  <si>
    <t>CA-2020-136651</t>
  </si>
  <si>
    <t>CA-2020-108553</t>
  </si>
  <si>
    <t>CA-2020-146360</t>
  </si>
  <si>
    <t>TRENDnet 56K USB 2.0 Phone, Internet and Fax Modem</t>
  </si>
  <si>
    <t>O'Sullivan 4-Shelf Bookcase in Odessa Pine</t>
  </si>
  <si>
    <t>CA-2020-157112</t>
  </si>
  <si>
    <t>CA-2020-101700</t>
  </si>
  <si>
    <t>Eldon Imàge Series Desk Accessories, Clear</t>
  </si>
  <si>
    <t>CA-2020-104010</t>
  </si>
  <si>
    <t>US-2020-128832</t>
  </si>
  <si>
    <t>CA-2020-125269</t>
  </si>
  <si>
    <t>CA-2020-149489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</si>
  <si>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</si>
  <si>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</si>
  <si>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</si>
  <si>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</si>
  <si>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</si>
  <si>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</si>
  <si>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</si>
  <si>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</si>
  <si>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</si>
  <si>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</si>
  <si>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</si>
  <si>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</si>
  <si>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</si>
  <si>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</si>
  <si>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</si>
  <si>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</si>
  <si>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</si>
  <si>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</si>
  <si>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</si>
  <si>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</si>
  <si>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CA-2020-160962</t>
  </si>
  <si>
    <t>CA-2020-120894</t>
  </si>
  <si>
    <t>US-2020-164056</t>
  </si>
  <si>
    <t>CA-2020-126718</t>
  </si>
  <si>
    <t>CA-2020-151911</t>
  </si>
  <si>
    <t>#10-4 1/8" x 9 1/2" Premium Diagonal Seam Envelopes</t>
  </si>
  <si>
    <t>US-2020-136784</t>
  </si>
  <si>
    <t>US-2020-108315</t>
  </si>
  <si>
    <t>CA-2020-144526</t>
  </si>
  <si>
    <t>CA-2020-124597</t>
  </si>
  <si>
    <t>CA-2020-150609</t>
  </si>
  <si>
    <t>US-2020-107636</t>
  </si>
  <si>
    <t>Avery 5</t>
  </si>
  <si>
    <t>CA-2020-154501</t>
  </si>
  <si>
    <t>CA-2020-137876</t>
  </si>
  <si>
    <t>CA-2020-108322</t>
  </si>
  <si>
    <t>US-2020-150847</t>
  </si>
  <si>
    <t>US-2020-144582</t>
  </si>
  <si>
    <t>Seth Thomas 16" Steel Case Clock</t>
  </si>
  <si>
    <t>CA-2020-110198</t>
  </si>
  <si>
    <t>Avery 492</t>
  </si>
  <si>
    <t>CA-2020-102204</t>
  </si>
  <si>
    <t>CA-2020-110212</t>
  </si>
  <si>
    <t>CA-2020-123134</t>
  </si>
  <si>
    <t>US-2020-128398</t>
  </si>
  <si>
    <t>CA-2020-147844</t>
  </si>
  <si>
    <t>Adams "While You Were Out" Message Pads</t>
  </si>
  <si>
    <t>CA-2020-132199</t>
  </si>
  <si>
    <t>CA-2020-132178</t>
  </si>
  <si>
    <t>Fellowes Stor/Drawer Steel Plus Storage Drawers</t>
  </si>
  <si>
    <t>Wilson Jones Legal Size Ring Binders</t>
  </si>
  <si>
    <t>CA-2020-163209</t>
  </si>
  <si>
    <t>Newell 350</t>
  </si>
  <si>
    <t>CA-2020-162978</t>
  </si>
  <si>
    <t>CA-2020-119914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</si>
  <si>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</si>
  <si>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</si>
  <si>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</si>
  <si>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</si>
  <si>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</si>
  <si>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</si>
  <si>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</si>
  <si>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</si>
  <si>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CA-2020-160724</t>
  </si>
  <si>
    <t>CA-2020-167668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</si>
  <si>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</si>
  <si>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</si>
  <si>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</si>
  <si>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</si>
  <si>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</si>
  <si>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</si>
  <si>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</si>
  <si>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</si>
  <si>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Dixon Ticonderoga Core-Lock Colored Pencils</t>
  </si>
  <si>
    <t>CA-2020-102820</t>
  </si>
  <si>
    <t>CA-2020-141733</t>
  </si>
  <si>
    <t>RW-19540</t>
  </si>
  <si>
    <t>Rick Wilson</t>
  </si>
  <si>
    <t>Safco Contoured Stacking Chairs</t>
  </si>
  <si>
    <t>SAFCO Optional Arm Kit for Workspace Cribbage Stacking Chair</t>
  </si>
  <si>
    <t>CA-2020-159688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</si>
  <si>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</si>
  <si>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</si>
  <si>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</si>
  <si>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</si>
  <si>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</si>
  <si>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</si>
  <si>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</si>
  <si>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</si>
  <si>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CA-2020-118199</t>
  </si>
  <si>
    <t>Razer Kraken 7.1 Surround Sound Over Ear USB Gaming Headset</t>
  </si>
  <si>
    <t>CA-2020-134810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</si>
  <si>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</si>
  <si>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</si>
  <si>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</si>
  <si>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</si>
  <si>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</si>
  <si>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Xerox 1927</t>
  </si>
  <si>
    <t>CA-2020-133823</t>
  </si>
  <si>
    <t>CA-2020-115322</t>
  </si>
  <si>
    <t>CA-2020-104577</t>
  </si>
  <si>
    <t>CA-2020-122175</t>
  </si>
  <si>
    <t>Maxell Pro 80 Minute CD-R, 10/Pack</t>
  </si>
  <si>
    <t>US-2020-158218</t>
  </si>
  <si>
    <t>CA-2020-117632</t>
  </si>
  <si>
    <t>US-2020-106796</t>
  </si>
  <si>
    <t>Hoover Commercial Soft Guard Upright Vacuum And Disposable Filtration Bags</t>
  </si>
  <si>
    <t>CA-2020-152226</t>
  </si>
  <si>
    <t>Avery 501</t>
  </si>
  <si>
    <t>Acme Titanium Bonded Scissors</t>
  </si>
  <si>
    <t>DXL Angle-View Binders with Locking Rings, Black</t>
  </si>
  <si>
    <t>CA-2020-149048</t>
  </si>
  <si>
    <t>CA-2020-161655</t>
  </si>
  <si>
    <t>CA-2020-137785</t>
  </si>
  <si>
    <t>Office Star - Mesh Screen back chair with Vinyl seat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</si>
  <si>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</si>
  <si>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</si>
  <si>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</si>
  <si>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</si>
  <si>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</si>
  <si>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</si>
  <si>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Xerox 1917</t>
  </si>
  <si>
    <t>CA-2020-115546</t>
  </si>
  <si>
    <t>CA-2020-143686</t>
  </si>
  <si>
    <t>US-2020-154872</t>
  </si>
  <si>
    <t>Xerox 1936</t>
  </si>
  <si>
    <t>CA-2020-133641</t>
  </si>
  <si>
    <t>Fashion Color Clasp Envelopes</t>
  </si>
  <si>
    <t>US-2020-110604</t>
  </si>
  <si>
    <t>CA-2020-102414</t>
  </si>
  <si>
    <t>Universal Ultra Bright White Copier/Laser Paper, 8 1/2" x 11", Ream</t>
  </si>
  <si>
    <t>US-2020-152569</t>
  </si>
  <si>
    <t>JD-16015</t>
  </si>
  <si>
    <t>Joy Daniels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</si>
  <si>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</si>
  <si>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</si>
  <si>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</si>
  <si>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</si>
  <si>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</si>
  <si>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</si>
  <si>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</si>
  <si>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</si>
  <si>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</si>
  <si>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</si>
  <si>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</si>
  <si>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</si>
  <si>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</si>
  <si>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</si>
  <si>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</si>
  <si>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</si>
  <si>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</si>
  <si>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</si>
  <si>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</si>
  <si>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Logitech Wireless Performance Mouse MX for PC and Mac</t>
  </si>
  <si>
    <t>CA-2020-145702</t>
  </si>
  <si>
    <t>Nokia Lumia 925</t>
  </si>
  <si>
    <t>CA-2020-113530</t>
  </si>
  <si>
    <t>Avery 491</t>
  </si>
  <si>
    <t>CA-2020-127803</t>
  </si>
  <si>
    <t>ND-18460</t>
  </si>
  <si>
    <t>Neil Ducich</t>
  </si>
  <si>
    <t>Wilson Jones Four-Pocket Poly Binders</t>
  </si>
  <si>
    <t>US-2020-108700</t>
  </si>
  <si>
    <t>Things To Do Today Spiral Book</t>
  </si>
  <si>
    <t>CA-2020-111332</t>
  </si>
  <si>
    <t>CA-2020-166695</t>
  </si>
  <si>
    <t>US-2020-166688</t>
  </si>
  <si>
    <t>BIC Brite Liner Highlighters, Chisel Tip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</si>
  <si>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</si>
  <si>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</si>
  <si>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</si>
  <si>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</si>
  <si>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</si>
  <si>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</si>
  <si>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</si>
  <si>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</si>
  <si>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</si>
  <si>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</si>
  <si>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</si>
  <si>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</si>
  <si>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</si>
  <si>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</si>
  <si>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OIC Thumb-Tacks</t>
  </si>
  <si>
    <t>CA-2020-120168</t>
  </si>
  <si>
    <t>CA-2020-112473</t>
  </si>
  <si>
    <t>Iris 3-Drawer Stacking Bin, Black</t>
  </si>
  <si>
    <t>CA-2020-161088</t>
  </si>
  <si>
    <t>CA-2020-123687</t>
  </si>
  <si>
    <t>Belkin 8-Outlet Premiere SurgeMaster II Surge Protectors</t>
  </si>
  <si>
    <t>CA-2020-107853</t>
  </si>
  <si>
    <t>CA-2020-152968</t>
  </si>
  <si>
    <t>CA-2020-134152</t>
  </si>
  <si>
    <t>US-2020-116897</t>
  </si>
  <si>
    <t>CA-2020-136882</t>
  </si>
  <si>
    <t>US-2020-132297</t>
  </si>
  <si>
    <t>CA-2020-151855</t>
  </si>
  <si>
    <t>Sony 8GB Class 10 Micro SDHC R40 Memory Card</t>
  </si>
  <si>
    <t>CA-2020-160458</t>
  </si>
  <si>
    <t>US-2020-118556</t>
  </si>
  <si>
    <t>CA-2020-100055</t>
  </si>
  <si>
    <t>MD-17860</t>
  </si>
  <si>
    <t>Michael Dominguez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</si>
  <si>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</si>
  <si>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</si>
  <si>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</si>
  <si>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</si>
  <si>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</si>
  <si>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</si>
  <si>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</si>
  <si>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</si>
  <si>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</si>
  <si>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</si>
  <si>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Adams Telephone Message Book w/Frequently-Called Numbers Space, 400 Messages per Book</t>
  </si>
  <si>
    <t>CA-2020-144568</t>
  </si>
  <si>
    <t>Plymouth Boxed Rubber Bands by Plymouth</t>
  </si>
  <si>
    <t>CA-2020-104745</t>
  </si>
  <si>
    <t>CA-2020-121125</t>
  </si>
  <si>
    <t>LG G3</t>
  </si>
  <si>
    <t>CA-2020-142461</t>
  </si>
  <si>
    <t>CA-2020-125472</t>
  </si>
  <si>
    <t>Sauder Camden County Barrister Bookcase, Planked Cherry Finish</t>
  </si>
  <si>
    <t>CA-2020-116498</t>
  </si>
  <si>
    <t>CA-2020-120614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</si>
  <si>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</si>
  <si>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</si>
  <si>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</si>
  <si>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</si>
  <si>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</si>
  <si>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</si>
  <si>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</si>
  <si>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</si>
  <si>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</si>
  <si>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</si>
  <si>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</si>
  <si>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</si>
  <si>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</si>
  <si>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</si>
  <si>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</si>
  <si>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</si>
  <si>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Hewlett-Packard 300S Scientific Calculator</t>
  </si>
  <si>
    <t>CA-2020-145506</t>
  </si>
  <si>
    <t>CA-2020-140872</t>
  </si>
  <si>
    <t>CA-2020-150420</t>
  </si>
  <si>
    <t>CA-2020-145772</t>
  </si>
  <si>
    <t>CA-2020-126382</t>
  </si>
  <si>
    <t>Eldon 200 Class Desk Accessories, Burgundy</t>
  </si>
  <si>
    <t>CA-2020-133095</t>
  </si>
  <si>
    <t>CA-2020-100426</t>
  </si>
  <si>
    <t>CA-2020-158106</t>
  </si>
  <si>
    <t>CA-2020-158953</t>
  </si>
  <si>
    <t>CA-2020-158407</t>
  </si>
  <si>
    <t>CA-2020-149720</t>
  </si>
  <si>
    <t>Innergie mMini Combo Duo USB Travel Charging Kit</t>
  </si>
  <si>
    <t>CA-2020-126788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</si>
  <si>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</si>
  <si>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</si>
  <si>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</si>
  <si>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</si>
  <si>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</si>
  <si>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</si>
  <si>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</si>
  <si>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</si>
  <si>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Eureka Disposable Bags for Sanitaire Vibra Groomer I Upright Vac</t>
  </si>
  <si>
    <t>CA-2020-117436</t>
  </si>
  <si>
    <t>US-2020-106579</t>
  </si>
  <si>
    <t>Shocksock Galaxy S4 Armband</t>
  </si>
  <si>
    <t>US-2020-106663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</si>
  <si>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</si>
  <si>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</si>
  <si>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</si>
  <si>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</si>
  <si>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</si>
  <si>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CA-2020-140963</t>
  </si>
  <si>
    <t>CA-2020-107167</t>
  </si>
  <si>
    <t>CA-2020-137001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</si>
  <si>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</si>
  <si>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</si>
  <si>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</si>
  <si>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</si>
  <si>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</si>
  <si>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</si>
  <si>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</si>
  <si>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</si>
  <si>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O'Sullivan 3-Shelf Heavy-Duty Bookcases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</si>
  <si>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</si>
  <si>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</si>
  <si>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</si>
  <si>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</si>
  <si>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</si>
  <si>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</si>
  <si>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</si>
  <si>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</si>
  <si>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</si>
  <si>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</si>
  <si>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</si>
  <si>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Xerox 203</t>
  </si>
  <si>
    <t>CA-2020-117821</t>
  </si>
  <si>
    <t>Boston 1730 StandUp Electric Pencil Sharpener</t>
  </si>
  <si>
    <t>CA-2020-102337</t>
  </si>
  <si>
    <t>CA-2020-122056</t>
  </si>
  <si>
    <t>Boston 1799 Powerhouse Electric Pencil Sharpener</t>
  </si>
  <si>
    <t>CA-2020-104850</t>
  </si>
  <si>
    <t>CA-2020-169691</t>
  </si>
  <si>
    <t>CA-2020-126914</t>
  </si>
  <si>
    <t>CA-2020-119284</t>
  </si>
  <si>
    <t>Xerox 1955</t>
  </si>
  <si>
    <t>CA-2020-118864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</si>
  <si>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</si>
  <si>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</si>
  <si>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</si>
  <si>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</si>
  <si>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</si>
  <si>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</si>
  <si>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</si>
  <si>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</si>
  <si>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Fellowes Smart Surge Ten-Outlet Protector, Platinum</t>
  </si>
  <si>
    <t>CA-2020-155873</t>
  </si>
  <si>
    <t>CA-2020-111269</t>
  </si>
  <si>
    <t>CA-2020-105214</t>
  </si>
  <si>
    <t>US-2020-132206</t>
  </si>
  <si>
    <t>Newell 330</t>
  </si>
  <si>
    <t>CA-2020-136826</t>
  </si>
  <si>
    <t>CA-2020-165323</t>
  </si>
  <si>
    <t>Kingston Digital DataTraveler 64GB USB 2.0</t>
  </si>
  <si>
    <t>CA-2020-118437</t>
  </si>
  <si>
    <t>CA-2020-146346</t>
  </si>
  <si>
    <t>RA-19945</t>
  </si>
  <si>
    <t>Ryan Akin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</si>
  <si>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</si>
  <si>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</si>
  <si>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</si>
  <si>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</si>
  <si>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</si>
  <si>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</si>
  <si>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CA-2020-112753</t>
  </si>
  <si>
    <t>CA-2020-140844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</si>
  <si>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</si>
  <si>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</si>
  <si>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</si>
  <si>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</si>
  <si>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</si>
  <si>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</si>
  <si>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Holmes Visible Mist Ultrasonic Humidifier with 2.3-Gallon Output per Day, Replacement Filter</t>
  </si>
  <si>
    <t>CA-2020-138870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</si>
  <si>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</si>
  <si>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</si>
  <si>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</si>
  <si>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</si>
  <si>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</si>
  <si>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</si>
  <si>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</si>
  <si>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</si>
  <si>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</si>
  <si>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</si>
  <si>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</si>
  <si>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</si>
  <si>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</si>
  <si>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</si>
  <si>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</si>
  <si>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</si>
  <si>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</si>
  <si>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</si>
  <si>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CA-2020-136350</t>
  </si>
  <si>
    <t>Global Deluxe Office Fabric Chairs</t>
  </si>
  <si>
    <t>US-2020-151316</t>
  </si>
  <si>
    <t>CA-2020-100384</t>
  </si>
  <si>
    <t>CA-2020-105074</t>
  </si>
  <si>
    <t>CA-2020-159107</t>
  </si>
  <si>
    <t>CA-2020-133648</t>
  </si>
  <si>
    <t>CA-2020-134796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</si>
  <si>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</si>
  <si>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</si>
  <si>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</si>
  <si>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</si>
  <si>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</si>
  <si>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</si>
  <si>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</si>
  <si>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</si>
  <si>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</si>
  <si>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</si>
  <si>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</si>
  <si>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</si>
  <si>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</si>
  <si>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</si>
  <si>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Executive Impressions Supervisor Wall Clock</t>
  </si>
  <si>
    <t>CA-2020-123638</t>
  </si>
  <si>
    <t>CA-2020-151190</t>
  </si>
  <si>
    <t>CA-2020-138149</t>
  </si>
  <si>
    <t>Trav-L-File Heavy-Duty Shuttle II, Black</t>
  </si>
  <si>
    <t>CA-2020-137449</t>
  </si>
  <si>
    <t>Bevis Round Conference Table Top &amp; Single Column Base</t>
  </si>
  <si>
    <t>CA-2020-137085</t>
  </si>
  <si>
    <t>CA-2020-147039</t>
  </si>
  <si>
    <t>CA-2020-143574</t>
  </si>
  <si>
    <t>CA-2020-100650</t>
  </si>
  <si>
    <t>Belkin F9G930V10-GRY 9 Outlet Surge</t>
  </si>
  <si>
    <t>US-2020-126081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</si>
  <si>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</si>
  <si>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</si>
  <si>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</si>
  <si>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</si>
  <si>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</si>
  <si>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</si>
  <si>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</si>
  <si>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</si>
  <si>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</si>
  <si>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</si>
  <si>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</si>
  <si>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</si>
  <si>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</si>
  <si>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</si>
  <si>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</si>
  <si>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</si>
  <si>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CA-2020-111647</t>
  </si>
  <si>
    <t>US-2020-111024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</si>
  <si>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</si>
  <si>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</si>
  <si>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</si>
  <si>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</si>
  <si>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</si>
  <si>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</si>
  <si>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</si>
  <si>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Tenex Traditional Chairmats for Medium Pile Carpet, Standard Lip, 36" x 48"</t>
  </si>
  <si>
    <t>Hewlett-Packard Deskjet 5550 Printer</t>
  </si>
  <si>
    <t>CA-2020-168109</t>
  </si>
  <si>
    <t>JK-15640</t>
  </si>
  <si>
    <t>Jim Kriz</t>
  </si>
  <si>
    <t>CA-2020-124828</t>
  </si>
  <si>
    <t>Square Credit Card Reader, 4 1/2" x 4 1/2" x 1", White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</si>
  <si>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</si>
  <si>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</si>
  <si>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</si>
  <si>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</si>
  <si>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</si>
  <si>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</si>
  <si>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</si>
  <si>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</si>
  <si>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Global Comet Stacking Armless Chair</t>
  </si>
  <si>
    <t>US-2020-124303</t>
  </si>
  <si>
    <t>Wirebound Message Books, 5-1/2 x 4 Forms, 2 or 4 Forms per Page</t>
  </si>
  <si>
    <t>US-2020-169551</t>
  </si>
  <si>
    <t>CA-2020-155152</t>
  </si>
  <si>
    <t>Apple iPhone 5S</t>
  </si>
  <si>
    <t>CA-2020-105053</t>
  </si>
  <si>
    <t>CA-2020-106824</t>
  </si>
  <si>
    <t>CA-2020-150189</t>
  </si>
  <si>
    <t>Avery 485</t>
  </si>
  <si>
    <t>CA-2020-140480</t>
  </si>
  <si>
    <t>CA-2020-138464</t>
  </si>
  <si>
    <t>CA-2020-133249</t>
  </si>
  <si>
    <t>Deflect-o SuperTray Unbreakable Stackable Tray, Letter, Black</t>
  </si>
  <si>
    <t>CA-2020-108560</t>
  </si>
  <si>
    <t>JC-15385</t>
  </si>
  <si>
    <t>Jenna Caffey</t>
  </si>
  <si>
    <t>CA-2020-134306</t>
  </si>
  <si>
    <t>Binney &amp; Smith inkTank Erasable Desk Highlighter, Chisel Tip, Yellow, 12/Box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</si>
  <si>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</si>
  <si>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</si>
  <si>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</si>
  <si>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</si>
  <si>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</si>
  <si>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</si>
  <si>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</si>
  <si>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</si>
  <si>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</si>
  <si>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</si>
  <si>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</si>
  <si>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</si>
  <si>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</si>
  <si>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</si>
  <si>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</si>
  <si>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</si>
  <si>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</si>
  <si>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</si>
  <si>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</si>
  <si>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</si>
  <si>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</si>
  <si>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</si>
  <si>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</si>
  <si>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Avery 482</t>
  </si>
  <si>
    <t>CA-2020-127656</t>
  </si>
  <si>
    <t>CA-2020-106047</t>
  </si>
  <si>
    <t>CA-2020-136364</t>
  </si>
  <si>
    <t>CA-2020-102155</t>
  </si>
  <si>
    <t>CA-2020-121048</t>
  </si>
  <si>
    <t>BOSTON Model 1800 Electric Pencil Sharpeners, Putty/Woodgrain</t>
  </si>
  <si>
    <t>US-2020-161935</t>
  </si>
  <si>
    <t>OIC Binder Clips, Mini, 1/4" Capacity, Black</t>
  </si>
  <si>
    <t>US-2020-128951</t>
  </si>
  <si>
    <t>Belkin 8 Outlet SurgeMaster II Gold Surge Protector</t>
  </si>
  <si>
    <t>CA-2020-166142</t>
  </si>
  <si>
    <t>Hon 2111 Invitation Series Straight Table</t>
  </si>
  <si>
    <t>CA-2020-164378</t>
  </si>
  <si>
    <t>Spiral Phone Message Books with Labels by Adams</t>
  </si>
  <si>
    <t>Newell 349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</si>
  <si>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</si>
  <si>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</si>
  <si>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</si>
  <si>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</si>
  <si>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</si>
  <si>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</si>
  <si>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</si>
  <si>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</si>
  <si>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</si>
  <si>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</si>
  <si>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Acme Kleencut Forged Steel Scissors</t>
  </si>
  <si>
    <t>US-2020-108343</t>
  </si>
  <si>
    <t>Office Star - Task Chair with Contemporary Loop Arms</t>
  </si>
  <si>
    <t>CA-2020-122035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</si>
  <si>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</si>
  <si>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</si>
  <si>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</si>
  <si>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</si>
  <si>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</si>
  <si>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</si>
  <si>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</si>
  <si>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Dexim XPower Skin Super-Thin Power Case for iPhone 5 - Black</t>
  </si>
  <si>
    <t>CA-2020-145429</t>
  </si>
  <si>
    <t>CA-2020-118724</t>
  </si>
  <si>
    <t>CA-2020-145093</t>
  </si>
  <si>
    <t>US-2020-127719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</si>
  <si>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</si>
  <si>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</si>
  <si>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</si>
  <si>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</si>
  <si>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</si>
  <si>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</si>
  <si>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CA-2020-118346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</si>
  <si>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</si>
  <si>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</si>
  <si>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</si>
  <si>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</si>
  <si>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</si>
  <si>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</si>
  <si>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</si>
  <si>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</si>
  <si>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</si>
  <si>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</si>
  <si>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</si>
  <si>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</si>
  <si>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</si>
  <si>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</si>
  <si>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</si>
  <si>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</si>
  <si>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</si>
  <si>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</si>
  <si>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</si>
  <si>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</si>
  <si>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</si>
  <si>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</si>
  <si>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</si>
  <si>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</si>
  <si>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</si>
  <si>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</si>
  <si>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</si>
  <si>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</si>
  <si>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</si>
  <si>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Economy Rollaway Files</t>
  </si>
  <si>
    <t>CA-2020-141103</t>
  </si>
  <si>
    <t>US-2020-165869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</si>
  <si>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</si>
  <si>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</si>
  <si>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</si>
  <si>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</si>
  <si>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</si>
  <si>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</si>
  <si>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</si>
  <si>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</si>
  <si>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</si>
  <si>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</si>
  <si>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</si>
  <si>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</si>
  <si>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</si>
  <si>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</si>
  <si>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</si>
  <si>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</si>
  <si>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</si>
  <si>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</si>
  <si>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</si>
  <si>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</si>
  <si>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</si>
  <si>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Letter/Legal File Tote with Clear Snap-On Lid, Black Granite</t>
  </si>
  <si>
    <t>CA-2020-163566</t>
  </si>
  <si>
    <t>CA-2020-140781</t>
  </si>
  <si>
    <t>CA-2020-132738</t>
  </si>
  <si>
    <t>CA-2020-146367</t>
  </si>
  <si>
    <t>CA-2020-128328</t>
  </si>
  <si>
    <t>CA-2020-154676</t>
  </si>
  <si>
    <t>Tennsco Lockers, Sand</t>
  </si>
  <si>
    <t>CA-2020-117695</t>
  </si>
  <si>
    <t>CA-2020-168172</t>
  </si>
  <si>
    <t>CA-2020-136609</t>
  </si>
  <si>
    <t>CA-2020-161200</t>
  </si>
  <si>
    <t>CA-2020-151981</t>
  </si>
  <si>
    <t>CA-2020-156776</t>
  </si>
  <si>
    <t>CA-2020-163321</t>
  </si>
  <si>
    <t>CA-2020-158344</t>
  </si>
  <si>
    <t>CA-2020-117023</t>
  </si>
  <si>
    <t>CA-2020-110821</t>
  </si>
  <si>
    <t>US-2020-155999</t>
  </si>
  <si>
    <t>Global Enterprise Series Seating Low-Back Swivel/Tilt Chairs</t>
  </si>
  <si>
    <t>CA-2020-115175</t>
  </si>
  <si>
    <t>Polycom VoiceStation 500 Conference phone</t>
  </si>
  <si>
    <t>Mead 1st Gear 2" Zipper Binder, Asst. Colors</t>
  </si>
  <si>
    <t>CA-2020-143063</t>
  </si>
  <si>
    <t>CA-2020-145443</t>
  </si>
  <si>
    <t>CA-2020-139311</t>
  </si>
  <si>
    <t>CA-2020-160899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</si>
  <si>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</si>
  <si>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</si>
  <si>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</si>
  <si>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</si>
  <si>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</si>
  <si>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</si>
  <si>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</si>
  <si>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</si>
  <si>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</si>
  <si>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Xerox 2000</t>
  </si>
  <si>
    <t>US-2020-103828</t>
  </si>
  <si>
    <t>CA-2020-128363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</si>
  <si>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</si>
  <si>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</si>
  <si>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</si>
  <si>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</si>
  <si>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</si>
  <si>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</si>
  <si>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</si>
  <si>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</si>
  <si>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</si>
  <si>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</si>
  <si>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</si>
  <si>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</si>
  <si>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GBC Recycled Grain Textured Covers</t>
  </si>
  <si>
    <t>US-2020-111423</t>
  </si>
  <si>
    <t>CA-2020-118892</t>
  </si>
  <si>
    <t>CA-2020-133102</t>
  </si>
  <si>
    <t>Acco Side-Punched Conventional Columnar Pads</t>
  </si>
  <si>
    <t>CA-2020-119809</t>
  </si>
  <si>
    <t>CA-2020-117947</t>
  </si>
  <si>
    <t>Seth Thomas 14" Putty-Colored Wall Clock</t>
  </si>
  <si>
    <t>CA-2020-112809</t>
  </si>
  <si>
    <t>CA-2020-151358</t>
  </si>
  <si>
    <t>NF-18595</t>
  </si>
  <si>
    <t>Nicole Fjeld</t>
  </si>
  <si>
    <t>Fellowes Super Stor/Drawer Files</t>
  </si>
  <si>
    <t>CA-2020-121027</t>
  </si>
  <si>
    <t>Imation Bio 8GB USB Flash Drive Imation Corp</t>
  </si>
  <si>
    <t>Fellowes PB300 Plastic Comb Binding Machine</t>
  </si>
  <si>
    <t>CA-2020-122028</t>
  </si>
  <si>
    <t>CA-2020-163069</t>
  </si>
  <si>
    <t>CA-2020-162936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</si>
  <si>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</si>
  <si>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</si>
  <si>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</si>
  <si>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</si>
  <si>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</si>
  <si>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</si>
  <si>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</si>
  <si>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</si>
  <si>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</si>
  <si>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</si>
  <si>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</si>
  <si>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</si>
  <si>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</si>
  <si>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</si>
  <si>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</si>
  <si>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</si>
  <si>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</si>
  <si>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</si>
  <si>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</si>
  <si>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</si>
  <si>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</si>
  <si>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</si>
  <si>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</si>
  <si>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Newell 336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</si>
  <si>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</si>
  <si>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</si>
  <si>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</si>
  <si>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</si>
  <si>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</si>
  <si>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</si>
  <si>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</si>
  <si>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</si>
  <si>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</si>
  <si>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</si>
  <si>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</si>
  <si>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</si>
  <si>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</si>
  <si>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</si>
  <si>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CA-2020-163097</t>
  </si>
  <si>
    <t>US-2020-139465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</si>
  <si>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</si>
  <si>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</si>
  <si>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</si>
  <si>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</si>
  <si>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</si>
  <si>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</si>
  <si>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</si>
  <si>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Xerox 1981</t>
  </si>
  <si>
    <t>US-2020-169502</t>
  </si>
  <si>
    <t>CA-2020-126067</t>
  </si>
  <si>
    <t>CA-2020-146920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</si>
  <si>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</si>
  <si>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</si>
  <si>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</si>
  <si>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</si>
  <si>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</si>
  <si>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</si>
  <si>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</si>
  <si>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</si>
  <si>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</si>
  <si>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</si>
  <si>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</si>
  <si>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</si>
  <si>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</si>
  <si>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</si>
  <si>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</si>
  <si>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</si>
  <si>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</si>
  <si>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</si>
  <si>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</si>
  <si>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</si>
  <si>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</si>
  <si>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</si>
  <si>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</si>
  <si>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</si>
  <si>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</si>
  <si>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</si>
  <si>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</si>
  <si>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</si>
  <si>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</si>
  <si>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</si>
  <si>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</si>
  <si>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</si>
  <si>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</si>
  <si>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</si>
  <si>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</si>
  <si>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</si>
  <si>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</si>
  <si>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</si>
  <si>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</si>
  <si>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</si>
  <si>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</si>
  <si>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CA-2020-167626</t>
  </si>
  <si>
    <t>CA-2020-161557</t>
  </si>
  <si>
    <t>US-2020-153255</t>
  </si>
  <si>
    <t>"While you Were Out" Message Book, One Form per Page</t>
  </si>
  <si>
    <t>CA-2020-161823</t>
  </si>
  <si>
    <t>CA-2020-146136</t>
  </si>
  <si>
    <t>US-2020-122637</t>
  </si>
  <si>
    <t>US-2020-147655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</si>
  <si>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</si>
  <si>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</si>
  <si>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</si>
  <si>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</si>
  <si>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</si>
  <si>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</si>
  <si>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Bush Birmingham Collection Bookcase, Dark Cherry</t>
  </si>
  <si>
    <t>CA-2020-102750</t>
  </si>
  <si>
    <t>CA-2020-116680</t>
  </si>
  <si>
    <t>CA-2020-109757</t>
  </si>
  <si>
    <t>CA-2020-152485</t>
  </si>
  <si>
    <t>CA-2020-101182</t>
  </si>
  <si>
    <t>Xerox 220</t>
  </si>
  <si>
    <t>CA-2020-117394</t>
  </si>
  <si>
    <t>CA-2020-100783</t>
  </si>
  <si>
    <t>CA-2020-137582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</si>
  <si>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</si>
  <si>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</si>
  <si>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</si>
  <si>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</si>
  <si>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</si>
  <si>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</si>
  <si>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</si>
  <si>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</si>
  <si>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</si>
  <si>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</si>
  <si>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</si>
  <si>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</si>
  <si>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Motorla HX550 Universal Bluetooth Headset</t>
  </si>
  <si>
    <t>DataProducts Ampli Magnifier Task Lamp, Black,</t>
  </si>
  <si>
    <t>US-2020-150070</t>
  </si>
  <si>
    <t>CA-2020-124401</t>
  </si>
  <si>
    <t>Konftel 250 Conference phone - Charcoal black</t>
  </si>
  <si>
    <t>CA-2020-148929</t>
  </si>
  <si>
    <t>CA-2020-103877</t>
  </si>
  <si>
    <t>CA-2020-100160</t>
  </si>
  <si>
    <t>CA-2020-163692</t>
  </si>
  <si>
    <t>US-2020-104094</t>
  </si>
  <si>
    <t>US-2020-169488</t>
  </si>
  <si>
    <t>Avoid Verbal Orders Carbonless Minifold Book</t>
  </si>
  <si>
    <t>CA-2020-107244</t>
  </si>
  <si>
    <t>US-2020-129441</t>
  </si>
  <si>
    <t>CA-2020-100335</t>
  </si>
  <si>
    <t>CA-2020-144456</t>
  </si>
  <si>
    <t>Decoflex Hanging Personal Folder File, Blue</t>
  </si>
  <si>
    <t>CA-2020-152856</t>
  </si>
  <si>
    <t>US-2020-124779</t>
  </si>
  <si>
    <t>CA-2020-149895</t>
  </si>
  <si>
    <t>US-2020-124968</t>
  </si>
  <si>
    <t>BoxOffice By Design Rectangular and Half-Moon Meeting Room Tables</t>
  </si>
  <si>
    <t>CA-2020-158036</t>
  </si>
  <si>
    <t>Imation Swivel Flash Drive USB flash drive - 8 GB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</si>
  <si>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</si>
  <si>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</si>
  <si>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</si>
  <si>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</si>
  <si>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</si>
  <si>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</si>
  <si>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</si>
  <si>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</si>
  <si>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</si>
  <si>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</si>
  <si>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</si>
  <si>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</si>
  <si>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</si>
  <si>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</si>
  <si>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#10- 4 1/8" x 9 1/2" Recycled Envelopes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</si>
  <si>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</si>
  <si>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</si>
  <si>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</si>
  <si>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</si>
  <si>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</si>
  <si>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</si>
  <si>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</si>
  <si>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</si>
  <si>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CA-2020-128370</t>
  </si>
  <si>
    <t>CA-2020-152093</t>
  </si>
  <si>
    <t>CA-2020-159954</t>
  </si>
  <si>
    <t>SS-20410</t>
  </si>
  <si>
    <t>Shahid Shariari</t>
  </si>
  <si>
    <t>Wilson Jones Suede Grain Vinyl Binders</t>
  </si>
  <si>
    <t>CA-2020-122280</t>
  </si>
  <si>
    <t>Acco 6 Outlet Guardian Standard Surge Suppressor</t>
  </si>
  <si>
    <t>CA-2020-126438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</si>
  <si>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</si>
  <si>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</si>
  <si>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</si>
  <si>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</si>
  <si>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</si>
  <si>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</si>
  <si>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</si>
  <si>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</si>
  <si>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</si>
  <si>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</si>
  <si>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Hon Pagoda Stacking Chairs</t>
  </si>
  <si>
    <t>CA-2020-117044</t>
  </si>
  <si>
    <t>CA-2020-112774</t>
  </si>
  <si>
    <t>US-2020-152898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</si>
  <si>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</si>
  <si>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</si>
  <si>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</si>
  <si>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</si>
  <si>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</si>
  <si>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</si>
  <si>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</si>
  <si>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</si>
  <si>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</si>
  <si>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</si>
  <si>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</si>
  <si>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</si>
  <si>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</si>
  <si>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</si>
  <si>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Lexmark MarkNet N8150 Wireless Print Server</t>
  </si>
  <si>
    <t>CA-2020-130302</t>
  </si>
  <si>
    <t>CA-2020-108931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</si>
  <si>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</si>
  <si>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</si>
  <si>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</si>
  <si>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</si>
  <si>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</si>
  <si>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</si>
  <si>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</si>
  <si>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</si>
  <si>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</si>
  <si>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</si>
  <si>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Wilson Jones Heavy-Duty Casebound Ring Binders with Metal Hinges</t>
  </si>
  <si>
    <t>CA-2020-165008</t>
  </si>
  <si>
    <t>CA-2020-127096</t>
  </si>
  <si>
    <t>CA-2020-132353</t>
  </si>
  <si>
    <t>Plantronics 81402</t>
  </si>
  <si>
    <t>Cardinal Poly Pocket Divider Pockets for Ring Binders</t>
  </si>
  <si>
    <t>CA-2020-146185</t>
  </si>
  <si>
    <t>CA-2020-134418</t>
  </si>
  <si>
    <t>CA-2020-163020</t>
  </si>
  <si>
    <t>Avery Hi-Liter EverBold Pen Style Fluorescent Highlighters, 4/Pack</t>
  </si>
  <si>
    <t>CA-2020-139822</t>
  </si>
  <si>
    <t>Eldon ProFile File 'N Store Portable File Tub Letter/Legal Size Black</t>
  </si>
  <si>
    <t>CA-2020-130043</t>
  </si>
  <si>
    <t>Xerox 1897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</si>
  <si>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</si>
  <si>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</si>
  <si>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</si>
  <si>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</si>
  <si>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</si>
  <si>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</si>
  <si>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</si>
  <si>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</si>
  <si>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</si>
  <si>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CA-2020-157931</t>
  </si>
  <si>
    <t>CA-2020-112515</t>
  </si>
  <si>
    <t>CA-2020-105669</t>
  </si>
  <si>
    <t>CA-2020-126928</t>
  </si>
  <si>
    <t>Lexmark 20R1285 X6650 Wireless All-in-One Printer</t>
  </si>
  <si>
    <t>Global Adaptabilites Bookcase, Cherry/Storm Gray Finish</t>
  </si>
  <si>
    <t>Avery 514</t>
  </si>
  <si>
    <t>CA-2020-137470</t>
  </si>
  <si>
    <t>Xerox 1984</t>
  </si>
  <si>
    <t>CA-2020-166856</t>
  </si>
  <si>
    <t>CA-2020-164756</t>
  </si>
  <si>
    <t>CA-2020-140508</t>
  </si>
  <si>
    <t>CA-2020-106180</t>
  </si>
  <si>
    <t>CA-2020-148068</t>
  </si>
  <si>
    <t>CA-2020-134439</t>
  </si>
  <si>
    <t>CA-2020-131016</t>
  </si>
  <si>
    <t>CA-2020-133333</t>
  </si>
  <si>
    <t>Master Caster Door Stop, Gray</t>
  </si>
  <si>
    <t>Post-it “Important Message” Note Pad, Neon Colors, 50 Sheets/Pad</t>
  </si>
  <si>
    <t>CA-2020-143378</t>
  </si>
  <si>
    <t>CA-2020-153822</t>
  </si>
  <si>
    <t>CA-2020-139619</t>
  </si>
  <si>
    <t>CA-2020-102974</t>
  </si>
  <si>
    <t>CA-2020-160801</t>
  </si>
  <si>
    <t>US-2020-148866</t>
  </si>
  <si>
    <t>CA-2020-139787</t>
  </si>
  <si>
    <t>CA-2020-100111</t>
  </si>
  <si>
    <t>Logitech Wireless Boombox Speaker - portable - wireless, wired</t>
  </si>
  <si>
    <t>CA-2020-132262</t>
  </si>
  <si>
    <t>ML-18265</t>
  </si>
  <si>
    <t>Muhammed Lee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</si>
  <si>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</si>
  <si>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</si>
  <si>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</si>
  <si>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</si>
  <si>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</si>
  <si>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</si>
  <si>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</si>
  <si>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</si>
  <si>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</si>
  <si>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</si>
  <si>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AT&amp;T CL82213</t>
  </si>
  <si>
    <t>CA-2020-167381</t>
  </si>
  <si>
    <t>Xerox 1940</t>
  </si>
  <si>
    <t>CA-2020-122196</t>
  </si>
  <si>
    <t>CA-2020-161053</t>
  </si>
  <si>
    <t>CA-2020-162789</t>
  </si>
  <si>
    <t>CA-2020-161970</t>
  </si>
  <si>
    <t>Stride Job 150 Highlighters, Chisel Tip, Assorted Colors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</si>
  <si>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</si>
  <si>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</si>
  <si>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</si>
  <si>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</si>
  <si>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</si>
  <si>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</si>
  <si>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</si>
  <si>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</si>
  <si>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</si>
  <si>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</si>
  <si>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</si>
  <si>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</si>
  <si>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CA-2020-121314</t>
  </si>
  <si>
    <t>CA-2020-117485</t>
  </si>
  <si>
    <t>CA-2020-103520</t>
  </si>
  <si>
    <t>CA-2020-138422</t>
  </si>
  <si>
    <t>Wausau Papers Astrobrights Colored Envelopes</t>
  </si>
  <si>
    <t>US-2020-125647</t>
  </si>
  <si>
    <t>OtterBox Commuter Series Case - Samsung Galaxy S4</t>
  </si>
  <si>
    <t>CA-2020-121412</t>
  </si>
  <si>
    <t>US-2020-132675</t>
  </si>
  <si>
    <t>CA-2020-142034</t>
  </si>
  <si>
    <t>CA-2020-108910</t>
  </si>
  <si>
    <t>CA-2020-142391</t>
  </si>
  <si>
    <t>CA-2020-144694</t>
  </si>
  <si>
    <t>CA-2020-160325</t>
  </si>
  <si>
    <t>CA-2020-134096</t>
  </si>
  <si>
    <t>CA-2020-122364</t>
  </si>
  <si>
    <t>Socket Bluetooth Cordless Hand Scanner (CHS)</t>
  </si>
  <si>
    <t>CA-2020-148411</t>
  </si>
  <si>
    <t>CA-2020-121839</t>
  </si>
  <si>
    <t>CA-2020-130148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</si>
  <si>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</si>
  <si>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</si>
  <si>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</si>
  <si>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</si>
  <si>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</si>
  <si>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</si>
  <si>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</si>
  <si>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</si>
  <si>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</si>
  <si>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CA-2020-129490</t>
  </si>
  <si>
    <t>US-2020-106145</t>
  </si>
  <si>
    <t>CA-2020-156391</t>
  </si>
  <si>
    <t>US-2020-125717</t>
  </si>
  <si>
    <t>CA-2020-101574</t>
  </si>
  <si>
    <t>CA-2020-160017</t>
  </si>
  <si>
    <t>CA-2020-152205</t>
  </si>
  <si>
    <t>US-2020-139955</t>
  </si>
  <si>
    <t>CA-2020-121300</t>
  </si>
  <si>
    <t>CA-2020-140186</t>
  </si>
  <si>
    <t>CA-2020-137918</t>
  </si>
  <si>
    <t>US-2020-141509</t>
  </si>
  <si>
    <t>CA-2020-118402</t>
  </si>
  <si>
    <t>CA-2020-100314</t>
  </si>
  <si>
    <t>Wasp CCD Handheld Bar Code Reader</t>
  </si>
  <si>
    <t>Riverside Furniture Stanwyck Manor Table Series</t>
  </si>
  <si>
    <t>CA-2020-126676</t>
  </si>
  <si>
    <t>CA-2020-128335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</si>
  <si>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</si>
  <si>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</si>
  <si>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</si>
  <si>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</si>
  <si>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</si>
  <si>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</si>
  <si>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</si>
  <si>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</si>
  <si>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Self-Adhesive Address Labels for Typewriters with Dispenser Box</t>
  </si>
  <si>
    <t>CA-2020-156951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</si>
  <si>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</si>
  <si>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</si>
  <si>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</si>
  <si>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</si>
  <si>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</si>
  <si>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</si>
  <si>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</si>
  <si>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</si>
  <si>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</si>
  <si>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</si>
  <si>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</si>
  <si>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</si>
  <si>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</si>
  <si>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</si>
  <si>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</si>
  <si>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</si>
  <si>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</si>
  <si>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</si>
  <si>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</si>
  <si>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</si>
  <si>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</si>
  <si>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</si>
  <si>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</si>
  <si>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</si>
  <si>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Xerox 208</t>
  </si>
  <si>
    <t>CA-2020-144820</t>
  </si>
  <si>
    <t>CA-2020-134607</t>
  </si>
  <si>
    <t>CA-2020-163818</t>
  </si>
  <si>
    <t>CA-2020-131807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</si>
  <si>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</si>
  <si>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</si>
  <si>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</si>
  <si>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</si>
  <si>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</si>
  <si>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</si>
  <si>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</si>
  <si>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</si>
  <si>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</si>
  <si>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CA-2020-146269</t>
  </si>
  <si>
    <t>US-2020-136868</t>
  </si>
  <si>
    <t>Logitech G430 Surround Sound Gaming Headset with Dolby 7.1 Technology</t>
  </si>
  <si>
    <t>CA-2020-137421</t>
  </si>
  <si>
    <t>CA-2020-109099</t>
  </si>
  <si>
    <t>CA-2020-152709</t>
  </si>
  <si>
    <t>CA-2020-108574</t>
  </si>
  <si>
    <t>CA-2020-148404</t>
  </si>
  <si>
    <t>CA-2020-104003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</si>
  <si>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</si>
  <si>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</si>
  <si>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</si>
  <si>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</si>
  <si>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</si>
  <si>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</si>
  <si>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CA-2020-141873</t>
  </si>
  <si>
    <t>US-2020-117247</t>
  </si>
  <si>
    <t>CA-2020-162635</t>
  </si>
  <si>
    <t>TOPS 4 x 6 Fluorescent Color Memo Sheets, 500 Sheets per Pack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</si>
  <si>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</si>
  <si>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</si>
  <si>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</si>
  <si>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</si>
  <si>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</si>
  <si>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</si>
  <si>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</si>
  <si>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</si>
  <si>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</si>
  <si>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</si>
  <si>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</si>
  <si>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</si>
  <si>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Xerox 1989</t>
  </si>
  <si>
    <t>CA-2020-169607</t>
  </si>
  <si>
    <t>CA-2020-169362</t>
  </si>
  <si>
    <t>CA-2020-163160</t>
  </si>
  <si>
    <t>CA-2020-135909</t>
  </si>
  <si>
    <t>US-2020-148831</t>
  </si>
  <si>
    <t>CA-2020-116519</t>
  </si>
  <si>
    <t>CA-2020-103212</t>
  </si>
  <si>
    <t>CA-2020-132976</t>
  </si>
  <si>
    <t>Avery 489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</si>
  <si>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</si>
  <si>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</si>
  <si>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</si>
  <si>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</si>
  <si>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</si>
  <si>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</si>
  <si>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</si>
  <si>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</si>
  <si>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Panasonic KP-310 Heavy-Duty Electric Pencil Sharpener</t>
  </si>
  <si>
    <t>CA-2020-142643</t>
  </si>
  <si>
    <t>CA-2020-113670</t>
  </si>
  <si>
    <t>CA-2020-154949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</si>
  <si>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</si>
  <si>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</si>
  <si>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</si>
  <si>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</si>
  <si>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</si>
  <si>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</si>
  <si>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</si>
  <si>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</si>
  <si>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</si>
  <si>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</si>
  <si>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</si>
  <si>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</si>
  <si>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</si>
  <si>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</si>
  <si>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</si>
  <si>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2300 Heavy-Duty Transfer File Systems by Perma</t>
  </si>
  <si>
    <t>CA-2020-114804</t>
  </si>
  <si>
    <t>CA-2020-117653</t>
  </si>
  <si>
    <t>CA-2020-125199</t>
  </si>
  <si>
    <t>CA-2020-106432</t>
  </si>
  <si>
    <t>Rush Hierlooms Collection Rich Wood Bookcases</t>
  </si>
  <si>
    <t>US-2020-120390</t>
  </si>
  <si>
    <t>CA-2020-131492</t>
  </si>
  <si>
    <t>HH-15010</t>
  </si>
  <si>
    <t>Hilary Holden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</si>
  <si>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</si>
  <si>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</si>
  <si>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</si>
  <si>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</si>
  <si>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</si>
  <si>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</si>
  <si>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</si>
  <si>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</si>
  <si>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</si>
  <si>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</si>
  <si>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</si>
  <si>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</si>
  <si>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</si>
  <si>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</si>
  <si>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</si>
  <si>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</si>
  <si>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</si>
  <si>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</si>
  <si>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</si>
  <si>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</si>
  <si>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</si>
  <si>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</si>
  <si>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</si>
  <si>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</si>
  <si>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</si>
  <si>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CA-2020-101581</t>
  </si>
  <si>
    <t>CA-2020-130211</t>
  </si>
  <si>
    <t>Fellowes Recycled Storage Drawers</t>
  </si>
  <si>
    <t>CA-2020-130141</t>
  </si>
  <si>
    <t>Office Star - Ergonomic Mid Back Chair with 2-Way Adjustable Arms</t>
  </si>
  <si>
    <t>CA-2020-127180</t>
  </si>
  <si>
    <t>CA-2020-156363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</si>
  <si>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</si>
  <si>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</si>
  <si>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</si>
  <si>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</si>
  <si>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</si>
  <si>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</si>
  <si>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</si>
  <si>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</si>
  <si>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</si>
  <si>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</si>
  <si>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</si>
  <si>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</si>
  <si>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</si>
  <si>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Xerox 1969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</si>
  <si>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</si>
  <si>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</si>
  <si>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</si>
  <si>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</si>
  <si>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</si>
  <si>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</si>
  <si>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</si>
  <si>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</si>
  <si>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</si>
  <si>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</si>
  <si>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</si>
  <si>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</si>
  <si>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</si>
  <si>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</si>
  <si>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</si>
  <si>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</si>
  <si>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</si>
  <si>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</si>
  <si>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</si>
  <si>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</si>
  <si>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</si>
  <si>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</si>
  <si>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</si>
  <si>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</si>
  <si>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</si>
  <si>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</si>
  <si>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</si>
  <si>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</si>
  <si>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</si>
  <si>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</si>
  <si>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</si>
  <si>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</si>
  <si>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</si>
  <si>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</si>
  <si>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</si>
  <si>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</si>
  <si>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</si>
  <si>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</si>
  <si>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US-2020-115609</t>
  </si>
  <si>
    <t>CA-2020-120061</t>
  </si>
  <si>
    <t>CA-2020-141425</t>
  </si>
  <si>
    <t>US-2020-163790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</si>
  <si>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</si>
  <si>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</si>
  <si>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</si>
  <si>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</si>
  <si>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</si>
  <si>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</si>
  <si>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</si>
  <si>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</si>
  <si>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</si>
  <si>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</si>
  <si>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</si>
  <si>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</si>
  <si>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</si>
  <si>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</si>
  <si>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</si>
  <si>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</si>
  <si>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</si>
  <si>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</si>
  <si>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</si>
  <si>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</si>
  <si>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</si>
  <si>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</si>
  <si>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</si>
  <si>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</si>
  <si>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</si>
  <si>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</si>
  <si>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</si>
  <si>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CA-2020-102610</t>
  </si>
  <si>
    <t>US-2020-168116</t>
  </si>
  <si>
    <t>GT-14635</t>
  </si>
  <si>
    <t>Grant Thornton</t>
  </si>
  <si>
    <t>US-2020-122672</t>
  </si>
  <si>
    <t>CA-2020-147760</t>
  </si>
  <si>
    <t>Cubify CubeX 3D Printer Triple Head Print</t>
  </si>
  <si>
    <t>CA-2020-121160</t>
  </si>
  <si>
    <t>Self-Adhesive Ring Binder Labels</t>
  </si>
  <si>
    <t>US-2020-156083</t>
  </si>
  <si>
    <t>CA-2020-105144</t>
  </si>
  <si>
    <t>CA-2020-159135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</si>
  <si>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</si>
  <si>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</si>
  <si>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</si>
  <si>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</si>
  <si>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</si>
  <si>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</si>
  <si>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</si>
  <si>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</si>
  <si>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</si>
  <si>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</si>
  <si>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</si>
  <si>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</si>
  <si>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</si>
  <si>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</si>
  <si>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</si>
  <si>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</si>
  <si>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</si>
  <si>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</si>
  <si>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SANFORD Liquid Accent Tank-Style Highlighters</t>
  </si>
  <si>
    <t>CA-2020-125290</t>
  </si>
  <si>
    <t>US-2020-153948</t>
  </si>
  <si>
    <t>CA-2020-150504</t>
  </si>
  <si>
    <t>CA-2020-107720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</si>
  <si>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</si>
  <si>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</si>
  <si>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</si>
  <si>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</si>
  <si>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</si>
  <si>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</si>
  <si>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</si>
  <si>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Plantronics CS 50-USB - headset - Convertible, Monaural</t>
  </si>
  <si>
    <t>CA-2020-113572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</si>
  <si>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</si>
  <si>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</si>
  <si>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</si>
  <si>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</si>
  <si>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</si>
  <si>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</si>
  <si>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</si>
  <si>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CA-2020-161018</t>
  </si>
  <si>
    <t>CA-2020-159667</t>
  </si>
  <si>
    <t>CA-2020-158246</t>
  </si>
  <si>
    <t>CA-2020-119494</t>
  </si>
  <si>
    <t>CA-2020-152912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</si>
  <si>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</si>
  <si>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</si>
  <si>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</si>
  <si>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</si>
  <si>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</si>
  <si>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</si>
  <si>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</si>
  <si>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</si>
  <si>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DYMO CardScan Personal V9 Business Card Scanner</t>
  </si>
  <si>
    <t>CA-2020-137624</t>
  </si>
  <si>
    <t>CA-2020-161739</t>
  </si>
  <si>
    <t>Tenex Antistatic Computer Chair Mats</t>
  </si>
  <si>
    <t>US-2020-128447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</si>
  <si>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</si>
  <si>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</si>
  <si>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</si>
  <si>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</si>
  <si>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</si>
  <si>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</si>
  <si>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</si>
  <si>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</si>
  <si>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</si>
  <si>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</si>
  <si>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</si>
  <si>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</si>
  <si>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</si>
  <si>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</si>
  <si>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</si>
  <si>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</si>
  <si>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</si>
  <si>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</si>
  <si>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</si>
  <si>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</si>
  <si>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</si>
  <si>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</si>
  <si>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Tenex V2T-RE Standard Weight Series Chair Mat, 45" x 53", Lip 25" x 12"</t>
  </si>
  <si>
    <t>CA-2020-130386</t>
  </si>
  <si>
    <t>NG-18430</t>
  </si>
  <si>
    <t>Nathan Gelder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</si>
  <si>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</si>
  <si>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</si>
  <si>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</si>
  <si>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</si>
  <si>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</si>
  <si>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</si>
  <si>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</si>
  <si>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</si>
  <si>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</si>
  <si>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</si>
  <si>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</si>
  <si>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</si>
  <si>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</si>
  <si>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</si>
  <si>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</si>
  <si>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</si>
  <si>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</si>
  <si>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</si>
  <si>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</si>
  <si>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Epson TM-T88V Direct Thermal Printer - Monochrome - Desktop</t>
  </si>
  <si>
    <t>CA-2020-165204</t>
  </si>
  <si>
    <t>US-2020-153633</t>
  </si>
  <si>
    <t>US-2020-124926</t>
  </si>
  <si>
    <t>CA-2020-133620</t>
  </si>
  <si>
    <t>US-2020-140312</t>
  </si>
  <si>
    <t>CA-2020-123624</t>
  </si>
  <si>
    <t>CA-2020-137323</t>
  </si>
  <si>
    <t>CA-2020-138611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</si>
  <si>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</si>
  <si>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</si>
  <si>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</si>
  <si>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</si>
  <si>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</si>
  <si>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</si>
  <si>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</si>
  <si>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</si>
  <si>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</si>
  <si>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</si>
  <si>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</si>
  <si>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</si>
  <si>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</si>
  <si>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</si>
  <si>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</si>
  <si>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</si>
  <si>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</si>
  <si>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CA-2020-122945</t>
  </si>
  <si>
    <t>CA-2020-108091</t>
  </si>
  <si>
    <t>EK-13795</t>
  </si>
  <si>
    <t>Eileen Kiefer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</si>
  <si>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</si>
  <si>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</si>
  <si>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</si>
  <si>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</si>
  <si>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</si>
  <si>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</si>
  <si>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</si>
  <si>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Xerox 1938</t>
  </si>
  <si>
    <t>CA-2020-124674</t>
  </si>
  <si>
    <t>CA-2020-128265</t>
  </si>
  <si>
    <t>CA-2020-166709</t>
  </si>
  <si>
    <t>CA-2020-118122</t>
  </si>
  <si>
    <t>CA-2020-158120</t>
  </si>
  <si>
    <t>US-2020-116505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</si>
  <si>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</si>
  <si>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</si>
  <si>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</si>
  <si>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</si>
  <si>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</si>
  <si>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</si>
  <si>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</si>
  <si>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CA-2020-167871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</si>
  <si>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</si>
  <si>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</si>
  <si>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</si>
  <si>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</si>
  <si>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</si>
  <si>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</si>
  <si>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</si>
  <si>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</si>
  <si>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US-2020-137491</t>
  </si>
  <si>
    <t>CA-2020-126242</t>
  </si>
  <si>
    <t>CA-2020-112529</t>
  </si>
  <si>
    <t>CA-2020-101042</t>
  </si>
  <si>
    <t>CA-2020-168858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</si>
  <si>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</si>
  <si>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</si>
  <si>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</si>
  <si>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</si>
  <si>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</si>
  <si>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</si>
  <si>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</si>
  <si>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Executive Impressions 13-1/2" Indoor/Outdoor Wall Clock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</si>
  <si>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</si>
  <si>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</si>
  <si>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</si>
  <si>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</si>
  <si>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</si>
  <si>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</si>
  <si>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</si>
  <si>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</si>
  <si>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</si>
  <si>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Novimex High-Tech Fabric Mesh Task Chair</t>
  </si>
  <si>
    <t>CA-2020-120404</t>
  </si>
  <si>
    <t>CA-2020-121818</t>
  </si>
  <si>
    <t>CA-2020-154123</t>
  </si>
  <si>
    <t>CA-2020-146724</t>
  </si>
  <si>
    <t>Sanford Uni-Blazer View Highlighters, Chisel Tip, Yellow</t>
  </si>
  <si>
    <t>CA-2020-110443</t>
  </si>
  <si>
    <t>CA-2020-103380</t>
  </si>
  <si>
    <t>3D Systems Cube Printer, 2nd Generation, White</t>
  </si>
  <si>
    <t>CA-2020-105130</t>
  </si>
  <si>
    <t>CA-2020-100811</t>
  </si>
  <si>
    <t>CA-2020-107874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</si>
  <si>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</si>
  <si>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</si>
  <si>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</si>
  <si>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</si>
  <si>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</si>
  <si>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</si>
  <si>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</si>
  <si>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</si>
  <si>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</si>
  <si>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CA-2020-167017</t>
  </si>
  <si>
    <t>CA-2020-107832</t>
  </si>
  <si>
    <t>Speck Products Candyshell Flip Case</t>
  </si>
  <si>
    <t>CA-2020-148992</t>
  </si>
  <si>
    <t>CA-2020-103156</t>
  </si>
  <si>
    <t>US-2020-128118</t>
  </si>
  <si>
    <t>CA-2020-128300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</si>
  <si>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</si>
  <si>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</si>
  <si>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</si>
  <si>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</si>
  <si>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</si>
  <si>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</si>
  <si>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</si>
  <si>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</si>
  <si>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</si>
  <si>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</si>
  <si>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</si>
  <si>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</si>
  <si>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</si>
  <si>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</si>
  <si>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</si>
  <si>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</si>
  <si>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</si>
  <si>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</si>
  <si>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</si>
  <si>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</si>
  <si>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</si>
  <si>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</si>
  <si>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</si>
  <si>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</si>
  <si>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</si>
  <si>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</si>
  <si>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</si>
  <si>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</si>
  <si>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</si>
  <si>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</si>
  <si>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</si>
  <si>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</si>
  <si>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</si>
  <si>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</si>
  <si>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</si>
  <si>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</si>
  <si>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</si>
  <si>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</si>
  <si>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</si>
  <si>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</si>
  <si>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</si>
  <si>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</si>
  <si>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</si>
  <si>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</si>
  <si>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</si>
  <si>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</si>
  <si>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</si>
  <si>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</si>
  <si>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</si>
  <si>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Panasonic Business Telephones KX-T7736</t>
  </si>
  <si>
    <t>US-2020-120089</t>
  </si>
  <si>
    <t>US-2020-165456</t>
  </si>
  <si>
    <t>CA-2020-102267</t>
  </si>
  <si>
    <t>CA-2020-107314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</si>
  <si>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</si>
  <si>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</si>
  <si>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</si>
  <si>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</si>
  <si>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</si>
  <si>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</si>
  <si>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</si>
  <si>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</si>
  <si>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</si>
  <si>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</si>
  <si>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</si>
  <si>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</si>
  <si>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</si>
  <si>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</si>
  <si>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</si>
  <si>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</si>
  <si>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</si>
  <si>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</si>
  <si>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</si>
  <si>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</si>
  <si>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</si>
  <si>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</si>
  <si>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</si>
  <si>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</si>
  <si>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</si>
  <si>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</si>
  <si>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</si>
  <si>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</si>
  <si>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</si>
  <si>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Sanford 52201 APSCO Electric Pencil Sharpener</t>
  </si>
  <si>
    <t>CA-2020-164917</t>
  </si>
  <si>
    <t>CA-2020-155089</t>
  </si>
  <si>
    <t>US-2020-108063</t>
  </si>
  <si>
    <t>CA-2020-147767</t>
  </si>
  <si>
    <t>CA-2020-148691</t>
  </si>
  <si>
    <t>CA-2020-118017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</si>
  <si>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</si>
  <si>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</si>
  <si>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</si>
  <si>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</si>
  <si>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</si>
  <si>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</si>
  <si>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</si>
  <si>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</si>
  <si>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</si>
  <si>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</si>
  <si>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</si>
  <si>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</si>
  <si>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</si>
  <si>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</si>
  <si>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CA-2020-147550</t>
  </si>
  <si>
    <t>CA-2020-156412</t>
  </si>
  <si>
    <t>Tensor "Hersey Kiss" Styled Floor Lamp</t>
  </si>
  <si>
    <t>Xerox 1956</t>
  </si>
  <si>
    <t>CA-2020-153227</t>
  </si>
  <si>
    <t>CA-2020-152660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</si>
  <si>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</si>
  <si>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</si>
  <si>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</si>
  <si>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</si>
  <si>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</si>
  <si>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</si>
  <si>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</si>
  <si>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</si>
  <si>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</si>
  <si>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</si>
  <si>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</si>
  <si>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</si>
  <si>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</si>
  <si>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</si>
  <si>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</si>
  <si>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</si>
  <si>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</si>
  <si>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</si>
  <si>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</si>
  <si>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</si>
  <si>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</si>
  <si>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</si>
  <si>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</si>
  <si>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</si>
  <si>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</si>
  <si>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</si>
  <si>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</si>
  <si>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</si>
  <si>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</si>
  <si>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</si>
  <si>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</si>
  <si>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</si>
  <si>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</si>
  <si>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</si>
  <si>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</si>
  <si>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</si>
  <si>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</si>
  <si>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</si>
  <si>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</si>
  <si>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</si>
  <si>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</si>
  <si>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</si>
  <si>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</si>
  <si>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</si>
  <si>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</si>
  <si>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</si>
  <si>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</si>
  <si>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</si>
  <si>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</si>
  <si>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</si>
  <si>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</si>
  <si>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</si>
  <si>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</si>
  <si>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</si>
  <si>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</si>
  <si>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CA-2020-167150</t>
  </si>
  <si>
    <t>CA-2020-157651</t>
  </si>
  <si>
    <t>CA-2020-108294</t>
  </si>
  <si>
    <t>CA-2020-158967</t>
  </si>
  <si>
    <t>CA-2020-168389</t>
  </si>
  <si>
    <t>CA-2020-149706</t>
  </si>
  <si>
    <t>CA-2020-100230</t>
  </si>
  <si>
    <t>CA-2020-129581</t>
  </si>
  <si>
    <t>CA-2020-162565</t>
  </si>
  <si>
    <t>CA-2020-153871</t>
  </si>
  <si>
    <t>CA-2020-142776</t>
  </si>
  <si>
    <t>Pastel Pink Envelopes</t>
  </si>
  <si>
    <t>CA-2020-165099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</si>
  <si>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</si>
  <si>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</si>
  <si>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</si>
  <si>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</si>
  <si>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</si>
  <si>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</si>
  <si>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</si>
  <si>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</si>
  <si>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</si>
  <si>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</si>
  <si>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</si>
  <si>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</si>
  <si>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</si>
  <si>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</si>
  <si>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</si>
  <si>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</si>
  <si>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</si>
  <si>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</si>
  <si>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</si>
  <si>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</si>
  <si>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</si>
  <si>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</si>
  <si>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</si>
  <si>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</si>
  <si>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</si>
  <si>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</si>
  <si>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</si>
  <si>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</si>
  <si>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</si>
  <si>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</si>
  <si>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</si>
  <si>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</si>
  <si>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</si>
  <si>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</si>
  <si>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</si>
  <si>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</si>
  <si>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</si>
  <si>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</si>
  <si>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</si>
  <si>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</si>
  <si>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</si>
  <si>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</si>
  <si>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</si>
  <si>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</si>
  <si>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</si>
  <si>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</si>
  <si>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</si>
  <si>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</si>
  <si>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</si>
  <si>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</si>
  <si>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</si>
  <si>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</si>
  <si>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</si>
  <si>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</si>
  <si>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</si>
  <si>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</si>
  <si>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</si>
  <si>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</si>
  <si>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</si>
  <si>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</si>
  <si>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</si>
  <si>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</si>
  <si>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</si>
  <si>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</si>
  <si>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</si>
  <si>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</si>
  <si>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</si>
  <si>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</si>
  <si>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</si>
  <si>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</si>
  <si>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</si>
  <si>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</si>
  <si>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</si>
  <si>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</si>
  <si>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</si>
  <si>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</si>
  <si>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</si>
  <si>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</si>
  <si>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</si>
  <si>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Binney &amp; Smith Crayola Metallic Crayons, 16-Color Pack</t>
  </si>
  <si>
    <t>CA-2020-110625</t>
  </si>
  <si>
    <t>CA-2020-145219</t>
  </si>
  <si>
    <t>RM-19675</t>
  </si>
  <si>
    <t>Robert Marley</t>
  </si>
  <si>
    <t>CA-2020-124296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</si>
  <si>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</si>
  <si>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</si>
  <si>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</si>
  <si>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</si>
  <si>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</si>
  <si>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</si>
  <si>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</si>
  <si>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</si>
  <si>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</si>
  <si>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</si>
  <si>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</si>
  <si>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</si>
  <si>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</si>
  <si>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</si>
  <si>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</si>
  <si>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</si>
  <si>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</si>
  <si>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</si>
  <si>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</si>
  <si>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</si>
  <si>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</si>
  <si>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</si>
  <si>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</si>
  <si>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</si>
  <si>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</si>
  <si>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</si>
  <si>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</si>
  <si>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</si>
  <si>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</si>
  <si>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</si>
  <si>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</si>
  <si>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</si>
  <si>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</si>
  <si>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</si>
  <si>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</si>
  <si>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</si>
  <si>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</si>
  <si>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</si>
  <si>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</si>
  <si>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</si>
  <si>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</si>
  <si>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</si>
  <si>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</si>
  <si>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</si>
  <si>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Acco Glide Clips</t>
  </si>
  <si>
    <t>CA-2020-143259</t>
  </si>
  <si>
    <t>CA-2020-126221</t>
  </si>
  <si>
    <t>CA-2020-115427</t>
  </si>
  <si>
    <t>CA-2020-156720</t>
  </si>
  <si>
    <t>CA-2020-151450</t>
  </si>
  <si>
    <t>Profit Margin</t>
  </si>
  <si>
    <t>Sum of Sales</t>
  </si>
  <si>
    <t>Row Labels</t>
  </si>
  <si>
    <t>(blank)</t>
  </si>
  <si>
    <t>Grand Total</t>
  </si>
  <si>
    <t>&lt;01-01-2019</t>
  </si>
  <si>
    <t>2019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</si>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</sst>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14" formatCode="0.00%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Patil" refreshedDate="46063.996659606484" createdVersion="8" refreshedVersion="8" minRefreshableVersion="3" recordCount="5903" xr:uid="{653567B2-30E6-4C2E-A8EB-AE7CD2977583}">
  <cacheSource type="worksheet">
    <worksheetSource ref="A1:L1048576" sheet="Sheet1"/>
  </cacheSource>
  <cacheFields count="14">
    <cacheField name="Order ID" numFmtId="0">
      <sharedItems containsBlank="1"/>
    </cacheField>
    <cacheField name="Order Date" numFmtId="14">
      <sharedItems containsNonDate="0" containsDate="1" containsString="0" containsBlank="1" minDate="2019-01-01T00:00:00" maxDate="2021-01-01T00:00:00" count="644">
        <d v="2019-11-25T00:00:00"/>
        <d v="2020-11-04T00:00:00"/>
        <d v="2020-04-17T00:00:00"/>
        <d v="2020-12-07T00:00:00"/>
        <d v="2020-11-19T00:00:00"/>
        <d v="2019-04-08T00:00:00"/>
        <d v="2020-10-19T00:00:00"/>
        <d v="2020-08-13T00:00:00"/>
        <d v="2020-09-10T00:00:00"/>
        <d v="2020-01-12T00:00:00"/>
        <d v="2020-09-22T00:00:00"/>
        <d v="2020-10-02T00:00:00"/>
        <d v="2020-10-16T00:00:00"/>
        <d v="2019-10-06T00:00:00"/>
        <d v="2020-11-13T00:00:00"/>
        <d v="2019-07-28T00:00:00"/>
        <d v="2019-04-22T00:00:00"/>
        <d v="2019-03-03T00:00:00"/>
        <d v="2020-12-02T00:00:00"/>
        <d v="2019-09-03T00:00:00"/>
        <d v="2019-09-24T00:00:00"/>
        <d v="2020-11-30T00:00:00"/>
        <d v="2019-03-13T00:00:00"/>
        <d v="2020-08-17T00:00:00"/>
        <d v="2020-11-28T00:00:00"/>
        <d v="2020-09-08T00:00:00"/>
        <d v="2019-01-30T00:00:00"/>
        <d v="2019-10-13T00:00:00"/>
        <d v="2020-05-01T00:00:00"/>
        <d v="2020-07-18T00:00:00"/>
        <d v="2020-10-09T00:00:00"/>
        <d v="2020-11-10T00:00:00"/>
        <d v="2020-02-05T00:00:00"/>
        <d v="2020-12-11T00:00:00"/>
        <d v="2020-02-09T00:00:00"/>
        <d v="2020-09-16T00:00:00"/>
        <d v="2019-12-25T00:00:00"/>
        <d v="2020-09-09T00:00:00"/>
        <d v="2020-07-14T00:00:00"/>
        <d v="2019-12-23T00:00:00"/>
        <d v="2020-05-11T00:00:00"/>
        <d v="2019-06-04T00:00:00"/>
        <d v="2020-07-05T00:00:00"/>
        <d v="2019-08-21T00:00:00"/>
        <d v="2020-08-15T00:00:00"/>
        <d v="2019-12-17T00:00:00"/>
        <d v="2020-03-18T00:00:00"/>
        <d v="2020-06-24T00:00:00"/>
        <d v="2019-07-10T00:00:00"/>
        <d v="2019-09-08T00:00:00"/>
        <d v="2019-12-15T00:00:00"/>
        <d v="2019-11-29T00:00:00"/>
        <d v="2020-03-13T00:00:00"/>
        <d v="2020-08-27T00:00:00"/>
        <d v="2020-06-30T00:00:00"/>
        <d v="2020-12-14T00:00:00"/>
        <d v="2019-11-04T00:00:00"/>
        <d v="2020-12-04T00:00:00"/>
        <d v="2020-02-17T00:00:00"/>
        <d v="2019-03-01T00:00:00"/>
        <d v="2019-12-18T00:00:00"/>
        <d v="2020-08-01T00:00:00"/>
        <d v="2019-08-30T00:00:00"/>
        <d v="2019-08-12T00:00:00"/>
        <d v="2020-09-24T00:00:00"/>
        <d v="2019-11-03T00:00:00"/>
        <d v="2019-09-26T00:00:00"/>
        <d v="2020-12-22T00:00:00"/>
        <d v="2020-04-07T00:00:00"/>
        <d v="2020-04-21T00:00:00"/>
        <d v="2019-03-24T00:00:00"/>
        <d v="2020-09-23T00:00:00"/>
        <d v="2019-10-21T00:00:00"/>
        <d v="2020-01-09T00:00:00"/>
        <d v="2020-03-26T00:00:00"/>
        <d v="2019-02-16T00:00:00"/>
        <d v="2019-09-27T00:00:00"/>
        <d v="2019-11-05T00:00:00"/>
        <d v="2019-12-19T00:00:00"/>
        <d v="2019-06-10T00:00:00"/>
        <d v="2019-06-17T00:00:00"/>
        <d v="2019-09-25T00:00:00"/>
        <d v="2019-11-15T00:00:00"/>
        <d v="2019-12-08T00:00:00"/>
        <d v="2019-03-06T00:00:00"/>
        <d v="2019-10-10T00:00:00"/>
        <d v="2020-09-29T00:00:00"/>
        <d v="2020-01-01T00:00:00"/>
        <d v="2020-11-02T00:00:00"/>
        <d v="2020-02-20T00:00:00"/>
        <d v="2020-12-19T00:00:00"/>
        <d v="2020-03-11T00:00:00"/>
        <d v="2020-11-25T00:00:00"/>
        <d v="2020-12-17T00:00:00"/>
        <d v="2020-03-10T00:00:00"/>
        <d v="2019-08-23T00:00:00"/>
        <d v="2020-01-02T00:00:00"/>
        <d v="2020-09-14T00:00:00"/>
        <d v="2019-03-29T00:00:00"/>
        <d v="2019-09-18T00:00:00"/>
        <d v="2019-09-05T00:00:00"/>
        <d v="2019-05-03T00:00:00"/>
        <d v="2020-07-21T00:00:00"/>
        <d v="2019-04-05T00:00:00"/>
        <d v="2019-06-12T00:00:00"/>
        <d v="2020-04-30T00:00:00"/>
        <d v="2019-09-11T00:00:00"/>
        <d v="2019-12-03T00:00:00"/>
        <d v="2019-08-13T00:00:00"/>
        <d v="2020-05-05T00:00:00"/>
        <d v="2019-09-02T00:00:00"/>
        <d v="2019-12-11T00:00:00"/>
        <d v="2020-07-09T00:00:00"/>
        <d v="2019-04-15T00:00:00"/>
        <d v="2020-10-13T00:00:00"/>
        <d v="2019-03-15T00:00:00"/>
        <d v="2019-05-01T00:00:00"/>
        <d v="2020-11-07T00:00:00"/>
        <d v="2019-12-02T00:00:00"/>
        <d v="2019-05-09T00:00:00"/>
        <d v="2020-03-19T00:00:00"/>
        <d v="2020-09-19T00:00:00"/>
        <d v="2020-10-23T00:00:00"/>
        <d v="2019-04-21T00:00:00"/>
        <d v="2020-05-13T00:00:00"/>
        <d v="2019-05-10T00:00:00"/>
        <d v="2020-10-22T00:00:00"/>
        <d v="2019-11-26T00:00:00"/>
        <d v="2020-05-06T00:00:00"/>
        <d v="2019-06-14T00:00:00"/>
        <d v="2020-09-04T00:00:00"/>
        <d v="2019-10-01T00:00:00"/>
        <d v="2020-06-03T00:00:00"/>
        <d v="2019-07-16T00:00:00"/>
        <d v="2019-11-27T00:00:00"/>
        <d v="2020-07-07T00:00:00"/>
        <d v="2020-12-08T00:00:00"/>
        <d v="2020-05-03T00:00:00"/>
        <d v="2019-07-23T00:00:00"/>
        <d v="2019-05-02T00:00:00"/>
        <d v="2020-09-03T00:00:00"/>
        <d v="2020-12-25T00:00:00"/>
        <d v="2020-07-03T00:00:00"/>
        <d v="2019-01-25T00:00:00"/>
        <d v="2019-03-19T00:00:00"/>
        <d v="2020-05-20T00:00:00"/>
        <d v="2020-06-29T00:00:00"/>
        <d v="2019-03-18T00:00:00"/>
        <d v="2019-04-18T00:00:00"/>
        <d v="2020-09-02T00:00:00"/>
        <d v="2020-01-19T00:00:00"/>
        <d v="2020-11-12T00:00:00"/>
        <d v="2020-03-31T00:00:00"/>
        <d v="2020-08-25T00:00:00"/>
        <d v="2019-05-26T00:00:00"/>
        <d v="2020-06-13T00:00:00"/>
        <d v="2020-06-19T00:00:00"/>
        <d v="2020-08-22T00:00:00"/>
        <d v="2019-04-03T00:00:00"/>
        <d v="2019-08-29T00:00:00"/>
        <d v="2020-03-16T00:00:00"/>
        <d v="2020-10-24T00:00:00"/>
        <d v="2019-01-04T00:00:00"/>
        <d v="2020-03-04T00:00:00"/>
        <d v="2019-02-02T00:00:00"/>
        <d v="2019-11-20T00:00:00"/>
        <d v="2020-09-17T00:00:00"/>
        <d v="2020-06-01T00:00:00"/>
        <d v="2020-10-21T00:00:00"/>
        <d v="2020-10-12T00:00:00"/>
        <d v="2020-10-20T00:00:00"/>
        <d v="2020-07-22T00:00:00"/>
        <d v="2020-12-23T00:00:00"/>
        <d v="2019-11-28T00:00:00"/>
        <d v="2020-11-06T00:00:00"/>
        <d v="2020-06-09T00:00:00"/>
        <d v="2020-04-29T00:00:00"/>
        <d v="2020-10-30T00:00:00"/>
        <d v="2020-01-30T00:00:00"/>
        <d v="2019-10-08T00:00:00"/>
        <d v="2019-01-22T00:00:00"/>
        <d v="2020-11-05T00:00:00"/>
        <d v="2020-03-27T00:00:00"/>
        <d v="2020-09-11T00:00:00"/>
        <d v="2020-10-26T00:00:00"/>
        <d v="2020-05-28T00:00:00"/>
        <d v="2019-09-17T00:00:00"/>
        <d v="2019-03-31T00:00:00"/>
        <d v="2020-10-05T00:00:00"/>
        <d v="2020-09-28T00:00:00"/>
        <d v="2019-04-19T00:00:00"/>
        <d v="2020-09-26T00:00:00"/>
        <d v="2020-07-31T00:00:00"/>
        <d v="2019-08-14T00:00:00"/>
        <d v="2020-05-16T00:00:00"/>
        <d v="2020-05-22T00:00:00"/>
        <d v="2020-07-30T00:00:00"/>
        <d v="2020-11-26T00:00:00"/>
        <d v="2020-05-12T00:00:00"/>
        <d v="2019-08-28T00:00:00"/>
        <d v="2020-01-15T00:00:00"/>
        <d v="2020-05-29T00:00:00"/>
        <d v="2020-04-20T00:00:00"/>
        <d v="2019-06-25T00:00:00"/>
        <d v="2019-09-19T00:00:00"/>
        <d v="2020-07-15T00:00:00"/>
        <d v="2020-06-11T00:00:00"/>
        <d v="2020-06-08T00:00:00"/>
        <d v="2020-03-28T00:00:00"/>
        <d v="2020-10-10T00:00:00"/>
        <d v="2019-12-24T00:00:00"/>
        <d v="2019-02-14T00:00:00"/>
        <d v="2019-12-01T00:00:00"/>
        <d v="2020-05-23T00:00:00"/>
        <d v="2019-11-10T00:00:00"/>
        <d v="2020-05-14T00:00:00"/>
        <d v="2020-11-20T00:00:00"/>
        <d v="2020-04-16T00:00:00"/>
        <d v="2020-12-29T00:00:00"/>
        <d v="2019-06-21T00:00:00"/>
        <d v="2019-05-14T00:00:00"/>
        <d v="2020-08-26T00:00:00"/>
        <d v="2020-09-25T00:00:00"/>
        <d v="2020-10-14T00:00:00"/>
        <d v="2020-04-27T00:00:00"/>
        <d v="2020-11-24T00:00:00"/>
        <d v="2019-10-02T00:00:00"/>
        <d v="2019-05-31T00:00:00"/>
        <d v="2020-04-13T00:00:00"/>
        <d v="2019-10-16T00:00:00"/>
        <d v="2020-08-03T00:00:00"/>
        <d v="2019-04-12T00:00:00"/>
        <d v="2020-10-07T00:00:00"/>
        <d v="2020-12-27T00:00:00"/>
        <d v="2020-05-19T00:00:00"/>
        <d v="2019-12-31T00:00:00"/>
        <d v="2020-07-25T00:00:00"/>
        <d v="2019-10-18T00:00:00"/>
        <d v="2019-09-10T00:00:00"/>
        <d v="2020-06-21T00:00:00"/>
        <d v="2020-12-28T00:00:00"/>
        <d v="2019-07-18T00:00:00"/>
        <d v="2019-05-27T00:00:00"/>
        <d v="2020-08-18T00:00:00"/>
        <d v="2020-11-14T00:00:00"/>
        <d v="2020-06-17T00:00:00"/>
        <d v="2019-05-20T00:00:00"/>
        <d v="2019-07-31T00:00:00"/>
        <d v="2020-03-23T00:00:00"/>
        <d v="2020-04-14T00:00:00"/>
        <d v="2020-11-11T00:00:00"/>
        <d v="2019-02-05T00:00:00"/>
        <d v="2019-04-28T00:00:00"/>
        <d v="2019-03-11T00:00:00"/>
        <d v="2020-11-23T00:00:00"/>
        <d v="2020-06-10T00:00:00"/>
        <d v="2019-10-28T00:00:00"/>
        <d v="2019-10-03T00:00:00"/>
        <d v="2020-09-05T00:00:00"/>
        <d v="2020-10-28T00:00:00"/>
        <d v="2019-12-09T00:00:00"/>
        <d v="2019-08-26T00:00:00"/>
        <d v="2020-04-09T00:00:00"/>
        <d v="2020-01-21T00:00:00"/>
        <d v="2019-11-06T00:00:00"/>
        <d v="2020-12-01T00:00:00"/>
        <d v="2020-09-07T00:00:00"/>
        <d v="2020-06-15T00:00:00"/>
        <d v="2019-12-29T00:00:00"/>
        <d v="2019-06-09T00:00:00"/>
        <d v="2019-07-07T00:00:00"/>
        <d v="2020-01-27T00:00:00"/>
        <d v="2019-02-21T00:00:00"/>
        <d v="2019-09-23T00:00:00"/>
        <d v="2019-09-30T00:00:00"/>
        <d v="2020-02-03T00:00:00"/>
        <d v="2020-11-18T00:00:00"/>
        <d v="2019-03-08T00:00:00"/>
        <d v="2020-08-07T00:00:00"/>
        <d v="2019-12-22T00:00:00"/>
        <d v="2019-10-09T00:00:00"/>
        <d v="2019-01-08T00:00:00"/>
        <d v="2019-05-23T00:00:00"/>
        <d v="2019-05-28T00:00:00"/>
        <d v="2019-11-21T00:00:00"/>
        <d v="2019-10-04T00:00:00"/>
        <d v="2020-06-22T00:00:00"/>
        <d v="2020-05-08T00:00:00"/>
        <d v="2019-06-05T00:00:00"/>
        <d v="2019-11-24T00:00:00"/>
        <d v="2020-08-11T00:00:00"/>
        <d v="2019-03-14T00:00:00"/>
        <d v="2020-02-25T00:00:00"/>
        <d v="2019-03-10T00:00:00"/>
        <d v="2020-03-17T00:00:00"/>
        <d v="2019-06-20T00:00:00"/>
        <d v="2019-11-14T00:00:00"/>
        <d v="2019-05-17T00:00:00"/>
        <d v="2020-04-24T00:00:00"/>
        <d v="2020-12-03T00:00:00"/>
        <d v="2019-11-12T00:00:00"/>
        <d v="2020-09-15T00:00:00"/>
        <d v="2019-04-25T00:00:00"/>
        <d v="2020-01-29T00:00:00"/>
        <d v="2020-03-02T00:00:00"/>
        <d v="2019-03-17T00:00:00"/>
        <d v="2019-03-20T00:00:00"/>
        <d v="2019-07-29T00:00:00"/>
        <d v="2019-05-22T00:00:00"/>
        <d v="2019-06-24T00:00:00"/>
        <d v="2019-05-12T00:00:00"/>
        <d v="2020-04-01T00:00:00"/>
        <d v="2019-08-22T00:00:00"/>
        <d v="2019-11-18T00:00:00"/>
        <d v="2019-02-06T00:00:00"/>
        <d v="2019-03-26T00:00:00"/>
        <d v="2019-11-07T00:00:00"/>
        <d v="2020-09-30T00:00:00"/>
        <d v="2020-06-04T00:00:00"/>
        <d v="2019-11-19T00:00:00"/>
        <d v="2020-04-11T00:00:00"/>
        <d v="2020-03-03T00:00:00"/>
        <d v="2019-01-15T00:00:00"/>
        <d v="2019-05-30T00:00:00"/>
        <d v="2020-01-16T00:00:00"/>
        <d v="2020-01-14T00:00:00"/>
        <d v="2019-10-20T00:00:00"/>
        <d v="2020-04-23T00:00:00"/>
        <d v="2020-11-17T00:00:00"/>
        <d v="2019-12-12T00:00:00"/>
        <d v="2019-10-31T00:00:00"/>
        <d v="2019-07-30T00:00:00"/>
        <d v="2019-08-15T00:00:00"/>
        <d v="2020-07-06T00:00:00"/>
        <d v="2020-06-26T00:00:00"/>
        <d v="2019-06-11T00:00:00"/>
        <d v="2019-07-08T00:00:00"/>
        <d v="2019-06-02T00:00:00"/>
        <d v="2019-09-16T00:00:00"/>
        <d v="2020-12-18T00:00:00"/>
        <d v="2019-05-21T00:00:00"/>
        <d v="2020-11-21T00:00:00"/>
        <d v="2019-10-23T00:00:00"/>
        <d v="2019-12-27T00:00:00"/>
        <d v="2019-09-09T00:00:00"/>
        <d v="2020-02-02T00:00:00"/>
        <d v="2020-04-15T00:00:00"/>
        <d v="2020-05-25T00:00:00"/>
        <d v="2020-08-16T00:00:00"/>
        <d v="2019-09-20T00:00:00"/>
        <d v="2019-01-07T00:00:00"/>
        <d v="2019-08-27T00:00:00"/>
        <d v="2020-05-18T00:00:00"/>
        <d v="2019-12-30T00:00:00"/>
        <d v="2019-04-30T00:00:00"/>
        <d v="2020-05-27T00:00:00"/>
        <d v="2020-12-09T00:00:00"/>
        <d v="2019-01-11T00:00:00"/>
        <d v="2019-11-22T00:00:00"/>
        <d v="2019-12-14T00:00:00"/>
        <d v="2020-06-16T00:00:00"/>
        <d v="2019-05-29T00:00:00"/>
        <d v="2020-09-21T00:00:00"/>
        <d v="2020-02-16T00:00:00"/>
        <d v="2019-07-21T00:00:00"/>
        <d v="2020-07-02T00:00:00"/>
        <d v="2019-08-09T00:00:00"/>
        <d v="2019-12-16T00:00:00"/>
        <d v="2020-11-03T00:00:00"/>
        <d v="2019-06-27T00:00:00"/>
        <d v="2020-05-04T00:00:00"/>
        <d v="2020-07-13T00:00:00"/>
        <d v="2020-12-05T00:00:00"/>
        <d v="2019-11-11T00:00:00"/>
        <d v="2019-02-27T00:00:00"/>
        <d v="2020-06-12T00:00:00"/>
        <d v="2019-08-04T00:00:00"/>
        <d v="2019-04-10T00:00:00"/>
        <d v="2020-10-03T00:00:00"/>
        <d v="2019-01-03T00:00:00"/>
        <d v="2020-05-30T00:00:00"/>
        <d v="2019-09-22T00:00:00"/>
        <d v="2020-04-06T00:00:00"/>
        <d v="2019-01-21T00:00:00"/>
        <d v="2020-07-20T00:00:00"/>
        <d v="2020-08-04T00:00:00"/>
        <d v="2019-12-26T00:00:00"/>
        <d v="2019-05-06T00:00:00"/>
        <d v="2020-08-29T00:00:00"/>
        <d v="2019-05-15T00:00:00"/>
        <d v="2020-06-25T00:00:00"/>
        <d v="2019-09-01T00:00:00"/>
        <d v="2020-03-30T00:00:00"/>
        <d v="2019-03-21T00:00:00"/>
        <d v="2019-11-13T00:00:00"/>
        <d v="2019-07-17T00:00:00"/>
        <d v="2020-10-27T00:00:00"/>
        <d v="2020-08-19T00:00:00"/>
        <d v="2019-06-18T00:00:00"/>
        <d v="2019-08-18T00:00:00"/>
        <d v="2020-02-24T00:00:00"/>
        <d v="2020-02-11T00:00:00"/>
        <d v="2020-01-23T00:00:00"/>
        <d v="2020-05-15T00:00:00"/>
        <d v="2020-04-10T00:00:00"/>
        <d v="2020-02-21T00:00:00"/>
        <d v="2020-09-18T00:00:00"/>
        <d v="2020-11-09T00:00:00"/>
        <d v="2020-12-26T00:00:00"/>
        <d v="2020-12-10T00:00:00"/>
        <d v="2019-09-06T00:00:00"/>
        <d v="2020-07-27T00:00:00"/>
        <d v="2019-04-24T00:00:00"/>
        <d v="2020-01-07T00:00:00"/>
        <d v="2019-06-16T00:00:00"/>
        <d v="2019-05-05T00:00:00"/>
        <d v="2019-06-03T00:00:00"/>
        <d v="2020-11-16T00:00:00"/>
        <d v="2020-04-26T00:00:00"/>
        <d v="2020-07-16T00:00:00"/>
        <d v="2019-03-05T00:00:00"/>
        <d v="2020-06-02T00:00:00"/>
        <d v="2019-06-30T00:00:00"/>
        <d v="2020-12-30T00:00:00"/>
        <d v="2020-12-31T00:00:00"/>
        <d v="2019-02-08T00:00:00"/>
        <d v="2019-05-16T00:00:00"/>
        <d v="2019-05-19T00:00:00"/>
        <d v="2019-06-06T00:00:00"/>
        <d v="2019-07-02T00:00:00"/>
        <d v="2019-12-04T00:00:00"/>
        <d v="2019-12-06T00:00:00"/>
        <d v="2020-04-22T00:00:00"/>
        <d v="2020-06-06T00:00:00"/>
        <d v="2020-07-17T00:00:00"/>
        <d v="2020-10-01T00:00:00"/>
        <d v="2020-11-15T00:00:00"/>
        <d v="2020-12-24T00:00:00"/>
        <d v="2019-07-03T00:00:00"/>
        <d v="2020-01-24T00:00:00"/>
        <d v="2020-02-19T00:00:00"/>
        <d v="2019-08-08T00:00:00"/>
        <d v="2019-04-01T00:00:00"/>
        <d v="2019-09-13T00:00:00"/>
        <d v="2019-12-05T00:00:00"/>
        <d v="2019-07-25T00:00:00"/>
        <d v="2020-06-20T00:00:00"/>
        <d v="2020-02-23T00:00:00"/>
        <d v="2019-07-22T00:00:00"/>
        <d v="2020-07-29T00:00:00"/>
        <d v="2020-03-21T00:00:00"/>
        <d v="2020-10-08T00:00:00"/>
        <d v="2019-10-29T00:00:00"/>
        <d v="2020-08-23T00:00:00"/>
        <d v="2019-06-26T00:00:00"/>
        <d v="2019-07-04T00:00:00"/>
        <d v="2019-01-05T00:00:00"/>
        <d v="2020-10-31T00:00:00"/>
        <d v="2020-04-25T00:00:00"/>
        <d v="2019-10-11T00:00:00"/>
        <d v="2019-09-12T00:00:00"/>
        <d v="2020-08-31T00:00:00"/>
        <d v="2019-02-11T00:00:00"/>
        <d v="2020-04-28T00:00:00"/>
        <d v="2020-11-27T00:00:00"/>
        <d v="2020-05-26T00:00:00"/>
        <d v="2019-04-16T00:00:00"/>
        <d v="2020-03-08T00:00:00"/>
        <d v="2019-03-28T00:00:00"/>
        <d v="2019-07-19T00:00:00"/>
        <d v="2020-01-22T00:00:00"/>
        <d v="2019-07-01T00:00:00"/>
        <d v="2019-10-07T00:00:00"/>
        <d v="2020-03-24T00:00:00"/>
        <d v="2019-04-07T00:00:00"/>
        <d v="2019-07-14T00:00:00"/>
        <d v="2020-12-15T00:00:00"/>
        <d v="2020-01-20T00:00:00"/>
        <d v="2019-09-04T00:00:00"/>
        <d v="2019-09-29T00:00:00"/>
        <d v="2020-07-12T00:00:00"/>
        <d v="2019-10-30T00:00:00"/>
        <d v="2020-10-06T00:00:00"/>
        <d v="2020-08-24T00:00:00"/>
        <d v="2019-10-27T00:00:00"/>
        <d v="2020-03-20T00:00:00"/>
        <d v="2019-10-15T00:00:00"/>
        <d v="2019-10-14T00:00:00"/>
        <d v="2020-08-28T00:00:00"/>
        <d v="2019-06-23T00:00:00"/>
        <d v="2019-06-07T00:00:00"/>
        <d v="2019-05-08T00:00:00"/>
        <d v="2019-03-07T00:00:00"/>
        <d v="2020-12-21T00:00:00"/>
        <d v="2020-03-06T00:00:00"/>
        <d v="2020-09-20T00:00:00"/>
        <d v="2020-02-13T00:00:00"/>
        <d v="2020-01-26T00:00:00"/>
        <d v="2019-09-15T00:00:00"/>
        <d v="2020-04-04T00:00:00"/>
        <d v="2020-08-21T00:00:00"/>
        <d v="2020-03-25T00:00:00"/>
        <d v="2020-04-03T00:00:00"/>
        <d v="2019-12-13T00:00:00"/>
        <d v="2020-11-22T00:00:00"/>
        <d v="2020-12-16T00:00:00"/>
        <d v="2019-10-22T00:00:00"/>
        <d v="2019-06-28T00:00:00"/>
        <d v="2020-12-20T00:00:00"/>
        <d v="2019-11-23T00:00:00"/>
        <d v="2019-08-31T00:00:00"/>
        <d v="2019-04-09T00:00:00"/>
        <d v="2020-03-05T00:00:00"/>
        <d v="2020-05-09T00:00:00"/>
        <d v="2019-05-11T00:00:00"/>
        <d v="2019-11-30T00:00:00"/>
        <d v="2019-01-23T00:00:00"/>
        <d v="2020-10-17T00:00:00"/>
        <d v="2020-09-13T00:00:00"/>
        <d v="2019-11-16T00:00:00"/>
        <d v="2020-08-14T00:00:00"/>
        <d v="2019-04-13T00:00:00"/>
        <d v="2020-12-06T00:00:00"/>
        <d v="2020-04-02T00:00:00"/>
        <d v="2020-09-01T00:00:00"/>
        <d v="2020-09-12T00:00:00"/>
        <d v="2020-07-08T00:00:00"/>
        <d v="2020-01-03T00:00:00"/>
        <d v="2019-12-10T00:00:00"/>
        <d v="2019-08-01T00:00:00"/>
        <d v="2019-05-24T00:00:00"/>
        <d v="2019-03-09T00:00:00"/>
        <d v="2019-11-17T00:00:00"/>
        <d v="2020-02-28T00:00:00"/>
        <d v="2019-03-04T00:00:00"/>
        <d v="2019-02-15T00:00:00"/>
        <d v="2020-08-20T00:00:00"/>
        <d v="2019-02-07T00:00:00"/>
        <d v="2020-07-28T00:00:00"/>
        <d v="2019-02-04T00:00:00"/>
        <d v="2019-01-09T00:00:00"/>
        <d v="2019-08-20T00:00:00"/>
        <d v="2019-02-19T00:00:00"/>
        <d v="2020-07-11T00:00:00"/>
        <d v="2019-04-17T00:00:00"/>
        <d v="2020-10-15T00:00:00"/>
        <d v="2019-01-16T00:00:00"/>
        <d v="2020-12-13T00:00:00"/>
        <d v="2020-07-23T00:00:00"/>
        <d v="2019-04-14T00:00:00"/>
        <d v="2019-08-02T00:00:00"/>
        <d v="2020-02-18T00:00:00"/>
        <d v="2020-03-07T00:00:00"/>
        <d v="2020-03-14T00:00:00"/>
        <d v="2019-02-22T00:00:00"/>
        <d v="2019-08-16T00:00:00"/>
        <d v="2020-05-21T00:00:00"/>
        <d v="2020-08-12T00:00:00"/>
        <d v="2019-01-31T00:00:00"/>
        <d v="2019-10-24T00:00:00"/>
        <d v="2019-03-30T00:00:00"/>
        <d v="2019-02-20T00:00:00"/>
        <d v="2019-08-17T00:00:00"/>
        <d v="2019-04-04T00:00:00"/>
        <d v="2019-11-01T00:00:00"/>
        <d v="2019-03-12T00:00:00"/>
        <d v="2019-05-25T00:00:00"/>
        <d v="2019-04-23T00:00:00"/>
        <d v="2020-08-05T00:00:00"/>
        <d v="2019-10-17T00:00:00"/>
        <d v="2019-12-20T00:00:00"/>
        <d v="2020-05-02T00:00:00"/>
        <d v="2019-07-12T00:00:00"/>
        <d v="2020-06-05T00:00:00"/>
        <d v="2020-08-06T00:00:00"/>
        <d v="2020-05-07T00:00:00"/>
        <d v="2019-02-12T00:00:00"/>
        <d v="2019-01-10T00:00:00"/>
        <d v="2020-11-01T00:00:00"/>
        <d v="2020-07-10T00:00:00"/>
        <d v="2019-06-19T00:00:00"/>
        <d v="2019-02-28T00:00:00"/>
        <d v="2020-02-04T00:00:00"/>
        <d v="2020-10-04T00:00:00"/>
        <d v="2019-06-13T00:00:00"/>
        <d v="2019-03-27T00:00:00"/>
        <d v="2019-05-18T00:00:00"/>
        <d v="2019-08-19T00:00:00"/>
        <d v="2020-06-27T00:00:00"/>
        <d v="2020-03-09T00:00:00"/>
        <d v="2020-03-12T00:00:00"/>
        <d v="2019-01-28T00:00:00"/>
        <d v="2020-04-08T00:00:00"/>
        <d v="2019-02-09T00:00:00"/>
        <d v="2020-02-10T00:00:00"/>
        <d v="2020-02-26T00:00:00"/>
        <d v="2019-07-15T00:00:00"/>
        <d v="2019-09-14T00:00:00"/>
        <d v="2020-07-01T00:00:00"/>
        <d v="2020-01-28T00:00:00"/>
        <d v="2019-01-17T00:00:00"/>
        <d v="2020-04-12T00:00:00"/>
        <d v="2020-02-06T00:00:00"/>
        <d v="2019-02-01T00:00:00"/>
        <d v="2019-03-22T00:00:00"/>
        <d v="2019-07-09T00:00:00"/>
        <d v="2020-01-06T00:00:00"/>
        <d v="2019-08-11T00:00:00"/>
        <d v="2020-01-13T00:00:00"/>
        <d v="2019-01-24T00:00:00"/>
        <d v="2019-08-06T00:00:00"/>
        <d v="2019-02-25T00:00:00"/>
        <d v="2019-03-25T00:00:00"/>
        <d v="2020-11-29T00:00:00"/>
        <d v="2020-06-18T00:00:00"/>
        <d v="2019-06-29T00:00:00"/>
        <d v="2020-03-29T00:00:00"/>
        <d v="2019-07-24T00:00:00"/>
        <d v="2019-02-23T00:00:00"/>
        <d v="2019-05-07T00:00:00"/>
        <d v="2020-10-29T00:00:00"/>
        <d v="2019-08-03T00:00:00"/>
        <d v="2020-08-10T00:00:00"/>
        <d v="2019-01-01T00:00:00"/>
        <d v="2019-09-28T00:00:00"/>
        <d v="2019-01-14T00:00:00"/>
        <d v="2020-11-08T00:00:00"/>
        <d v="2019-01-02T00:00:00"/>
        <d v="2019-11-08T00:00:00"/>
        <d v="2019-07-20T00:00:00"/>
        <d v="2020-07-26T00:00:00"/>
        <d v="2019-06-15T00:00:00"/>
        <d v="2019-08-05T00:00:00"/>
        <d v="2019-04-26T00:00:00"/>
        <d v="2019-02-13T00:00:00"/>
        <d v="2019-10-25T00:00:00"/>
        <d v="2020-01-08T00:00:00"/>
        <d v="2019-08-07T00:00:00"/>
        <d v="2019-11-09T00:00:00"/>
        <d v="2019-02-03T00:00:00"/>
        <d v="2019-04-06T00:00:00"/>
        <d v="2019-04-02T00:00:00"/>
        <d v="2020-07-24T00:00:00"/>
        <m/>
      </sharedItems>
      <fieldGroup par="13"/>
    </cacheField>
    <cacheField name="Customer ID" numFmtId="0">
      <sharedItems containsBlank="1"/>
    </cacheField>
    <cacheField name="Customer Name" numFmtId="0">
      <sharedItems containsBlank="1"/>
    </cacheField>
    <cacheField name="Country" numFmtId="0">
      <sharedItems containsBlank="1"/>
    </cacheField>
    <cacheField name="Region" numFmtId="0">
      <sharedItems containsBlank="1" count="5">
        <s v="East"/>
        <s v="South"/>
        <s v="West"/>
        <s v="Central"/>
        <m/>
      </sharedItems>
    </cacheField>
    <cacheField name="Category" numFmtId="0">
      <sharedItems containsBlank="1" count="4">
        <s v="Technology"/>
        <s v="Office Supplies"/>
        <s v="Furniture"/>
        <m/>
      </sharedItems>
    </cacheField>
    <cacheField name="Product Name" numFmtId="0">
      <sharedItems containsBlank="1"/>
    </cacheField>
    <cacheField name="Sales" numFmtId="2">
      <sharedItems containsString="0" containsBlank="1" containsNumber="1" minValue="0.83599999999999997" maxValue="9099.93"/>
    </cacheField>
    <cacheField name="Quantity" numFmtId="0">
      <sharedItems containsString="0" containsBlank="1" containsNumber="1" containsInteger="1" minValue="1" maxValue="14"/>
    </cacheField>
    <cacheField name="Profit" numFmtId="2">
      <sharedItems containsString="0" containsBlank="1" containsNumber="1" minValue="-6599.9780000000001" maxValue="8399.9760000000006"/>
    </cacheField>
    <cacheField name="Profit Margin" numFmtId="10">
      <sharedItems containsString="0" containsBlank="1" containsNumber="1" minValue="-537.28407908428721" maxValue="1680.1632163216323"/>
    </cacheField>
    <cacheField name="Months (Order Date)" numFmtId="0" databaseField="0">
      <fieldGroup base="1">
        <rangePr groupBy="months" startDate="2019-01-01T00:00:00" endDate="2021-01-01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Years (Order Date)" numFmtId="0" databaseField="0">
      <fieldGroup base="1">
        <rangePr groupBy="years" startDate="2019-01-01T00:00:00" endDate="2021-01-01T00:00:00"/>
        <groupItems count="5">
          <s v="&lt;01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3">
  <r>
    <s v="CA-2019-108196"/>
    <x v="0"/>
    <s v="CS-12505"/>
    <s v="Cindy Stewart"/>
    <s v="United States"/>
    <x v="0"/>
    <x v="0"/>
    <s v="Cubify CubeX 3D Printer Double Head Print"/>
    <n v="4499.9849999999997"/>
    <n v="5"/>
    <n v="-6599.9780000000001"/>
    <n v="-146.66666666666669"/>
  </r>
  <r>
    <s v="US-2020-168116"/>
    <x v="1"/>
    <s v="GT-14635"/>
    <s v="Grant Thornton"/>
    <s v="United States"/>
    <x v="1"/>
    <x v="0"/>
    <s v="Cubify CubeX 3D Printer Triple Head Print"/>
    <n v="3009.98"/>
    <n v="4"/>
    <n v="-3839.9904000000001"/>
    <n v="-127.57527956996393"/>
  </r>
  <r>
    <s v="CA-2020-134845"/>
    <x v="2"/>
    <s v="SR-20425"/>
    <s v="Sharelle Roach"/>
    <s v="United States"/>
    <x v="2"/>
    <x v="0"/>
    <s v="Lexmark MX611dhe Monochrome Laser Printer"/>
    <n v="2579.9850000000001"/>
    <n v="5"/>
    <n v="-3399.98"/>
    <n v="-131.78293672250032"/>
  </r>
  <r>
    <s v="US-2020-122714"/>
    <x v="3"/>
    <s v="HG-14965"/>
    <s v="Henry Goldwyn"/>
    <s v="United States"/>
    <x v="3"/>
    <x v="1"/>
    <s v="Ibico EPK-21 Electric Binding System"/>
    <n v="1901.99"/>
    <n v="5"/>
    <n v="-2929.4845"/>
    <n v="-154.02207687737578"/>
  </r>
  <r>
    <s v="CA-2020-131254"/>
    <x v="4"/>
    <s v="NC-18415"/>
    <s v="Nathan Cano"/>
    <s v="United States"/>
    <x v="3"/>
    <x v="1"/>
    <s v="Fellowes PB500 Electric Punch Plastic Comb Binding Machine with Manual Bind"/>
    <n v="1556.1880000000001"/>
    <n v="6"/>
    <n v="-2287.7820000000002"/>
    <n v="-147.01192914994849"/>
  </r>
  <r>
    <s v="CA-2019-130946"/>
    <x v="5"/>
    <s v="ZC-21910"/>
    <s v="Zuschuss Carroll"/>
    <s v="United States"/>
    <x v="3"/>
    <x v="1"/>
    <s v="GBC DocuBind P400 Electric Binding System"/>
    <n v="1088.7919999999999"/>
    <n v="4"/>
    <n v="-1850.9464"/>
    <n v="-170.00000000000003"/>
  </r>
  <r>
    <s v="US-2020-120390"/>
    <x v="6"/>
    <s v="TH-21550"/>
    <s v="Tracy Hopkins"/>
    <s v="United States"/>
    <x v="1"/>
    <x v="1"/>
    <s v="GBC DocuBind P400 Electric Binding System"/>
    <n v="1677.1880000000001"/>
    <n v="4"/>
    <n v="-1306.5504000000001"/>
    <n v="-77.901248995342215"/>
  </r>
  <r>
    <s v="CA-2020-128363"/>
    <x v="7"/>
    <s v="DC-12850"/>
    <s v="Dan Campbell"/>
    <s v="United States"/>
    <x v="1"/>
    <x v="1"/>
    <s v="GBC DocuBind TL300 Electric Binding System"/>
    <n v="1641.5820000000001"/>
    <n v="6"/>
    <n v="-1237.8462"/>
    <n v="-75.40568792786469"/>
  </r>
  <r>
    <s v="CA-2020-152093"/>
    <x v="8"/>
    <s v="SN-20560"/>
    <s v="Skye Norling"/>
    <s v="United States"/>
    <x v="3"/>
    <x v="1"/>
    <s v="Fellowes PB500 Electric Punch Plastic Comb Binding Machine with Manual Bind"/>
    <n v="804.59400000000005"/>
    <n v="3"/>
    <n v="-1143.8910000000001"/>
    <n v="-142.16996398183431"/>
  </r>
  <r>
    <s v="US-2020-148551"/>
    <x v="9"/>
    <s v="DB-13120"/>
    <s v="David Bremer"/>
    <s v="United States"/>
    <x v="3"/>
    <x v="1"/>
    <s v="GBC Ibimaster 500 Manual ProClick Binding System"/>
    <n v="790.98"/>
    <n v="5"/>
    <n v="-1141.47"/>
    <n v="-144.31085488887203"/>
  </r>
  <r>
    <s v="CA-2020-158379"/>
    <x v="10"/>
    <s v="JA-15970"/>
    <s v="Joseph Airdo"/>
    <s v="United States"/>
    <x v="0"/>
    <x v="1"/>
    <s v="Martin Yale Chadless Opener Electric Letter Opener"/>
    <n v="4692.7359999999999"/>
    <n v="7"/>
    <n v="-1049.3406"/>
    <n v="-22.360955314767335"/>
  </r>
  <r>
    <s v="US-2020-162558"/>
    <x v="11"/>
    <s v="Dp-13240"/>
    <s v="Dean percer"/>
    <s v="United States"/>
    <x v="1"/>
    <x v="2"/>
    <s v="Chromcraft Bull-Nose Wood Oval Conference Tables &amp; Bases"/>
    <n v="2335.116"/>
    <n v="7"/>
    <n v="-1002.7836"/>
    <n v="-42.943631065865681"/>
  </r>
  <r>
    <s v="CA-2020-159100"/>
    <x v="12"/>
    <s v="VP-21760"/>
    <s v="Victoria Pisteka"/>
    <s v="United States"/>
    <x v="1"/>
    <x v="2"/>
    <s v="Balt Solid Wood Round Tables"/>
    <n v="1924.258"/>
    <n v="7"/>
    <n v="-968.88329999999996"/>
    <n v="-50.351008024911415"/>
  </r>
  <r>
    <s v="US-2019-157490"/>
    <x v="13"/>
    <s v="LB-16795"/>
    <s v="Laurel Beltran"/>
    <s v="United States"/>
    <x v="2"/>
    <x v="0"/>
    <s v="Zebra GK420t Direct Thermal/Thermal Transfer Printer"/>
    <n v="703.71"/>
    <n v="6"/>
    <n v="-938.28"/>
    <n v="-133.33333333333331"/>
  </r>
  <r>
    <s v="US-2020-165344"/>
    <x v="14"/>
    <s v="SB-20290"/>
    <s v="Sean Braxton"/>
    <s v="United States"/>
    <x v="0"/>
    <x v="0"/>
    <s v="Epson TM-T88V Direct Thermal Printer - Monochrome - Desktop"/>
    <n v="692.995"/>
    <n v="7"/>
    <n v="-935.95950000000005"/>
    <n v="-135.06006536843699"/>
  </r>
  <r>
    <s v="CA-2019-107783"/>
    <x v="15"/>
    <s v="OT-18730"/>
    <s v="Olvera Toch"/>
    <s v="United States"/>
    <x v="0"/>
    <x v="1"/>
    <s v="GBC Ibimaster 500 Manual ProClick Binding System"/>
    <n v="1369.7639999999999"/>
    <n v="6"/>
    <n v="-913.17600000000004"/>
    <n v="-66.666666666666671"/>
  </r>
  <r>
    <s v="CA-2019-109869"/>
    <x v="16"/>
    <s v="TN-21040"/>
    <s v="Tanja Norvell"/>
    <s v="United States"/>
    <x v="2"/>
    <x v="2"/>
    <s v="Bush Advantage Collection Racetrack Conference Table"/>
    <n v="1272.6300000000001"/>
    <n v="6"/>
    <n v="-814.48320000000001"/>
    <n v="-63.999999999999993"/>
  </r>
  <r>
    <s v="CA-2019-103982"/>
    <x v="17"/>
    <s v="AA-10315"/>
    <s v="Alex Avila"/>
    <s v="United States"/>
    <x v="3"/>
    <x v="1"/>
    <s v="High Speed Automatic Electric Letter Opener"/>
    <n v="3930.0720000000001"/>
    <n v="3"/>
    <n v="-786.01440000000002"/>
    <n v="-20"/>
  </r>
  <r>
    <s v="US-2020-147221"/>
    <x v="18"/>
    <s v="JS-16030"/>
    <s v="Joy Smith"/>
    <s v="United States"/>
    <x v="3"/>
    <x v="1"/>
    <s v="3.6 Cubic Foot Counter Height Office Refrigerator"/>
    <n v="334.62"/>
    <n v="5"/>
    <n v="-766.01199999999994"/>
    <n v="-228.91996891996888"/>
  </r>
  <r>
    <s v="CA-2019-158099"/>
    <x v="19"/>
    <s v="PK-18910"/>
    <s v="Paul Knutson"/>
    <s v="United States"/>
    <x v="0"/>
    <x v="1"/>
    <s v="GBC Ibimaster 500 Manual ProClick Binding System"/>
    <n v="1141.47"/>
    <n v="5"/>
    <n v="-760.98"/>
    <n v="-66.666666666666657"/>
  </r>
  <r>
    <s v="CA-2019-132479"/>
    <x v="20"/>
    <s v="MK-17905"/>
    <s v="Michael Kennedy"/>
    <s v="United States"/>
    <x v="3"/>
    <x v="1"/>
    <s v="GBC ProClick 150 Presentation Binding System"/>
    <n v="442.37200000000001"/>
    <n v="7"/>
    <n v="-729.91380000000004"/>
    <n v="-165"/>
  </r>
  <r>
    <s v="CA-2020-142090"/>
    <x v="21"/>
    <s v="SC-20380"/>
    <s v="Shahid Collister"/>
    <s v="United States"/>
    <x v="1"/>
    <x v="2"/>
    <s v="Bush Advantage Collection Racetrack Conference Table"/>
    <n v="1805.682"/>
    <n v="7"/>
    <n v="-653.28340000000003"/>
    <n v="-36.179316180811462"/>
  </r>
  <r>
    <s v="US-2019-114013"/>
    <x v="22"/>
    <s v="SC-20770"/>
    <s v="Stewart Carmichael"/>
    <s v="United States"/>
    <x v="0"/>
    <x v="0"/>
    <s v="Okidata MB491 Multifunction Printer"/>
    <n v="449.1"/>
    <n v="3"/>
    <n v="-643.71"/>
    <n v="-143.33333333333334"/>
  </r>
  <r>
    <s v="CA-2020-118892"/>
    <x v="23"/>
    <s v="TP-21415"/>
    <s v="Tom Prescott"/>
    <s v="United States"/>
    <x v="0"/>
    <x v="2"/>
    <s v="HON 5400 Series Task Chairs for Big and Tall"/>
    <n v="4439.174"/>
    <n v="9"/>
    <n v="-630.88199999999995"/>
    <n v="-14.211697942004525"/>
  </r>
  <r>
    <s v="US-2020-110576"/>
    <x v="24"/>
    <s v="RB-19795"/>
    <s v="Ross Baird"/>
    <s v="United States"/>
    <x v="0"/>
    <x v="2"/>
    <s v="Riverside Furniture Oval Coffee Table, Oval End Table, End Table with Drawer"/>
    <n v="115.32"/>
    <n v="12"/>
    <n v="-619.596"/>
    <n v="-537.28407908428721"/>
  </r>
  <r>
    <s v="US-2020-124968"/>
    <x v="25"/>
    <s v="MM-18055"/>
    <s v="Michelle Moray"/>
    <s v="United States"/>
    <x v="3"/>
    <x v="2"/>
    <s v="BoxOffice By Design Rectangular and Half-Moon Meeting Room Tables"/>
    <n v="780.625"/>
    <n v="7"/>
    <n v="-566.5625"/>
    <n v="-72.578062449959972"/>
  </r>
  <r>
    <s v="CA-2019-168032"/>
    <x v="26"/>
    <s v="DF-13135"/>
    <s v="David Flashing"/>
    <s v="United States"/>
    <x v="3"/>
    <x v="2"/>
    <s v="Bretford “Just In Time” Height-Adjustable Multi-Task Work Tables"/>
    <n v="626.1"/>
    <n v="3"/>
    <n v="-538.44600000000003"/>
    <n v="-86"/>
  </r>
  <r>
    <s v="CA-2020-159282"/>
    <x v="12"/>
    <s v="GH-14410"/>
    <s v="Gary Hansen"/>
    <s v="United States"/>
    <x v="2"/>
    <x v="0"/>
    <s v="Swingline SM12-08 MicroCut Jam Free Shredder"/>
    <n v="645.98500000000001"/>
    <n v="5"/>
    <n v="-479.988"/>
    <n v="-74.303273295819565"/>
  </r>
  <r>
    <s v="US-2019-100839"/>
    <x v="27"/>
    <s v="NC-18625"/>
    <s v="Noah Childs"/>
    <s v="United States"/>
    <x v="2"/>
    <x v="2"/>
    <s v="Hon 5100 Series Wood Tables"/>
    <n v="727.45"/>
    <n v="5"/>
    <n v="-465.56799999999998"/>
    <n v="-63.999999999999993"/>
  </r>
  <r>
    <s v="CA-2020-155075"/>
    <x v="18"/>
    <s v="GW-14605"/>
    <s v="Giulietta Weimer"/>
    <s v="United States"/>
    <x v="0"/>
    <x v="1"/>
    <s v="GBC DocuBind 300 Electric Binding Machine"/>
    <n v="155.17599999999999"/>
    <n v="4"/>
    <n v="-462.86239999999998"/>
    <n v="-298.28220858895708"/>
  </r>
  <r>
    <s v="CA-2020-102204"/>
    <x v="28"/>
    <s v="CJ-12010"/>
    <s v="Caroline Jumper"/>
    <s v="United States"/>
    <x v="1"/>
    <x v="2"/>
    <s v="Bush Advantage Collection Racetrack Conference Table"/>
    <n v="952.26199999999994"/>
    <n v="4"/>
    <n v="-458.14679999999998"/>
    <n v="-48.111423116747282"/>
  </r>
  <r>
    <s v="US-2020-142573"/>
    <x v="29"/>
    <s v="ML-17410"/>
    <s v="Maris LaWare"/>
    <s v="United States"/>
    <x v="2"/>
    <x v="2"/>
    <s v="Chromcraft 48&quot; x 96&quot; Racetrack Double Pedestal Table"/>
    <n v="830.6"/>
    <n v="5"/>
    <n v="-448.89600000000002"/>
    <n v="-54.044786901035394"/>
  </r>
  <r>
    <s v="US-2020-117247"/>
    <x v="30"/>
    <s v="CK-12760"/>
    <s v="Cyma Kinney"/>
    <s v="United States"/>
    <x v="3"/>
    <x v="2"/>
    <s v="Bevis Oval Conference Table, Walnut"/>
    <n v="690.45"/>
    <n v="5"/>
    <n v="-430.61700000000002"/>
    <n v="-62.367586356723869"/>
  </r>
  <r>
    <s v="CA-2020-161739"/>
    <x v="31"/>
    <s v="EB-13750"/>
    <s v="Edward Becker"/>
    <s v="United States"/>
    <x v="3"/>
    <x v="2"/>
    <s v="Tenex Antistatic Computer Chair Mats"/>
    <n v="353.96"/>
    <n v="5"/>
    <n v="-427.45"/>
    <n v="-120.7622330206803"/>
  </r>
  <r>
    <s v="CA-2020-131282"/>
    <x v="32"/>
    <s v="CB-12025"/>
    <s v="Cassandra Brandow"/>
    <s v="United States"/>
    <x v="3"/>
    <x v="1"/>
    <s v="Ibico Hi-Tech Manual Binding System"/>
    <n v="285.99200000000002"/>
    <n v="4"/>
    <n v="-426.98599999999999"/>
    <n v="-149.29998041903269"/>
  </r>
  <r>
    <s v="CA-2020-168389"/>
    <x v="33"/>
    <s v="DV-13045"/>
    <s v="Darrin Van Huff"/>
    <s v="United States"/>
    <x v="1"/>
    <x v="2"/>
    <s v="BoxOffice By Design Rectangular and Half-Moon Meeting Room Tables"/>
    <n v="271.875"/>
    <n v="6"/>
    <n v="-420"/>
    <n v="-154.48275862068965"/>
  </r>
  <r>
    <s v="CA-2020-118773"/>
    <x v="34"/>
    <s v="TP-21415"/>
    <s v="Tom Prescott"/>
    <s v="United States"/>
    <x v="3"/>
    <x v="1"/>
    <s v="GBC ProClick 150 Presentation Binding System"/>
    <n v="290.78399999999999"/>
    <n v="4"/>
    <n v="-417.09359999999998"/>
    <n v="-143.43760316936283"/>
  </r>
  <r>
    <s v="CA-2020-136448"/>
    <x v="35"/>
    <s v="AS-10090"/>
    <s v="Adam Shillingsburg"/>
    <s v="United States"/>
    <x v="0"/>
    <x v="1"/>
    <s v="GBC DocuBind TL300 Electric Binding System"/>
    <n v="585.19399999999996"/>
    <n v="2"/>
    <n v="-412.61540000000002"/>
    <n v="-70.509164482205904"/>
  </r>
  <r>
    <s v="CA-2019-109827"/>
    <x v="36"/>
    <s v="LW-16825"/>
    <s v="Laurel Workman"/>
    <s v="United States"/>
    <x v="2"/>
    <x v="0"/>
    <s v="Panasonic KX MC6040 Color Laser Multifunction Printer"/>
    <n v="269.97000000000003"/>
    <n v="2"/>
    <n v="-386.95699999999999"/>
    <n v="-143.33333333333331"/>
  </r>
  <r>
    <s v="US-2020-118087"/>
    <x v="37"/>
    <s v="SP-20620"/>
    <s v="Stefania Perrino"/>
    <s v="United States"/>
    <x v="0"/>
    <x v="0"/>
    <s v="Samsung Galaxy Note 2"/>
    <n v="1981.9580000000001"/>
    <n v="7"/>
    <n v="-386.39159999999998"/>
    <n v="-19.495448440380674"/>
  </r>
  <r>
    <s v="CA-2020-141117"/>
    <x v="11"/>
    <s v="JK-16090"/>
    <s v="Juliana Krohn"/>
    <s v="United States"/>
    <x v="2"/>
    <x v="2"/>
    <s v="O'Sullivan 4-Shelf Bookcase in Odessa Pine"/>
    <n v="252.76400000000001"/>
    <n v="6"/>
    <n v="-384.71640000000002"/>
    <n v="-152.20379484420249"/>
  </r>
  <r>
    <s v="US-2019-105452"/>
    <x v="15"/>
    <s v="BF-11005"/>
    <s v="Barry Franz"/>
    <s v="United States"/>
    <x v="3"/>
    <x v="2"/>
    <s v="Tenex Chairmat w/ Average Lip, 45&quot; x 53&quot;"/>
    <n v="302.72000000000003"/>
    <n v="5"/>
    <n v="-378.4"/>
    <n v="-124.99999999999997"/>
  </r>
  <r>
    <s v="US-2020-161935"/>
    <x v="38"/>
    <s v="JL-15835"/>
    <s v="John Lee"/>
    <s v="United States"/>
    <x v="0"/>
    <x v="0"/>
    <s v="Samsung Galaxy S III - 16GB - pebble blue (T-Mobile)"/>
    <n v="1912.9459999999999"/>
    <n v="9"/>
    <n v="-377.98919999999998"/>
    <n v="-19.759533201669051"/>
  </r>
  <r>
    <s v="CA-2019-114867"/>
    <x v="39"/>
    <s v="FM-14290"/>
    <s v="Frank Merwin"/>
    <s v="United States"/>
    <x v="0"/>
    <x v="0"/>
    <s v="LG G2"/>
    <n v="1499.97"/>
    <n v="5"/>
    <n v="-374.99250000000001"/>
    <n v="-25"/>
  </r>
  <r>
    <s v="US-2020-112347"/>
    <x v="18"/>
    <s v="BS-11380"/>
    <s v="Bill Stewart"/>
    <s v="United States"/>
    <x v="2"/>
    <x v="2"/>
    <s v="Hon 4-Shelf Metal Bookcases"/>
    <n v="281.35199999999998"/>
    <n v="8"/>
    <n v="-363.52800000000002"/>
    <n v="-129.20754073189457"/>
  </r>
  <r>
    <s v="US-2020-139647"/>
    <x v="40"/>
    <s v="TS-21370"/>
    <s v="Todd Sumrall"/>
    <s v="United States"/>
    <x v="2"/>
    <x v="2"/>
    <s v="Bestar Classic Bookcase"/>
    <n v="233.97900000000001"/>
    <n v="7"/>
    <n v="-356.96429999999998"/>
    <n v="-152.56253766363645"/>
  </r>
  <r>
    <s v="CA-2019-157749"/>
    <x v="41"/>
    <s v="KL-16645"/>
    <s v="Ken Lonsdale"/>
    <s v="United States"/>
    <x v="3"/>
    <x v="2"/>
    <s v="Luxo Professional Fluorescent Magnifier Lamp with Clamp-Mount Base"/>
    <n v="419.68"/>
    <n v="5"/>
    <n v="-356.72800000000001"/>
    <n v="-85"/>
  </r>
  <r>
    <s v="CA-2020-100223"/>
    <x v="42"/>
    <s v="LS-16945"/>
    <s v="Linda Southworth"/>
    <s v="United States"/>
    <x v="3"/>
    <x v="2"/>
    <s v="Deflect-o RollaMat Studded, Beveled Mat for Medium Pile Carpeting"/>
    <n v="353.02800000000002"/>
    <n v="9"/>
    <n v="-348.62939999999998"/>
    <n v="-98.754036507019265"/>
  </r>
  <r>
    <s v="US-2019-146066"/>
    <x v="43"/>
    <s v="RB-19465"/>
    <s v="Rick Bensley"/>
    <s v="United States"/>
    <x v="0"/>
    <x v="2"/>
    <s v="Iceberg OfficeWorks 42&quot; Round Tables"/>
    <n v="815.29200000000003"/>
    <n v="9"/>
    <n v="-339.70499999999998"/>
    <n v="-41.666666666666664"/>
  </r>
  <r>
    <s v="US-2020-117723"/>
    <x v="44"/>
    <s v="DL-13495"/>
    <s v="Dionis Lloyd"/>
    <s v="United States"/>
    <x v="0"/>
    <x v="1"/>
    <s v="Tennsco Single-Tier Lockers"/>
    <n v="1829.6320000000001"/>
    <n v="6"/>
    <n v="-337.80599999999998"/>
    <n v="-18.463057051909889"/>
  </r>
  <r>
    <s v="CA-2019-155530"/>
    <x v="45"/>
    <s v="CM-12160"/>
    <s v="Charles McCrossin"/>
    <s v="United States"/>
    <x v="2"/>
    <x v="2"/>
    <s v="Bretford “Just In Time” Height-Adjustable Multi-Task Work Tables"/>
    <n v="1003.52"/>
    <n v="6"/>
    <n v="-325.572"/>
    <n v="-32.443000637755105"/>
  </r>
  <r>
    <s v="US-2020-119438"/>
    <x v="46"/>
    <s v="CD-11980"/>
    <s v="Carol Darley"/>
    <s v="United States"/>
    <x v="3"/>
    <x v="1"/>
    <s v="Ibico Hi-Tech Manual Binding System"/>
    <n v="198.994"/>
    <n v="3"/>
    <n v="-320.23950000000002"/>
    <n v="-160.92922399670343"/>
  </r>
  <r>
    <s v="US-2020-151316"/>
    <x v="47"/>
    <s v="MC-17635"/>
    <s v="Matthew Clasen"/>
    <s v="United States"/>
    <x v="3"/>
    <x v="1"/>
    <s v="Ibico Hi-Tech Manual Binding System"/>
    <n v="207.994"/>
    <n v="3"/>
    <n v="-320.23950000000002"/>
    <n v="-153.96573939632876"/>
  </r>
  <r>
    <s v="CA-2019-164924"/>
    <x v="48"/>
    <s v="EA-14035"/>
    <s v="Erin Ashbrook"/>
    <s v="United States"/>
    <x v="0"/>
    <x v="0"/>
    <s v="Brother MFC-9340CDW LED All-In-One Printer, Copier Scanner"/>
    <n v="341.99099999999999"/>
    <n v="3"/>
    <n v="-319.19159999999999"/>
    <n v="-93.333333333333329"/>
  </r>
  <r>
    <s v="CA-2019-108987"/>
    <x v="49"/>
    <s v="AG-10675"/>
    <s v="Anna Gayman"/>
    <s v="United States"/>
    <x v="3"/>
    <x v="2"/>
    <s v="Riverside Palais Royal Lawyers Bookcase, Royale Cherry Finish"/>
    <n v="2396.2656000000002"/>
    <n v="4"/>
    <n v="-317.15280000000001"/>
    <n v="-13.23529411764706"/>
  </r>
  <r>
    <s v="US-2019-127334"/>
    <x v="50"/>
    <s v="MP-18175"/>
    <s v="Mike Pelletier"/>
    <s v="United States"/>
    <x v="2"/>
    <x v="2"/>
    <s v="Bretford Rectangular Conference Table Tops"/>
    <n v="564.19500000000005"/>
    <n v="3"/>
    <n v="-304.6653"/>
    <n v="-53.999999999999993"/>
  </r>
  <r>
    <s v="CA-2019-108196"/>
    <x v="0"/>
    <s v="CS-12505"/>
    <s v="Cindy Stewart"/>
    <s v="United States"/>
    <x v="0"/>
    <x v="1"/>
    <s v="GBC Ibimaster 500 Manual ProClick Binding System"/>
    <n v="456.58800000000002"/>
    <n v="2"/>
    <n v="-304.392"/>
    <n v="-66.666666666666657"/>
  </r>
  <r>
    <s v="CA-2019-160241"/>
    <x v="51"/>
    <s v="DR-12940"/>
    <s v="Daniel Raglin"/>
    <s v="United States"/>
    <x v="3"/>
    <x v="2"/>
    <s v="Tenex Chairmat w/ Average Lip, 45&quot; x 53&quot;"/>
    <n v="242.17599999999999"/>
    <n v="4"/>
    <n v="-302.72000000000003"/>
    <n v="-125.00000000000003"/>
  </r>
  <r>
    <s v="US-2019-115455"/>
    <x v="49"/>
    <s v="SE-20110"/>
    <s v="Sanjit Engle"/>
    <s v="United States"/>
    <x v="3"/>
    <x v="2"/>
    <s v="Bretford CR8500 Series Meeting Room Furniture"/>
    <n v="601.47"/>
    <n v="3"/>
    <n v="-300.73500000000001"/>
    <n v="-50"/>
  </r>
  <r>
    <s v="CA-2020-105851"/>
    <x v="52"/>
    <s v="SE-20110"/>
    <s v="Sanjit Engle"/>
    <s v="United States"/>
    <x v="2"/>
    <x v="1"/>
    <s v="Martin Yale Chadless Opener Electric Letter Opener"/>
    <n v="1346.4960000000001"/>
    <n v="2"/>
    <n v="-299.8116"/>
    <n v="-22.266059461000999"/>
  </r>
  <r>
    <s v="US-2020-134481"/>
    <x v="53"/>
    <s v="AR-10405"/>
    <s v="Allen Rosenblatt"/>
    <s v="United States"/>
    <x v="0"/>
    <x v="2"/>
    <s v="Office Impressions End Table, 20-1/2&quot;H x 24&quot;W x 20&quot;D"/>
    <n v="1505.424"/>
    <n v="7"/>
    <n v="-297.6848"/>
    <n v="-19.774150006908354"/>
  </r>
  <r>
    <s v="US-2020-102890"/>
    <x v="54"/>
    <s v="SG-20470"/>
    <s v="Sheri Gordon"/>
    <s v="United States"/>
    <x v="0"/>
    <x v="2"/>
    <s v="Bretford CR4500 Series Slim Rectangular Table"/>
    <n v="1063.6300000000001"/>
    <n v="5"/>
    <n v="-295.9785"/>
    <n v="-27.827204949089435"/>
  </r>
  <r>
    <s v="CA-2020-107629"/>
    <x v="55"/>
    <s v="DB-13060"/>
    <s v="Dave Brooks"/>
    <s v="United States"/>
    <x v="3"/>
    <x v="2"/>
    <s v="Rubbermaid ClusterMat Chairmats, Mat Size- 66&quot; x 60&quot;, Lip 20&quot; x 11&quot; -90 Degree Angle"/>
    <n v="171.352"/>
    <n v="6"/>
    <n v="-292.98719999999997"/>
    <n v="-170.98557355618843"/>
  </r>
  <r>
    <s v="CA-2019-162236"/>
    <x v="56"/>
    <s v="ER-13855"/>
    <s v="Elpida Rittenbach"/>
    <s v="United States"/>
    <x v="1"/>
    <x v="2"/>
    <s v="BPI Conference Tables"/>
    <n v="876.3"/>
    <n v="10"/>
    <n v="-292.10000000000002"/>
    <n v="-33.333333333333336"/>
  </r>
  <r>
    <s v="CA-2020-109183"/>
    <x v="57"/>
    <s v="LR-16915"/>
    <s v="Lena Radford"/>
    <s v="United States"/>
    <x v="1"/>
    <x v="0"/>
    <s v="Okidata C610n Printer"/>
    <n v="665"/>
    <n v="2"/>
    <n v="-272.58"/>
    <n v="-40.989473684210523"/>
  </r>
  <r>
    <s v="CA-2020-154039"/>
    <x v="58"/>
    <s v="JK-16120"/>
    <s v="Julie Kriz"/>
    <s v="United States"/>
    <x v="3"/>
    <x v="2"/>
    <s v="Chromcraft 48&quot; x 96&quot; Racetrack Double Pedestal Table"/>
    <n v="524.96"/>
    <n v="3"/>
    <n v="-269.33760000000001"/>
    <n v="-51.306309052118259"/>
  </r>
  <r>
    <s v="US-2019-143819"/>
    <x v="59"/>
    <s v="KD-16270"/>
    <s v="Karen Daniels"/>
    <s v="United States"/>
    <x v="0"/>
    <x v="2"/>
    <s v="Chromcraft Round Conference Tables"/>
    <n v="836.59199999999998"/>
    <n v="8"/>
    <n v="-264.92079999999999"/>
    <n v="-31.666666666666664"/>
  </r>
  <r>
    <s v="CA-2019-145261"/>
    <x v="60"/>
    <s v="AH-10120"/>
    <s v="Adrian Hane"/>
    <s v="United States"/>
    <x v="2"/>
    <x v="2"/>
    <s v="Iceberg OfficeWorks 42&quot; Round Tables"/>
    <n v="377.45"/>
    <n v="5"/>
    <n v="-264.21499999999997"/>
    <n v="-70"/>
  </r>
  <r>
    <s v="CA-2020-162691"/>
    <x v="61"/>
    <s v="AS-10045"/>
    <s v="Aaron Smayling"/>
    <s v="United States"/>
    <x v="3"/>
    <x v="0"/>
    <s v="Bady BDG101FRU Card Printer"/>
    <n v="1453.982"/>
    <n v="3"/>
    <n v="-263.99669999999998"/>
    <n v="-18.156806617963632"/>
  </r>
  <r>
    <s v="US-2019-141544"/>
    <x v="62"/>
    <s v="PO-18850"/>
    <s v="Patrick O'Brill"/>
    <s v="United States"/>
    <x v="0"/>
    <x v="2"/>
    <s v="Hon 2090 “Pillow Soft” Series Mid Back Swivel/Tilt Chairs"/>
    <n v="786.74400000000003"/>
    <n v="4"/>
    <n v="-258.5016"/>
    <n v="-32.857142857142854"/>
  </r>
  <r>
    <s v="CA-2019-118073"/>
    <x v="63"/>
    <s v="CS-12490"/>
    <s v="Cindy Schnelling"/>
    <s v="United States"/>
    <x v="1"/>
    <x v="2"/>
    <s v="BPI Conference Tables"/>
    <n v="562.29250000000002"/>
    <n v="7"/>
    <n v="-255.58750000000001"/>
    <n v="-45.454545454545453"/>
  </r>
  <r>
    <s v="CA-2020-121839"/>
    <x v="64"/>
    <s v="MH-18115"/>
    <s v="Mick Hernandez"/>
    <s v="United States"/>
    <x v="0"/>
    <x v="0"/>
    <s v="Apple iPhone 5"/>
    <n v="1191.694"/>
    <n v="3"/>
    <n v="-253.43369999999999"/>
    <n v="-21.266675841281401"/>
  </r>
  <r>
    <s v="CA-2019-159023"/>
    <x v="65"/>
    <s v="NW-18400"/>
    <s v="Natalie Webber"/>
    <s v="United States"/>
    <x v="2"/>
    <x v="0"/>
    <s v="Okidata B401 Printer"/>
    <n v="179.99100000000001"/>
    <n v="3"/>
    <n v="-251.98740000000001"/>
    <n v="-140"/>
  </r>
  <r>
    <s v="CA-2019-143406"/>
    <x v="66"/>
    <s v="LR-17035"/>
    <s v="Lisa Ryan"/>
    <s v="United States"/>
    <x v="3"/>
    <x v="1"/>
    <s v="Hoover Commercial Lightweight Upright Vacuum with E-Z Empty Dirt Cup"/>
    <n v="93.031999999999996"/>
    <n v="2"/>
    <n v="-251.18639999999999"/>
    <n v="-270"/>
  </r>
  <r>
    <s v="CA-2020-150910"/>
    <x v="67"/>
    <s v="JL-15130"/>
    <s v="Jack Lebron"/>
    <s v="United States"/>
    <x v="1"/>
    <x v="2"/>
    <s v="Bevis Round Bullnose 29&quot; High Table Top"/>
    <n v="510.95600000000002"/>
    <n v="6"/>
    <n v="-249.32159999999999"/>
    <n v="-48.795121302029912"/>
  </r>
  <r>
    <s v="US-2020-100930"/>
    <x v="68"/>
    <s v="CS-12400"/>
    <s v="Christopher Schild"/>
    <s v="United States"/>
    <x v="1"/>
    <x v="2"/>
    <s v="Bretford Rectangular Conference Table Tops"/>
    <n v="648.61450000000002"/>
    <n v="3"/>
    <n v="-248.2458"/>
    <n v="-38.273242426741923"/>
  </r>
  <r>
    <s v="US-2020-152366"/>
    <x v="69"/>
    <s v="SJ-20500"/>
    <s v="Shirley Jackson"/>
    <s v="United States"/>
    <x v="3"/>
    <x v="1"/>
    <s v="Acco 7-Outlet Masterpiece Power Center, Wihtout Fax/Phone Line Protection"/>
    <n v="114.264"/>
    <n v="4"/>
    <n v="-243.16"/>
    <n v="-212.80543303227611"/>
  </r>
  <r>
    <s v="CA-2019-130911"/>
    <x v="70"/>
    <s v="DC-12850"/>
    <s v="Dan Campbell"/>
    <s v="United States"/>
    <x v="0"/>
    <x v="2"/>
    <s v="O'Sullivan Living Dimensions 3-Shelf Bookcases"/>
    <n v="301.47000000000003"/>
    <n v="3"/>
    <n v="-241.17599999999999"/>
    <n v="-80"/>
  </r>
  <r>
    <s v="US-2020-132059"/>
    <x v="71"/>
    <s v="AP-10915"/>
    <s v="Arthur Prichep"/>
    <s v="United States"/>
    <x v="2"/>
    <x v="2"/>
    <s v="Atlantic Metals Mobile 5-Shelf Bookcases, Custom Colors"/>
    <n v="229.58799999999999"/>
    <n v="2"/>
    <n v="-240.78399999999999"/>
    <n v="-104.87656149276094"/>
  </r>
  <r>
    <s v="CA-2019-125080"/>
    <x v="72"/>
    <s v="VW-21775"/>
    <s v="Victoria Wilson"/>
    <s v="United States"/>
    <x v="0"/>
    <x v="2"/>
    <s v="Chromcraft Bull-Nose Wood 48&quot; x 96&quot; Rectangular Conference Tables"/>
    <n v="661.17600000000004"/>
    <n v="2"/>
    <n v="-231.41159999999999"/>
    <n v="-35"/>
  </r>
  <r>
    <s v="CA-2020-154760"/>
    <x v="73"/>
    <s v="BP-11290"/>
    <s v="Beth Paige"/>
    <s v="United States"/>
    <x v="0"/>
    <x v="1"/>
    <s v="Ibico Hi-Tech Manual Binding System"/>
    <n v="311.49099999999999"/>
    <n v="3"/>
    <n v="-228.74250000000001"/>
    <n v="-73.434705978663914"/>
  </r>
  <r>
    <s v="US-2020-141677"/>
    <x v="74"/>
    <s v="HK-14890"/>
    <s v="Heather Kirkland"/>
    <s v="United States"/>
    <x v="3"/>
    <x v="1"/>
    <s v="Belkin 5 Outlet SurgeMaster Power Centers"/>
    <n v="114.16800000000001"/>
    <n v="8"/>
    <n v="-226.63679999999999"/>
    <n v="-198.51166701702752"/>
  </r>
  <r>
    <s v="CA-2019-168956"/>
    <x v="75"/>
    <s v="EA-14035"/>
    <s v="Erin Ashbrook"/>
    <s v="United States"/>
    <x v="3"/>
    <x v="1"/>
    <s v="Honeywell Enviracaire Portable Air Cleaner for up to 8 x 10 Room"/>
    <n v="92.063999999999993"/>
    <n v="6"/>
    <n v="-225.55680000000001"/>
    <n v="-245.00000000000003"/>
  </r>
  <r>
    <s v="US-2019-110170"/>
    <x v="76"/>
    <s v="HM-14860"/>
    <s v="Harry Marie"/>
    <s v="United States"/>
    <x v="3"/>
    <x v="2"/>
    <s v="O'Sullivan Plantations 2-Door Library in Landvery Oak"/>
    <n v="956.66480000000001"/>
    <n v="7"/>
    <n v="-225.0976"/>
    <n v="-23.52941176470588"/>
  </r>
  <r>
    <s v="US-2019-131611"/>
    <x v="77"/>
    <s v="EP-13915"/>
    <s v="Emily Phan"/>
    <s v="United States"/>
    <x v="3"/>
    <x v="2"/>
    <s v="O'Sullivan Plantations 2-Door Library in Landvery Oak"/>
    <n v="956.66480000000001"/>
    <n v="7"/>
    <n v="-225.0976"/>
    <n v="-23.52941176470588"/>
  </r>
  <r>
    <s v="CA-2019-134936"/>
    <x v="78"/>
    <s v="ES-14080"/>
    <s v="Erin Smith"/>
    <s v="United States"/>
    <x v="2"/>
    <x v="2"/>
    <s v="SAFCO PlanMaster Boards, 60w x 37-1/2d, White Melamine"/>
    <n v="455.97"/>
    <n v="6"/>
    <n v="-218.8656"/>
    <n v="-48"/>
  </r>
  <r>
    <s v="CA-2019-113243"/>
    <x v="79"/>
    <s v="OT-18730"/>
    <s v="Olvera Toch"/>
    <s v="United States"/>
    <x v="2"/>
    <x v="2"/>
    <s v="Bretford “Just In Time” Height-Adjustable Multi-Task Work Tables"/>
    <n v="1335.68"/>
    <n v="4"/>
    <n v="-217.048"/>
    <n v="-16.25"/>
  </r>
  <r>
    <s v="CA-2019-129861"/>
    <x v="80"/>
    <s v="DM-13345"/>
    <s v="Denise Monton"/>
    <s v="United States"/>
    <x v="0"/>
    <x v="2"/>
    <s v="Hon 2111 Invitation Series Corner Table"/>
    <n v="376.86599999999999"/>
    <n v="3"/>
    <n v="-213.5574"/>
    <n v="-56.666666666666664"/>
  </r>
  <r>
    <s v="US-2019-122245"/>
    <x v="81"/>
    <s v="AB-10105"/>
    <s v="Adrian Barton"/>
    <s v="United States"/>
    <x v="2"/>
    <x v="2"/>
    <s v="Bevis Boat-Shaped Conference Table"/>
    <n v="393.16500000000002"/>
    <n v="3"/>
    <n v="-204.44579999999999"/>
    <n v="-51.999999999999993"/>
  </r>
  <r>
    <s v="CA-2019-112697"/>
    <x v="60"/>
    <s v="AH-10195"/>
    <s v="Alan Haines"/>
    <s v="United States"/>
    <x v="1"/>
    <x v="1"/>
    <s v="Premier Automatic Letter Opener"/>
    <n v="961.48"/>
    <n v="5"/>
    <n v="-204.31450000000001"/>
    <n v="-21.25"/>
  </r>
  <r>
    <s v="CA-2019-130820"/>
    <x v="82"/>
    <s v="ON-18715"/>
    <s v="Odella Nelson"/>
    <s v="United States"/>
    <x v="1"/>
    <x v="2"/>
    <s v="Hon Racetrack Conference Tables"/>
    <n v="630.024"/>
    <n v="4"/>
    <n v="-199.5076"/>
    <n v="-31.666666666666664"/>
  </r>
  <r>
    <s v="US-2020-125647"/>
    <x v="71"/>
    <s v="LC-16870"/>
    <s v="Lena Cacioppo"/>
    <s v="United States"/>
    <x v="3"/>
    <x v="1"/>
    <s v="Euro Pro Shark Stick Mini Vacuum"/>
    <n v="188.17599999999999"/>
    <n v="6"/>
    <n v="-197.5752"/>
    <n v="-104.9948983929938"/>
  </r>
  <r>
    <s v="CA-2019-131289"/>
    <x v="83"/>
    <s v="SP-20620"/>
    <s v="Stefania Perrino"/>
    <s v="United States"/>
    <x v="2"/>
    <x v="2"/>
    <s v="Hon 94000 Series Round Tables"/>
    <n v="1421.664"/>
    <n v="6"/>
    <n v="-195.47880000000001"/>
    <n v="-13.750000000000002"/>
  </r>
  <r>
    <s v="CA-2019-110898"/>
    <x v="84"/>
    <s v="LC-16870"/>
    <s v="Lena Cacioppo"/>
    <s v="United States"/>
    <x v="3"/>
    <x v="2"/>
    <s v="Eldon Cleatmat Plus Chair Mats for High Pile Carpets"/>
    <n v="159.04"/>
    <n v="5"/>
    <n v="-194.82400000000001"/>
    <n v="-122.50000000000001"/>
  </r>
  <r>
    <s v="CA-2020-147760"/>
    <x v="1"/>
    <s v="KL-16555"/>
    <s v="Kelly Lampkin"/>
    <s v="United States"/>
    <x v="1"/>
    <x v="2"/>
    <s v="Hon 5100 Series Wood Tables"/>
    <n v="539.76400000000001"/>
    <n v="3"/>
    <n v="-192.04679999999999"/>
    <n v="-35.579771900311982"/>
  </r>
  <r>
    <s v="CA-2019-157707"/>
    <x v="85"/>
    <s v="CC-12610"/>
    <s v="Corey Catlett"/>
    <s v="United States"/>
    <x v="2"/>
    <x v="2"/>
    <s v="Bush Westfield Collection Bookcases, Dark Cherry Finish, Fully Assembled"/>
    <n v="90.882000000000005"/>
    <n v="3"/>
    <n v="-190.85220000000001"/>
    <n v="-210"/>
  </r>
  <r>
    <s v="CA-2020-121300"/>
    <x v="86"/>
    <s v="MG-17680"/>
    <s v="Maureen Gastineau"/>
    <s v="United States"/>
    <x v="0"/>
    <x v="2"/>
    <s v="Riverside Furniture Stanwyck Manor Table Series"/>
    <n v="372.22"/>
    <n v="2"/>
    <n v="-189.321"/>
    <n v="-50.862661866638007"/>
  </r>
  <r>
    <s v="CA-2020-151750"/>
    <x v="87"/>
    <s v="JM-15250"/>
    <s v="Janet Martin"/>
    <s v="United States"/>
    <x v="3"/>
    <x v="2"/>
    <s v="Tenex Carpeted, Granite-Look or Clear Contemporary Contour Shape Chair Mats"/>
    <n v="164.42"/>
    <n v="5"/>
    <n v="-187.38149999999999"/>
    <n v="-113.96515022503347"/>
  </r>
  <r>
    <s v="CA-2020-127782"/>
    <x v="88"/>
    <s v="TH-21115"/>
    <s v="Thea Hudgings"/>
    <s v="United States"/>
    <x v="0"/>
    <x v="0"/>
    <s v="Wilson Electronics DB Pro Signal Booster"/>
    <n v="879.2"/>
    <n v="4"/>
    <n v="-186.16"/>
    <n v="-21.173794358507735"/>
  </r>
  <r>
    <s v="CA-2020-135937"/>
    <x v="89"/>
    <s v="KM-16375"/>
    <s v="Katherine Murray"/>
    <s v="United States"/>
    <x v="2"/>
    <x v="2"/>
    <s v="KI Adjustable-Height Table"/>
    <n v="427.91"/>
    <n v="9"/>
    <n v="-185.71680000000001"/>
    <n v="-43.400902058844146"/>
  </r>
  <r>
    <s v="CA-2020-116946"/>
    <x v="90"/>
    <s v="TS-21505"/>
    <s v="Tony Sayre"/>
    <s v="United States"/>
    <x v="2"/>
    <x v="2"/>
    <s v="O'Sullivan 2-Shelf Heavy-Duty Bookcases"/>
    <n v="363.01799999999997"/>
    <n v="7"/>
    <n v="-183.63239999999999"/>
    <n v="-50.584929672908785"/>
  </r>
  <r>
    <s v="US-2020-141558"/>
    <x v="91"/>
    <s v="MH-17290"/>
    <s v="Marc Harrigan"/>
    <s v="United States"/>
    <x v="0"/>
    <x v="0"/>
    <s v="Nortel Meridian M5316 Digital phone"/>
    <n v="799.85"/>
    <n v="5"/>
    <n v="-181.26499999999999"/>
    <n v="-22.66237419516159"/>
  </r>
  <r>
    <s v="CA-2020-150266"/>
    <x v="92"/>
    <s v="RO-19780"/>
    <s v="Rose O'Brian"/>
    <s v="United States"/>
    <x v="3"/>
    <x v="1"/>
    <s v="Fellowes Command Center 5-outlet power strip"/>
    <n v="104.84"/>
    <n v="5"/>
    <n v="-179.77600000000001"/>
    <n v="-171.47653567340711"/>
  </r>
  <r>
    <s v="US-2020-116701"/>
    <x v="93"/>
    <s v="LC-17140"/>
    <s v="Logan Currie"/>
    <s v="United States"/>
    <x v="3"/>
    <x v="1"/>
    <s v="Eureka Sanitaire  Commercial Upright"/>
    <n v="283.28399999999999"/>
    <n v="2"/>
    <n v="-178.96680000000001"/>
    <n v="-63.175752954632102"/>
  </r>
  <r>
    <s v="CA-2020-163006"/>
    <x v="54"/>
    <s v="GH-14410"/>
    <s v="Gary Hansen"/>
    <s v="United States"/>
    <x v="3"/>
    <x v="2"/>
    <s v="Global Enterprise Series Seating High-Back Swivel/Tilt Chairs"/>
    <n v="579.05799999999999"/>
    <n v="3"/>
    <n v="-178.8468"/>
    <n v="-30.885818000960182"/>
  </r>
  <r>
    <s v="CA-2020-132290"/>
    <x v="94"/>
    <s v="MD-17350"/>
    <s v="Maribeth Dona"/>
    <s v="United States"/>
    <x v="3"/>
    <x v="2"/>
    <s v="Bevis Traditional Conference Table Top, Plinth Base"/>
    <n v="948.40800000000002"/>
    <n v="4"/>
    <n v="-173.34719999999999"/>
    <n v="-18.2777032669484"/>
  </r>
  <r>
    <s v="US-2019-160528"/>
    <x v="95"/>
    <s v="MH-18115"/>
    <s v="Mick Hernandez"/>
    <s v="United States"/>
    <x v="3"/>
    <x v="1"/>
    <s v="SAFCO Boltless Steel Shelving"/>
    <n v="727.29600000000005"/>
    <n v="8"/>
    <n v="-172.7328"/>
    <n v="-23.75"/>
  </r>
  <r>
    <s v="CA-2020-147207"/>
    <x v="96"/>
    <s v="TS-21655"/>
    <s v="Trudy Schmidt"/>
    <s v="United States"/>
    <x v="3"/>
    <x v="2"/>
    <s v="Bevis Oval Conference Table, Walnut"/>
    <n v="953.43"/>
    <n v="5"/>
    <n v="-169.637"/>
    <n v="-17.792286796094103"/>
  </r>
  <r>
    <s v="CA-2019-112697"/>
    <x v="60"/>
    <s v="AH-10195"/>
    <s v="Alan Haines"/>
    <s v="United States"/>
    <x v="1"/>
    <x v="1"/>
    <s v="GBC VeloBinder Electric Binding Machine"/>
    <n v="254.05799999999999"/>
    <n v="7"/>
    <n v="-169.37200000000001"/>
    <n v="-66.666666666666671"/>
  </r>
  <r>
    <s v="CA-2020-156237"/>
    <x v="97"/>
    <s v="PS-18760"/>
    <s v="Pamela Stobb"/>
    <s v="United States"/>
    <x v="0"/>
    <x v="0"/>
    <s v="Lexmark MarkNet N8150 Wireless Print Server"/>
    <n v="264.17"/>
    <n v="2"/>
    <n v="-168.81899999999999"/>
    <n v="-63.905439678994583"/>
  </r>
  <r>
    <s v="CA-2019-127236"/>
    <x v="98"/>
    <s v="TB-21595"/>
    <s v="Troy Blackwell"/>
    <s v="United States"/>
    <x v="0"/>
    <x v="2"/>
    <s v="Bush Andora Bookcase, Maple/Graphite Gray Finish"/>
    <n v="299.97500000000002"/>
    <n v="5"/>
    <n v="-167.98599999999999"/>
    <n v="-55.999999999999993"/>
  </r>
  <r>
    <s v="CA-2019-140928"/>
    <x v="99"/>
    <s v="NB-18655"/>
    <s v="Nona Balk"/>
    <s v="United States"/>
    <x v="1"/>
    <x v="2"/>
    <s v="Chromcraft Round Conference Tables"/>
    <n v="383.43799999999999"/>
    <n v="4"/>
    <n v="-167.3184"/>
    <n v="-43.636363636363633"/>
  </r>
  <r>
    <s v="CA-2019-144540"/>
    <x v="100"/>
    <s v="GH-14410"/>
    <s v="Gary Hansen"/>
    <s v="United States"/>
    <x v="3"/>
    <x v="1"/>
    <s v="Eureka The Boss Plus 12-Amp Hard Box Upright Vacuum, Red"/>
    <n v="62.79"/>
    <n v="3"/>
    <n v="-166.39349999999999"/>
    <n v="-265"/>
  </r>
  <r>
    <s v="CA-2019-129280"/>
    <x v="101"/>
    <s v="SM-20905"/>
    <s v="Susan MacKendrick"/>
    <s v="United States"/>
    <x v="0"/>
    <x v="0"/>
    <s v="Cisco 8961 IP Phone Charcoal"/>
    <n v="224.93700000000001"/>
    <n v="3"/>
    <n v="-164.9538"/>
    <n v="-73.333333333333329"/>
  </r>
  <r>
    <s v="CA-2020-103478"/>
    <x v="102"/>
    <s v="KL-16555"/>
    <s v="Kelly Lampkin"/>
    <s v="United States"/>
    <x v="3"/>
    <x v="1"/>
    <s v="Catalog Binders with Expanding Posts"/>
    <n v="122.19199999999999"/>
    <n v="7"/>
    <n v="-164.83600000000001"/>
    <n v="-134.89917506874428"/>
  </r>
  <r>
    <s v="CA-2019-161907"/>
    <x v="103"/>
    <s v="JH-16180"/>
    <s v="Justin Hirsh"/>
    <s v="United States"/>
    <x v="0"/>
    <x v="1"/>
    <s v="Premier Automatic Letter Opener"/>
    <n v="769.18399999999997"/>
    <n v="4"/>
    <n v="-163.45160000000001"/>
    <n v="-21.250000000000004"/>
  </r>
  <r>
    <s v="CA-2019-120824"/>
    <x v="104"/>
    <s v="AW-10930"/>
    <s v="Arthur Wiediger"/>
    <s v="United States"/>
    <x v="3"/>
    <x v="1"/>
    <s v="APC 7 Outlet Network SurgeArrest Surge Protector"/>
    <n v="64.384"/>
    <n v="4"/>
    <n v="-160.96"/>
    <n v="-250"/>
  </r>
  <r>
    <s v="US-2019-131611"/>
    <x v="77"/>
    <s v="EP-13915"/>
    <s v="Emily Phan"/>
    <s v="United States"/>
    <x v="3"/>
    <x v="2"/>
    <s v="Laminate Occasional Tables"/>
    <n v="863.12800000000004"/>
    <n v="8"/>
    <n v="-160.29519999999999"/>
    <n v="-18.571428571428569"/>
  </r>
  <r>
    <s v="CA-2020-144526"/>
    <x v="105"/>
    <s v="QJ-19255"/>
    <s v="Quincy Jones"/>
    <s v="United States"/>
    <x v="0"/>
    <x v="0"/>
    <s v="Polycom SoundPoint IP 450 VoIP phone"/>
    <n v="719.58"/>
    <n v="5"/>
    <n v="-158.102"/>
    <n v="-21.971427777314545"/>
  </r>
  <r>
    <s v="CA-2019-121223"/>
    <x v="106"/>
    <s v="GD-14590"/>
    <s v="Giulietta Dortch"/>
    <s v="United States"/>
    <x v="0"/>
    <x v="0"/>
    <s v="Cisco 8x8 Inc. 6753i IP Business Phone System"/>
    <n v="728.94600000000003"/>
    <n v="9"/>
    <n v="-157.9383"/>
    <n v="-21.666666666666664"/>
  </r>
  <r>
    <s v="US-2019-150861"/>
    <x v="107"/>
    <s v="EG-13900"/>
    <s v="Emily Grady"/>
    <s v="United States"/>
    <x v="0"/>
    <x v="2"/>
    <s v="Bevis Traditional Conference Table Top, Plinth Base"/>
    <n v="400.03199999999998"/>
    <n v="2"/>
    <n v="-153.34559999999999"/>
    <n v="-38.333333333333329"/>
  </r>
  <r>
    <s v="US-2019-141264"/>
    <x v="108"/>
    <s v="CT-11995"/>
    <s v="Carol Triggs"/>
    <s v="United States"/>
    <x v="3"/>
    <x v="1"/>
    <s v="3.6 Cubic Foot Counter Height Office Refrigerator"/>
    <n v="58.923999999999999"/>
    <n v="1"/>
    <n v="-153.20240000000001"/>
    <n v="-260"/>
  </r>
  <r>
    <s v="CA-2020-105991"/>
    <x v="109"/>
    <s v="LH-17020"/>
    <s v="Lisa Hazard"/>
    <s v="United States"/>
    <x v="2"/>
    <x v="2"/>
    <s v="Bestar Classic Bookcase"/>
    <n v="136.99100000000001"/>
    <n v="3"/>
    <n v="-152.9847"/>
    <n v="-111.6750005474812"/>
  </r>
  <r>
    <s v="CA-2019-154018"/>
    <x v="27"/>
    <s v="HA-14920"/>
    <s v="Helen Andreada"/>
    <s v="United States"/>
    <x v="3"/>
    <x v="2"/>
    <s v="Tenex &quot;The Solids&quot; Textured Chair Mats"/>
    <n v="139.91999999999999"/>
    <n v="5"/>
    <n v="-150.41399999999999"/>
    <n v="-107.5"/>
  </r>
  <r>
    <s v="CA-2019-106950"/>
    <x v="110"/>
    <s v="JE-15715"/>
    <s v="Joe Elijah"/>
    <s v="United States"/>
    <x v="1"/>
    <x v="2"/>
    <s v="Hon Racetrack Conference Tables"/>
    <n v="472.51799999999997"/>
    <n v="3"/>
    <n v="-149.63069999999999"/>
    <n v="-31.666666666666664"/>
  </r>
  <r>
    <s v="CA-2019-117590"/>
    <x v="83"/>
    <s v="GH-14485"/>
    <s v="Gene Hale"/>
    <s v="United States"/>
    <x v="3"/>
    <x v="2"/>
    <s v="Electrix Architect's Clamp-On Swing Arm Lamp, Black"/>
    <n v="190.92"/>
    <n v="5"/>
    <n v="-147.96299999999999"/>
    <n v="-77.5"/>
  </r>
  <r>
    <s v="CA-2019-162187"/>
    <x v="111"/>
    <s v="NS-18640"/>
    <s v="Noel Staavos"/>
    <s v="United States"/>
    <x v="0"/>
    <x v="2"/>
    <s v="Lesro Round Back Collection Coffee Table, End Table"/>
    <n v="328.59"/>
    <n v="3"/>
    <n v="-147.8655"/>
    <n v="-45"/>
  </r>
  <r>
    <s v="CA-2020-115651"/>
    <x v="112"/>
    <s v="NS-18640"/>
    <s v="Noel Staavos"/>
    <s v="United States"/>
    <x v="3"/>
    <x v="1"/>
    <s v="Belkin F9S820V06 8 Outlet Surge"/>
    <n v="152.464"/>
    <n v="9"/>
    <n v="-146.16"/>
    <n v="-95.865253436876898"/>
  </r>
  <r>
    <s v="US-2020-155425"/>
    <x v="31"/>
    <s v="AB-10600"/>
    <s v="Ann Blume"/>
    <s v="United States"/>
    <x v="2"/>
    <x v="2"/>
    <s v="Hon 2090 “Pillow Soft” Series Mid Back Swivel/Tilt Chairs"/>
    <n v="931.13599999999997"/>
    <n v="4"/>
    <n v="-146.1096"/>
    <n v="-15.691542374046326"/>
  </r>
  <r>
    <s v="US-2019-123750"/>
    <x v="113"/>
    <s v="RB-19795"/>
    <s v="Ross Baird"/>
    <s v="United States"/>
    <x v="1"/>
    <x v="1"/>
    <s v="GBC ProClick 150 Presentation Binding System"/>
    <n v="189.58799999999999"/>
    <n v="2"/>
    <n v="-145.35079999999999"/>
    <n v="-76.666666666666657"/>
  </r>
  <r>
    <s v="CA-2020-163160"/>
    <x v="114"/>
    <s v="TS-21610"/>
    <s v="Troy Staebel"/>
    <s v="United States"/>
    <x v="3"/>
    <x v="1"/>
    <s v="GBC VeloBinder Electric Binding Machine"/>
    <n v="117.78400000000001"/>
    <n v="4"/>
    <n v="-145.17599999999999"/>
    <n v="-123.25612986483732"/>
  </r>
  <r>
    <s v="CA-2019-149272"/>
    <x v="115"/>
    <s v="MY-18295"/>
    <s v="Muhammed Yedwab"/>
    <s v="United States"/>
    <x v="3"/>
    <x v="2"/>
    <s v="Novimex Swivel Fabric Task Chair"/>
    <n v="528.42999999999995"/>
    <n v="5"/>
    <n v="-143.43100000000001"/>
    <n v="-27.142857142857146"/>
  </r>
  <r>
    <s v="CA-2019-164784"/>
    <x v="116"/>
    <s v="HF-14995"/>
    <s v="Herbert Flentye"/>
    <s v="United States"/>
    <x v="1"/>
    <x v="2"/>
    <s v="Bevis 44 x 96 Conference Tables"/>
    <n v="370.62"/>
    <n v="3"/>
    <n v="-142.071"/>
    <n v="-38.333333333333329"/>
  </r>
  <r>
    <s v="CA-2020-149888"/>
    <x v="117"/>
    <s v="EP-13915"/>
    <s v="Emily Phan"/>
    <s v="United States"/>
    <x v="0"/>
    <x v="2"/>
    <s v="Bevis Rectangular Conference Tables"/>
    <n v="377.35199999999998"/>
    <n v="4"/>
    <n v="-140.14080000000001"/>
    <n v="-37.1379507727533"/>
  </r>
  <r>
    <s v="US-2019-114013"/>
    <x v="22"/>
    <s v="SC-20770"/>
    <s v="Stewart Carmichael"/>
    <s v="United States"/>
    <x v="0"/>
    <x v="1"/>
    <s v="SAFCO Commercial Wire Shelving, Black"/>
    <n v="552.55999999999995"/>
    <n v="5"/>
    <n v="-138.13999999999999"/>
    <n v="-25"/>
  </r>
  <r>
    <s v="CA-2019-164770"/>
    <x v="118"/>
    <s v="MY-18295"/>
    <s v="Muhammed Yedwab"/>
    <s v="United States"/>
    <x v="3"/>
    <x v="2"/>
    <s v="Sauder Camden County Collection Library"/>
    <n v="81.864000000000004"/>
    <n v="10"/>
    <n v="-137.976"/>
    <n v="-168.54294928173553"/>
  </r>
  <r>
    <s v="CA-2019-162187"/>
    <x v="111"/>
    <s v="NS-18640"/>
    <s v="Noel Staavos"/>
    <s v="United States"/>
    <x v="0"/>
    <x v="2"/>
    <s v="Office Star - Contemporary Task Swivel chair with Loop Arms, Charcoal"/>
    <n v="458.43"/>
    <n v="5"/>
    <n v="-137.529"/>
    <n v="-30"/>
  </r>
  <r>
    <s v="CA-2019-143406"/>
    <x v="66"/>
    <s v="LR-17035"/>
    <s v="Lisa Ryan"/>
    <s v="United States"/>
    <x v="3"/>
    <x v="2"/>
    <s v="High-Back Leather Manager's Chair"/>
    <n v="454.96499999999997"/>
    <n v="5"/>
    <n v="-136.48949999999999"/>
    <n v="-30"/>
  </r>
  <r>
    <s v="CA-2020-142909"/>
    <x v="67"/>
    <s v="AG-10330"/>
    <s v="Alex Grayson"/>
    <s v="United States"/>
    <x v="2"/>
    <x v="2"/>
    <s v="Lesro Round Back Collection Coffee Table, End Table"/>
    <n v="466.55"/>
    <n v="2"/>
    <n v="-135.08699999999999"/>
    <n v="-28.954452898939014"/>
  </r>
  <r>
    <s v="US-2019-144057"/>
    <x v="119"/>
    <s v="CV-12805"/>
    <s v="Cynthia Voltz"/>
    <s v="United States"/>
    <x v="3"/>
    <x v="1"/>
    <s v="Euro Pro Shark Stick Mini Vacuum"/>
    <n v="48.783999999999999"/>
    <n v="4"/>
    <n v="-131.71680000000001"/>
    <n v="-270"/>
  </r>
  <r>
    <s v="CA-2020-105410"/>
    <x v="120"/>
    <s v="ND-18370"/>
    <s v="Natalie DeCherney"/>
    <s v="United States"/>
    <x v="2"/>
    <x v="0"/>
    <s v="Jawbone MINI JAMBOX Wireless Bluetooth Speaker"/>
    <n v="696.50400000000002"/>
    <n v="6"/>
    <n v="-131.5008"/>
    <n v="-18.880121291478584"/>
  </r>
  <r>
    <s v="US-2020-152380"/>
    <x v="4"/>
    <s v="JH-15910"/>
    <s v="Jonathan Howell"/>
    <s v="United States"/>
    <x v="3"/>
    <x v="2"/>
    <s v="BPI Conference Tables"/>
    <n v="249.07499999999999"/>
    <n v="3"/>
    <n v="-131.44499999999999"/>
    <n v="-52.773261065943991"/>
  </r>
  <r>
    <s v="CA-2020-143378"/>
    <x v="121"/>
    <s v="JR-16210"/>
    <s v="Justin Ritter"/>
    <s v="United States"/>
    <x v="2"/>
    <x v="2"/>
    <s v="O'Sullivan 4-Shelf Bookcase in Odessa Pine"/>
    <n v="111.58799999999999"/>
    <n v="2"/>
    <n v="-128.2388"/>
    <n v="-114.92167616589597"/>
  </r>
  <r>
    <s v="CA-2019-145730"/>
    <x v="17"/>
    <s v="CC-12220"/>
    <s v="Chris Cortes"/>
    <s v="United States"/>
    <x v="3"/>
    <x v="2"/>
    <s v="Office Impressions End Table, 20-1/2&quot;H x 24&quot;W x 20&quot;D"/>
    <n v="637.89599999999996"/>
    <n v="3"/>
    <n v="-127.5792"/>
    <n v="-20"/>
  </r>
  <r>
    <s v="CA-2020-125451"/>
    <x v="122"/>
    <s v="AH-10075"/>
    <s v="Adam Hart"/>
    <s v="United States"/>
    <x v="0"/>
    <x v="2"/>
    <s v="Office Impressions End Table, 20-1/2&quot;H x 24&quot;W x 20&quot;D"/>
    <n v="668.89599999999996"/>
    <n v="3"/>
    <n v="-127.5792"/>
    <n v="-19.07309955508779"/>
  </r>
  <r>
    <s v="US-2019-103646"/>
    <x v="123"/>
    <s v="SP-20545"/>
    <s v="Sibella Parks"/>
    <s v="United States"/>
    <x v="3"/>
    <x v="1"/>
    <s v="Kensington 4 Outlet MasterPiece Compact Power Control Center"/>
    <n v="48.792000000000002"/>
    <n v="3"/>
    <n v="-126.8592"/>
    <n v="-260"/>
  </r>
  <r>
    <s v="CA-2020-137785"/>
    <x v="124"/>
    <s v="MH-18115"/>
    <s v="Mick Hernandez"/>
    <s v="United States"/>
    <x v="0"/>
    <x v="2"/>
    <s v="Office Star - Mesh Screen back chair with Vinyl seat"/>
    <n v="504.43"/>
    <n v="5"/>
    <n v="-124.431"/>
    <n v="-24.667644668239397"/>
  </r>
  <r>
    <s v="CA-2019-133816"/>
    <x v="125"/>
    <s v="CS-12400"/>
    <s v="Christopher Schild"/>
    <s v="United States"/>
    <x v="0"/>
    <x v="0"/>
    <s v="ClearOne CHATAttach 160 - speaker phone"/>
    <n v="743.98800000000006"/>
    <n v="2"/>
    <n v="-123.998"/>
    <n v="-16.666666666666664"/>
  </r>
  <r>
    <s v="CA-2019-157749"/>
    <x v="41"/>
    <s v="KL-16645"/>
    <s v="Ken Lonsdale"/>
    <s v="United States"/>
    <x v="3"/>
    <x v="2"/>
    <s v="KI Conference Tables"/>
    <n v="177.22499999999999"/>
    <n v="5"/>
    <n v="-120.51300000000001"/>
    <n v="-68"/>
  </r>
  <r>
    <s v="CA-2020-101581"/>
    <x v="126"/>
    <s v="DW-13195"/>
    <s v="David Wiener"/>
    <s v="United States"/>
    <x v="2"/>
    <x v="2"/>
    <s v="KI Conference Tables"/>
    <n v="195.22499999999999"/>
    <n v="5"/>
    <n v="-120.51300000000001"/>
    <n v="-61.730311179408382"/>
  </r>
  <r>
    <s v="CA-2019-130288"/>
    <x v="127"/>
    <s v="DK-13225"/>
    <s v="Dean Katz"/>
    <s v="United States"/>
    <x v="0"/>
    <x v="2"/>
    <s v="Bevis Oval Conference Table, Walnut"/>
    <n v="313.17599999999999"/>
    <n v="2"/>
    <n v="-120.0508"/>
    <n v="-38.333333333333336"/>
  </r>
  <r>
    <s v="CA-2019-110975"/>
    <x v="36"/>
    <s v="DB-12970"/>
    <s v="Darren Budd"/>
    <s v="United States"/>
    <x v="0"/>
    <x v="2"/>
    <s v="Bevis Oval Conference Table, Walnut"/>
    <n v="313.17599999999999"/>
    <n v="2"/>
    <n v="-120.0508"/>
    <n v="-38.333333333333336"/>
  </r>
  <r>
    <s v="CA-2019-120824"/>
    <x v="104"/>
    <s v="AW-10930"/>
    <s v="Arthur Wiediger"/>
    <s v="United States"/>
    <x v="3"/>
    <x v="2"/>
    <s v="Global Enterprise Series Seating High-Back Swivel/Tilt Chairs"/>
    <n v="379.37200000000001"/>
    <n v="2"/>
    <n v="-119.2312"/>
    <n v="-31.428571428571427"/>
  </r>
  <r>
    <s v="US-2020-133200"/>
    <x v="128"/>
    <s v="DB-13555"/>
    <s v="Dorothy Badders"/>
    <s v="United States"/>
    <x v="3"/>
    <x v="2"/>
    <s v="Sauder Mission Library with Doors, Fruitwood Finish"/>
    <n v="650.46479999999997"/>
    <n v="7"/>
    <n v="-119.1918"/>
    <n v="-18.324096861198331"/>
  </r>
  <r>
    <s v="CA-2019-155747"/>
    <x v="129"/>
    <s v="JS-15685"/>
    <s v="Jim Sink"/>
    <s v="United States"/>
    <x v="0"/>
    <x v="2"/>
    <s v="Global Adaptabilities Conference Tables"/>
    <n v="337.17599999999999"/>
    <n v="2"/>
    <n v="-118.0116"/>
    <n v="-35"/>
  </r>
  <r>
    <s v="CA-2020-140326"/>
    <x v="130"/>
    <s v="HW-14935"/>
    <s v="Helen Wasserman"/>
    <s v="United States"/>
    <x v="3"/>
    <x v="2"/>
    <s v="Bush Birmingham Collection Bookcase, Dark Cherry"/>
    <n v="843.17399999999998"/>
    <n v="9"/>
    <n v="-117.88200000000001"/>
    <n v="-13.980744188032364"/>
  </r>
  <r>
    <s v="US-2019-114013"/>
    <x v="22"/>
    <s v="SC-20770"/>
    <s v="Stewart Carmichael"/>
    <s v="United States"/>
    <x v="0"/>
    <x v="0"/>
    <s v="Polycom CX600 IP Phone VoIP phone"/>
    <n v="539.91"/>
    <n v="3"/>
    <n v="-116.98050000000001"/>
    <n v="-21.666666666666671"/>
  </r>
  <r>
    <s v="CA-2019-139157"/>
    <x v="131"/>
    <s v="GM-14680"/>
    <s v="Greg Matthias"/>
    <s v="United States"/>
    <x v="0"/>
    <x v="2"/>
    <s v="Chromcraft Bull-Nose Wood 48&quot; x 96&quot; Rectangular Conference Tables"/>
    <n v="330.58800000000002"/>
    <n v="1"/>
    <n v="-115.7058"/>
    <n v="-35"/>
  </r>
  <r>
    <s v="US-2019-126893"/>
    <x v="127"/>
    <s v="CT-11995"/>
    <s v="Carol Triggs"/>
    <s v="United States"/>
    <x v="0"/>
    <x v="0"/>
    <s v="Mitel MiVoice 5330e IP Phone"/>
    <n v="494.98200000000003"/>
    <n v="3"/>
    <n v="-115.4958"/>
    <n v="-23.333333333333332"/>
  </r>
  <r>
    <s v="CA-2020-113908"/>
    <x v="132"/>
    <s v="KN-16390"/>
    <s v="Katherine Nockton"/>
    <s v="United States"/>
    <x v="0"/>
    <x v="2"/>
    <s v="Chromcraft 48&quot; x 96&quot; Racetrack Double Pedestal Table"/>
    <n v="400.76799999999997"/>
    <n v="2"/>
    <n v="-115.43040000000001"/>
    <n v="-28.802299584797193"/>
  </r>
  <r>
    <s v="US-2019-100720"/>
    <x v="133"/>
    <s v="CK-12205"/>
    <s v="Chloris Kastensmidt"/>
    <s v="United States"/>
    <x v="0"/>
    <x v="0"/>
    <s v="GE 2-Jack Phone Line Splitter"/>
    <n v="494.37599999999998"/>
    <n v="4"/>
    <n v="-115.3544"/>
    <n v="-23.333333333333332"/>
  </r>
  <r>
    <s v="CA-2019-104276"/>
    <x v="134"/>
    <s v="HF-14995"/>
    <s v="Herbert Flentye"/>
    <s v="United States"/>
    <x v="1"/>
    <x v="2"/>
    <s v="KI Adjustable-Height Table"/>
    <n v="331.02300000000002"/>
    <n v="7"/>
    <n v="-114.35339999999999"/>
    <n v="-34.54545454545454"/>
  </r>
  <r>
    <s v="US-2020-169551"/>
    <x v="135"/>
    <s v="RL-19615"/>
    <s v="Rob Lucas"/>
    <s v="United States"/>
    <x v="0"/>
    <x v="0"/>
    <s v="Apple iPhone 5S"/>
    <n v="725.98800000000006"/>
    <n v="2"/>
    <n v="-113.998"/>
    <n v="-15.702463401598923"/>
  </r>
  <r>
    <s v="CA-2020-117457"/>
    <x v="136"/>
    <s v="KH-16510"/>
    <s v="Keith Herrera"/>
    <s v="United States"/>
    <x v="2"/>
    <x v="2"/>
    <s v="Bevis Round Conference Table Top, X-Base"/>
    <n v="822.024"/>
    <n v="7"/>
    <n v="-112.95269999999999"/>
    <n v="-13.740803188228078"/>
  </r>
  <r>
    <s v="CA-2020-132199"/>
    <x v="137"/>
    <s v="BO-11350"/>
    <s v="Bill Overfelt"/>
    <s v="United States"/>
    <x v="0"/>
    <x v="2"/>
    <s v="Bevis 36 x 72 Conference Tables"/>
    <n v="394.47"/>
    <n v="5"/>
    <n v="-112.041"/>
    <n v="-28.40292037417294"/>
  </r>
  <r>
    <s v="CA-2019-165316"/>
    <x v="138"/>
    <s v="JB-15400"/>
    <s v="Jennifer Braxton"/>
    <s v="United States"/>
    <x v="1"/>
    <x v="0"/>
    <s v="Zebra GX420t Direct Thermal/Thermal Transfer Printer"/>
    <n v="265.47500000000002"/>
    <n v="1"/>
    <n v="-111.4995"/>
    <n v="-41.999999999999993"/>
  </r>
  <r>
    <s v="CA-2019-109400"/>
    <x v="139"/>
    <s v="NR-18550"/>
    <s v="Nick Radford"/>
    <s v="United States"/>
    <x v="3"/>
    <x v="2"/>
    <s v="Office Star - Contemporary Task Swivel chair with Loop Arms, Charcoal"/>
    <n v="366.74400000000003"/>
    <n v="4"/>
    <n v="-110.0232"/>
    <n v="-30"/>
  </r>
  <r>
    <s v="CA-2020-151750"/>
    <x v="87"/>
    <s v="JM-15250"/>
    <s v="Janet Martin"/>
    <s v="United States"/>
    <x v="3"/>
    <x v="1"/>
    <s v="SAFCO Boltless Steel Shelving"/>
    <n v="472.56"/>
    <n v="5"/>
    <n v="-107.958"/>
    <n v="-22.845352971051295"/>
  </r>
  <r>
    <s v="CA-2020-109085"/>
    <x v="58"/>
    <s v="CK-12325"/>
    <s v="Christine Kargatis"/>
    <s v="United States"/>
    <x v="0"/>
    <x v="2"/>
    <s v="SAFCO PlanMaster Boards, 60w x 37-1/2d, White Melamine"/>
    <n v="504.97"/>
    <n v="5"/>
    <n v="-106.393"/>
    <n v="-21.069172426084716"/>
  </r>
  <r>
    <s v="CA-2020-161557"/>
    <x v="140"/>
    <s v="AG-10900"/>
    <s v="Arthur Gainer"/>
    <s v="United States"/>
    <x v="3"/>
    <x v="2"/>
    <s v="Eldon Advantage Foldable Chair Mats for Low Pile Carpets"/>
    <n v="142.4"/>
    <n v="5"/>
    <n v="-105.69"/>
    <n v="-74.220505617977523"/>
  </r>
  <r>
    <s v="US-2020-147669"/>
    <x v="141"/>
    <s v="SV-20935"/>
    <s v="Susan Vittorini"/>
    <s v="United States"/>
    <x v="0"/>
    <x v="2"/>
    <s v="Hon Rectangular Conference Tables"/>
    <n v="591.05999999999995"/>
    <n v="2"/>
    <n v="-104.673"/>
    <n v="-17.709369607146485"/>
  </r>
  <r>
    <s v="US-2020-111024"/>
    <x v="142"/>
    <s v="SZ-20035"/>
    <s v="Sam Zeldin"/>
    <s v="United States"/>
    <x v="0"/>
    <x v="2"/>
    <s v="Bevis Round Conference Table Top, X-Base"/>
    <n v="236.148"/>
    <n v="2"/>
    <n v="-103.98820000000001"/>
    <n v="-44.035181326964448"/>
  </r>
  <r>
    <s v="US-2020-100930"/>
    <x v="68"/>
    <s v="CS-12400"/>
    <s v="Christopher Schild"/>
    <s v="United States"/>
    <x v="1"/>
    <x v="2"/>
    <s v="Bush Advantage Collection Round Conference Table"/>
    <n v="255.86"/>
    <n v="2"/>
    <n v="-102.048"/>
    <n v="-39.884311732978972"/>
  </r>
  <r>
    <s v="CA-2019-104969"/>
    <x v="5"/>
    <s v="EH-14125"/>
    <s v="Eugene Hildebrand"/>
    <s v="United States"/>
    <x v="0"/>
    <x v="1"/>
    <s v="Catalog Binders with Expanding Posts"/>
    <n v="121.104"/>
    <n v="6"/>
    <n v="-100.92"/>
    <n v="-83.333333333333343"/>
  </r>
  <r>
    <s v="CA-2019-133935"/>
    <x v="99"/>
    <s v="JW-15220"/>
    <s v="Jane Waco"/>
    <s v="United States"/>
    <x v="2"/>
    <x v="2"/>
    <s v="Global High-Back Leather Tilter, Burgundy"/>
    <n v="885.52800000000002"/>
    <n v="9"/>
    <n v="-99.621899999999997"/>
    <n v="-11.249999999999998"/>
  </r>
  <r>
    <s v="CA-2019-168046"/>
    <x v="143"/>
    <s v="JD-15895"/>
    <s v="Jonathan Doherty"/>
    <s v="United States"/>
    <x v="0"/>
    <x v="2"/>
    <s v="Chromcraft Round Conference Tables"/>
    <n v="313.72199999999998"/>
    <n v="3"/>
    <n v="-99.345299999999995"/>
    <n v="-31.666666666666664"/>
  </r>
  <r>
    <s v="CA-2019-110898"/>
    <x v="84"/>
    <s v="LC-16870"/>
    <s v="Lena Cacioppo"/>
    <s v="United States"/>
    <x v="3"/>
    <x v="2"/>
    <s v="Bevis Rectangular Conference Tables"/>
    <n v="145.97999999999999"/>
    <n v="2"/>
    <n v="-99.266400000000004"/>
    <n v="-68"/>
  </r>
  <r>
    <s v="CA-2020-102750"/>
    <x v="130"/>
    <s v="GM-14695"/>
    <s v="Greg Maxwell"/>
    <s v="United States"/>
    <x v="2"/>
    <x v="2"/>
    <s v="Chromcraft Bull-Nose Wood Oval Conference Tables &amp; Bases"/>
    <n v="1334.3520000000001"/>
    <n v="3"/>
    <n v="-99.176400000000001"/>
    <n v="-7.4325515306305974"/>
  </r>
  <r>
    <s v="CA-2020-133102"/>
    <x v="23"/>
    <s v="ED-13885"/>
    <s v="Emily Ducich"/>
    <s v="United States"/>
    <x v="3"/>
    <x v="1"/>
    <s v="Belkin Premiere Surge Master II 8-outlet surge protector"/>
    <n v="103.864"/>
    <n v="4"/>
    <n v="-99.103200000000001"/>
    <n v="-95.416313640915035"/>
  </r>
  <r>
    <s v="CA-2019-106383"/>
    <x v="144"/>
    <s v="BT-11440"/>
    <s v="Bobby Trafton"/>
    <s v="United States"/>
    <x v="2"/>
    <x v="2"/>
    <s v="Atlantic Metals Mobile 2-Shelf Bookcases, Custom Colors"/>
    <n v="72.293999999999997"/>
    <n v="1"/>
    <n v="-98.8018"/>
    <n v="-136.66666666666666"/>
  </r>
  <r>
    <s v="CA-2019-163328"/>
    <x v="56"/>
    <s v="TP-21565"/>
    <s v="Tracy Poddar"/>
    <s v="United States"/>
    <x v="2"/>
    <x v="2"/>
    <s v="Global Enterprise Series Seating High-Back Swivel/Tilt Chairs"/>
    <n v="650.35199999999998"/>
    <n v="3"/>
    <n v="-97.552800000000005"/>
    <n v="-15.000000000000002"/>
  </r>
  <r>
    <s v="US-2020-113992"/>
    <x v="55"/>
    <s v="LC-16885"/>
    <s v="Lena Creighton"/>
    <s v="United States"/>
    <x v="3"/>
    <x v="2"/>
    <s v="Bretford CR4500 Series Slim Rectangular Table"/>
    <n v="287.988"/>
    <n v="4"/>
    <n v="-97.498800000000003"/>
    <n v="-33.855160631692989"/>
  </r>
  <r>
    <s v="CA-2020-166695"/>
    <x v="145"/>
    <s v="CC-12430"/>
    <s v="Chuck Clark"/>
    <s v="United States"/>
    <x v="2"/>
    <x v="2"/>
    <s v="Global Geo Office Task Chair, Gray"/>
    <n v="552.27200000000005"/>
    <n v="8"/>
    <n v="-97.176000000000002"/>
    <n v="-17.595677492250196"/>
  </r>
  <r>
    <s v="CA-2020-137449"/>
    <x v="146"/>
    <s v="ME-17725"/>
    <s v="Max Engle"/>
    <s v="United States"/>
    <x v="3"/>
    <x v="2"/>
    <s v="O'Sullivan Plantations 2-Door Library in Landvery Oak"/>
    <n v="424.99919999999997"/>
    <n v="3"/>
    <n v="-96.470399999999998"/>
    <n v="-22.698960374513646"/>
  </r>
  <r>
    <s v="US-2019-157945"/>
    <x v="66"/>
    <s v="NF-18385"/>
    <s v="Natalie Fritzler"/>
    <s v="United States"/>
    <x v="3"/>
    <x v="2"/>
    <s v="Hon 4700 Series Mobuis Mid-Back Task Chairs with Adjustable Arms"/>
    <n v="747.55799999999999"/>
    <n v="3"/>
    <n v="-96.114599999999996"/>
    <n v="-12.857142857142856"/>
  </r>
  <r>
    <s v="CA-2019-108875"/>
    <x v="20"/>
    <s v="CL-12700"/>
    <s v="Craig Leslie"/>
    <s v="United States"/>
    <x v="2"/>
    <x v="1"/>
    <s v="Sensible Storage WireTech Storage Systems"/>
    <n v="511.05599999999998"/>
    <n v="9"/>
    <n v="-95.822999999999993"/>
    <n v="-18.75"/>
  </r>
  <r>
    <s v="US-2019-120929"/>
    <x v="147"/>
    <s v="RO-19780"/>
    <s v="Rose O'Brian"/>
    <s v="United States"/>
    <x v="1"/>
    <x v="2"/>
    <s v="Balt Solid Wood Rectangular Table"/>
    <n v="189.88200000000001"/>
    <n v="3"/>
    <n v="-94.941000000000003"/>
    <n v="-50"/>
  </r>
  <r>
    <s v="CA-2019-125087"/>
    <x v="148"/>
    <s v="TH-21115"/>
    <s v="Thea Hudgings"/>
    <s v="United States"/>
    <x v="3"/>
    <x v="2"/>
    <s v="Global High-Back Leather Tilter, Burgundy"/>
    <n v="344.37200000000001"/>
    <n v="4"/>
    <n v="-93.472399999999993"/>
    <n v="-27.142857142857142"/>
  </r>
  <r>
    <s v="CA-2020-157987"/>
    <x v="149"/>
    <s v="AC-10615"/>
    <s v="Ann Chong"/>
    <s v="United States"/>
    <x v="0"/>
    <x v="2"/>
    <s v="Bush Advantage Collection Racetrack Conference Table"/>
    <n v="303.52600000000001"/>
    <n v="1"/>
    <n v="-93.3262"/>
    <n v="-30.747349485711272"/>
  </r>
  <r>
    <s v="CA-2020-153045"/>
    <x v="150"/>
    <s v="NS-18505"/>
    <s v="Neola Schneider"/>
    <s v="United States"/>
    <x v="0"/>
    <x v="0"/>
    <s v="Wilson Electronics DB Pro Signal Booster"/>
    <n v="455.6"/>
    <n v="2"/>
    <n v="-93.08"/>
    <n v="-20.430201931518873"/>
  </r>
  <r>
    <s v="US-2020-116659"/>
    <x v="151"/>
    <s v="NG-18355"/>
    <s v="Nat Gilpin"/>
    <s v="United States"/>
    <x v="0"/>
    <x v="0"/>
    <s v="Jabra SPEAK 410 Multidevice Speakerphone"/>
    <n v="417.78199999999998"/>
    <n v="3"/>
    <n v="-92.695499999999996"/>
    <n v="-22.187528423914866"/>
  </r>
  <r>
    <s v="CA-2020-106432"/>
    <x v="6"/>
    <s v="CA-12265"/>
    <s v="Christina Anderson"/>
    <s v="United States"/>
    <x v="3"/>
    <x v="2"/>
    <s v="Rush Hierlooms Collection Rich Wood Bookcases"/>
    <n v="364.39920000000001"/>
    <n v="3"/>
    <n v="-91.758600000000001"/>
    <n v="-25.180790737191522"/>
  </r>
  <r>
    <s v="CA-2020-144680"/>
    <x v="152"/>
    <s v="SC-20260"/>
    <s v="Scott Cohen"/>
    <s v="United States"/>
    <x v="3"/>
    <x v="1"/>
    <s v="Fellowes 8 Outlet Superior Workstation Surge Protector w/o Phone/Fax/Modem Protection"/>
    <n v="161.62"/>
    <n v="5"/>
    <n v="-90.774000000000001"/>
    <n v="-56.165078579383746"/>
  </r>
  <r>
    <s v="US-2019-100566"/>
    <x v="19"/>
    <s v="JK-16120"/>
    <s v="Julie Kriz"/>
    <s v="United States"/>
    <x v="3"/>
    <x v="2"/>
    <s v="Tenex &quot;The Solids&quot; Textured Chair Mats"/>
    <n v="83.951999999999998"/>
    <n v="3"/>
    <n v="-90.248400000000004"/>
    <n v="-107.50000000000001"/>
  </r>
  <r>
    <s v="CA-2020-159793"/>
    <x v="153"/>
    <s v="SV-20365"/>
    <s v="Seth Vernon"/>
    <s v="United States"/>
    <x v="0"/>
    <x v="2"/>
    <s v="Bush Somerset Collection Bookcase"/>
    <n v="165.98"/>
    <n v="2"/>
    <n v="-89.066400000000002"/>
    <n v="-53.660923002771419"/>
  </r>
  <r>
    <s v="CA-2019-119186"/>
    <x v="154"/>
    <s v="MS-17710"/>
    <s v="Maurice Satty"/>
    <s v="United States"/>
    <x v="3"/>
    <x v="2"/>
    <s v="Office Star Flex Back Scooter Chair with White Frame"/>
    <n v="388.43"/>
    <n v="5"/>
    <n v="-88.784000000000006"/>
    <n v="-22.857142857142858"/>
  </r>
  <r>
    <s v="CA-2020-159149"/>
    <x v="58"/>
    <s v="CR-12820"/>
    <s v="Cyra Reiten"/>
    <s v="United States"/>
    <x v="3"/>
    <x v="0"/>
    <s v="Jawbone MINI JAMBOX Wireless Bluetooth Speaker"/>
    <n v="479.33600000000001"/>
    <n v="4"/>
    <n v="-87.667199999999994"/>
    <n v="-18.289300198608071"/>
  </r>
  <r>
    <s v="CA-2020-102337"/>
    <x v="155"/>
    <s v="SD-20485"/>
    <s v="Shirley Daniels"/>
    <s v="United States"/>
    <x v="3"/>
    <x v="2"/>
    <s v="Global Super Steno Chair"/>
    <n v="520.30200000000002"/>
    <n v="7"/>
    <n v="-87.341800000000006"/>
    <n v="-16.786750771667226"/>
  </r>
  <r>
    <s v="CA-2020-154011"/>
    <x v="156"/>
    <s v="DB-13270"/>
    <s v="Deborah Brumfield"/>
    <s v="United States"/>
    <x v="3"/>
    <x v="2"/>
    <s v="Chromcraft Bull-Nose Wood Round Conference Table Top, Wood Base"/>
    <n v="471.48500000000001"/>
    <n v="3"/>
    <n v="-84.961500000000001"/>
    <n v="-18.019979426704985"/>
  </r>
  <r>
    <s v="CA-2019-148852"/>
    <x v="154"/>
    <s v="SV-20785"/>
    <s v="Stewart Visinsky"/>
    <s v="United States"/>
    <x v="2"/>
    <x v="2"/>
    <s v="Global Low Back Tilter Chair"/>
    <n v="484.70400000000001"/>
    <n v="6"/>
    <n v="-84.8232"/>
    <n v="-17.5"/>
  </r>
  <r>
    <s v="US-2019-111563"/>
    <x v="56"/>
    <s v="SM-20005"/>
    <s v="Sally Matthias"/>
    <s v="United States"/>
    <x v="3"/>
    <x v="2"/>
    <s v="Deflect-o EconoMat Studded, No Bevel Mat for Low Pile Carpeting"/>
    <n v="66.111999999999995"/>
    <n v="4"/>
    <n v="-84.2928"/>
    <n v="-127.50000000000001"/>
  </r>
  <r>
    <s v="US-2020-132381"/>
    <x v="157"/>
    <s v="Dp-13240"/>
    <s v="Dean percer"/>
    <s v="United States"/>
    <x v="0"/>
    <x v="2"/>
    <s v="Bevis Boat-Shaped Conference Table"/>
    <n v="362.53199999999998"/>
    <n v="2"/>
    <n v="-83.875200000000007"/>
    <n v="-23.135943861507403"/>
  </r>
  <r>
    <s v="CA-2019-120796"/>
    <x v="158"/>
    <s v="CS-11950"/>
    <s v="Carlos Soltero"/>
    <s v="United States"/>
    <x v="0"/>
    <x v="1"/>
    <s v="GBC Velobind Prepunched Cover Sets, Regency Series"/>
    <n v="99.846000000000004"/>
    <n v="9"/>
    <n v="-83.204999999999998"/>
    <n v="-83.333333333333329"/>
  </r>
  <r>
    <s v="CA-2019-113978"/>
    <x v="81"/>
    <s v="TS-21505"/>
    <s v="Tony Sayre"/>
    <s v="United States"/>
    <x v="0"/>
    <x v="1"/>
    <s v="SAFCO Commercial Wire Shelving, Black"/>
    <n v="331.536"/>
    <n v="3"/>
    <n v="-82.884"/>
    <n v="-25"/>
  </r>
  <r>
    <s v="CA-2019-159912"/>
    <x v="159"/>
    <s v="GB-14530"/>
    <s v="George Bell"/>
    <s v="United States"/>
    <x v="0"/>
    <x v="2"/>
    <s v="O'Sullivan 5-Shelf Heavy-Duty Bookcases"/>
    <n v="163.88"/>
    <n v="4"/>
    <n v="-81.94"/>
    <n v="-50"/>
  </r>
  <r>
    <s v="CA-2020-141425"/>
    <x v="88"/>
    <s v="AR-10825"/>
    <s v="Anthony Rawles"/>
    <s v="United States"/>
    <x v="0"/>
    <x v="1"/>
    <s v="Premier Automatic Letter Opener"/>
    <n v="426.59199999999998"/>
    <n v="2"/>
    <n v="-81.725800000000007"/>
    <n v="-19.157836996474387"/>
  </r>
  <r>
    <s v="CA-2020-152135"/>
    <x v="160"/>
    <s v="MG-17650"/>
    <s v="Matthew Grinstein"/>
    <s v="United States"/>
    <x v="0"/>
    <x v="0"/>
    <s v="Geemarc AmpliPOWER60"/>
    <n v="475.44"/>
    <n v="8"/>
    <n v="-81.664000000000001"/>
    <n v="-17.176510180043749"/>
  </r>
  <r>
    <s v="CA-2020-124765"/>
    <x v="92"/>
    <s v="HZ-14950"/>
    <s v="Henia Zydlo"/>
    <s v="United States"/>
    <x v="1"/>
    <x v="2"/>
    <s v="O'Sullivan Manor Hill 2-Door Library in Brianna Oak"/>
    <n v="768.92"/>
    <n v="5"/>
    <n v="-81.441000000000003"/>
    <n v="-10.591609010040056"/>
  </r>
  <r>
    <s v="CA-2020-141705"/>
    <x v="161"/>
    <s v="PO-18850"/>
    <s v="Patrick O'Brill"/>
    <s v="United States"/>
    <x v="3"/>
    <x v="2"/>
    <s v="Hon 2111 Invitation Series Straight Table"/>
    <n v="531.40499999999997"/>
    <n v="5"/>
    <n v="-81.3065"/>
    <n v="-15.300288856898222"/>
  </r>
  <r>
    <s v="CA-2019-158211"/>
    <x v="162"/>
    <s v="BP-11185"/>
    <s v="Ben Peterman"/>
    <s v="United States"/>
    <x v="0"/>
    <x v="1"/>
    <s v="Avery Arch Ring Binders"/>
    <n v="104.58"/>
    <n v="6"/>
    <n v="-80.177999999999997"/>
    <n v="-76.666666666666657"/>
  </r>
  <r>
    <s v="CA-2019-107783"/>
    <x v="15"/>
    <s v="OT-18730"/>
    <s v="Olvera Toch"/>
    <s v="United States"/>
    <x v="0"/>
    <x v="2"/>
    <s v="Safco Value Mate Series Steel Bookcases, Baked Enamel Finish on Steel, Gray"/>
    <n v="177.45"/>
    <n v="5"/>
    <n v="-78.078000000000003"/>
    <n v="-44.000000000000007"/>
  </r>
  <r>
    <s v="US-2020-119816"/>
    <x v="163"/>
    <s v="TT-21460"/>
    <s v="Tonja Turnell"/>
    <s v="United States"/>
    <x v="3"/>
    <x v="2"/>
    <s v="Howard Miller 13-3/4&quot; Diameter Brushed Chrome Round Wall Clock"/>
    <n v="117.5"/>
    <n v="5"/>
    <n v="-77.625"/>
    <n v="-66.063829787234042"/>
  </r>
  <r>
    <s v="CA-2019-144645"/>
    <x v="164"/>
    <s v="NS-18640"/>
    <s v="Noel Staavos"/>
    <s v="United States"/>
    <x v="3"/>
    <x v="2"/>
    <s v="Deflect-o RollaMat Studded, Beveled Mat for Medium Pile Carpeting"/>
    <n v="73.784000000000006"/>
    <n v="2"/>
    <n v="-77.473200000000006"/>
    <n v="-105"/>
  </r>
  <r>
    <s v="US-2019-127971"/>
    <x v="165"/>
    <s v="DW-13195"/>
    <s v="David Wiener"/>
    <s v="United States"/>
    <x v="3"/>
    <x v="2"/>
    <s v="Global Wood Trimmed Manager's Task Chair, Khaki"/>
    <n v="318.43"/>
    <n v="5"/>
    <n v="-77.332999999999998"/>
    <n v="-24.285714285714285"/>
  </r>
  <r>
    <s v="CA-2020-105669"/>
    <x v="166"/>
    <s v="SJ-20125"/>
    <s v="Sanjit Jacobs"/>
    <s v="United States"/>
    <x v="3"/>
    <x v="2"/>
    <s v="Global Wood Trimmed Manager's Task Chair, Khaki"/>
    <n v="348.43"/>
    <n v="5"/>
    <n v="-77.332999999999998"/>
    <n v="-22.194701948741496"/>
  </r>
  <r>
    <s v="CA-2020-157413"/>
    <x v="167"/>
    <s v="BW-11065"/>
    <s v="Barry Weirich"/>
    <s v="United States"/>
    <x v="0"/>
    <x v="1"/>
    <s v="Tennsco Stur-D-Stor Boltless Shelving, 5 Shelves, 24&quot; Deep, Sand"/>
    <n v="353.74400000000003"/>
    <n v="3"/>
    <n v="-77.1267"/>
    <n v="-21.802970509747162"/>
  </r>
  <r>
    <s v="CA-2020-113453"/>
    <x v="168"/>
    <s v="CM-12160"/>
    <s v="Charles McCrossin"/>
    <s v="United States"/>
    <x v="0"/>
    <x v="0"/>
    <s v="Mitel MiVoice 5330e IP Phone"/>
    <n v="344.988"/>
    <n v="2"/>
    <n v="-76.997200000000007"/>
    <n v="-22.318805291778265"/>
  </r>
  <r>
    <s v="CA-2020-130505"/>
    <x v="169"/>
    <s v="NF-18385"/>
    <s v="Natalie Fritzler"/>
    <s v="United States"/>
    <x v="0"/>
    <x v="2"/>
    <s v="Chromcraft 48&quot; x 96&quot; Racetrack Double Pedestal Table"/>
    <n v="699.34400000000005"/>
    <n v="3"/>
    <n v="-76.953599999999994"/>
    <n v="-11.003683451920656"/>
  </r>
  <r>
    <s v="CA-2019-129847"/>
    <x v="110"/>
    <s v="TA-21385"/>
    <s v="Tom Ashbrook"/>
    <s v="United States"/>
    <x v="3"/>
    <x v="2"/>
    <s v="Deflect-o DuraMat Antistatic Studded Beveled Mat for Medium Pile Carpeting"/>
    <n v="84.272000000000006"/>
    <n v="2"/>
    <n v="-75.844800000000006"/>
    <n v="-90"/>
  </r>
  <r>
    <s v="CA-2020-147277"/>
    <x v="170"/>
    <s v="EB-13705"/>
    <s v="Ed Braxton"/>
    <s v="United States"/>
    <x v="0"/>
    <x v="2"/>
    <s v="Chromcraft Rectangular Conference Tables"/>
    <n v="317.36399999999998"/>
    <n v="2"/>
    <n v="-75.830399999999997"/>
    <n v="-23.893825386622304"/>
  </r>
  <r>
    <s v="CA-2019-129280"/>
    <x v="101"/>
    <s v="SM-20905"/>
    <s v="Susan MacKendrick"/>
    <s v="United States"/>
    <x v="0"/>
    <x v="0"/>
    <s v="Logitech VX Revolution Cordless Laser Mouse for Notebooks (Black)"/>
    <n v="431.976"/>
    <n v="3"/>
    <n v="-75.595799999999997"/>
    <n v="-17.5"/>
  </r>
  <r>
    <s v="US-2019-109260"/>
    <x v="66"/>
    <s v="TN-21040"/>
    <s v="Tanja Norvell"/>
    <s v="United States"/>
    <x v="1"/>
    <x v="0"/>
    <s v="Logitech VX Revolution Cordless Laser Mouse for Notebooks (Black)"/>
    <n v="431.976"/>
    <n v="3"/>
    <n v="-75.595799999999997"/>
    <n v="-17.5"/>
  </r>
  <r>
    <s v="US-2020-106551"/>
    <x v="171"/>
    <s v="EB-13930"/>
    <s v="Eric Barreto"/>
    <s v="United States"/>
    <x v="3"/>
    <x v="2"/>
    <s v="Hon Every-Day Series Multi-Task Chairs"/>
    <n v="556.34400000000005"/>
    <n v="4"/>
    <n v="-75.191999999999993"/>
    <n v="-13.515378974159869"/>
  </r>
  <r>
    <s v="CA-2020-121216"/>
    <x v="172"/>
    <s v="MM-17920"/>
    <s v="Michael Moore"/>
    <s v="United States"/>
    <x v="3"/>
    <x v="1"/>
    <s v="Acco 6 Outlet Guardian Premium Plus Surge Suppressor"/>
    <n v="355.31200000000001"/>
    <n v="8"/>
    <n v="-74.745599999999996"/>
    <n v="-21.036610077903362"/>
  </r>
  <r>
    <s v="CA-2019-127243"/>
    <x v="173"/>
    <s v="DS-13180"/>
    <s v="David Smith"/>
    <s v="United States"/>
    <x v="0"/>
    <x v="0"/>
    <s v="Wireless Extenders zBoost YX545 SOHO Signal Booster"/>
    <n v="340.18200000000002"/>
    <n v="3"/>
    <n v="-73.706100000000006"/>
    <n v="-21.666666666666668"/>
  </r>
  <r>
    <s v="CA-2020-107174"/>
    <x v="174"/>
    <s v="AB-10060"/>
    <s v="Adam Bellavance"/>
    <s v="United States"/>
    <x v="2"/>
    <x v="2"/>
    <s v="Hon 2090 “Pillow Soft” Series Mid Back Swivel/Tilt Chairs"/>
    <n v="491.56799999999998"/>
    <n v="2"/>
    <n v="-73.0548"/>
    <n v="-14.861585782638414"/>
  </r>
  <r>
    <s v="CA-2020-149888"/>
    <x v="117"/>
    <s v="EP-13915"/>
    <s v="Emily Phan"/>
    <s v="United States"/>
    <x v="0"/>
    <x v="0"/>
    <s v="Jabra Supreme Plus Driver Edition Headset"/>
    <n v="409.97"/>
    <n v="5"/>
    <n v="-71.994"/>
    <n v="-17.560797131497424"/>
  </r>
  <r>
    <s v="US-2019-155173"/>
    <x v="84"/>
    <s v="JB-16045"/>
    <s v="Julia Barnett"/>
    <s v="United States"/>
    <x v="0"/>
    <x v="0"/>
    <s v="Wilson SignalBoost 841262 DB PRO Amplifier Kit"/>
    <n v="431.94"/>
    <n v="2"/>
    <n v="-71.989999999999995"/>
    <n v="-16.666666666666664"/>
  </r>
  <r>
    <s v="US-2020-106663"/>
    <x v="175"/>
    <s v="MO-17800"/>
    <s v="Meg O'Connel"/>
    <s v="United States"/>
    <x v="3"/>
    <x v="2"/>
    <s v="Chromcraft Bull-Nose Wood Round Conference Table Top, Wood Base"/>
    <n v="155.92500000000001"/>
    <n v="1"/>
    <n v="-71.890500000000003"/>
    <n v="-46.105820105820108"/>
  </r>
  <r>
    <s v="CA-2020-112529"/>
    <x v="4"/>
    <s v="SC-20770"/>
    <s v="Stewart Carmichael"/>
    <s v="United States"/>
    <x v="3"/>
    <x v="2"/>
    <s v="Bush Andora Conference Table, Maple/Graphite Gray Finish"/>
    <n v="760.11599999999999"/>
    <n v="6"/>
    <n v="-71.811599999999999"/>
    <n v="-9.4474527572107423"/>
  </r>
  <r>
    <s v="CA-2019-163398"/>
    <x v="101"/>
    <s v="CB-12415"/>
    <s v="Christy Brittain"/>
    <s v="United States"/>
    <x v="3"/>
    <x v="1"/>
    <s v="Acco Smartsocket Color-Coded Six-Outlet AC Adapter Model Surge Protectors"/>
    <n v="26.405999999999999"/>
    <n v="3"/>
    <n v="-71.296199999999999"/>
    <n v="-270"/>
  </r>
  <r>
    <s v="US-2020-164056"/>
    <x v="176"/>
    <s v="FM-14215"/>
    <s v="Filia McAdams"/>
    <s v="United States"/>
    <x v="0"/>
    <x v="2"/>
    <s v="SAFCO PlanMaster Heigh-Adjustable Drafting Table Base, 43w x 30d x 30-37h, Black"/>
    <n v="1088.3499999999999"/>
    <n v="5"/>
    <n v="-69.89"/>
    <n v="-6.4216474479717007"/>
  </r>
  <r>
    <s v="US-2020-144582"/>
    <x v="105"/>
    <s v="TC-21475"/>
    <s v="Tony Chapman"/>
    <s v="United States"/>
    <x v="3"/>
    <x v="1"/>
    <s v="GBC Linen Binding Covers"/>
    <n v="123.372"/>
    <n v="7"/>
    <n v="-69.395200000000003"/>
    <n v="-56.248743637129984"/>
  </r>
  <r>
    <s v="US-2020-122637"/>
    <x v="140"/>
    <s v="EP-13915"/>
    <s v="Emily Phan"/>
    <s v="United States"/>
    <x v="3"/>
    <x v="1"/>
    <s v="Premier Elliptical Ring Binder, Black"/>
    <n v="129.61600000000001"/>
    <n v="7"/>
    <n v="-68.185599999999994"/>
    <n v="-52.605851129490176"/>
  </r>
  <r>
    <s v="US-2020-124779"/>
    <x v="25"/>
    <s v="BF-11020"/>
    <s v="Barry Französisch"/>
    <s v="United States"/>
    <x v="3"/>
    <x v="1"/>
    <s v="Premier Elliptical Ring Binder, Black"/>
    <n v="125.616"/>
    <n v="7"/>
    <n v="-68.185599999999994"/>
    <n v="-54.280983314227484"/>
  </r>
  <r>
    <s v="CA-2020-152583"/>
    <x v="177"/>
    <s v="RA-19945"/>
    <s v="Ryan Akin"/>
    <s v="United States"/>
    <x v="3"/>
    <x v="2"/>
    <s v="Bevis Round Conference Table Top, X-Base"/>
    <n v="296.00599999999997"/>
    <n v="2"/>
    <n v="-68.130200000000002"/>
    <n v="-23.016492908927525"/>
  </r>
  <r>
    <s v="CA-2020-148999"/>
    <x v="178"/>
    <s v="EB-13870"/>
    <s v="Emily Burns"/>
    <s v="United States"/>
    <x v="1"/>
    <x v="2"/>
    <s v="Office Star - Contemporary Task Swivel chair with 2-way adjustable arms, Plum"/>
    <n v="437.13600000000002"/>
    <n v="4"/>
    <n v="-68.1096"/>
    <n v="-15.580871856813438"/>
  </r>
  <r>
    <s v="US-2019-141544"/>
    <x v="62"/>
    <s v="PO-18850"/>
    <s v="Patrick O'Brill"/>
    <s v="United States"/>
    <x v="0"/>
    <x v="0"/>
    <s v="Aastra 57i VoIP phone"/>
    <n v="290.89800000000002"/>
    <n v="3"/>
    <n v="-67.876199999999997"/>
    <n v="-23.333333333333332"/>
  </r>
  <r>
    <s v="CA-2019-135636"/>
    <x v="179"/>
    <s v="DB-13615"/>
    <s v="Doug Bickford"/>
    <s v="United States"/>
    <x v="1"/>
    <x v="1"/>
    <s v="Fellowes Econo/Stor Drawers"/>
    <n v="387.72"/>
    <n v="5"/>
    <n v="-67.850999999999999"/>
    <n v="-17.5"/>
  </r>
  <r>
    <s v="US-2019-135923"/>
    <x v="180"/>
    <s v="CM-11935"/>
    <s v="Carlos Meador"/>
    <s v="United States"/>
    <x v="1"/>
    <x v="2"/>
    <s v="Sauder Forest Hills Library, Woodland Oak Finish"/>
    <n v="451.13600000000002"/>
    <n v="4"/>
    <n v="-67.670400000000001"/>
    <n v="-15"/>
  </r>
  <r>
    <s v="CA-2020-117653"/>
    <x v="6"/>
    <s v="MO-17500"/>
    <s v="Mary O'Rourke"/>
    <s v="United States"/>
    <x v="3"/>
    <x v="2"/>
    <s v="Lesro Round Back Collection Coffee Table, End Table"/>
    <n v="105.27500000000001"/>
    <n v="1"/>
    <n v="-67.543499999999995"/>
    <n v="-64.159107100451195"/>
  </r>
  <r>
    <s v="US-2019-103646"/>
    <x v="123"/>
    <s v="SP-20545"/>
    <s v="Sibella Parks"/>
    <s v="United States"/>
    <x v="3"/>
    <x v="1"/>
    <s v="Performers Binder/Pad Holder, Black"/>
    <n v="44.847999999999999"/>
    <n v="8"/>
    <n v="-67.272000000000006"/>
    <n v="-150.00000000000003"/>
  </r>
  <r>
    <s v="CA-2019-125087"/>
    <x v="148"/>
    <s v="TH-21115"/>
    <s v="Thea Hudgings"/>
    <s v="United States"/>
    <x v="3"/>
    <x v="2"/>
    <s v="Howard Miller 16&quot; Diameter Gallery Wall Clock"/>
    <n v="127.88"/>
    <n v="5"/>
    <n v="-67.137"/>
    <n v="-52.5"/>
  </r>
  <r>
    <s v="CA-2020-102925"/>
    <x v="181"/>
    <s v="CD-12280"/>
    <s v="Christina DeMoss"/>
    <s v="United States"/>
    <x v="0"/>
    <x v="2"/>
    <s v="Balt Split Level Computer Training Table"/>
    <n v="209.5"/>
    <n v="2"/>
    <n v="-66.599999999999994"/>
    <n v="-31.78997613365155"/>
  </r>
  <r>
    <s v="CA-2020-144491"/>
    <x v="182"/>
    <s v="CJ-12010"/>
    <s v="Caroline Jumper"/>
    <s v="United States"/>
    <x v="3"/>
    <x v="2"/>
    <s v="Global Leather &amp; Oak Executive Chair, Burgundy"/>
    <n v="233.24600000000001"/>
    <n v="2"/>
    <n v="-66.391599999999997"/>
    <n v="-28.464196599298592"/>
  </r>
  <r>
    <s v="CA-2019-105459"/>
    <x v="63"/>
    <s v="NP-18700"/>
    <s v="Nora Preis"/>
    <s v="United States"/>
    <x v="0"/>
    <x v="2"/>
    <s v="Chromcraft Round Conference Tables"/>
    <n v="209.148"/>
    <n v="2"/>
    <n v="-66.230199999999996"/>
    <n v="-31.666666666666664"/>
  </r>
  <r>
    <s v="CA-2020-162565"/>
    <x v="33"/>
    <s v="RR-19315"/>
    <s v="Ralph Ritter"/>
    <s v="United States"/>
    <x v="3"/>
    <x v="2"/>
    <s v="Electrix Halogen Magnifier Lamp"/>
    <n v="447.72"/>
    <n v="1"/>
    <n v="-66.061999999999998"/>
    <n v="-14.755204145448047"/>
  </r>
  <r>
    <s v="US-2020-160836"/>
    <x v="183"/>
    <s v="CC-12475"/>
    <s v="Cindy Chapman"/>
    <s v="United States"/>
    <x v="3"/>
    <x v="2"/>
    <s v="Bevis Round Conference Table Top &amp; Single Column Base"/>
    <n v="527.19000000000005"/>
    <n v="5"/>
    <n v="-65.852999999999994"/>
    <n v="-12.491321914300345"/>
  </r>
  <r>
    <s v="CA-2020-134194"/>
    <x v="141"/>
    <s v="GA-14725"/>
    <s v="Guy Armstrong"/>
    <s v="United States"/>
    <x v="3"/>
    <x v="1"/>
    <s v="Wilson Jones Ledger-Size, Piano-Hinge Binder, 2&quot;, Blue"/>
    <n v="399.98"/>
    <n v="5"/>
    <n v="-65.567999999999998"/>
    <n v="-16.392819640982047"/>
  </r>
  <r>
    <s v="CA-2020-115119"/>
    <x v="184"/>
    <s v="SC-20440"/>
    <s v="Shaun Chance"/>
    <s v="United States"/>
    <x v="0"/>
    <x v="1"/>
    <s v="Premium Transparent Presentation Covers, No Pattern/Clear, 8 1/2&quot; x 11&quot;"/>
    <n v="180.43799999999999"/>
    <n v="7"/>
    <n v="-65.150400000000005"/>
    <n v="-36.106806770192534"/>
  </r>
  <r>
    <s v="CA-2020-161340"/>
    <x v="185"/>
    <s v="AM-10360"/>
    <s v="Alice McCarthy"/>
    <s v="United States"/>
    <x v="0"/>
    <x v="2"/>
    <s v="Bush Westfield Collection Bookcases, Medium Cherry Finish"/>
    <n v="156.96"/>
    <n v="4"/>
    <n v="-64.937600000000003"/>
    <n v="-41.372069317023445"/>
  </r>
  <r>
    <s v="US-2020-155425"/>
    <x v="31"/>
    <s v="AB-10600"/>
    <s v="Ann Blume"/>
    <s v="United States"/>
    <x v="2"/>
    <x v="0"/>
    <s v="DYMO CardScan Personal V9 Business Card Scanner"/>
    <n v="132.994"/>
    <n v="2"/>
    <n v="-63.996000000000002"/>
    <n v="-48.119464035971546"/>
  </r>
  <r>
    <s v="CA-2019-158778"/>
    <x v="100"/>
    <s v="DB-13210"/>
    <s v="Dean Braden"/>
    <s v="United States"/>
    <x v="0"/>
    <x v="2"/>
    <s v="Global Comet Stacking Arm Chair"/>
    <n v="887.27099999999996"/>
    <n v="3"/>
    <n v="-63.3765"/>
    <n v="-7.1428571428571441"/>
  </r>
  <r>
    <s v="CA-2020-153045"/>
    <x v="150"/>
    <s v="NS-18505"/>
    <s v="Neola Schneider"/>
    <s v="United States"/>
    <x v="0"/>
    <x v="2"/>
    <s v="Global Comet Stacking Arm Chair"/>
    <n v="914.27099999999996"/>
    <n v="3"/>
    <n v="-63.3765"/>
    <n v="-6.9319162480271173"/>
  </r>
  <r>
    <s v="CA-2019-136231"/>
    <x v="100"/>
    <s v="DM-13015"/>
    <s v="Darrin Martin"/>
    <s v="United States"/>
    <x v="1"/>
    <x v="1"/>
    <s v="Wilson Jones Ledger-Size, Piano-Hinge Binder, 2&quot;, Blue"/>
    <n v="86.058000000000007"/>
    <n v="7"/>
    <n v="-63.109200000000001"/>
    <n v="-73.333333333333329"/>
  </r>
  <r>
    <s v="CA-2020-165204"/>
    <x v="14"/>
    <s v="MN-17935"/>
    <s v="Michael Nguyen"/>
    <s v="United States"/>
    <x v="1"/>
    <x v="1"/>
    <s v="Tennsco Double-Tier Lockers"/>
    <n v="738.06399999999996"/>
    <n v="4"/>
    <n v="-63.005600000000001"/>
    <n v="-8.5366038717509607"/>
  </r>
  <r>
    <s v="CA-2019-131093"/>
    <x v="186"/>
    <s v="TS-21610"/>
    <s v="Troy Staebel"/>
    <s v="United States"/>
    <x v="0"/>
    <x v="1"/>
    <s v="Safco Industrial Shelving"/>
    <n v="295.39999999999998"/>
    <n v="5"/>
    <n v="-62.772500000000001"/>
    <n v="-21.250000000000004"/>
  </r>
  <r>
    <s v="CA-2020-100356"/>
    <x v="168"/>
    <s v="SP-20920"/>
    <s v="Susan Pistek"/>
    <s v="United States"/>
    <x v="3"/>
    <x v="1"/>
    <s v="Belkin 8 Outlet SurgeMaster II Gold Surge Protector"/>
    <n v="130.99199999999999"/>
    <n v="2"/>
    <n v="-62.379199999999997"/>
    <n v="-47.620618053010872"/>
  </r>
  <r>
    <s v="US-2019-151827"/>
    <x v="187"/>
    <s v="CS-11950"/>
    <s v="Carlos Soltero"/>
    <s v="United States"/>
    <x v="0"/>
    <x v="0"/>
    <s v="LG Exalt"/>
    <n v="280.78199999999998"/>
    <n v="3"/>
    <n v="-60.836100000000002"/>
    <n v="-21.666666666666668"/>
  </r>
  <r>
    <s v="US-2019-166660"/>
    <x v="26"/>
    <s v="TB-21250"/>
    <s v="Tim Brockman"/>
    <s v="United States"/>
    <x v="2"/>
    <x v="2"/>
    <s v="Global Deluxe High-Back Office Chair in Storm"/>
    <n v="435.16800000000001"/>
    <n v="4"/>
    <n v="-59.835599999999999"/>
    <n v="-13.749999999999998"/>
  </r>
  <r>
    <s v="CA-2020-131807"/>
    <x v="188"/>
    <s v="GG-14650"/>
    <s v="Greg Guthrie"/>
    <s v="United States"/>
    <x v="2"/>
    <x v="2"/>
    <s v="Global Deluxe High-Back Office Chair in Storm"/>
    <n v="460.16800000000001"/>
    <n v="4"/>
    <n v="-59.835599999999999"/>
    <n v="-13.002990212270301"/>
  </r>
  <r>
    <s v="CA-2020-134194"/>
    <x v="141"/>
    <s v="GA-14725"/>
    <s v="Guy Armstrong"/>
    <s v="United States"/>
    <x v="3"/>
    <x v="1"/>
    <s v="Wilson Jones Legal Size Ring Binders"/>
    <n v="418.58199999999999"/>
    <n v="9"/>
    <n v="-59.372999999999998"/>
    <n v="-14.184317529181856"/>
  </r>
  <r>
    <s v="US-2020-125717"/>
    <x v="189"/>
    <s v="DS-13030"/>
    <s v="Darrin Sayre"/>
    <s v="United States"/>
    <x v="2"/>
    <x v="1"/>
    <s v="GBC DocuBind P50 Personal Binding Machine"/>
    <n v="126.776"/>
    <n v="4"/>
    <n v="-58.861600000000003"/>
    <n v="-46.429608127721337"/>
  </r>
  <r>
    <s v="US-2020-147655"/>
    <x v="130"/>
    <s v="AS-10045"/>
    <s v="Aaron Smayling"/>
    <s v="United States"/>
    <x v="2"/>
    <x v="1"/>
    <s v="Avery Trapezoid Extra Heavy Duty 4&quot; Binders"/>
    <n v="103.074"/>
    <n v="7"/>
    <n v="-58.716000000000001"/>
    <n v="-56.964899004598635"/>
  </r>
  <r>
    <s v="US-2020-167570"/>
    <x v="136"/>
    <s v="EG-13900"/>
    <s v="Emily Grady"/>
    <s v="United States"/>
    <x v="0"/>
    <x v="2"/>
    <s v="Global Deluxe Steno Chair"/>
    <n v="228.54400000000001"/>
    <n v="4"/>
    <n v="-58.504800000000003"/>
    <n v="-25.598921870624476"/>
  </r>
  <r>
    <s v="CA-2020-106068"/>
    <x v="122"/>
    <s v="RB-19330"/>
    <s v="Randy Bradley"/>
    <s v="United States"/>
    <x v="3"/>
    <x v="1"/>
    <s v="Carina 42&quot;Hx23 3/4&quot;W Media Storage Unit"/>
    <n v="291.13600000000002"/>
    <n v="4"/>
    <n v="-58.305599999999998"/>
    <n v="-20.026928995383599"/>
  </r>
  <r>
    <s v="US-2019-161396"/>
    <x v="190"/>
    <s v="GM-14455"/>
    <s v="Gary Mitchum"/>
    <s v="United States"/>
    <x v="0"/>
    <x v="2"/>
    <s v="Bush Andora Conference Table, Maple/Graphite Gray Finish"/>
    <n v="205.17599999999999"/>
    <n v="2"/>
    <n v="-58.133200000000002"/>
    <n v="-28.333333333333339"/>
  </r>
  <r>
    <s v="US-2020-133200"/>
    <x v="128"/>
    <s v="DB-13555"/>
    <s v="Dorothy Badders"/>
    <s v="United States"/>
    <x v="3"/>
    <x v="1"/>
    <s v="Fellowes Staxonsteel Drawer Files"/>
    <n v="803.68"/>
    <n v="5"/>
    <n v="-57.951000000000001"/>
    <n v="-7.2107057535337455"/>
  </r>
  <r>
    <s v="US-2019-158288"/>
    <x v="127"/>
    <s v="EH-13945"/>
    <s v="Eric Hoffmann"/>
    <s v="United States"/>
    <x v="0"/>
    <x v="1"/>
    <s v="Binding Machine Supplies"/>
    <n v="78.759"/>
    <n v="9"/>
    <n v="-57.756599999999999"/>
    <n v="-73.333333333333329"/>
  </r>
  <r>
    <s v="CA-2020-129490"/>
    <x v="191"/>
    <s v="SJ-20125"/>
    <s v="Sanjit Jacobs"/>
    <s v="United States"/>
    <x v="1"/>
    <x v="2"/>
    <s v="Office Star - Contemporary Task Swivel chair with Loop Arms, Charcoal"/>
    <n v="446.13600000000002"/>
    <n v="4"/>
    <n v="-57.6312"/>
    <n v="-12.917854645220292"/>
  </r>
  <r>
    <s v="CA-2020-126144"/>
    <x v="192"/>
    <s v="GM-14680"/>
    <s v="Greg Matthias"/>
    <s v="United States"/>
    <x v="0"/>
    <x v="0"/>
    <s v="Polycom SoundPoint Pro SE-225 Corded phone"/>
    <n v="319.57600000000002"/>
    <n v="4"/>
    <n v="-57.115200000000002"/>
    <n v="-17.872180639347135"/>
  </r>
  <r>
    <s v="CA-2020-125199"/>
    <x v="6"/>
    <s v="HM-14860"/>
    <s v="Harry Marie"/>
    <s v="United States"/>
    <x v="0"/>
    <x v="0"/>
    <s v="Digium D40 VoIP phone"/>
    <n v="350.57600000000002"/>
    <n v="4"/>
    <n v="-56.755600000000001"/>
    <n v="-16.189242846059056"/>
  </r>
  <r>
    <s v="CA-2019-159912"/>
    <x v="159"/>
    <s v="GB-14530"/>
    <s v="George Bell"/>
    <s v="United States"/>
    <x v="0"/>
    <x v="2"/>
    <s v="Barricks 18&quot; x 48&quot; Non-Folding Utility Table with Bottom Storage Shelf"/>
    <n v="241.92"/>
    <n v="4"/>
    <n v="-56.448"/>
    <n v="-23.333333333333332"/>
  </r>
  <r>
    <s v="CA-2019-116799"/>
    <x v="17"/>
    <s v="JG-15310"/>
    <s v="Jason Gross"/>
    <s v="United States"/>
    <x v="3"/>
    <x v="2"/>
    <s v="Office Star - Mid Back Dual function Ergonomic High Back Chair with 2-Way Adjustable Arms"/>
    <n v="563.42999999999995"/>
    <n v="5"/>
    <n v="-56.343000000000004"/>
    <n v="-10.000000000000002"/>
  </r>
  <r>
    <s v="CA-2019-136770"/>
    <x v="193"/>
    <s v="SP-20650"/>
    <s v="Stephanie Phelps"/>
    <s v="United States"/>
    <x v="0"/>
    <x v="0"/>
    <s v="Cisco IP Phone 7961G-GE VoIP phone"/>
    <n v="259.89600000000002"/>
    <n v="2"/>
    <n v="-56.3108"/>
    <n v="-21.666666666666664"/>
  </r>
  <r>
    <s v="CA-2020-123036"/>
    <x v="8"/>
    <s v="HA-14905"/>
    <s v="Helen Abelman"/>
    <s v="United States"/>
    <x v="0"/>
    <x v="0"/>
    <s v="Cisco IP Phone 7961G-GE VoIP phone"/>
    <n v="282.89600000000002"/>
    <n v="2"/>
    <n v="-56.3108"/>
    <n v="-19.90512414456196"/>
  </r>
  <r>
    <s v="CA-2020-152926"/>
    <x v="11"/>
    <s v="SC-20695"/>
    <s v="Steve Chapman"/>
    <s v="United States"/>
    <x v="3"/>
    <x v="1"/>
    <s v="Acco 6 Outlet Guardian Premium Plus Surge Suppressor"/>
    <n v="111.98399999999999"/>
    <n v="6"/>
    <n v="-56.059199999999997"/>
    <n v="-50.060008572653238"/>
  </r>
  <r>
    <s v="CA-2020-152807"/>
    <x v="177"/>
    <s v="MC-18100"/>
    <s v="Mick Crebagga"/>
    <s v="United States"/>
    <x v="0"/>
    <x v="0"/>
    <s v="First Data FD10 PIN Pad"/>
    <n v="455.4"/>
    <n v="7"/>
    <n v="-55.3"/>
    <n v="-12.143170838823012"/>
  </r>
  <r>
    <s v="CA-2020-166576"/>
    <x v="194"/>
    <s v="JM-15865"/>
    <s v="John Murray"/>
    <s v="United States"/>
    <x v="0"/>
    <x v="1"/>
    <s v="SAFCO Commercial Wire Shelving, Black"/>
    <n v="237.024"/>
    <n v="2"/>
    <n v="-55.256"/>
    <n v="-23.312407182395031"/>
  </r>
  <r>
    <s v="CA-2020-166835"/>
    <x v="151"/>
    <s v="DK-13375"/>
    <s v="Dennis Kane"/>
    <s v="United States"/>
    <x v="0"/>
    <x v="1"/>
    <s v="SAFCO Commercial Wire Shelving, Black"/>
    <n v="267.024"/>
    <n v="2"/>
    <n v="-55.256"/>
    <n v="-20.693271016837439"/>
  </r>
  <r>
    <s v="CA-2020-118402"/>
    <x v="86"/>
    <s v="JO-15280"/>
    <s v="Jas O'Carroll"/>
    <s v="United States"/>
    <x v="1"/>
    <x v="1"/>
    <s v="Carina Media Storage Towers in Natural &amp; Black"/>
    <n v="293.92"/>
    <n v="5"/>
    <n v="-54.881999999999998"/>
    <n v="-18.672427871529663"/>
  </r>
  <r>
    <s v="US-2020-150595"/>
    <x v="195"/>
    <s v="LE-16810"/>
    <s v="Laurel Elliston"/>
    <s v="United States"/>
    <x v="3"/>
    <x v="2"/>
    <s v="High-Back Leather Manager's Chair"/>
    <n v="219.98599999999999"/>
    <n v="2"/>
    <n v="-54.595799999999997"/>
    <n v="-24.817852045130145"/>
  </r>
  <r>
    <s v="CA-2020-140627"/>
    <x v="172"/>
    <s v="DK-12985"/>
    <s v="Darren Koutras"/>
    <s v="United States"/>
    <x v="1"/>
    <x v="1"/>
    <s v="Safco Industrial Wire Shelving System"/>
    <n v="560.35199999999998"/>
    <n v="3"/>
    <n v="-54.588000000000001"/>
    <n v="-9.7417337673462399"/>
  </r>
  <r>
    <s v="CA-2020-137449"/>
    <x v="146"/>
    <s v="ME-17725"/>
    <s v="Max Engle"/>
    <s v="United States"/>
    <x v="3"/>
    <x v="1"/>
    <s v="Belkin F9G930V10-GRY 9 Outlet Surge"/>
    <n v="123.392"/>
    <n v="2"/>
    <n v="-54.549599999999998"/>
    <n v="-44.208376556016596"/>
  </r>
  <r>
    <s v="CA-2020-155740"/>
    <x v="196"/>
    <s v="TC-21475"/>
    <s v="Tony Chapman"/>
    <s v="United States"/>
    <x v="0"/>
    <x v="1"/>
    <s v="GBC ProClick Punch Binding System"/>
    <n v="110.776"/>
    <n v="4"/>
    <n v="-53.743200000000002"/>
    <n v="-48.515201848775916"/>
  </r>
  <r>
    <s v="CA-2020-130526"/>
    <x v="197"/>
    <s v="GT-14755"/>
    <s v="Guy Thornton"/>
    <s v="United States"/>
    <x v="3"/>
    <x v="1"/>
    <s v="GBC Premium Transparent Covers with Diagonal Lined Pattern"/>
    <n v="130.56800000000001"/>
    <n v="8"/>
    <n v="-53.708799999999997"/>
    <n v="-41.134734391275039"/>
  </r>
  <r>
    <s v="US-2020-139969"/>
    <x v="4"/>
    <s v="AF-10870"/>
    <s v="Art Ferguson"/>
    <s v="United States"/>
    <x v="3"/>
    <x v="2"/>
    <s v="Office Star Flex Back Scooter Chair with White Frame"/>
    <n v="275.05799999999999"/>
    <n v="3"/>
    <n v="-53.270400000000002"/>
    <n v="-19.366969875444454"/>
  </r>
  <r>
    <s v="US-2020-158218"/>
    <x v="198"/>
    <s v="AC-10420"/>
    <s v="Alyssa Crouse"/>
    <s v="United States"/>
    <x v="3"/>
    <x v="1"/>
    <s v="Wilson Jones Elliptical Ring 3 1/2&quot; Capacity Binders, 800 sheets"/>
    <n v="131.24"/>
    <n v="4"/>
    <n v="-53.072000000000003"/>
    <n v="-40.438890582139592"/>
  </r>
  <r>
    <s v="CA-2019-145303"/>
    <x v="199"/>
    <s v="TP-21415"/>
    <s v="Tom Prescott"/>
    <s v="United States"/>
    <x v="3"/>
    <x v="2"/>
    <s v="Sauder Camden County Collection Libraries, Planked Cherry Finish"/>
    <n v="156.37280000000001"/>
    <n v="2"/>
    <n v="-52.890799999999999"/>
    <n v="-33.823529411764703"/>
  </r>
  <r>
    <s v="CA-2020-151799"/>
    <x v="55"/>
    <s v="BF-11170"/>
    <s v="Ben Ferrer"/>
    <s v="United States"/>
    <x v="0"/>
    <x v="2"/>
    <s v="Bretford Rectangular Conference Table Tops"/>
    <n v="239.58199999999999"/>
    <n v="2"/>
    <n v="-52.658200000000001"/>
    <n v="-21.979197101618652"/>
  </r>
  <r>
    <s v="US-2020-160465"/>
    <x v="102"/>
    <s v="SW-20350"/>
    <s v="Sean Wendt"/>
    <s v="United States"/>
    <x v="0"/>
    <x v="0"/>
    <s v="Dexim XPower Skin Super-Thin Power Case for iPhone 5 - Black"/>
    <n v="227.56399999999999"/>
    <n v="6"/>
    <n v="-52.640999999999998"/>
    <n v="-23.132393524459051"/>
  </r>
  <r>
    <s v="CA-2020-144498"/>
    <x v="128"/>
    <s v="MB-18085"/>
    <s v="Mick Brown"/>
    <s v="United States"/>
    <x v="1"/>
    <x v="1"/>
    <s v="Wilson Jones Century Plastic Molded Ring Binders"/>
    <n v="144.541"/>
    <n v="11"/>
    <n v="-52.548099999999998"/>
    <n v="-36.355151825433616"/>
  </r>
  <r>
    <s v="US-2020-104661"/>
    <x v="200"/>
    <s v="TB-21250"/>
    <s v="Tim Brockman"/>
    <s v="United States"/>
    <x v="3"/>
    <x v="1"/>
    <s v="Wilson Jones Ledger-Size, Piano-Hinge Binder, 2&quot;, Blue"/>
    <n v="118.78400000000001"/>
    <n v="4"/>
    <n v="-52.4544"/>
    <n v="-44.15948275862069"/>
  </r>
  <r>
    <s v="CA-2020-168739"/>
    <x v="201"/>
    <s v="HZ-14950"/>
    <s v="Henia Zydlo"/>
    <s v="United States"/>
    <x v="3"/>
    <x v="2"/>
    <s v="Eldon Executive Woodline II Cherry Finish Desk Accessories"/>
    <n v="2112.424"/>
    <n v="4"/>
    <n v="-52.339199999999998"/>
    <n v="-2.4776844042673249"/>
  </r>
  <r>
    <s v="CA-2020-166849"/>
    <x v="202"/>
    <s v="SJ-20125"/>
    <s v="Sanjit Jacobs"/>
    <s v="United States"/>
    <x v="3"/>
    <x v="2"/>
    <s v="Eldon Cleatmat Chair Mats for Medium Pile Carpets"/>
    <n v="136.4"/>
    <n v="2"/>
    <n v="-52.17"/>
    <n v="-38.247800586510259"/>
  </r>
  <r>
    <s v="CA-2020-167941"/>
    <x v="174"/>
    <s v="JF-15565"/>
    <s v="Jill Fjeld"/>
    <s v="United States"/>
    <x v="1"/>
    <x v="1"/>
    <s v="Carina Double Wide Media Storage Towers in Natural &amp; Black"/>
    <n v="304.13600000000002"/>
    <n v="4"/>
    <n v="-51.827199999999998"/>
    <n v="-17.040797537943551"/>
  </r>
  <r>
    <s v="US-2019-135720"/>
    <x v="111"/>
    <s v="FM-14380"/>
    <s v="Fred McMath"/>
    <s v="United States"/>
    <x v="2"/>
    <x v="1"/>
    <s v="Tennsco Regal Shelving Units"/>
    <n v="243.38399999999999"/>
    <n v="3"/>
    <n v="-51.719099999999997"/>
    <n v="-21.25"/>
  </r>
  <r>
    <s v="US-2019-152051"/>
    <x v="203"/>
    <s v="TS-21160"/>
    <s v="Theresa Swint"/>
    <s v="United States"/>
    <x v="0"/>
    <x v="1"/>
    <s v="Gould Plastics 9-Pocket Panel Bin, 18-3/8w x 5-1/4d x 20-1/2h, Black"/>
    <n v="254.352"/>
    <n v="6"/>
    <n v="-50.870399999999997"/>
    <n v="-20"/>
  </r>
  <r>
    <s v="US-2019-156097"/>
    <x v="204"/>
    <s v="EH-14125"/>
    <s v="Eugene Hildebrand"/>
    <s v="United States"/>
    <x v="3"/>
    <x v="2"/>
    <s v="Global Troy Executive Leather Low-Back Tilter"/>
    <n v="701.37199999999996"/>
    <n v="2"/>
    <n v="-50.097999999999999"/>
    <n v="-7.1428571428571423"/>
  </r>
  <r>
    <s v="CA-2019-136770"/>
    <x v="193"/>
    <s v="SP-20650"/>
    <s v="Stephanie Phelps"/>
    <s v="United States"/>
    <x v="0"/>
    <x v="0"/>
    <s v="Plantronics Voyager Pro Legend"/>
    <n v="247.18799999999999"/>
    <n v="2"/>
    <n v="-49.437600000000003"/>
    <n v="-20"/>
  </r>
  <r>
    <s v="CA-2019-155551"/>
    <x v="148"/>
    <s v="CR-12580"/>
    <s v="Clay Rozendal"/>
    <s v="United States"/>
    <x v="3"/>
    <x v="1"/>
    <s v="Safco Industrial Wire Shelving"/>
    <n v="230.376"/>
    <n v="3"/>
    <n v="-48.954900000000002"/>
    <n v="-21.25"/>
  </r>
  <r>
    <s v="US-2020-119662"/>
    <x v="14"/>
    <s v="CS-12400"/>
    <s v="Christopher Schild"/>
    <s v="United States"/>
    <x v="3"/>
    <x v="1"/>
    <s v="Safco Industrial Wire Shelving"/>
    <n v="265.37599999999998"/>
    <n v="3"/>
    <n v="-48.954900000000002"/>
    <n v="-18.447372784275899"/>
  </r>
  <r>
    <s v="CA-2020-166142"/>
    <x v="205"/>
    <s v="MM-17260"/>
    <s v="Magdelene Morse"/>
    <s v="United States"/>
    <x v="0"/>
    <x v="2"/>
    <s v="Hon 2111 Invitation Series Straight Table"/>
    <n v="341.44299999999998"/>
    <n v="3"/>
    <n v="-48.783900000000003"/>
    <n v="-14.28756776387274"/>
  </r>
  <r>
    <s v="CA-2019-110772"/>
    <x v="165"/>
    <s v="NZ-18565"/>
    <s v="Nick Zandusky"/>
    <s v="United States"/>
    <x v="0"/>
    <x v="2"/>
    <s v="Bush Westfield Collection Bookcases, Medium Cherry Finish"/>
    <n v="86.97"/>
    <n v="3"/>
    <n v="-48.703200000000002"/>
    <n v="-56.000000000000007"/>
  </r>
  <r>
    <s v="US-2020-120418"/>
    <x v="206"/>
    <s v="BC-11125"/>
    <s v="Becky Castell"/>
    <s v="United States"/>
    <x v="2"/>
    <x v="1"/>
    <s v="Fellowes Officeware Wire Shelving"/>
    <n v="261.59199999999998"/>
    <n v="3"/>
    <n v="-48.508200000000002"/>
    <n v="-18.543456986452185"/>
  </r>
  <r>
    <s v="US-2020-118087"/>
    <x v="37"/>
    <s v="SP-20620"/>
    <s v="Stefania Perrino"/>
    <s v="United States"/>
    <x v="0"/>
    <x v="2"/>
    <s v="Global Low Back Tilter Chair"/>
    <n v="167.37200000000001"/>
    <n v="2"/>
    <n v="-48.470399999999998"/>
    <n v="-28.959682623138871"/>
  </r>
  <r>
    <s v="US-2020-107979"/>
    <x v="207"/>
    <s v="FO-14305"/>
    <s v="Frank Olsen"/>
    <s v="United States"/>
    <x v="2"/>
    <x v="1"/>
    <s v="GBC VeloBinder Electric Binding Machine"/>
    <n v="102.58799999999999"/>
    <n v="2"/>
    <n v="-48.392000000000003"/>
    <n v="-47.171209108277779"/>
  </r>
  <r>
    <s v="US-2020-166611"/>
    <x v="208"/>
    <s v="CK-12760"/>
    <s v="Cyma Kinney"/>
    <s v="United States"/>
    <x v="1"/>
    <x v="1"/>
    <s v="Canvas Sectional Post Binders"/>
    <n v="105.742"/>
    <n v="9"/>
    <n v="-48.119399999999999"/>
    <n v="-45.506421289553813"/>
  </r>
  <r>
    <s v="CA-2020-111717"/>
    <x v="209"/>
    <s v="SW-20245"/>
    <s v="Scot Wooten"/>
    <s v="United States"/>
    <x v="3"/>
    <x v="2"/>
    <s v="Hon Comfortask Task/Swivel Chairs"/>
    <n v="249.358"/>
    <n v="3"/>
    <n v="-47.871600000000001"/>
    <n v="-19.197940310717922"/>
  </r>
  <r>
    <s v="CA-2020-149895"/>
    <x v="25"/>
    <s v="EB-14110"/>
    <s v="Eugene Barchas"/>
    <s v="United States"/>
    <x v="0"/>
    <x v="0"/>
    <s v="Aastra 6757i CT Wireless VoIP phone"/>
    <n v="299.52800000000002"/>
    <n v="2"/>
    <n v="-47.396799999999999"/>
    <n v="-15.82382949173366"/>
  </r>
  <r>
    <s v="US-2019-168620"/>
    <x v="210"/>
    <s v="RB-19795"/>
    <s v="Ross Baird"/>
    <s v="United States"/>
    <x v="1"/>
    <x v="1"/>
    <s v="Tennsco Double-Tier Lockers"/>
    <n v="540.048"/>
    <n v="3"/>
    <n v="-47.254199999999997"/>
    <n v="-8.75"/>
  </r>
  <r>
    <s v="CA-2020-130386"/>
    <x v="151"/>
    <s v="NG-18430"/>
    <s v="Nathan Gelder"/>
    <s v="United States"/>
    <x v="3"/>
    <x v="1"/>
    <s v="Tennsco Double-Tier Lockers"/>
    <n v="557.048"/>
    <n v="3"/>
    <n v="-47.254199999999997"/>
    <n v="-8.4829673564935142"/>
  </r>
  <r>
    <s v="CA-2019-134334"/>
    <x v="211"/>
    <s v="DK-13090"/>
    <s v="Dave Kipp"/>
    <s v="United States"/>
    <x v="0"/>
    <x v="2"/>
    <s v="Bevis Boat-Shaped Conference Table"/>
    <n v="550.43100000000004"/>
    <n v="3"/>
    <n v="-47.1798"/>
    <n v="-8.5714285714285712"/>
  </r>
  <r>
    <s v="CA-2020-121790"/>
    <x v="178"/>
    <s v="LP-17095"/>
    <s v="Liz Preis"/>
    <s v="United States"/>
    <x v="3"/>
    <x v="2"/>
    <s v="Balt Split Level Computer Training Table"/>
    <n v="100.375"/>
    <n v="1"/>
    <n v="-47.174999999999997"/>
    <n v="-46.998754669987541"/>
  </r>
  <r>
    <s v="CA-2019-142594"/>
    <x v="212"/>
    <s v="EJ-14155"/>
    <s v="Eva Jacobs"/>
    <s v="United States"/>
    <x v="0"/>
    <x v="2"/>
    <s v="Chromcraft Round Conference Tables"/>
    <n v="366.00900000000001"/>
    <n v="3"/>
    <n v="-47.058300000000003"/>
    <n v="-12.857142857142859"/>
  </r>
  <r>
    <s v="CA-2019-133669"/>
    <x v="72"/>
    <s v="SV-20935"/>
    <s v="Susan Vittorini"/>
    <s v="United States"/>
    <x v="0"/>
    <x v="0"/>
    <s v="Panasonic KX TS208W Corded phone"/>
    <n v="235.15199999999999"/>
    <n v="8"/>
    <n v="-47.0304"/>
    <n v="-20"/>
  </r>
  <r>
    <s v="CA-2019-158099"/>
    <x v="19"/>
    <s v="PK-18910"/>
    <s v="Paul Knutson"/>
    <s v="United States"/>
    <x v="0"/>
    <x v="0"/>
    <s v="Cisco SPA301"/>
    <n v="280.78199999999998"/>
    <n v="3"/>
    <n v="-46.796999999999997"/>
    <n v="-16.666666666666664"/>
  </r>
  <r>
    <s v="CA-2020-164042"/>
    <x v="213"/>
    <s v="KL-16645"/>
    <s v="Ken Lonsdale"/>
    <s v="United States"/>
    <x v="3"/>
    <x v="1"/>
    <s v="Acco 6 Outlet Guardian Premium Plus Surge Suppressor"/>
    <n v="132.32"/>
    <n v="5"/>
    <n v="-46.716000000000001"/>
    <n v="-35.305320435308346"/>
  </r>
  <r>
    <s v="CA-2019-145177"/>
    <x v="214"/>
    <s v="PP-18955"/>
    <s v="Paul Prost"/>
    <s v="United States"/>
    <x v="0"/>
    <x v="1"/>
    <s v="GBC Twin Loop Wire Binding Elements"/>
    <n v="69.888000000000005"/>
    <n v="7"/>
    <n v="-46.591999999999999"/>
    <n v="-66.666666666666657"/>
  </r>
  <r>
    <s v="US-2020-154872"/>
    <x v="215"/>
    <s v="DP-13000"/>
    <s v="Darren Powers"/>
    <s v="United States"/>
    <x v="0"/>
    <x v="1"/>
    <s v="Premium Transparent Presentation Covers, No Pattern/Clear, 8 1/2&quot; x 11&quot;"/>
    <n v="132.16999999999999"/>
    <n v="5"/>
    <n v="-46.536000000000001"/>
    <n v="-35.209200272376492"/>
  </r>
  <r>
    <s v="US-2020-141558"/>
    <x v="91"/>
    <s v="MH-17290"/>
    <s v="Marc Harrigan"/>
    <s v="United States"/>
    <x v="0"/>
    <x v="2"/>
    <s v="KI Adjustable-Height Table"/>
    <n v="167.76400000000001"/>
    <n v="3"/>
    <n v="-46.429200000000002"/>
    <n v="-27.675305786700367"/>
  </r>
  <r>
    <s v="CA-2020-131254"/>
    <x v="4"/>
    <s v="NC-18415"/>
    <s v="Nathan Cano"/>
    <s v="United States"/>
    <x v="3"/>
    <x v="2"/>
    <s v="Global Wood Trimmed Manager's Task Chair, Khaki"/>
    <n v="234.05799999999999"/>
    <n v="3"/>
    <n v="-46.399799999999999"/>
    <n v="-19.824060702902699"/>
  </r>
  <r>
    <s v="US-2020-110996"/>
    <x v="216"/>
    <s v="KA-16525"/>
    <s v="Kelly Andreada"/>
    <s v="United States"/>
    <x v="2"/>
    <x v="2"/>
    <s v="Novimex High-Tech Fabric Mesh Task Chair"/>
    <n v="326.92"/>
    <n v="5"/>
    <n v="-46.137"/>
    <n v="-14.112626942371223"/>
  </r>
  <r>
    <s v="US-2020-108014"/>
    <x v="4"/>
    <s v="JH-15430"/>
    <s v="Jennifer Halladay"/>
    <s v="United States"/>
    <x v="0"/>
    <x v="1"/>
    <s v="Lock-Up Easel 'Spel-Binder'"/>
    <n v="164.91300000000001"/>
    <n v="7"/>
    <n v="-45.933300000000003"/>
    <n v="-27.853049789889212"/>
  </r>
  <r>
    <s v="CA-2020-164168"/>
    <x v="151"/>
    <s v="LS-16975"/>
    <s v="Lindsay Shagiari"/>
    <s v="United States"/>
    <x v="3"/>
    <x v="1"/>
    <s v="Surelock Post Binders"/>
    <n v="152.56"/>
    <n v="5"/>
    <n v="-45.84"/>
    <n v="-30.047194546407972"/>
  </r>
  <r>
    <s v="US-2020-169551"/>
    <x v="135"/>
    <s v="RL-19615"/>
    <s v="Rob Lucas"/>
    <s v="United States"/>
    <x v="0"/>
    <x v="2"/>
    <s v="O'Sullivan 3-Shelf Heavy-Duty Bookcases"/>
    <n v="124.21"/>
    <n v="3"/>
    <n v="-45.349200000000003"/>
    <n v="-36.510103856372275"/>
  </r>
  <r>
    <s v="CA-2020-147767"/>
    <x v="18"/>
    <s v="SV-20935"/>
    <s v="Susan Vittorini"/>
    <s v="United States"/>
    <x v="2"/>
    <x v="1"/>
    <s v="Vinyl Sectional Post Binders"/>
    <n v="163.86"/>
    <n v="6"/>
    <n v="-45.24"/>
    <n v="-27.608934456243134"/>
  </r>
  <r>
    <s v="CA-2020-132199"/>
    <x v="137"/>
    <s v="BO-11350"/>
    <s v="Bill Overfelt"/>
    <s v="United States"/>
    <x v="0"/>
    <x v="1"/>
    <s v="Wilson Jones Elliptical Ring 3 1/2&quot; Capacity Binders, 800 sheets"/>
    <n v="155.19999999999999"/>
    <n v="5"/>
    <n v="-44.94"/>
    <n v="-28.956185567010312"/>
  </r>
  <r>
    <s v="US-2020-156356"/>
    <x v="217"/>
    <s v="ND-18370"/>
    <s v="Natalie DeCherney"/>
    <s v="United States"/>
    <x v="3"/>
    <x v="1"/>
    <s v="Satellite Sectional Post Binders"/>
    <n v="120.04600000000001"/>
    <n v="3"/>
    <n v="-44.278199999999998"/>
    <n v="-36.884360994951933"/>
  </r>
  <r>
    <s v="CA-2020-118885"/>
    <x v="218"/>
    <s v="JG-15160"/>
    <s v="James Galang"/>
    <s v="United States"/>
    <x v="2"/>
    <x v="2"/>
    <s v="Global High-Back Leather Tilter, Burgundy"/>
    <n v="119.568"/>
    <n v="4"/>
    <n v="-44.276400000000002"/>
    <n v="-37.030309112806101"/>
  </r>
  <r>
    <s v="CA-2020-111220"/>
    <x v="149"/>
    <s v="JS-15595"/>
    <s v="Jill Stevenson"/>
    <s v="United States"/>
    <x v="3"/>
    <x v="1"/>
    <s v="Belkin 19&quot; Center-Weighted Shelf, Gray"/>
    <n v="260.92"/>
    <n v="5"/>
    <n v="-44.234999999999999"/>
    <n v="-16.953472328683119"/>
  </r>
  <r>
    <s v="CA-2019-119865"/>
    <x v="219"/>
    <s v="AS-10090"/>
    <s v="Adam Shillingsburg"/>
    <s v="United States"/>
    <x v="0"/>
    <x v="2"/>
    <s v="O'Sullivan Living Dimensions 5-Shelf Bookcases"/>
    <n v="353.56799999999998"/>
    <n v="2"/>
    <n v="-44.195999999999998"/>
    <n v="-12.5"/>
  </r>
  <r>
    <s v="US-2019-148901"/>
    <x v="220"/>
    <s v="MK-17905"/>
    <s v="Michael Kennedy"/>
    <s v="United States"/>
    <x v="1"/>
    <x v="1"/>
    <s v="GBC DocuBind P50 Personal Binding Machine"/>
    <n v="57.582000000000001"/>
    <n v="3"/>
    <n v="-44.1462"/>
    <n v="-76.666666666666657"/>
  </r>
  <r>
    <s v="CA-2019-129280"/>
    <x v="101"/>
    <s v="SM-20905"/>
    <s v="Susan MacKendrick"/>
    <s v="United States"/>
    <x v="0"/>
    <x v="1"/>
    <s v="Tennsco Industrial Shelving"/>
    <n v="195.64"/>
    <n v="5"/>
    <n v="-44.018999999999998"/>
    <n v="-22.5"/>
  </r>
  <r>
    <s v="US-2020-129203"/>
    <x v="2"/>
    <s v="BM-11575"/>
    <s v="Brendan Murry"/>
    <s v="United States"/>
    <x v="3"/>
    <x v="1"/>
    <s v="Carina Media Storage Towers in Natural &amp; Black"/>
    <n v="212.136"/>
    <n v="4"/>
    <n v="-43.9056"/>
    <n v="-20.696911415318475"/>
  </r>
  <r>
    <s v="CA-2020-157350"/>
    <x v="221"/>
    <s v="DP-13000"/>
    <s v="Darren Powers"/>
    <s v="United States"/>
    <x v="3"/>
    <x v="2"/>
    <s v="Seth Thomas 16&quot; Steel Case Clock"/>
    <n v="149.96"/>
    <n v="5"/>
    <n v="-43.847999999999999"/>
    <n v="-29.23979727927447"/>
  </r>
  <r>
    <s v="US-2020-122672"/>
    <x v="1"/>
    <s v="HG-14965"/>
    <s v="Henry Goldwyn"/>
    <s v="United States"/>
    <x v="0"/>
    <x v="1"/>
    <s v="Carina 42&quot;Hx23 3/4&quot;W Media Storage Unit"/>
    <n v="212.352"/>
    <n v="3"/>
    <n v="-43.729199999999999"/>
    <n v="-20.592789330922244"/>
  </r>
  <r>
    <s v="CA-2020-128944"/>
    <x v="156"/>
    <s v="KH-16330"/>
    <s v="Katharine Harms"/>
    <s v="United States"/>
    <x v="0"/>
    <x v="2"/>
    <s v="Global Ergonomic Managers Chair"/>
    <n v="783.11599999999999"/>
    <n v="6"/>
    <n v="-43.435200000000002"/>
    <n v="-5.5464579960057003"/>
  </r>
  <r>
    <s v="CA-2020-112004"/>
    <x v="222"/>
    <s v="AH-10075"/>
    <s v="Adam Hart"/>
    <s v="United States"/>
    <x v="0"/>
    <x v="1"/>
    <s v="Compact Automatic Electric Letter Opener"/>
    <n v="220.89599999999999"/>
    <n v="2"/>
    <n v="-42.951599999999999"/>
    <n v="-19.444263363754892"/>
  </r>
  <r>
    <s v="US-2020-142573"/>
    <x v="29"/>
    <s v="ML-17410"/>
    <s v="Maris LaWare"/>
    <s v="United States"/>
    <x v="2"/>
    <x v="2"/>
    <s v="High-Back Leather Manager's Chair"/>
    <n v="350.976"/>
    <n v="3"/>
    <n v="-42.896700000000003"/>
    <n v="-12.222117751641139"/>
  </r>
  <r>
    <s v="US-2020-117247"/>
    <x v="30"/>
    <s v="CK-12760"/>
    <s v="Cyma Kinney"/>
    <s v="United States"/>
    <x v="3"/>
    <x v="2"/>
    <s v="Hon 61000 Series Interactive Training Tables"/>
    <n v="157.64500000000001"/>
    <n v="3"/>
    <n v="-42.652799999999999"/>
    <n v="-27.056233943353735"/>
  </r>
  <r>
    <s v="CA-2020-126123"/>
    <x v="223"/>
    <s v="AG-10765"/>
    <s v="Anthony Garverick"/>
    <s v="United States"/>
    <x v="3"/>
    <x v="1"/>
    <s v="GBC Twin Loop Wire Binding Elements, 9/16&quot; Spine, Black"/>
    <n v="130.39599999999999"/>
    <n v="9"/>
    <n v="-42.463799999999999"/>
    <n v="-32.565262738120801"/>
  </r>
  <r>
    <s v="CA-2020-135692"/>
    <x v="224"/>
    <s v="CV-12805"/>
    <s v="Cynthia Voltz"/>
    <s v="United States"/>
    <x v="3"/>
    <x v="2"/>
    <s v="Sauder Barrister Bookcases"/>
    <n v="269.26560000000001"/>
    <n v="4"/>
    <n v="-42.1096"/>
    <n v="-15.638685372360969"/>
  </r>
  <r>
    <s v="CA-2020-169894"/>
    <x v="225"/>
    <s v="MV-17485"/>
    <s v="Mark Van Huff"/>
    <s v="United States"/>
    <x v="2"/>
    <x v="1"/>
    <s v="Fellowes Bankers Box Staxonsteel Drawer File/Stacking System"/>
    <n v="450.87200000000001"/>
    <n v="8"/>
    <n v="-41.587200000000003"/>
    <n v="-9.2237264678223525"/>
  </r>
  <r>
    <s v="US-2019-114013"/>
    <x v="22"/>
    <s v="SC-20770"/>
    <s v="Stewart Carmichael"/>
    <s v="United States"/>
    <x v="0"/>
    <x v="1"/>
    <s v="Ibico EB-19 Dual Function Manual Binding System"/>
    <n v="51.896999999999998"/>
    <n v="1"/>
    <n v="-41.517600000000002"/>
    <n v="-80"/>
  </r>
  <r>
    <s v="US-2020-119438"/>
    <x v="46"/>
    <s v="CD-11980"/>
    <s v="Carol Darley"/>
    <s v="United States"/>
    <x v="3"/>
    <x v="2"/>
    <s v="Howard Miller 13-1/2&quot; Diameter Rosebrook Wall Clock"/>
    <n v="113.524"/>
    <n v="3"/>
    <n v="-41.262"/>
    <n v="-36.346499418625136"/>
  </r>
  <r>
    <s v="CA-2020-122700"/>
    <x v="197"/>
    <s v="LT-17110"/>
    <s v="Liz Thompson"/>
    <s v="United States"/>
    <x v="0"/>
    <x v="0"/>
    <s v="Motorola L804"/>
    <n v="232.75200000000001"/>
    <n v="8"/>
    <n v="-40.471200000000003"/>
    <n v="-17.388121262115902"/>
  </r>
  <r>
    <s v="CA-2019-118969"/>
    <x v="226"/>
    <s v="LP-17095"/>
    <s v="Liz Preis"/>
    <s v="United States"/>
    <x v="2"/>
    <x v="1"/>
    <s v="Premier Elliptical Ring Binder, Black"/>
    <n v="54.792000000000002"/>
    <n v="6"/>
    <n v="-40.180799999999998"/>
    <n v="-73.333333333333329"/>
  </r>
  <r>
    <s v="CA-2019-150350"/>
    <x v="95"/>
    <s v="MS-17770"/>
    <s v="Maxwell Schwartz"/>
    <s v="United States"/>
    <x v="2"/>
    <x v="2"/>
    <s v="Office Star Flex Back Scooter Chair with White Frame"/>
    <n v="532.70399999999995"/>
    <n v="6"/>
    <n v="-39.952800000000003"/>
    <n v="-7.5000000000000009"/>
  </r>
  <r>
    <s v="US-2020-124779"/>
    <x v="25"/>
    <s v="BF-11020"/>
    <s v="Barry Französisch"/>
    <s v="United States"/>
    <x v="3"/>
    <x v="2"/>
    <s v="Global Armless Task Chair, Royal Blue"/>
    <n v="224.43"/>
    <n v="5"/>
    <n v="-39.637"/>
    <n v="-17.661186115938154"/>
  </r>
  <r>
    <s v="CA-2020-137449"/>
    <x v="146"/>
    <s v="ME-17725"/>
    <s v="Max Engle"/>
    <s v="United States"/>
    <x v="3"/>
    <x v="2"/>
    <s v="Bevis Round Conference Table Top &amp; Single Column Base"/>
    <n v="329.31400000000002"/>
    <n v="3"/>
    <n v="-39.511800000000001"/>
    <n v="-11.998214470080226"/>
  </r>
  <r>
    <s v="CA-2020-102337"/>
    <x v="155"/>
    <s v="SD-20485"/>
    <s v="Shirley Daniels"/>
    <s v="United States"/>
    <x v="3"/>
    <x v="1"/>
    <s v="Belkin 19&quot; Vented Equipment Shelf, Black"/>
    <n v="190.73599999999999"/>
    <n v="4"/>
    <n v="-39.1248"/>
    <n v="-20.512540894220287"/>
  </r>
  <r>
    <s v="CA-2020-151750"/>
    <x v="87"/>
    <s v="JM-15250"/>
    <s v="Janet Martin"/>
    <s v="United States"/>
    <x v="3"/>
    <x v="1"/>
    <s v="Fellowes Superior 10 Outlet Split Surge Protector"/>
    <n v="110.224"/>
    <n v="2"/>
    <n v="-38.821199999999997"/>
    <n v="-35.220278705182174"/>
  </r>
  <r>
    <s v="CA-2020-152926"/>
    <x v="11"/>
    <s v="SC-20695"/>
    <s v="Steve Chapman"/>
    <s v="United States"/>
    <x v="3"/>
    <x v="1"/>
    <s v="Fellowes Superior 10 Outlet Split Surge Protector"/>
    <n v="121.224"/>
    <n v="2"/>
    <n v="-38.821199999999997"/>
    <n v="-32.024351613541867"/>
  </r>
  <r>
    <s v="CA-2019-150483"/>
    <x v="227"/>
    <s v="BP-11290"/>
    <s v="Beth Paige"/>
    <s v="United States"/>
    <x v="3"/>
    <x v="2"/>
    <s v="Global Highback Leather Tilter in Burgundy"/>
    <n v="191.07900000000001"/>
    <n v="3"/>
    <n v="-38.215800000000002"/>
    <n v="-20"/>
  </r>
  <r>
    <s v="CA-2020-135076"/>
    <x v="228"/>
    <s v="YS-21880"/>
    <s v="Yana Sorensen"/>
    <s v="United States"/>
    <x v="2"/>
    <x v="2"/>
    <s v="Global Wood Trimmed Manager's Task Chair, Khaki"/>
    <n v="456.70400000000001"/>
    <n v="6"/>
    <n v="-38.211599999999997"/>
    <n v="-8.3668196468609857"/>
  </r>
  <r>
    <s v="CA-2019-132066"/>
    <x v="229"/>
    <s v="NB-18655"/>
    <s v="Nona Balk"/>
    <s v="United States"/>
    <x v="0"/>
    <x v="2"/>
    <s v="Chromcraft Rectangular Conference Tables"/>
    <n v="142.18199999999999"/>
    <n v="1"/>
    <n v="-37.915199999999999"/>
    <n v="-26.666666666666668"/>
  </r>
  <r>
    <s v="CA-2019-127236"/>
    <x v="98"/>
    <s v="TB-21595"/>
    <s v="Troy Blackwell"/>
    <s v="United States"/>
    <x v="0"/>
    <x v="0"/>
    <s v="Clearsounds A400"/>
    <n v="158.376"/>
    <n v="4"/>
    <n v="-36.9544"/>
    <n v="-23.333333333333332"/>
  </r>
  <r>
    <s v="CA-2020-165386"/>
    <x v="230"/>
    <s v="CM-12190"/>
    <s v="Charlotte Melton"/>
    <s v="United States"/>
    <x v="3"/>
    <x v="2"/>
    <s v="O'Sullivan Elevations Bookcase, Cherry Finish"/>
    <n v="216.37200000000001"/>
    <n v="2"/>
    <n v="-36.674399999999999"/>
    <n v="-16.94969774277633"/>
  </r>
  <r>
    <s v="CA-2019-163594"/>
    <x v="231"/>
    <s v="JF-15295"/>
    <s v="Jason Fortune-"/>
    <s v="United States"/>
    <x v="2"/>
    <x v="2"/>
    <s v="Global Geo Office Task Chair, Gray"/>
    <n v="194.352"/>
    <n v="3"/>
    <n v="-36.441000000000003"/>
    <n v="-18.75"/>
  </r>
  <r>
    <s v="CA-2020-154907"/>
    <x v="152"/>
    <s v="DS-13180"/>
    <s v="David Smith"/>
    <s v="United States"/>
    <x v="3"/>
    <x v="2"/>
    <s v="Bush Mission Pointe Library"/>
    <n v="242.33279999999999"/>
    <n v="2"/>
    <n v="-36.235199999999999"/>
    <n v="-14.952660143406094"/>
  </r>
  <r>
    <s v="CA-2020-137624"/>
    <x v="31"/>
    <s v="ME-17320"/>
    <s v="Maria Etezadi"/>
    <s v="United States"/>
    <x v="2"/>
    <x v="2"/>
    <s v="Global Leather &amp; Oak Executive Chair, Burgundy"/>
    <n v="273.42399999999998"/>
    <n v="2"/>
    <n v="-36.2136"/>
    <n v="-13.244484756275968"/>
  </r>
  <r>
    <s v="CA-2019-152555"/>
    <x v="98"/>
    <s v="ME-17320"/>
    <s v="Maria Etezadi"/>
    <s v="United States"/>
    <x v="3"/>
    <x v="2"/>
    <s v="Global Leather Highback Executive Chair with Pneumatic Height Adjustment, Black"/>
    <n v="844.11599999999999"/>
    <n v="6"/>
    <n v="-36.176400000000001"/>
    <n v="-4.2857142857142856"/>
  </r>
  <r>
    <s v="CA-2020-148404"/>
    <x v="232"/>
    <s v="Dp-13240"/>
    <s v="Dean percer"/>
    <s v="United States"/>
    <x v="1"/>
    <x v="2"/>
    <s v="KI Adjustable-Height Table"/>
    <n v="200.76400000000001"/>
    <n v="3"/>
    <n v="-36.111600000000003"/>
    <n v="-17.987089318802177"/>
  </r>
  <r>
    <s v="US-2020-155425"/>
    <x v="31"/>
    <s v="AB-10600"/>
    <s v="Ann Blume"/>
    <s v="United States"/>
    <x v="2"/>
    <x v="0"/>
    <s v="Case Logic 2.4GHz Wireless Keyboard"/>
    <n v="257.952"/>
    <n v="6"/>
    <n v="-35.992800000000003"/>
    <n v="-13.953293636025307"/>
  </r>
  <r>
    <s v="CA-2019-134222"/>
    <x v="48"/>
    <s v="NZ-18565"/>
    <s v="Nick Zandusky"/>
    <s v="United States"/>
    <x v="2"/>
    <x v="1"/>
    <s v="GBC Standard Therm-A-Bind Covers"/>
    <n v="44.856000000000002"/>
    <n v="6"/>
    <n v="-35.884799999999998"/>
    <n v="-80"/>
  </r>
  <r>
    <s v="CA-2019-149272"/>
    <x v="115"/>
    <s v="MY-18295"/>
    <s v="Muhammed Yedwab"/>
    <s v="United States"/>
    <x v="3"/>
    <x v="1"/>
    <s v="GBC Pre-Punched Binding Paper, Plastic, White, 8-1/2&quot; x 11&quot;"/>
    <n v="22.385999999999999"/>
    <n v="7"/>
    <n v="-35.817599999999999"/>
    <n v="-160"/>
  </r>
  <r>
    <s v="CA-2020-134404"/>
    <x v="233"/>
    <s v="DR-12880"/>
    <s v="Dan Reichenbach"/>
    <s v="United States"/>
    <x v="0"/>
    <x v="0"/>
    <s v="AT&amp;T 1080 Corded phone"/>
    <n v="928.38800000000003"/>
    <n v="2"/>
    <n v="-35.617400000000004"/>
    <n v="-3.8364778519325973"/>
  </r>
  <r>
    <s v="CA-2020-120061"/>
    <x v="88"/>
    <s v="SR-20425"/>
    <s v="Sharelle Roach"/>
    <s v="United States"/>
    <x v="0"/>
    <x v="2"/>
    <s v="Office Star Flex Back Scooter Chair with White Frame"/>
    <n v="199.37200000000001"/>
    <n v="2"/>
    <n v="-35.513599999999997"/>
    <n v="-17.812731978412209"/>
  </r>
  <r>
    <s v="CA-2020-145702"/>
    <x v="234"/>
    <s v="AH-10075"/>
    <s v="Adam Hart"/>
    <s v="United States"/>
    <x v="1"/>
    <x v="2"/>
    <s v="Office Star - Mesh Screen back chair with Vinyl seat"/>
    <n v="325.35199999999998"/>
    <n v="3"/>
    <n v="-35.364600000000003"/>
    <n v="-10.869642725417396"/>
  </r>
  <r>
    <s v="US-2019-105830"/>
    <x v="235"/>
    <s v="DB-13660"/>
    <s v="Duane Benoit"/>
    <s v="United States"/>
    <x v="0"/>
    <x v="1"/>
    <s v="Tennsco Industrial Shelving"/>
    <n v="156.512"/>
    <n v="4"/>
    <n v="-35.215200000000003"/>
    <n v="-22.5"/>
  </r>
  <r>
    <s v="CA-2019-109869"/>
    <x v="16"/>
    <s v="TN-21040"/>
    <s v="Tanja Norvell"/>
    <s v="United States"/>
    <x v="2"/>
    <x v="1"/>
    <s v="Premier Electric Letter Opener"/>
    <n v="185.376"/>
    <n v="2"/>
    <n v="-34.758000000000003"/>
    <n v="-18.75"/>
  </r>
  <r>
    <s v="US-2019-141264"/>
    <x v="108"/>
    <s v="CT-11995"/>
    <s v="Carol Triggs"/>
    <s v="United States"/>
    <x v="3"/>
    <x v="1"/>
    <s v="Premier Electric Letter Opener"/>
    <n v="185.376"/>
    <n v="2"/>
    <n v="-34.758000000000003"/>
    <n v="-18.75"/>
  </r>
  <r>
    <s v="CA-2019-162236"/>
    <x v="56"/>
    <s v="ER-13855"/>
    <s v="Elpida Rittenbach"/>
    <s v="United States"/>
    <x v="1"/>
    <x v="1"/>
    <s v="Premier Electric Letter Opener"/>
    <n v="185.376"/>
    <n v="2"/>
    <n v="-34.758000000000003"/>
    <n v="-18.75"/>
  </r>
  <r>
    <s v="CA-2020-121293"/>
    <x v="236"/>
    <s v="JC-15775"/>
    <s v="John Castell"/>
    <s v="United States"/>
    <x v="0"/>
    <x v="2"/>
    <s v="Bush Cubix Conference Tables, Fully Assembled"/>
    <n v="180.58799999999999"/>
    <n v="1"/>
    <n v="-34.646999999999998"/>
    <n v="-19.185660176755931"/>
  </r>
  <r>
    <s v="US-2019-159856"/>
    <x v="237"/>
    <s v="EP-13915"/>
    <s v="Emily Phan"/>
    <s v="United States"/>
    <x v="2"/>
    <x v="2"/>
    <s v="Global Deluxe Steno Chair"/>
    <n v="307.92"/>
    <n v="5"/>
    <n v="-34.640999999999998"/>
    <n v="-11.249999999999998"/>
  </r>
  <r>
    <s v="CA-2019-146206"/>
    <x v="238"/>
    <s v="KT-16480"/>
    <s v="Kean Thornton"/>
    <s v="United States"/>
    <x v="3"/>
    <x v="2"/>
    <s v="KI Adjustable-Height Table"/>
    <n v="300.93"/>
    <n v="5"/>
    <n v="-34.392000000000003"/>
    <n v="-11.428571428571429"/>
  </r>
  <r>
    <s v="CA-2020-101049"/>
    <x v="239"/>
    <s v="AS-10240"/>
    <s v="Alan Shonely"/>
    <s v="United States"/>
    <x v="0"/>
    <x v="1"/>
    <s v="Deluxe Heavy-Duty Vinyl Round Ring Binder"/>
    <n v="128.256"/>
    <n v="6"/>
    <n v="-34.380000000000003"/>
    <n v="-26.805763473053894"/>
  </r>
  <r>
    <s v="CA-2020-106831"/>
    <x v="167"/>
    <s v="FH-14350"/>
    <s v="Fred Harton"/>
    <s v="United States"/>
    <x v="0"/>
    <x v="0"/>
    <s v="Panasonic KX-TG6844B Expandable Digital Cordless Telephone"/>
    <n v="192.376"/>
    <n v="4"/>
    <n v="-34.314799999999998"/>
    <n v="-17.837360169667733"/>
  </r>
  <r>
    <s v="CA-2020-101322"/>
    <x v="240"/>
    <s v="JG-15310"/>
    <s v="Jason Gross"/>
    <s v="United States"/>
    <x v="2"/>
    <x v="2"/>
    <s v="Novimex Turbo Task Chair"/>
    <n v="331.70400000000001"/>
    <n v="6"/>
    <n v="-34.070399999999999"/>
    <n v="-10.27132624267419"/>
  </r>
  <r>
    <s v="US-2019-131149"/>
    <x v="48"/>
    <s v="LH-17155"/>
    <s v="Logan Haushalter"/>
    <s v="United States"/>
    <x v="3"/>
    <x v="1"/>
    <s v="Fellowes Strictly Business Drawer File, Letter/Legal Size"/>
    <n v="338.04"/>
    <n v="3"/>
    <n v="-33.804000000000002"/>
    <n v="-10"/>
  </r>
  <r>
    <s v="CA-2019-114727"/>
    <x v="241"/>
    <s v="LS-16945"/>
    <s v="Linda Southworth"/>
    <s v="United States"/>
    <x v="2"/>
    <x v="1"/>
    <s v="Fellowes Strictly Business Drawer File, Letter/Legal Size"/>
    <n v="338.04"/>
    <n v="3"/>
    <n v="-33.804000000000002"/>
    <n v="-10"/>
  </r>
  <r>
    <s v="CA-2020-148404"/>
    <x v="232"/>
    <s v="Dp-13240"/>
    <s v="Dean percer"/>
    <s v="United States"/>
    <x v="1"/>
    <x v="1"/>
    <s v="Performers Binder/Pad Holder, Black"/>
    <n v="138.45400000000001"/>
    <n v="6"/>
    <n v="-33.636000000000003"/>
    <n v="-24.293989339419593"/>
  </r>
  <r>
    <s v="CA-2020-155089"/>
    <x v="18"/>
    <s v="DB-12910"/>
    <s v="Daniel Byrd"/>
    <s v="United States"/>
    <x v="1"/>
    <x v="1"/>
    <s v="Premier Elliptical Ring Binder, Black"/>
    <n v="133.66"/>
    <n v="5"/>
    <n v="-33.484000000000002"/>
    <n v="-25.051623522370196"/>
  </r>
  <r>
    <s v="CA-2019-101791"/>
    <x v="242"/>
    <s v="BS-11665"/>
    <s v="Brian Stugart"/>
    <s v="United States"/>
    <x v="3"/>
    <x v="2"/>
    <s v="36X48 HARDFLOOR CHAIRMAT"/>
    <n v="25.175999999999998"/>
    <n v="3"/>
    <n v="-33.358199999999997"/>
    <n v="-132.5"/>
  </r>
  <r>
    <s v="US-2019-160528"/>
    <x v="95"/>
    <s v="MH-18115"/>
    <s v="Mick Hernandez"/>
    <s v="United States"/>
    <x v="3"/>
    <x v="0"/>
    <s v="WD My Passport Ultra 2TB Portable External Hard Drive"/>
    <n v="666.4"/>
    <n v="7"/>
    <n v="-33.32"/>
    <n v="-5"/>
  </r>
  <r>
    <s v="CA-2020-112809"/>
    <x v="243"/>
    <s v="RA-19915"/>
    <s v="Russell Applegate"/>
    <s v="United States"/>
    <x v="3"/>
    <x v="1"/>
    <s v="Acco D-Ring Binder w/DublLock"/>
    <n v="86.38"/>
    <n v="5"/>
    <n v="-33.139000000000003"/>
    <n v="-38.364204677008573"/>
  </r>
  <r>
    <s v="CA-2020-142489"/>
    <x v="244"/>
    <s v="TC-21295"/>
    <s v="Toby Carlisle"/>
    <s v="United States"/>
    <x v="3"/>
    <x v="1"/>
    <s v="Wilson Jones Legal Size Ring Binders"/>
    <n v="104.99"/>
    <n v="5"/>
    <n v="-32.984999999999999"/>
    <n v="-31.417277835984379"/>
  </r>
  <r>
    <s v="CA-2020-146346"/>
    <x v="245"/>
    <s v="RA-19945"/>
    <s v="Ryan Akin"/>
    <s v="United States"/>
    <x v="2"/>
    <x v="1"/>
    <s v="Carina Media Storage Towers in Natural &amp; Black"/>
    <n v="196.352"/>
    <n v="3"/>
    <n v="-32.929200000000002"/>
    <n v="-16.770493807040417"/>
  </r>
  <r>
    <s v="CA-2019-108987"/>
    <x v="49"/>
    <s v="AG-10675"/>
    <s v="Anna Gayman"/>
    <s v="United States"/>
    <x v="3"/>
    <x v="1"/>
    <s v="Contico 72&quot;H Heavy-Duty Storage System"/>
    <n v="131.136"/>
    <n v="4"/>
    <n v="-32.783999999999999"/>
    <n v="-25"/>
  </r>
  <r>
    <s v="CA-2020-163125"/>
    <x v="30"/>
    <s v="MB-17305"/>
    <s v="Maria Bertelson"/>
    <s v="United States"/>
    <x v="3"/>
    <x v="2"/>
    <s v="Hon Every-Day Chair Series Swivel Task Chairs"/>
    <n v="272.05799999999999"/>
    <n v="3"/>
    <n v="-32.6646"/>
    <n v="-12.006483911518867"/>
  </r>
  <r>
    <s v="CA-2020-141992"/>
    <x v="156"/>
    <s v="FO-14305"/>
    <s v="Frank Olsen"/>
    <s v="United States"/>
    <x v="3"/>
    <x v="1"/>
    <s v="Safco Industrial Wire Shelving"/>
    <n v="199.584"/>
    <n v="2"/>
    <n v="-32.636600000000001"/>
    <n v="-16.352312810646144"/>
  </r>
  <r>
    <s v="CA-2019-146010"/>
    <x v="246"/>
    <s v="EH-14125"/>
    <s v="Eugene Hildebrand"/>
    <s v="United States"/>
    <x v="2"/>
    <x v="1"/>
    <s v="GBC Durable Plastic Covers"/>
    <n v="40.634999999999998"/>
    <n v="7"/>
    <n v="-32.508000000000003"/>
    <n v="-80.000000000000014"/>
  </r>
  <r>
    <s v="CA-2020-118773"/>
    <x v="34"/>
    <s v="TP-21415"/>
    <s v="Tom Prescott"/>
    <s v="United States"/>
    <x v="3"/>
    <x v="1"/>
    <s v="Belkin F9S820V06 8 Outlet Surge"/>
    <n v="132.99199999999999"/>
    <n v="2"/>
    <n v="-32.479999999999997"/>
    <n v="-24.422521655437919"/>
  </r>
  <r>
    <s v="CA-2020-102610"/>
    <x v="1"/>
    <s v="CA-12265"/>
    <s v="Christina Anderson"/>
    <s v="United States"/>
    <x v="1"/>
    <x v="0"/>
    <s v="iOttie XL Car Mount"/>
    <n v="192.928"/>
    <n v="9"/>
    <n v="-32.383800000000001"/>
    <n v="-16.785432907613203"/>
  </r>
  <r>
    <s v="CA-2019-144148"/>
    <x v="247"/>
    <s v="AH-10690"/>
    <s v="Anna Häberlin"/>
    <s v="United States"/>
    <x v="2"/>
    <x v="2"/>
    <s v="Laminate Occasional Tables"/>
    <n v="863.12800000000004"/>
    <n v="7"/>
    <n v="-32.3673"/>
    <n v="-3.75"/>
  </r>
  <r>
    <s v="CA-2020-135650"/>
    <x v="248"/>
    <s v="AC-10660"/>
    <s v="Anna Chung"/>
    <s v="United States"/>
    <x v="3"/>
    <x v="1"/>
    <s v="Fellowes Officeware Wire Shelving"/>
    <n v="155.72800000000001"/>
    <n v="2"/>
    <n v="-32.338799999999999"/>
    <n v="-20.766207746840642"/>
  </r>
  <r>
    <s v="US-2019-126844"/>
    <x v="179"/>
    <s v="BW-11110"/>
    <s v="Bart Watters"/>
    <s v="United States"/>
    <x v="3"/>
    <x v="2"/>
    <s v="Contemporary Wood/Metal Frame"/>
    <n v="51.712000000000003"/>
    <n v="8"/>
    <n v="-32.32"/>
    <n v="-62.5"/>
  </r>
  <r>
    <s v="US-2020-126060"/>
    <x v="249"/>
    <s v="DW-13585"/>
    <s v="Dorothy Wardle"/>
    <s v="United States"/>
    <x v="1"/>
    <x v="2"/>
    <s v="Sauder Cornerstone Collection Library"/>
    <n v="210.27199999999999"/>
    <n v="8"/>
    <n v="-32.219200000000001"/>
    <n v="-15.322629736721961"/>
  </r>
  <r>
    <s v="CA-2020-150959"/>
    <x v="250"/>
    <s v="TD-20995"/>
    <s v="Tamara Dahlen"/>
    <s v="United States"/>
    <x v="3"/>
    <x v="1"/>
    <s v="Deluxe Heavy-Duty Vinyl Round Ring Binder"/>
    <n v="105.336"/>
    <n v="4"/>
    <n v="-32.088000000000001"/>
    <n v="-30.462519936204146"/>
  </r>
  <r>
    <s v="CA-2019-100993"/>
    <x v="251"/>
    <s v="AZ-10750"/>
    <s v="Annie Zypern"/>
    <s v="United States"/>
    <x v="2"/>
    <x v="0"/>
    <s v="Anker Astro 15000mAh USB Portable Charger"/>
    <n v="159.96799999999999"/>
    <n v="4"/>
    <n v="-31.993600000000001"/>
    <n v="-20"/>
  </r>
  <r>
    <s v="CA-2019-142398"/>
    <x v="231"/>
    <s v="BP-11290"/>
    <s v="Beth Paige"/>
    <s v="United States"/>
    <x v="2"/>
    <x v="2"/>
    <s v="Hon Comfortask Task/Swivel Chairs"/>
    <n v="638.28800000000001"/>
    <n v="7"/>
    <n v="-31.914400000000001"/>
    <n v="-5"/>
  </r>
  <r>
    <s v="CA-2019-167605"/>
    <x v="252"/>
    <s v="RB-19570"/>
    <s v="Rob Beeghly"/>
    <s v="United States"/>
    <x v="3"/>
    <x v="2"/>
    <s v="Eldon Delta Triangular Chair Mat, 52&quot; x 58&quot;, Clear"/>
    <n v="30.344000000000001"/>
    <n v="2"/>
    <n v="-31.8612"/>
    <n v="-105"/>
  </r>
  <r>
    <s v="CA-2019-165330"/>
    <x v="111"/>
    <s v="WB-21850"/>
    <s v="William Brown"/>
    <s v="United States"/>
    <x v="2"/>
    <x v="2"/>
    <s v="Global Wood Trimmed Manager's Task Chair, Khaki"/>
    <n v="363.92"/>
    <n v="5"/>
    <n v="-31.843"/>
    <n v="-8.75"/>
  </r>
  <r>
    <s v="US-2019-128902"/>
    <x v="253"/>
    <s v="MB-18085"/>
    <s v="Mick Brown"/>
    <s v="United States"/>
    <x v="0"/>
    <x v="2"/>
    <s v="Chromcraft Round Conference Tables"/>
    <n v="244.006"/>
    <n v="2"/>
    <n v="-31.372199999999999"/>
    <n v="-12.857142857142856"/>
  </r>
  <r>
    <s v="CA-2020-156622"/>
    <x v="254"/>
    <s v="JP-15460"/>
    <s v="Jennifer Patt"/>
    <s v="United States"/>
    <x v="3"/>
    <x v="2"/>
    <s v="Lesro Round Back Collection Coffee Table, End Table"/>
    <n v="162.785"/>
    <n v="1"/>
    <n v="-31.0335"/>
    <n v="-19.06410295788924"/>
  </r>
  <r>
    <s v="CA-2020-154109"/>
    <x v="174"/>
    <s v="ML-17410"/>
    <s v="Maris LaWare"/>
    <s v="United States"/>
    <x v="0"/>
    <x v="2"/>
    <s v="Global Wood Trimmed Manager's Task Chair, Khaki"/>
    <n v="152.37200000000001"/>
    <n v="2"/>
    <n v="-30.933199999999999"/>
    <n v="-20.301105189929906"/>
  </r>
  <r>
    <s v="CA-2019-130393"/>
    <x v="212"/>
    <s v="JM-15865"/>
    <s v="John Murray"/>
    <s v="United States"/>
    <x v="3"/>
    <x v="1"/>
    <s v="Acco 6 Outlet Guardian Premium Surge Suppressor"/>
    <n v="11.648"/>
    <n v="4"/>
    <n v="-30.8672"/>
    <n v="-265"/>
  </r>
  <r>
    <s v="CA-2019-118129"/>
    <x v="78"/>
    <s v="CL-12565"/>
    <s v="Clay Ludtke"/>
    <s v="United States"/>
    <x v="0"/>
    <x v="2"/>
    <s v="Eldon &quot;L&quot; Workstation Diamond Chairmat"/>
    <n v="303.92"/>
    <n v="5"/>
    <n v="-30.391999999999999"/>
    <n v="-10"/>
  </r>
  <r>
    <s v="CA-2020-140963"/>
    <x v="255"/>
    <s v="MT-18070"/>
    <s v="Michelle Tran"/>
    <s v="United States"/>
    <x v="2"/>
    <x v="2"/>
    <s v="O'Sullivan Living Dimensions 2-Shelf Bookcases"/>
    <n v="535.16499999999996"/>
    <n v="5"/>
    <n v="-30.245000000000001"/>
    <n v="-5.6515280334102576"/>
  </r>
  <r>
    <s v="CA-2019-145261"/>
    <x v="60"/>
    <s v="AH-10120"/>
    <s v="Adrian Hane"/>
    <s v="United States"/>
    <x v="2"/>
    <x v="1"/>
    <s v="Vinyl Sectional Post Binders"/>
    <n v="45.24"/>
    <n v="4"/>
    <n v="-30.16"/>
    <n v="-66.666666666666657"/>
  </r>
  <r>
    <s v="CA-2020-144491"/>
    <x v="182"/>
    <s v="CJ-12010"/>
    <s v="Caroline Jumper"/>
    <s v="United States"/>
    <x v="3"/>
    <x v="2"/>
    <s v="Atlantic Metals Mobile 5-Shelf Bookcases, Custom Colors"/>
    <n v="1058.3320000000001"/>
    <n v="5"/>
    <n v="-30.097999999999999"/>
    <n v="-2.8439090946886227"/>
  </r>
  <r>
    <s v="CA-2019-144344"/>
    <x v="256"/>
    <s v="PG-18820"/>
    <s v="Patrick Gardner"/>
    <s v="United States"/>
    <x v="1"/>
    <x v="1"/>
    <s v="Large Capacity Hanging Post Binders"/>
    <n v="37.424999999999997"/>
    <n v="5"/>
    <n v="-29.94"/>
    <n v="-80"/>
  </r>
  <r>
    <s v="CA-2019-114972"/>
    <x v="65"/>
    <s v="PF-19225"/>
    <s v="Phillip Flathmann"/>
    <s v="United States"/>
    <x v="2"/>
    <x v="2"/>
    <s v="Global Deluxe High-Back Office Chair in Storm"/>
    <n v="217.584"/>
    <n v="2"/>
    <n v="-29.9178"/>
    <n v="-13.749999999999998"/>
  </r>
  <r>
    <s v="US-2020-133312"/>
    <x v="92"/>
    <s v="BD-11500"/>
    <s v="Bradley Drucker"/>
    <s v="United States"/>
    <x v="2"/>
    <x v="2"/>
    <s v="Sauder Forest Hills Library, Woodland Oak Finish"/>
    <n v="387.49900000000002"/>
    <n v="3"/>
    <n v="-29.605799999999999"/>
    <n v="-7.6402261683255954"/>
  </r>
  <r>
    <s v="CA-2019-103919"/>
    <x v="257"/>
    <s v="TP-21565"/>
    <s v="Tracy Poddar"/>
    <s v="United States"/>
    <x v="3"/>
    <x v="2"/>
    <s v="Eldon Expressions Desk Accessory, Wood Photo Frame, Mahogany"/>
    <n v="38.08"/>
    <n v="5"/>
    <n v="-29.512"/>
    <n v="-77.5"/>
  </r>
  <r>
    <s v="CA-2020-120705"/>
    <x v="258"/>
    <s v="MG-17875"/>
    <s v="Michael Grace"/>
    <s v="United States"/>
    <x v="1"/>
    <x v="1"/>
    <s v="Gould Plastics 18-Pocket Panel Bin, 34w x 5-1/4d x 20-1/2h"/>
    <n v="158.184"/>
    <n v="2"/>
    <n v="-29.436800000000002"/>
    <n v="-18.609214585545946"/>
  </r>
  <r>
    <s v="US-2020-125717"/>
    <x v="189"/>
    <s v="DS-13030"/>
    <s v="Darrin Sayre"/>
    <s v="United States"/>
    <x v="2"/>
    <x v="1"/>
    <s v="Gould Plastics 18-Pocket Panel Bin, 34w x 5-1/4d x 20-1/2h"/>
    <n v="186.184"/>
    <n v="2"/>
    <n v="-29.436800000000002"/>
    <n v="-15.810595969578484"/>
  </r>
  <r>
    <s v="CA-2020-139353"/>
    <x v="259"/>
    <s v="JM-15250"/>
    <s v="Janet Martin"/>
    <s v="United States"/>
    <x v="1"/>
    <x v="1"/>
    <s v="Gould Plastics 18-Pocket Panel Bin, 34w x 5-1/4d x 20-1/2h"/>
    <n v="183.184"/>
    <n v="2"/>
    <n v="-29.436800000000002"/>
    <n v="-16.06952572277055"/>
  </r>
  <r>
    <s v="US-2019-161844"/>
    <x v="260"/>
    <s v="DK-12835"/>
    <s v="Damala Kotsonis"/>
    <s v="United States"/>
    <x v="1"/>
    <x v="2"/>
    <s v="Hon 61000 Series Interactive Training Tables"/>
    <n v="79.974000000000004"/>
    <n v="3"/>
    <n v="-29.323799999999999"/>
    <n v="-36.666666666666664"/>
  </r>
  <r>
    <s v="CA-2020-143021"/>
    <x v="4"/>
    <s v="AP-10720"/>
    <s v="Anne Pryor"/>
    <s v="United States"/>
    <x v="0"/>
    <x v="2"/>
    <s v="Hon 61000 Series Interactive Training Tables"/>
    <n v="127.974"/>
    <n v="3"/>
    <n v="-29.323799999999999"/>
    <n v="-22.913873130479626"/>
  </r>
  <r>
    <s v="CA-2019-152289"/>
    <x v="261"/>
    <s v="LC-16930"/>
    <s v="Linda Cazamias"/>
    <s v="United States"/>
    <x v="3"/>
    <x v="2"/>
    <s v="Hon Deluxe Fabric Upholstered Stacking Chairs"/>
    <n v="1024.7159999999999"/>
    <n v="6"/>
    <n v="-29.2776"/>
    <n v="-2.8571428571428572"/>
  </r>
  <r>
    <s v="CA-2020-156237"/>
    <x v="97"/>
    <s v="PS-18760"/>
    <s v="Pamela Stobb"/>
    <s v="United States"/>
    <x v="0"/>
    <x v="2"/>
    <s v="Office Star - Ergonomically Designed Knee Chair"/>
    <n v="155.37200000000001"/>
    <n v="2"/>
    <n v="-29.152799999999999"/>
    <n v="-18.763226321344899"/>
  </r>
  <r>
    <s v="CA-2019-145177"/>
    <x v="214"/>
    <s v="PP-18955"/>
    <s v="Paul Prost"/>
    <s v="United States"/>
    <x v="0"/>
    <x v="0"/>
    <s v="Memorex 25GB 6X Branded Blu-Ray Recordable Disc, 30/Pack"/>
    <n v="178.92"/>
    <n v="7"/>
    <n v="-29.0745"/>
    <n v="-16.25"/>
  </r>
  <r>
    <s v="CA-2020-169404"/>
    <x v="262"/>
    <s v="NC-18625"/>
    <s v="Noah Childs"/>
    <s v="United States"/>
    <x v="0"/>
    <x v="1"/>
    <s v="Tuf-Vin Binders"/>
    <n v="160.89599999999999"/>
    <n v="4"/>
    <n v="-29.053599999999999"/>
    <n v="-18.057378679395384"/>
  </r>
  <r>
    <s v="US-2020-118556"/>
    <x v="185"/>
    <s v="TH-21235"/>
    <s v="Tiffany House"/>
    <s v="United States"/>
    <x v="3"/>
    <x v="2"/>
    <s v="Global Task Chair, Black"/>
    <n v="117.869"/>
    <n v="3"/>
    <n v="-29.007300000000001"/>
    <n v="-24.609778652571922"/>
  </r>
  <r>
    <s v="US-2020-121251"/>
    <x v="74"/>
    <s v="GM-14440"/>
    <s v="Gary McGarr"/>
    <s v="United States"/>
    <x v="0"/>
    <x v="2"/>
    <s v="Sauder Forest Hills Library with Doors, Woodland Oak Finish"/>
    <n v="280.56799999999998"/>
    <n v="2"/>
    <n v="-28.976400000000002"/>
    <n v="-10.327763679393232"/>
  </r>
  <r>
    <s v="CA-2020-108574"/>
    <x v="232"/>
    <s v="MG-18145"/>
    <s v="Mike Gockenbach"/>
    <s v="United States"/>
    <x v="2"/>
    <x v="0"/>
    <s v="Motorola HK250 Universal Bluetooth Headset"/>
    <n v="151.744"/>
    <n v="7"/>
    <n v="-28.967400000000001"/>
    <n v="-19.089650991142978"/>
  </r>
  <r>
    <s v="CA-2020-130141"/>
    <x v="126"/>
    <s v="HA-14905"/>
    <s v="Helen Abelman"/>
    <s v="United States"/>
    <x v="2"/>
    <x v="2"/>
    <s v="Office Star - Ergonomic Mid Back Chair with 2-Way Adjustable Arms"/>
    <n v="629.13599999999997"/>
    <n v="4"/>
    <n v="-28.956800000000001"/>
    <n v="-4.6026296381068645"/>
  </r>
  <r>
    <s v="US-2019-100720"/>
    <x v="133"/>
    <s v="CK-12205"/>
    <s v="Chloris Kastensmidt"/>
    <s v="United States"/>
    <x v="0"/>
    <x v="0"/>
    <s v="Mophie Juice Pack Helium for iPhone"/>
    <n v="143.982"/>
    <n v="3"/>
    <n v="-28.796399999999998"/>
    <n v="-20"/>
  </r>
  <r>
    <s v="CA-2020-117667"/>
    <x v="57"/>
    <s v="MS-17980"/>
    <s v="Michael Stewart"/>
    <s v="United States"/>
    <x v="0"/>
    <x v="0"/>
    <s v="Logitech G13 Programmable Gameboard with LCD Display"/>
    <n v="279.96800000000002"/>
    <n v="4"/>
    <n v="-28.796399999999998"/>
    <n v="-10.285604069036459"/>
  </r>
  <r>
    <s v="CA-2020-160423"/>
    <x v="263"/>
    <s v="PS-19045"/>
    <s v="Penelope Sewall"/>
    <s v="United States"/>
    <x v="1"/>
    <x v="1"/>
    <s v="GBC Recycled VeloBinder Covers"/>
    <n v="160.78399999999999"/>
    <n v="7"/>
    <n v="-28.627199999999998"/>
    <n v="-17.80475669220818"/>
  </r>
  <r>
    <s v="US-2019-153815"/>
    <x v="264"/>
    <s v="KL-16555"/>
    <s v="Kelly Lampkin"/>
    <s v="United States"/>
    <x v="1"/>
    <x v="2"/>
    <s v="High-Back Leather Manager's Chair"/>
    <n v="207.98400000000001"/>
    <n v="2"/>
    <n v="-28.597799999999999"/>
    <n v="-13.749999999999998"/>
  </r>
  <r>
    <s v="CA-2020-122539"/>
    <x v="265"/>
    <s v="SC-20305"/>
    <s v="Sean Christensen"/>
    <s v="United States"/>
    <x v="0"/>
    <x v="2"/>
    <s v="Global Commerce Series High-Back Swivel/Tilt Chairs"/>
    <n v="419.97199999999998"/>
    <n v="2"/>
    <n v="-28.498000000000001"/>
    <n v="-6.7856904746030695"/>
  </r>
  <r>
    <s v="US-2019-114013"/>
    <x v="22"/>
    <s v="SC-20770"/>
    <s v="Stewart Carmichael"/>
    <s v="United States"/>
    <x v="0"/>
    <x v="1"/>
    <s v="Space Solutions Industrial Galvanized Steel Shelving."/>
    <n v="126.08"/>
    <n v="2"/>
    <n v="-28.367999999999999"/>
    <n v="-22.499999999999996"/>
  </r>
  <r>
    <s v="US-2020-150070"/>
    <x v="266"/>
    <s v="JA-15970"/>
    <s v="Joseph Airdo"/>
    <s v="United States"/>
    <x v="2"/>
    <x v="2"/>
    <s v="Global Low Back Tilter Chair"/>
    <n v="192.56800000000001"/>
    <n v="2"/>
    <n v="-28.2744"/>
    <n v="-14.682813343857754"/>
  </r>
  <r>
    <s v="CA-2020-119284"/>
    <x v="267"/>
    <s v="TS-21205"/>
    <s v="Thomas Seio"/>
    <s v="United States"/>
    <x v="1"/>
    <x v="2"/>
    <s v="Barricks 18&quot; x 48&quot; Non-Folding Utility Table with Bottom Storage Shelf"/>
    <n v="130.96"/>
    <n v="2"/>
    <n v="-28.224"/>
    <n v="-21.551618814905314"/>
  </r>
  <r>
    <s v="US-2019-152051"/>
    <x v="203"/>
    <s v="TS-21160"/>
    <s v="Theresa Swint"/>
    <s v="United States"/>
    <x v="0"/>
    <x v="1"/>
    <s v="GBC Wire Binding Strips"/>
    <n v="38.088000000000001"/>
    <n v="4"/>
    <n v="-27.9312"/>
    <n v="-73.333333333333329"/>
  </r>
  <r>
    <s v="CA-2019-139689"/>
    <x v="268"/>
    <s v="MP-17965"/>
    <s v="Michael Paige"/>
    <s v="United States"/>
    <x v="1"/>
    <x v="1"/>
    <s v="GBC Wire Binding Strips"/>
    <n v="38.088000000000001"/>
    <n v="4"/>
    <n v="-27.9312"/>
    <n v="-73.333333333333329"/>
  </r>
  <r>
    <s v="CA-2019-147368"/>
    <x v="269"/>
    <s v="TC-21295"/>
    <s v="Toby Carlisle"/>
    <s v="United States"/>
    <x v="1"/>
    <x v="0"/>
    <s v="Cisco CP-7937G Unified IP Conference Station Phone"/>
    <n v="695.7"/>
    <n v="2"/>
    <n v="-27.827999999999999"/>
    <n v="-3.9999999999999996"/>
  </r>
  <r>
    <s v="CA-2020-113481"/>
    <x v="96"/>
    <s v="AS-10045"/>
    <s v="Aaron Smayling"/>
    <s v="United States"/>
    <x v="1"/>
    <x v="0"/>
    <s v="Cisco CP-7937G Unified IP Conference Station Phone"/>
    <n v="708.7"/>
    <n v="2"/>
    <n v="-27.827999999999999"/>
    <n v="-3.9266262170170734"/>
  </r>
  <r>
    <s v="US-2019-144057"/>
    <x v="119"/>
    <s v="CV-12805"/>
    <s v="Cynthia Voltz"/>
    <s v="United States"/>
    <x v="3"/>
    <x v="1"/>
    <s v="GBC VeloBind Cover Sets"/>
    <n v="18.527999999999999"/>
    <n v="6"/>
    <n v="-27.792000000000002"/>
    <n v="-150.00000000000003"/>
  </r>
  <r>
    <s v="US-2020-110646"/>
    <x v="184"/>
    <s v="JF-15190"/>
    <s v="Jamie Frazer"/>
    <s v="United States"/>
    <x v="0"/>
    <x v="1"/>
    <s v="GBC Velobind Prepunched Cover Sets, Regency Series"/>
    <n v="118.282"/>
    <n v="3"/>
    <n v="-27.734999999999999"/>
    <n v="-23.448200064253225"/>
  </r>
  <r>
    <s v="CA-2019-161907"/>
    <x v="103"/>
    <s v="JH-16180"/>
    <s v="Justin Hirsh"/>
    <s v="United States"/>
    <x v="0"/>
    <x v="0"/>
    <s v="Clearsounds A400"/>
    <n v="118.782"/>
    <n v="3"/>
    <n v="-27.715800000000002"/>
    <n v="-23.333333333333336"/>
  </r>
  <r>
    <s v="US-2019-141544"/>
    <x v="62"/>
    <s v="PO-18850"/>
    <s v="Patrick O'Brill"/>
    <s v="United States"/>
    <x v="0"/>
    <x v="1"/>
    <s v="GBC Premium Transparent Covers with Diagonal Lined Pattern"/>
    <n v="37.764000000000003"/>
    <n v="6"/>
    <n v="-27.6936"/>
    <n v="-73.333333333333329"/>
  </r>
  <r>
    <s v="US-2020-136679"/>
    <x v="244"/>
    <s v="XP-21865"/>
    <s v="Xylona Preis"/>
    <s v="United States"/>
    <x v="3"/>
    <x v="0"/>
    <s v="V7 USB Numeric Keypad"/>
    <n v="209.952"/>
    <n v="6"/>
    <n v="-27.292200000000001"/>
    <n v="-12.999256973022405"/>
  </r>
  <r>
    <s v="CA-2020-113873"/>
    <x v="14"/>
    <s v="KE-16420"/>
    <s v="Katrina Edelman"/>
    <s v="United States"/>
    <x v="3"/>
    <x v="2"/>
    <s v="Bush Westfield Collection Bookcases, Fully Assembled"/>
    <n v="221.9992"/>
    <n v="3"/>
    <n v="-27.264600000000002"/>
    <n v="-12.281395608632824"/>
  </r>
  <r>
    <s v="CA-2019-159940"/>
    <x v="270"/>
    <s v="BF-11020"/>
    <s v="Barry Französisch"/>
    <s v="United States"/>
    <x v="3"/>
    <x v="2"/>
    <s v="Flat Face Poster Frame"/>
    <n v="60.287999999999997"/>
    <n v="8"/>
    <n v="-27.1296"/>
    <n v="-45"/>
  </r>
  <r>
    <s v="CA-2020-117870"/>
    <x v="271"/>
    <s v="JH-15820"/>
    <s v="John Huston"/>
    <s v="United States"/>
    <x v="0"/>
    <x v="0"/>
    <s v="JBL Micro Wireless Portable Bluetooth Speaker"/>
    <n v="154.982"/>
    <n v="3"/>
    <n v="-26.9955"/>
    <n v="-17.418474403479113"/>
  </r>
  <r>
    <s v="CA-2020-107629"/>
    <x v="55"/>
    <s v="DB-13060"/>
    <s v="Dave Brooks"/>
    <s v="United States"/>
    <x v="3"/>
    <x v="2"/>
    <s v="Howard Miller 13&quot; Diameter Goldtone Round Wall Clock"/>
    <n v="422.32799999999997"/>
    <n v="3"/>
    <n v="-26.755800000000001"/>
    <n v="-6.3353128374154686"/>
  </r>
  <r>
    <s v="CA-2019-140641"/>
    <x v="256"/>
    <s v="EP-13915"/>
    <s v="Emily Phan"/>
    <s v="United States"/>
    <x v="1"/>
    <x v="1"/>
    <s v="Canvas Sectional Post Binders"/>
    <n v="38.19"/>
    <n v="5"/>
    <n v="-26.733000000000001"/>
    <n v="-70"/>
  </r>
  <r>
    <s v="US-2019-139262"/>
    <x v="272"/>
    <s v="LC-16960"/>
    <s v="Lindsay Castell"/>
    <s v="United States"/>
    <x v="1"/>
    <x v="1"/>
    <s v="Avery Arch Ring Binders"/>
    <n v="34.86"/>
    <n v="2"/>
    <n v="-26.725999999999999"/>
    <n v="-76.666666666666657"/>
  </r>
  <r>
    <s v="US-2019-129469"/>
    <x v="273"/>
    <s v="KL-16555"/>
    <s v="Kelly Lampkin"/>
    <s v="United States"/>
    <x v="0"/>
    <x v="2"/>
    <s v="Rubbermaid ClusterMat Chairmats, Mat Size- 66&quot; x 60&quot;, Lip 20&quot; x 11&quot; -90 Degree Angle"/>
    <n v="532.70399999999995"/>
    <n v="6"/>
    <n v="-26.635200000000001"/>
    <n v="-5.0000000000000009"/>
  </r>
  <r>
    <s v="CA-2020-151750"/>
    <x v="87"/>
    <s v="JM-15250"/>
    <s v="Janet Martin"/>
    <s v="United States"/>
    <x v="3"/>
    <x v="2"/>
    <s v="Office Star - Contemporary Task Swivel Chair"/>
    <n v="322.74400000000003"/>
    <n v="4"/>
    <n v="-26.635200000000001"/>
    <n v="-8.2527328161019256"/>
  </r>
  <r>
    <s v="CA-2019-133872"/>
    <x v="129"/>
    <s v="VM-21835"/>
    <s v="Vivian Mathis"/>
    <s v="United States"/>
    <x v="1"/>
    <x v="1"/>
    <s v="GBC Twin Loop Wire Binding Elements"/>
    <n v="39.936"/>
    <n v="4"/>
    <n v="-26.623999999999999"/>
    <n v="-66.666666666666657"/>
  </r>
  <r>
    <s v="US-2020-162558"/>
    <x v="11"/>
    <s v="Dp-13240"/>
    <s v="Dean percer"/>
    <s v="United States"/>
    <x v="1"/>
    <x v="1"/>
    <s v="Lock-Up Easel 'Spel-Binder'"/>
    <n v="132.23599999999999"/>
    <n v="4"/>
    <n v="-26.247599999999998"/>
    <n v="-19.849057745243353"/>
  </r>
  <r>
    <s v="CA-2019-126627"/>
    <x v="85"/>
    <s v="WB-21850"/>
    <s v="William Brown"/>
    <s v="United States"/>
    <x v="3"/>
    <x v="1"/>
    <s v="Wilson Jones Ledger-Size, Piano-Hinge Binder, 2&quot;, Blue"/>
    <n v="16.391999999999999"/>
    <n v="2"/>
    <n v="-26.2272"/>
    <n v="-160"/>
  </r>
  <r>
    <s v="CA-2019-106243"/>
    <x v="274"/>
    <s v="GM-14680"/>
    <s v="Greg Matthias"/>
    <s v="United States"/>
    <x v="0"/>
    <x v="2"/>
    <s v="O'Sullivan Elevations Bookcase, Cherry Finish"/>
    <n v="523.91999999999996"/>
    <n v="5"/>
    <n v="-26.196000000000002"/>
    <n v="-5.0000000000000009"/>
  </r>
  <r>
    <s v="CA-2019-101693"/>
    <x v="203"/>
    <s v="LC-17140"/>
    <s v="Logan Currie"/>
    <s v="United States"/>
    <x v="3"/>
    <x v="2"/>
    <s v="Eldon Executive Woodline II Cherry Finish Desk Accessories"/>
    <n v="32.712000000000003"/>
    <n v="2"/>
    <n v="-26.169599999999999"/>
    <n v="-80"/>
  </r>
  <r>
    <s v="CA-2020-127474"/>
    <x v="275"/>
    <s v="RD-19810"/>
    <s v="Ross DeVincentis"/>
    <s v="United States"/>
    <x v="3"/>
    <x v="2"/>
    <s v="Eldon Cleatmat Chair Mats for Medium Pile Carpets"/>
    <n v="1248.2"/>
    <n v="1"/>
    <n v="-26.085000000000001"/>
    <n v="-2.0898093254286172"/>
  </r>
  <r>
    <s v="CA-2020-121293"/>
    <x v="236"/>
    <s v="JC-15775"/>
    <s v="John Castell"/>
    <s v="United States"/>
    <x v="0"/>
    <x v="1"/>
    <s v="Fellowes Bankers Box Staxonsteel Drawer File/Stacking System"/>
    <n v="299.92"/>
    <n v="5"/>
    <n v="-25.992000000000001"/>
    <n v="-8.6663110162710062"/>
  </r>
  <r>
    <s v="CA-2020-154732"/>
    <x v="181"/>
    <s v="AH-10195"/>
    <s v="Alan Haines"/>
    <s v="United States"/>
    <x v="3"/>
    <x v="1"/>
    <s v="Avery Recycled Flexi-View Covers for Binding Systems"/>
    <n v="106.03"/>
    <n v="5"/>
    <n v="-25.648"/>
    <n v="-24.18938036404791"/>
  </r>
  <r>
    <s v="US-2020-155425"/>
    <x v="31"/>
    <s v="AB-10600"/>
    <s v="Ann Blume"/>
    <s v="United States"/>
    <x v="2"/>
    <x v="1"/>
    <s v="Cardinal EasyOpen D-Ring Binders"/>
    <n v="141.38800000000001"/>
    <n v="14"/>
    <n v="-25.591999999999999"/>
    <n v="-18.100546015220527"/>
  </r>
  <r>
    <s v="CA-2020-160122"/>
    <x v="276"/>
    <s v="RD-19930"/>
    <s v="Russell D'Ascenzo"/>
    <s v="United States"/>
    <x v="3"/>
    <x v="2"/>
    <s v="Global Highback Leather Tilter in Burgundy"/>
    <n v="177.386"/>
    <n v="2"/>
    <n v="-25.4772"/>
    <n v="-14.362576528023633"/>
  </r>
  <r>
    <s v="CA-2020-104850"/>
    <x v="155"/>
    <s v="TW-21025"/>
    <s v="Tamara Willingham"/>
    <s v="United States"/>
    <x v="2"/>
    <x v="2"/>
    <s v="Global Wood Trimmed Manager's Task Chair, Khaki"/>
    <n v="323.13600000000002"/>
    <n v="4"/>
    <n v="-25.474399999999999"/>
    <n v="-7.8834917805506031"/>
  </r>
  <r>
    <s v="CA-2019-111976"/>
    <x v="277"/>
    <s v="BD-11620"/>
    <s v="Brian DeCherney"/>
    <s v="United States"/>
    <x v="0"/>
    <x v="0"/>
    <s v="AT&amp;T 17929 Lendline Telephone"/>
    <n v="108.57599999999999"/>
    <n v="4"/>
    <n v="-25.334399999999999"/>
    <n v="-23.333333333333332"/>
  </r>
  <r>
    <s v="CA-2020-111556"/>
    <x v="216"/>
    <s v="CD-11920"/>
    <s v="Carlos Daly"/>
    <s v="United States"/>
    <x v="0"/>
    <x v="2"/>
    <s v="Sauder Camden County Collection Libraries, Planked Cherry Finish"/>
    <n v="226.96799999999999"/>
    <n v="2"/>
    <n v="-25.2956"/>
    <n v="-11.145007225688204"/>
  </r>
  <r>
    <s v="CA-2020-157469"/>
    <x v="18"/>
    <s v="ES-14080"/>
    <s v="Erin Smith"/>
    <s v="United States"/>
    <x v="0"/>
    <x v="0"/>
    <s v="AT&amp;T CL2909"/>
    <n v="199.18799999999999"/>
    <n v="2"/>
    <n v="-25.198"/>
    <n v="-12.650360463481736"/>
  </r>
  <r>
    <s v="CA-2020-110821"/>
    <x v="278"/>
    <s v="CK-12205"/>
    <s v="Chloris Kastensmidt"/>
    <s v="United States"/>
    <x v="3"/>
    <x v="1"/>
    <s v="Safco Industrial Shelving"/>
    <n v="164.16"/>
    <n v="2"/>
    <n v="-25.109000000000002"/>
    <n v="-15.295443469785578"/>
  </r>
  <r>
    <s v="CA-2019-167507"/>
    <x v="279"/>
    <s v="SA-20830"/>
    <s v="Sue Ann Reed"/>
    <s v="United States"/>
    <x v="2"/>
    <x v="1"/>
    <s v="Avery 3 1/2&quot; Diskette Storage Pages, 10/Pack"/>
    <n v="31.32"/>
    <n v="10"/>
    <n v="-25.056000000000001"/>
    <n v="-80"/>
  </r>
  <r>
    <s v="US-2019-149790"/>
    <x v="66"/>
    <s v="SC-20380"/>
    <s v="Shahid Collister"/>
    <s v="United States"/>
    <x v="3"/>
    <x v="1"/>
    <s v="Ibico Recycled Linen-Style Covers"/>
    <n v="15.624000000000001"/>
    <n v="2"/>
    <n v="-24.9984"/>
    <n v="-160"/>
  </r>
  <r>
    <s v="US-2019-128909"/>
    <x v="280"/>
    <s v="SP-20545"/>
    <s v="Sibella Parks"/>
    <s v="United States"/>
    <x v="0"/>
    <x v="2"/>
    <s v="Luxo Professional Magnifying Clamp-On Fluorescent Lamps"/>
    <n v="332.83199999999999"/>
    <n v="4"/>
    <n v="-24.962399999999999"/>
    <n v="-7.5"/>
  </r>
  <r>
    <s v="US-2019-148110"/>
    <x v="100"/>
    <s v="AR-10825"/>
    <s v="Anthony Rawles"/>
    <s v="United States"/>
    <x v="3"/>
    <x v="2"/>
    <s v="Situations Contoured Folding Chairs, 4/Set"/>
    <n v="347.80200000000002"/>
    <n v="7"/>
    <n v="-24.843"/>
    <n v="-7.1428571428571423"/>
  </r>
  <r>
    <s v="CA-2019-127243"/>
    <x v="173"/>
    <s v="DS-13180"/>
    <s v="David Smith"/>
    <s v="United States"/>
    <x v="0"/>
    <x v="2"/>
    <s v="Situations Contoured Folding Chairs, 4/Set"/>
    <n v="347.80200000000002"/>
    <n v="7"/>
    <n v="-24.843"/>
    <n v="-7.1428571428571423"/>
  </r>
  <r>
    <s v="CA-2020-103765"/>
    <x v="225"/>
    <s v="JG-15310"/>
    <s v="Jason Gross"/>
    <s v="United States"/>
    <x v="3"/>
    <x v="1"/>
    <s v="Holmes Replacement Filter for HEPA Air Cleaner, Very Large Room, HEPA Filter"/>
    <n v="118.762"/>
    <n v="1"/>
    <n v="-24.771599999999999"/>
    <n v="-20.858186962159614"/>
  </r>
  <r>
    <s v="US-2020-124926"/>
    <x v="14"/>
    <s v="ME-17320"/>
    <s v="Maria Etezadi"/>
    <s v="United States"/>
    <x v="3"/>
    <x v="1"/>
    <s v="Hoover Commercial Soft Guard Upright Vacuum And Disposable Filtration Bags"/>
    <n v="113.324"/>
    <n v="6"/>
    <n v="-24.708600000000001"/>
    <n v="-21.803501464826518"/>
  </r>
  <r>
    <s v="US-2019-137295"/>
    <x v="281"/>
    <s v="VS-21820"/>
    <s v="Vivek Sundaresam"/>
    <s v="United States"/>
    <x v="1"/>
    <x v="1"/>
    <s v="XtraLife ClearVue Slant-D Ring Binder, White, 3&quot;"/>
    <n v="30.827999999999999"/>
    <n v="7"/>
    <n v="-24.662400000000002"/>
    <n v="-80"/>
  </r>
  <r>
    <s v="CA-2019-129686"/>
    <x v="134"/>
    <s v="GG-14650"/>
    <s v="Greg Guthrie"/>
    <s v="United States"/>
    <x v="3"/>
    <x v="1"/>
    <s v="SAFCO Commercial Wire Shelving, 72h"/>
    <n v="97.983999999999995"/>
    <n v="2"/>
    <n v="-24.495999999999999"/>
    <n v="-25"/>
  </r>
  <r>
    <s v="CA-2019-143714"/>
    <x v="282"/>
    <s v="CC-12370"/>
    <s v="Christopher Conant"/>
    <s v="United States"/>
    <x v="0"/>
    <x v="0"/>
    <s v="Avaya 5410 Digital phone"/>
    <n v="122.38200000000001"/>
    <n v="3"/>
    <n v="-24.476400000000002"/>
    <n v="-20"/>
  </r>
  <r>
    <s v="US-2020-166324"/>
    <x v="202"/>
    <s v="BE-11455"/>
    <s v="Brad Eason"/>
    <s v="United States"/>
    <x v="0"/>
    <x v="0"/>
    <s v="Avaya 5410 Digital phone"/>
    <n v="152.38200000000001"/>
    <n v="3"/>
    <n v="-24.476400000000002"/>
    <n v="-16.062527070126393"/>
  </r>
  <r>
    <s v="US-2020-112347"/>
    <x v="18"/>
    <s v="BS-11380"/>
    <s v="Bill Stewart"/>
    <s v="United States"/>
    <x v="2"/>
    <x v="1"/>
    <s v="Aluminum Screw Posts"/>
    <n v="113.624"/>
    <n v="8"/>
    <n v="-24.416"/>
    <n v="-21.488417939871859"/>
  </r>
  <r>
    <s v="CA-2020-150266"/>
    <x v="92"/>
    <s v="RO-19780"/>
    <s v="Rose O'Brian"/>
    <s v="United States"/>
    <x v="3"/>
    <x v="2"/>
    <s v="Hon Deluxe Fabric Upholstered Stacking Chairs"/>
    <n v="899.93"/>
    <n v="5"/>
    <n v="-24.398"/>
    <n v="-2.7110997522029492"/>
  </r>
  <r>
    <s v="CA-2019-138695"/>
    <x v="283"/>
    <s v="KC-16675"/>
    <s v="Kimberly Carter"/>
    <s v="United States"/>
    <x v="1"/>
    <x v="2"/>
    <s v="Novimex Fabric Task Chair"/>
    <n v="390.27199999999999"/>
    <n v="8"/>
    <n v="-24.391999999999999"/>
    <n v="-6.25"/>
  </r>
  <r>
    <s v="CA-2019-140018"/>
    <x v="284"/>
    <s v="CK-12205"/>
    <s v="Chloris Kastensmidt"/>
    <s v="United States"/>
    <x v="0"/>
    <x v="0"/>
    <s v="Texas Instrument TI-15 Fraction Calculator"/>
    <n v="30.344999999999999"/>
    <n v="7"/>
    <n v="-24.276"/>
    <n v="-80"/>
  </r>
  <r>
    <s v="CA-2019-109827"/>
    <x v="36"/>
    <s v="LW-16825"/>
    <s v="Laurel Workman"/>
    <s v="United States"/>
    <x v="2"/>
    <x v="2"/>
    <s v="KI Conference Tables"/>
    <n v="35.445"/>
    <n v="1"/>
    <n v="-24.102599999999999"/>
    <n v="-68"/>
  </r>
  <r>
    <s v="CA-2019-131296"/>
    <x v="285"/>
    <s v="MS-17830"/>
    <s v="Melanie Seite"/>
    <s v="United States"/>
    <x v="0"/>
    <x v="2"/>
    <s v="Bush Andora Conference Table, Maple/Graphite Gray Finish"/>
    <n v="239.37200000000001"/>
    <n v="2"/>
    <n v="-23.937200000000001"/>
    <n v="-10"/>
  </r>
  <r>
    <s v="CA-2020-165757"/>
    <x v="286"/>
    <s v="PL-18925"/>
    <s v="Paul Lucas"/>
    <s v="United States"/>
    <x v="0"/>
    <x v="1"/>
    <s v="Wilson Jones Century Plastic Molded Ring Binders"/>
    <n v="150.155"/>
    <n v="5"/>
    <n v="-23.8855"/>
    <n v="-15.907229196496953"/>
  </r>
  <r>
    <s v="CA-2020-156895"/>
    <x v="287"/>
    <s v="DJ-13510"/>
    <s v="Don Jones"/>
    <s v="United States"/>
    <x v="0"/>
    <x v="2"/>
    <s v="Global Armless Task Chair, Royal Blue"/>
    <n v="141.05799999999999"/>
    <n v="3"/>
    <n v="-23.7822"/>
    <n v="-16.859873243630279"/>
  </r>
  <r>
    <s v="CA-2020-103499"/>
    <x v="216"/>
    <s v="ES-14020"/>
    <s v="Erica Smith"/>
    <s v="United States"/>
    <x v="1"/>
    <x v="2"/>
    <s v="Office Star - Mesh Screen back chair with Vinyl seat"/>
    <n v="244.56800000000001"/>
    <n v="2"/>
    <n v="-23.5764"/>
    <n v="-9.6400183180138033"/>
  </r>
  <r>
    <s v="CA-2020-126123"/>
    <x v="223"/>
    <s v="AG-10765"/>
    <s v="Anthony Garverick"/>
    <s v="United States"/>
    <x v="3"/>
    <x v="1"/>
    <s v="Catalog Binders with Expanding Posts"/>
    <n v="111.456"/>
    <n v="1"/>
    <n v="-23.547999999999998"/>
    <n v="-21.127619867929941"/>
  </r>
  <r>
    <s v="US-2019-134908"/>
    <x v="288"/>
    <s v="JS-15940"/>
    <s v="Joni Sundaresam"/>
    <s v="United States"/>
    <x v="0"/>
    <x v="1"/>
    <s v="Eldon Base for stackable storage shelf, platinum"/>
    <n v="124.608"/>
    <n v="4"/>
    <n v="-23.364000000000001"/>
    <n v="-18.75"/>
  </r>
  <r>
    <s v="CA-2020-142622"/>
    <x v="177"/>
    <s v="JK-15625"/>
    <s v="Jim Karlsson"/>
    <s v="United States"/>
    <x v="2"/>
    <x v="2"/>
    <s v="Global Super Steno Chair"/>
    <n v="624.27200000000005"/>
    <n v="8"/>
    <n v="-23.0352"/>
    <n v="-3.6899300304995255"/>
  </r>
  <r>
    <s v="CA-2020-114524"/>
    <x v="152"/>
    <s v="EG-13900"/>
    <s v="Emily Grady"/>
    <s v="United States"/>
    <x v="3"/>
    <x v="1"/>
    <s v="SlimView Poly Binder, 3/8&quot;"/>
    <n v="95.468000000000004"/>
    <n v="13"/>
    <n v="-22.895600000000002"/>
    <n v="-23.982486278124608"/>
  </r>
  <r>
    <s v="CA-2019-125661"/>
    <x v="289"/>
    <s v="CA-12055"/>
    <s v="Cathy Armstrong"/>
    <s v="United States"/>
    <x v="0"/>
    <x v="0"/>
    <s v="V7 USB Numeric Keypad"/>
    <n v="139.96"/>
    <n v="5"/>
    <n v="-22.743500000000001"/>
    <n v="-16.25"/>
  </r>
  <r>
    <s v="CA-2020-151750"/>
    <x v="87"/>
    <s v="JM-15250"/>
    <s v="Janet Martin"/>
    <s v="United States"/>
    <x v="3"/>
    <x v="1"/>
    <s v="Pressboard Covers with Storage Hooks, 9 1/2&quot; x 11&quot;, Light Blue"/>
    <n v="137.74799999999999"/>
    <n v="14"/>
    <n v="-22.684200000000001"/>
    <n v="-16.467897900513982"/>
  </r>
  <r>
    <s v="CA-2019-124254"/>
    <x v="231"/>
    <s v="TB-21175"/>
    <s v="Thomas Boland"/>
    <s v="United States"/>
    <x v="1"/>
    <x v="1"/>
    <s v="Fellowes Bankers Box Recycled Super Stor/Drawer"/>
    <n v="129.55199999999999"/>
    <n v="3"/>
    <n v="-22.671600000000002"/>
    <n v="-17.5"/>
  </r>
  <r>
    <s v="US-2020-160465"/>
    <x v="102"/>
    <s v="SW-20350"/>
    <s v="Sean Wendt"/>
    <s v="United States"/>
    <x v="0"/>
    <x v="1"/>
    <s v="Vinyl Sectional Post Binders"/>
    <n v="127.93"/>
    <n v="3"/>
    <n v="-22.62"/>
    <n v="-17.681544594700227"/>
  </r>
  <r>
    <s v="CA-2020-139311"/>
    <x v="290"/>
    <s v="SF-20965"/>
    <s v="Sylvia Foulston"/>
    <s v="United States"/>
    <x v="3"/>
    <x v="1"/>
    <s v="Fellowes Twister Kit, Gray/Clear, 3/pkg"/>
    <n v="109.864"/>
    <n v="8"/>
    <n v="-22.512"/>
    <n v="-20.490788611374061"/>
  </r>
  <r>
    <s v="CA-2020-133102"/>
    <x v="23"/>
    <s v="ED-13885"/>
    <s v="Emily Ducich"/>
    <s v="United States"/>
    <x v="3"/>
    <x v="2"/>
    <s v="36X48 HARDFLOOR CHAIRMAT"/>
    <n v="144.78399999999999"/>
    <n v="2"/>
    <n v="-22.238800000000001"/>
    <n v="-15.359984528677204"/>
  </r>
  <r>
    <s v="CA-2020-117443"/>
    <x v="172"/>
    <s v="JB-15400"/>
    <s v="Jennifer Braxton"/>
    <s v="United States"/>
    <x v="3"/>
    <x v="1"/>
    <s v="Wilson Jones International Size A4 Ring Binders"/>
    <n v="316.83999999999997"/>
    <n v="4"/>
    <n v="-22.143999999999998"/>
    <n v="-6.9890165383158687"/>
  </r>
  <r>
    <s v="CA-2019-124793"/>
    <x v="291"/>
    <s v="MM-18280"/>
    <s v="Muhammed MacIntyre"/>
    <s v="United States"/>
    <x v="2"/>
    <x v="2"/>
    <s v="Global High-Back Leather Tilter, Burgundy"/>
    <n v="196.78399999999999"/>
    <n v="2"/>
    <n v="-22.138200000000001"/>
    <n v="-11.250000000000002"/>
  </r>
  <r>
    <s v="US-2020-134642"/>
    <x v="292"/>
    <s v="SW-20245"/>
    <s v="Scot Wooten"/>
    <s v="United States"/>
    <x v="1"/>
    <x v="2"/>
    <s v="Global High-Back Leather Tilter, Burgundy"/>
    <n v="230.78399999999999"/>
    <n v="2"/>
    <n v="-22.138200000000001"/>
    <n v="-9.5926060732113161"/>
  </r>
  <r>
    <s v="US-2019-112977"/>
    <x v="293"/>
    <s v="CJ-12010"/>
    <s v="Caroline Jumper"/>
    <s v="United States"/>
    <x v="0"/>
    <x v="2"/>
    <s v="O'Sullivan Living Dimensions 5-Shelf Bookcases"/>
    <n v="176.78399999999999"/>
    <n v="1"/>
    <n v="-22.097999999999999"/>
    <n v="-12.5"/>
  </r>
  <r>
    <s v="CA-2020-142867"/>
    <x v="294"/>
    <s v="PO-19180"/>
    <s v="Philisse Overcash"/>
    <s v="United States"/>
    <x v="3"/>
    <x v="1"/>
    <s v="GBC Plasticlear Binding Covers"/>
    <n v="119.776"/>
    <n v="6"/>
    <n v="-22.041599999999999"/>
    <n v="-18.402351055303232"/>
  </r>
  <r>
    <s v="US-2020-162558"/>
    <x v="11"/>
    <s v="Dp-13240"/>
    <s v="Dean percer"/>
    <s v="United States"/>
    <x v="1"/>
    <x v="1"/>
    <s v="Ibico Plastic Spiral Binding Combs"/>
    <n v="121.36"/>
    <n v="3"/>
    <n v="-21.888000000000002"/>
    <n v="-18.035596572181937"/>
  </r>
  <r>
    <s v="CA-2019-140081"/>
    <x v="295"/>
    <s v="CG-12040"/>
    <s v="Catherine Glotzbach"/>
    <s v="United States"/>
    <x v="0"/>
    <x v="1"/>
    <s v="JM Magazine Binder"/>
    <n v="29.718"/>
    <n v="6"/>
    <n v="-21.793199999999999"/>
    <n v="-73.333333333333329"/>
  </r>
  <r>
    <s v="CA-2019-121370"/>
    <x v="296"/>
    <s v="EB-14110"/>
    <s v="Eugene Barchas"/>
    <s v="United States"/>
    <x v="0"/>
    <x v="2"/>
    <s v="Global Ergonomic Managers Chair"/>
    <n v="380.05799999999999"/>
    <n v="3"/>
    <n v="-21.717600000000001"/>
    <n v="-5.7142857142857144"/>
  </r>
  <r>
    <s v="CA-2019-145303"/>
    <x v="199"/>
    <s v="TP-21415"/>
    <s v="Tom Prescott"/>
    <s v="United States"/>
    <x v="3"/>
    <x v="1"/>
    <s v="Angle-D Binders with Locking Rings, Label Holders"/>
    <n v="13.14"/>
    <n v="9"/>
    <n v="-21.681000000000001"/>
    <n v="-165"/>
  </r>
  <r>
    <s v="US-2019-150567"/>
    <x v="297"/>
    <s v="RP-19855"/>
    <s v="Roy Phan"/>
    <s v="United States"/>
    <x v="1"/>
    <x v="1"/>
    <s v="GBC Prepunched Paper, 19-Hole, for Binding Systems, 24-lb"/>
    <n v="27.018000000000001"/>
    <n v="6"/>
    <n v="-21.6144"/>
    <n v="-80"/>
  </r>
  <r>
    <s v="US-2020-123834"/>
    <x v="102"/>
    <s v="GM-14500"/>
    <s v="Gene McClure"/>
    <s v="United States"/>
    <x v="3"/>
    <x v="2"/>
    <s v="Hon 61000 Series Interactive Training Tables"/>
    <n v="148.404"/>
    <n v="4"/>
    <n v="-21.3264"/>
    <n v="-14.370502142799385"/>
  </r>
  <r>
    <s v="CA-2020-168102"/>
    <x v="298"/>
    <s v="CP-12340"/>
    <s v="Christine Phan"/>
    <s v="United States"/>
    <x v="1"/>
    <x v="1"/>
    <s v="Sensible Storage WireTech Storage Systems"/>
    <n v="147.56800000000001"/>
    <n v="2"/>
    <n v="-21.294"/>
    <n v="-14.429957714409628"/>
  </r>
  <r>
    <s v="US-2020-166324"/>
    <x v="202"/>
    <s v="BE-11455"/>
    <s v="Brad Eason"/>
    <s v="United States"/>
    <x v="0"/>
    <x v="1"/>
    <s v="Tennsco 6- and 18-Compartment Lockers"/>
    <n v="874.54399999999998"/>
    <n v="4"/>
    <n v="-21.2136"/>
    <n v="-2.4256755520591304"/>
  </r>
  <r>
    <s v="CA-2020-113481"/>
    <x v="96"/>
    <s v="AS-10045"/>
    <s v="Aaron Smayling"/>
    <s v="United States"/>
    <x v="1"/>
    <x v="1"/>
    <s v="Avery Recycled Flexi-View Covers for Binding Systems"/>
    <n v="140.85400000000001"/>
    <n v="6"/>
    <n v="-21.159600000000001"/>
    <n v="-15.022363582148889"/>
  </r>
  <r>
    <s v="US-2020-149510"/>
    <x v="299"/>
    <s v="MC-17575"/>
    <s v="Matt Collins"/>
    <s v="United States"/>
    <x v="1"/>
    <x v="1"/>
    <s v="GBC Pre-Punched Binding Paper, Plastic, White, 8-1/2&quot; x 11&quot;"/>
    <n v="133.78200000000001"/>
    <n v="6"/>
    <n v="-21.1068"/>
    <n v="-15.777010360138133"/>
  </r>
  <r>
    <s v="CA-2019-136322"/>
    <x v="72"/>
    <s v="AP-10720"/>
    <s v="Anne Pryor"/>
    <s v="United States"/>
    <x v="1"/>
    <x v="1"/>
    <s v="GBC Personal VeloBind Strips"/>
    <n v="28.751999999999999"/>
    <n v="8"/>
    <n v="-21.084800000000001"/>
    <n v="-73.333333333333343"/>
  </r>
  <r>
    <s v="CA-2019-124590"/>
    <x v="300"/>
    <s v="SP-20920"/>
    <s v="Susan Pistek"/>
    <s v="United States"/>
    <x v="0"/>
    <x v="2"/>
    <s v="Global Leather and Oak Executive Chair, Black"/>
    <n v="1474.8019999999999"/>
    <n v="7"/>
    <n v="-21.0686"/>
    <n v="-1.4285714285714286"/>
  </r>
  <r>
    <s v="US-2020-131961"/>
    <x v="136"/>
    <s v="MJ-17740"/>
    <s v="Max Jones"/>
    <s v="United States"/>
    <x v="0"/>
    <x v="0"/>
    <s v="iHome FM Clock Radio with Lightning Dock"/>
    <n v="132.988"/>
    <n v="2"/>
    <n v="-20.997"/>
    <n v="-15.788642584293319"/>
  </r>
  <r>
    <s v="CA-2019-109869"/>
    <x v="16"/>
    <s v="TN-21040"/>
    <s v="Tanja Norvell"/>
    <s v="United States"/>
    <x v="2"/>
    <x v="1"/>
    <s v="Poly Designer Cover &amp; Back"/>
    <n v="28.484999999999999"/>
    <n v="5"/>
    <n v="-20.888999999999999"/>
    <n v="-73.333333333333329"/>
  </r>
  <r>
    <s v="CA-2019-159009"/>
    <x v="273"/>
    <s v="DP-13105"/>
    <s v="Dave Poirier"/>
    <s v="United States"/>
    <x v="2"/>
    <x v="2"/>
    <s v="Global Deluxe Steno Chair"/>
    <n v="184.75200000000001"/>
    <n v="3"/>
    <n v="-20.784600000000001"/>
    <n v="-11.25"/>
  </r>
  <r>
    <s v="US-2020-163300"/>
    <x v="301"/>
    <s v="ES-14020"/>
    <s v="Erica Smith"/>
    <s v="United States"/>
    <x v="2"/>
    <x v="2"/>
    <s v="Global Deluxe Steno Chair"/>
    <n v="227.75200000000001"/>
    <n v="3"/>
    <n v="-20.784600000000001"/>
    <n v="-9.1259791351996906"/>
  </r>
  <r>
    <s v="CA-2019-118178"/>
    <x v="144"/>
    <s v="CC-12610"/>
    <s v="Corey Catlett"/>
    <s v="United States"/>
    <x v="1"/>
    <x v="1"/>
    <s v="Ibico Recycled Grain-Textured Covers"/>
    <n v="31.085999999999999"/>
    <n v="3"/>
    <n v="-20.724"/>
    <n v="-66.666666666666671"/>
  </r>
  <r>
    <s v="US-2019-150147"/>
    <x v="302"/>
    <s v="JL-15850"/>
    <s v="John Lucas"/>
    <s v="United States"/>
    <x v="0"/>
    <x v="0"/>
    <s v="AT&amp;T 841000 Phone"/>
    <n v="82.8"/>
    <n v="2"/>
    <n v="-20.7"/>
    <n v="-25"/>
  </r>
  <r>
    <s v="US-2019-126452"/>
    <x v="43"/>
    <s v="SC-20230"/>
    <s v="Scot Coram"/>
    <s v="United States"/>
    <x v="2"/>
    <x v="0"/>
    <s v="Motorola HK250 Universal Bluetooth Headset"/>
    <n v="91.96"/>
    <n v="5"/>
    <n v="-20.690999999999999"/>
    <n v="-22.5"/>
  </r>
  <r>
    <s v="US-2020-127341"/>
    <x v="303"/>
    <s v="CK-12595"/>
    <s v="Clytie Kelty"/>
    <s v="United States"/>
    <x v="3"/>
    <x v="1"/>
    <s v="GBC Clear Cover, 8-1/2 x 11, unpunched, 25 covers per pack"/>
    <n v="114.128"/>
    <n v="4"/>
    <n v="-20.617599999999999"/>
    <n v="-18.065330155614749"/>
  </r>
  <r>
    <s v="CA-2020-109757"/>
    <x v="130"/>
    <s v="MD-17350"/>
    <s v="Maribeth Dona"/>
    <s v="United States"/>
    <x v="0"/>
    <x v="1"/>
    <s v="GBC Recycled VeloBinder Covers"/>
    <n v="122.56"/>
    <n v="5"/>
    <n v="-20.448"/>
    <n v="-16.684073107049606"/>
  </r>
  <r>
    <s v="US-2019-168620"/>
    <x v="210"/>
    <s v="RB-19795"/>
    <s v="Ross Baird"/>
    <s v="United States"/>
    <x v="1"/>
    <x v="1"/>
    <s v="GBC Linen Binding Covers"/>
    <n v="27.882000000000001"/>
    <n v="3"/>
    <n v="-20.4468"/>
    <n v="-73.333333333333329"/>
  </r>
  <r>
    <s v="US-2019-144057"/>
    <x v="119"/>
    <s v="CV-12805"/>
    <s v="Cynthia Voltz"/>
    <s v="United States"/>
    <x v="3"/>
    <x v="1"/>
    <s v="Ibico Standard Transparent Covers"/>
    <n v="13.183999999999999"/>
    <n v="4"/>
    <n v="-20.435199999999998"/>
    <n v="-155"/>
  </r>
  <r>
    <s v="CA-2019-148208"/>
    <x v="180"/>
    <s v="BT-11530"/>
    <s v="Bradley Talbott"/>
    <s v="United States"/>
    <x v="0"/>
    <x v="0"/>
    <s v="Panasonic Kx-TS550"/>
    <n v="110.376"/>
    <n v="4"/>
    <n v="-20.235600000000002"/>
    <n v="-18.333333333333336"/>
  </r>
  <r>
    <s v="CA-2020-146024"/>
    <x v="304"/>
    <s v="SC-20770"/>
    <s v="Stewart Carmichael"/>
    <s v="United States"/>
    <x v="3"/>
    <x v="1"/>
    <s v="Wilson Jones Leather-Like Binders with DublLock Round Rings"/>
    <n v="110.22199999999999"/>
    <n v="7"/>
    <n v="-20.1663"/>
    <n v="-18.296075193699988"/>
  </r>
  <r>
    <s v="US-2019-131611"/>
    <x v="77"/>
    <s v="EP-13915"/>
    <s v="Emily Phan"/>
    <s v="United States"/>
    <x v="3"/>
    <x v="1"/>
    <s v="Premium Transparent Presentation Covers by GBC"/>
    <n v="12.587999999999999"/>
    <n v="3"/>
    <n v="-20.140799999999999"/>
    <n v="-160"/>
  </r>
  <r>
    <s v="CA-2019-134544"/>
    <x v="305"/>
    <s v="AC-10660"/>
    <s v="Anna Chung"/>
    <s v="United States"/>
    <x v="2"/>
    <x v="0"/>
    <s v="i.Sound Portable Power - 8000 mAh"/>
    <n v="84.784000000000006"/>
    <n v="2"/>
    <n v="-20.136199999999999"/>
    <n v="-23.749999999999996"/>
  </r>
  <r>
    <s v="US-2019-156986"/>
    <x v="306"/>
    <s v="ZC-21910"/>
    <s v="Zuschuss Carroll"/>
    <s v="United States"/>
    <x v="2"/>
    <x v="0"/>
    <s v="i.Sound Portable Power - 8000 mAh"/>
    <n v="84.784000000000006"/>
    <n v="2"/>
    <n v="-20.136199999999999"/>
    <n v="-23.749999999999996"/>
  </r>
  <r>
    <s v="CA-2020-101308"/>
    <x v="11"/>
    <s v="FG-14260"/>
    <s v="Frank Gastineau"/>
    <s v="United States"/>
    <x v="2"/>
    <x v="0"/>
    <s v="i.Sound Portable Power - 8000 mAh"/>
    <n v="123.78400000000001"/>
    <n v="2"/>
    <n v="-20.136199999999999"/>
    <n v="-16.267207393524203"/>
  </r>
  <r>
    <s v="CA-2019-164574"/>
    <x v="307"/>
    <s v="RH-19555"/>
    <s v="Ritsa Hightower"/>
    <s v="United States"/>
    <x v="1"/>
    <x v="1"/>
    <s v="Premier Elliptical Ring Binder, Black"/>
    <n v="27.396000000000001"/>
    <n v="3"/>
    <n v="-20.090399999999999"/>
    <n v="-73.333333333333329"/>
  </r>
  <r>
    <s v="CA-2019-146934"/>
    <x v="308"/>
    <s v="AF-10870"/>
    <s v="Art Ferguson"/>
    <s v="United States"/>
    <x v="0"/>
    <x v="2"/>
    <s v="Bevis 36 x 72 Conference Tables"/>
    <n v="174.286"/>
    <n v="2"/>
    <n v="-19.918399999999998"/>
    <n v="-11.428571428571429"/>
  </r>
  <r>
    <s v="US-2020-119319"/>
    <x v="174"/>
    <s v="LC-17050"/>
    <s v="Liz Carlisle"/>
    <s v="United States"/>
    <x v="3"/>
    <x v="2"/>
    <s v="Linden 10&quot; Round Wall Clock, Black"/>
    <n v="164.56"/>
    <n v="5"/>
    <n v="-19.864000000000001"/>
    <n v="-12.070977151191055"/>
  </r>
  <r>
    <s v="CA-2019-166240"/>
    <x v="309"/>
    <s v="DH-13075"/>
    <s v="Dave Hallsten"/>
    <s v="United States"/>
    <x v="3"/>
    <x v="1"/>
    <s v="Holmes HEPA Air Purifier"/>
    <n v="8.7119999999999997"/>
    <n v="2"/>
    <n v="-19.602"/>
    <n v="-225"/>
  </r>
  <r>
    <s v="US-2019-101196"/>
    <x v="310"/>
    <s v="FM-14215"/>
    <s v="Filia McAdams"/>
    <s v="United States"/>
    <x v="0"/>
    <x v="1"/>
    <s v="Belkin 19&quot; Vented Equipment Shelf, Black"/>
    <n v="82.367999999999995"/>
    <n v="2"/>
    <n v="-19.5624"/>
    <n v="-23.75"/>
  </r>
  <r>
    <s v="CA-2019-144764"/>
    <x v="110"/>
    <s v="RL-19615"/>
    <s v="Rob Lucas"/>
    <s v="United States"/>
    <x v="3"/>
    <x v="0"/>
    <s v="Okidata C610n Printer"/>
    <n v="1362.9"/>
    <n v="3"/>
    <n v="-19.47"/>
    <n v="-1.4285714285714284"/>
  </r>
  <r>
    <s v="CA-2019-158778"/>
    <x v="100"/>
    <s v="DB-13210"/>
    <s v="Dean Braden"/>
    <s v="United States"/>
    <x v="0"/>
    <x v="2"/>
    <s v="Global Task Chair, Black"/>
    <n v="71.245999999999995"/>
    <n v="2"/>
    <n v="-19.338200000000001"/>
    <n v="-27.142857142857146"/>
  </r>
  <r>
    <s v="CA-2020-104864"/>
    <x v="276"/>
    <s v="JS-15685"/>
    <s v="Jim Sink"/>
    <s v="United States"/>
    <x v="1"/>
    <x v="1"/>
    <s v="Tennsco Commercial Shelving"/>
    <n v="104.36"/>
    <n v="5"/>
    <n v="-19.323"/>
    <n v="-18.515714833269453"/>
  </r>
  <r>
    <s v="CA-2020-134495"/>
    <x v="311"/>
    <s v="BF-11020"/>
    <s v="Barry Französisch"/>
    <s v="United States"/>
    <x v="1"/>
    <x v="2"/>
    <s v="Global Wood Trimmed Manager's Task Chair, Khaki"/>
    <n v="234.352"/>
    <n v="3"/>
    <n v="-19.105799999999999"/>
    <n v="-8.15260804260258"/>
  </r>
  <r>
    <s v="CA-2020-128965"/>
    <x v="2"/>
    <s v="PS-18760"/>
    <s v="Pamela Stobb"/>
    <s v="United States"/>
    <x v="2"/>
    <x v="2"/>
    <s v="Global Wood Trimmed Manager's Task Chair, Khaki"/>
    <n v="265.35199999999998"/>
    <n v="3"/>
    <n v="-19.105799999999999"/>
    <n v="-7.2001718472067298"/>
  </r>
  <r>
    <s v="US-2020-106579"/>
    <x v="207"/>
    <s v="BW-11200"/>
    <s v="Ben Wallace"/>
    <s v="United States"/>
    <x v="3"/>
    <x v="1"/>
    <s v="GBC Twin Loop Wire Binding Elements, 9/16&quot; Spine, Black"/>
    <n v="134.17599999999999"/>
    <n v="4"/>
    <n v="-18.872800000000002"/>
    <n v="-14.065704746005251"/>
  </r>
  <r>
    <s v="CA-2019-162404"/>
    <x v="138"/>
    <s v="NF-18475"/>
    <s v="Neil Französisch"/>
    <s v="United States"/>
    <x v="3"/>
    <x v="1"/>
    <s v="GBC Laser Imprintable Binding System Covers, Desert Sand"/>
    <n v="11.416"/>
    <n v="4"/>
    <n v="-18.836400000000001"/>
    <n v="-165"/>
  </r>
  <r>
    <s v="US-2020-133200"/>
    <x v="128"/>
    <s v="DB-13555"/>
    <s v="Dorothy Badders"/>
    <s v="United States"/>
    <x v="3"/>
    <x v="1"/>
    <s v="Avery Durable Poly Binders"/>
    <n v="110.06"/>
    <n v="10"/>
    <n v="-18.802"/>
    <n v="-17.083409049609301"/>
  </r>
  <r>
    <s v="US-2020-108245"/>
    <x v="10"/>
    <s v="SH-19975"/>
    <s v="Sally Hughsby"/>
    <s v="United States"/>
    <x v="3"/>
    <x v="1"/>
    <s v="Insertable Tab Post Binder Dividers"/>
    <n v="112.22799999999999"/>
    <n v="7"/>
    <n v="-18.526199999999999"/>
    <n v="-16.507645150942725"/>
  </r>
  <r>
    <s v="CA-2020-117457"/>
    <x v="136"/>
    <s v="KH-16510"/>
    <s v="Keith Herrera"/>
    <s v="United States"/>
    <x v="2"/>
    <x v="2"/>
    <s v="Novimex High-Tech Fabric Mesh Task Chair"/>
    <n v="142.56800000000001"/>
    <n v="2"/>
    <n v="-18.454799999999999"/>
    <n v="-12.94455978901296"/>
  </r>
  <r>
    <s v="CA-2019-130484"/>
    <x v="312"/>
    <s v="SG-20470"/>
    <s v="Sheri Gordon"/>
    <s v="United States"/>
    <x v="2"/>
    <x v="1"/>
    <s v="GBC Imprintable Covers"/>
    <n v="26.352"/>
    <n v="8"/>
    <n v="-18.446400000000001"/>
    <n v="-70"/>
  </r>
  <r>
    <s v="CA-2020-125269"/>
    <x v="298"/>
    <s v="AF-10870"/>
    <s v="Art Ferguson"/>
    <s v="United States"/>
    <x v="3"/>
    <x v="1"/>
    <s v="Acco Data Flex Cable Posts For Top &amp; Bottom Load Binders, 6&quot; Capacity"/>
    <n v="104.43"/>
    <n v="5"/>
    <n v="-18.252500000000001"/>
    <n v="-17.478215072297232"/>
  </r>
  <r>
    <s v="CA-2019-119963"/>
    <x v="313"/>
    <s v="SN-20710"/>
    <s v="Steve Nguyen"/>
    <s v="United States"/>
    <x v="3"/>
    <x v="2"/>
    <s v="Global Value Steno Chair, Gray"/>
    <n v="255.108"/>
    <n v="6"/>
    <n v="-18.222000000000001"/>
    <n v="-7.1428571428571441"/>
  </r>
  <r>
    <s v="CA-2020-125269"/>
    <x v="298"/>
    <s v="AF-10870"/>
    <s v="Art Ferguson"/>
    <s v="United States"/>
    <x v="3"/>
    <x v="1"/>
    <s v="Safco Industrial Wire Shelving System"/>
    <n v="121.78400000000001"/>
    <n v="1"/>
    <n v="-18.196000000000002"/>
    <n v="-14.941207383564345"/>
  </r>
  <r>
    <s v="CA-2020-152702"/>
    <x v="169"/>
    <s v="SN-20710"/>
    <s v="Steve Nguyen"/>
    <s v="United States"/>
    <x v="3"/>
    <x v="2"/>
    <s v="Global Stack Chair without Arms, Black"/>
    <n v="271.60399999999998"/>
    <n v="14"/>
    <n v="-18.186"/>
    <n v="-6.6957776763228827"/>
  </r>
  <r>
    <s v="CA-2019-125017"/>
    <x v="314"/>
    <s v="KB-16240"/>
    <s v="Karen Bern"/>
    <s v="United States"/>
    <x v="1"/>
    <x v="2"/>
    <s v="Deflect-o EconoMat Studded, No Bevel Mat for Low Pile Carpeting"/>
    <n v="132.22399999999999"/>
    <n v="4"/>
    <n v="-18.180800000000001"/>
    <n v="-13.750000000000002"/>
  </r>
  <r>
    <s v="CA-2020-100615"/>
    <x v="202"/>
    <s v="SJ-20215"/>
    <s v="Sarah Jordon"/>
    <s v="United States"/>
    <x v="3"/>
    <x v="2"/>
    <s v="DMI Arturo Collection Mission-style Design Wood Chair"/>
    <n v="344.05799999999999"/>
    <n v="3"/>
    <n v="-18.117599999999999"/>
    <n v="-5.2658563381755403"/>
  </r>
  <r>
    <s v="CA-2020-113355"/>
    <x v="265"/>
    <s v="SJ-20215"/>
    <s v="Sarah Jordon"/>
    <s v="United States"/>
    <x v="3"/>
    <x v="2"/>
    <s v="DMI Arturo Collection Mission-style Design Wood Chair"/>
    <n v="354.05799999999999"/>
    <n v="3"/>
    <n v="-18.117599999999999"/>
    <n v="-5.1171277022408752"/>
  </r>
  <r>
    <s v="US-2019-152051"/>
    <x v="203"/>
    <s v="TS-21160"/>
    <s v="Theresa Swint"/>
    <s v="United States"/>
    <x v="0"/>
    <x v="2"/>
    <s v="Global Leather Highback Executive Chair with Pneumatic Height Adjustment, Black"/>
    <n v="422.05799999999999"/>
    <n v="3"/>
    <n v="-18.088200000000001"/>
    <n v="-4.2857142857142856"/>
  </r>
  <r>
    <s v="CA-2020-156237"/>
    <x v="97"/>
    <s v="PS-18760"/>
    <s v="Pamela Stobb"/>
    <s v="United States"/>
    <x v="0"/>
    <x v="0"/>
    <s v="Ricoh - Ink Collector Unit for GX3000 Series Printers"/>
    <n v="99.584999999999994"/>
    <n v="1"/>
    <n v="-18.038499999999999"/>
    <n v="-18.113671737711503"/>
  </r>
  <r>
    <s v="US-2019-162677"/>
    <x v="315"/>
    <s v="DB-13210"/>
    <s v="Dean Braden"/>
    <s v="United States"/>
    <x v="1"/>
    <x v="0"/>
    <s v="Case Logic 2.4GHz Wireless Keyboard"/>
    <n v="119.976"/>
    <n v="3"/>
    <n v="-17.996400000000001"/>
    <n v="-15.000000000000002"/>
  </r>
  <r>
    <s v="US-2020-142188"/>
    <x v="183"/>
    <s v="JF-15415"/>
    <s v="Jennifer Ferguson"/>
    <s v="United States"/>
    <x v="2"/>
    <x v="0"/>
    <s v="iOttie XL Car Mount"/>
    <n v="163.96"/>
    <n v="5"/>
    <n v="-17.991"/>
    <n v="-10.972798243474017"/>
  </r>
  <r>
    <s v="CA-2019-164154"/>
    <x v="106"/>
    <s v="NZ-18565"/>
    <s v="Nick Zandusky"/>
    <s v="United States"/>
    <x v="0"/>
    <x v="1"/>
    <s v="GBC Standard Therm-A-Bind Covers"/>
    <n v="22.428000000000001"/>
    <n v="3"/>
    <n v="-17.942399999999999"/>
    <n v="-80"/>
  </r>
  <r>
    <s v="CA-2019-116337"/>
    <x v="316"/>
    <s v="MC-17845"/>
    <s v="Michael Chen"/>
    <s v="United States"/>
    <x v="3"/>
    <x v="2"/>
    <s v="Executive Impressions 14&quot; Contract Wall Clock with Quartz Movement"/>
    <n v="44.46"/>
    <n v="5"/>
    <n v="-17.783999999999999"/>
    <n v="-40"/>
  </r>
  <r>
    <s v="CA-2019-130393"/>
    <x v="212"/>
    <s v="JM-15865"/>
    <s v="John Murray"/>
    <s v="United States"/>
    <x v="3"/>
    <x v="2"/>
    <s v="Situations Contoured Folding Chairs, 4/Set"/>
    <n v="248.43"/>
    <n v="5"/>
    <n v="-17.745000000000001"/>
    <n v="-7.1428571428571423"/>
  </r>
  <r>
    <s v="CA-2020-164168"/>
    <x v="151"/>
    <s v="LS-16975"/>
    <s v="Lindsay Shagiari"/>
    <s v="United States"/>
    <x v="3"/>
    <x v="2"/>
    <s v="Eldon Expressions Desk Accessory, Wood Photo Frame, Mahogany"/>
    <n v="114.848"/>
    <n v="3"/>
    <n v="-17.7072"/>
    <n v="-15.417943716912788"/>
  </r>
  <r>
    <s v="CA-2020-100223"/>
    <x v="42"/>
    <s v="LS-16945"/>
    <s v="Linda Southworth"/>
    <s v="United States"/>
    <x v="3"/>
    <x v="1"/>
    <s v="Cardinal HOLDit! Binder Insert Strips,Extra Strips"/>
    <n v="117.39400000000001"/>
    <n v="9"/>
    <n v="-17.660699999999999"/>
    <n v="-15.043954546228935"/>
  </r>
  <r>
    <s v="CA-2020-116946"/>
    <x v="90"/>
    <s v="TS-21505"/>
    <s v="Tony Sayre"/>
    <s v="United States"/>
    <x v="2"/>
    <x v="1"/>
    <s v="Tennsco Industrial Shelving"/>
    <n v="677.25599999999997"/>
    <n v="2"/>
    <n v="-17.607600000000001"/>
    <n v="-2.5998440766859212"/>
  </r>
  <r>
    <s v="CA-2020-132199"/>
    <x v="137"/>
    <s v="BO-11350"/>
    <s v="Bill Overfelt"/>
    <s v="United States"/>
    <x v="0"/>
    <x v="1"/>
    <s v="Wilson Jones Legal Size Ring Binders"/>
    <n v="112.38800000000001"/>
    <n v="4"/>
    <n v="-17.591999999999999"/>
    <n v="-15.652916681496244"/>
  </r>
  <r>
    <s v="CA-2019-106950"/>
    <x v="110"/>
    <s v="JE-15715"/>
    <s v="Joe Elijah"/>
    <s v="United States"/>
    <x v="1"/>
    <x v="1"/>
    <s v="Heavy-Duty E-Z-D Binders"/>
    <n v="22.911000000000001"/>
    <n v="7"/>
    <n v="-17.565100000000001"/>
    <n v="-76.666666666666671"/>
  </r>
  <r>
    <s v="US-2019-152373"/>
    <x v="100"/>
    <s v="PT-19090"/>
    <s v="Pete Takahito"/>
    <s v="United States"/>
    <x v="3"/>
    <x v="1"/>
    <s v="Eldon Base for stackable storage shelf, platinum"/>
    <n v="93.456000000000003"/>
    <n v="3"/>
    <n v="-17.523"/>
    <n v="-18.75"/>
  </r>
  <r>
    <s v="US-2020-130603"/>
    <x v="317"/>
    <s v="SC-20050"/>
    <s v="Sample Company A"/>
    <s v="United States"/>
    <x v="3"/>
    <x v="1"/>
    <s v="GBC Instant Report Kit"/>
    <n v="127.646"/>
    <n v="9"/>
    <n v="-17.469000000000001"/>
    <n v="-13.685505225388967"/>
  </r>
  <r>
    <s v="CA-2020-149720"/>
    <x v="318"/>
    <s v="EM-14065"/>
    <s v="Erin Mull"/>
    <s v="United States"/>
    <x v="3"/>
    <x v="2"/>
    <s v="Nu-Dell Executive Frame"/>
    <n v="133.33600000000001"/>
    <n v="6"/>
    <n v="-17.443200000000001"/>
    <n v="-13.082138357232855"/>
  </r>
  <r>
    <s v="US-2019-110156"/>
    <x v="319"/>
    <s v="EH-13945"/>
    <s v="Eric Hoffmann"/>
    <s v="United States"/>
    <x v="3"/>
    <x v="1"/>
    <s v="GBC Standard Recycled Report Covers, Clear Plastic Sheets"/>
    <n v="10.78"/>
    <n v="5"/>
    <n v="-17.248000000000001"/>
    <n v="-160"/>
  </r>
  <r>
    <s v="US-2020-143028"/>
    <x v="320"/>
    <s v="SC-20050"/>
    <s v="Sample Company A"/>
    <s v="United States"/>
    <x v="3"/>
    <x v="1"/>
    <s v="Flexible Leather- Look Classic Collection Ring Binder"/>
    <n v="142.364"/>
    <n v="3"/>
    <n v="-17.045999999999999"/>
    <n v="-11.973532634654829"/>
  </r>
  <r>
    <s v="CA-2020-123085"/>
    <x v="321"/>
    <s v="EJ-13720"/>
    <s v="Ed Jacobs"/>
    <s v="United States"/>
    <x v="2"/>
    <x v="2"/>
    <s v="Novimex Turbo Task Chair"/>
    <n v="185.352"/>
    <n v="3"/>
    <n v="-17.0352"/>
    <n v="-9.1907289913246153"/>
  </r>
  <r>
    <s v="CA-2020-159149"/>
    <x v="58"/>
    <s v="CR-12820"/>
    <s v="Cyra Reiten"/>
    <s v="United States"/>
    <x v="3"/>
    <x v="2"/>
    <s v="Sauder Mission Library with Doors, Fruitwood Finish"/>
    <n v="132.06639999999999"/>
    <n v="1"/>
    <n v="-17.0274"/>
    <n v="-12.893059854739738"/>
  </r>
  <r>
    <s v="CA-2019-116344"/>
    <x v="307"/>
    <s v="JO-15145"/>
    <s v="Jack O'Briant"/>
    <s v="United States"/>
    <x v="0"/>
    <x v="1"/>
    <s v="Gould Plastics 9-Pocket Panel Bin, 18-3/8w x 5-1/4d x 20-1/2h, Black"/>
    <n v="84.784000000000006"/>
    <n v="2"/>
    <n v="-16.956800000000001"/>
    <n v="-20"/>
  </r>
  <r>
    <s v="CA-2020-141117"/>
    <x v="11"/>
    <s v="JK-16090"/>
    <s v="Juliana Krohn"/>
    <s v="United States"/>
    <x v="2"/>
    <x v="1"/>
    <s v="GBC Standard Recycled Report Covers, Clear Plastic Sheets"/>
    <n v="138.63800000000001"/>
    <n v="7"/>
    <n v="-16.601199999999999"/>
    <n v="-11.974494727275349"/>
  </r>
  <r>
    <s v="CA-2020-168389"/>
    <x v="33"/>
    <s v="DV-13045"/>
    <s v="Darrin Van Huff"/>
    <s v="United States"/>
    <x v="1"/>
    <x v="0"/>
    <s v="Motorola HK250 Universal Bluetooth Headset"/>
    <n v="344.56799999999998"/>
    <n v="4"/>
    <n v="-16.552800000000001"/>
    <n v="-4.8039283972974864"/>
  </r>
  <r>
    <s v="CA-2019-145303"/>
    <x v="199"/>
    <s v="TP-21415"/>
    <s v="Tom Prescott"/>
    <s v="United States"/>
    <x v="3"/>
    <x v="1"/>
    <s v="GBC ProClick Spines for 32-Hole Punch"/>
    <n v="10.023999999999999"/>
    <n v="4"/>
    <n v="-16.5396"/>
    <n v="-165"/>
  </r>
  <r>
    <s v="CA-2020-131618"/>
    <x v="245"/>
    <s v="LS-17200"/>
    <s v="Luke Schmidt"/>
    <s v="United States"/>
    <x v="3"/>
    <x v="1"/>
    <s v="Fellowes Binding Cases"/>
    <n v="123.36"/>
    <n v="4"/>
    <n v="-16.38"/>
    <n v="-13.278210116731518"/>
  </r>
  <r>
    <s v="US-2019-110156"/>
    <x v="319"/>
    <s v="EH-13945"/>
    <s v="Eric Hoffmann"/>
    <s v="United States"/>
    <x v="3"/>
    <x v="1"/>
    <s v="Tennsco Lockers, Gray"/>
    <n v="100.70399999999999"/>
    <n v="6"/>
    <n v="-16.3644"/>
    <n v="-16.25"/>
  </r>
  <r>
    <s v="CA-2020-104864"/>
    <x v="276"/>
    <s v="JS-15685"/>
    <s v="Jim Sink"/>
    <s v="United States"/>
    <x v="1"/>
    <x v="1"/>
    <s v="Ibico Plastic and Wire Spiral Binding Combs"/>
    <n v="138.232"/>
    <n v="8"/>
    <n v="-16.185600000000001"/>
    <n v="-11.709010938132995"/>
  </r>
  <r>
    <s v="CA-2020-168641"/>
    <x v="225"/>
    <s v="KA-16525"/>
    <s v="Kelly Andreada"/>
    <s v="United States"/>
    <x v="0"/>
    <x v="2"/>
    <s v="O'Sullivan Plantations 2-Door Library in Landvery Oak"/>
    <n v="371.56799999999998"/>
    <n v="2"/>
    <n v="-16.078399999999998"/>
    <n v="-4.3271756448348615"/>
  </r>
  <r>
    <s v="US-2019-106677"/>
    <x v="77"/>
    <s v="AS-10285"/>
    <s v="Alejandro Savely"/>
    <s v="United States"/>
    <x v="0"/>
    <x v="0"/>
    <s v="Anker Astro Mini 3000mAh Ultra-Compact Portable Charger"/>
    <n v="23.988"/>
    <n v="2"/>
    <n v="-15.992000000000001"/>
    <n v="-66.666666666666671"/>
  </r>
  <r>
    <s v="US-2020-158218"/>
    <x v="198"/>
    <s v="AC-10420"/>
    <s v="Alyssa Crouse"/>
    <s v="United States"/>
    <x v="3"/>
    <x v="1"/>
    <s v="Fellowes Bankers Box Stor/Drawer Steel Plus"/>
    <n v="173.92"/>
    <n v="5"/>
    <n v="-15.99"/>
    <n v="-9.1938822447102115"/>
  </r>
  <r>
    <s v="CA-2020-134845"/>
    <x v="2"/>
    <s v="SR-20425"/>
    <s v="Sharelle Roach"/>
    <s v="United States"/>
    <x v="2"/>
    <x v="1"/>
    <s v="GBC VeloBinder Manual Binding System"/>
    <n v="138.59399999999999"/>
    <n v="2"/>
    <n v="-15.835599999999999"/>
    <n v="-11.425891452732442"/>
  </r>
  <r>
    <s v="CA-2020-110198"/>
    <x v="28"/>
    <s v="AG-10900"/>
    <s v="Arthur Gainer"/>
    <s v="United States"/>
    <x v="1"/>
    <x v="2"/>
    <s v="Bush Somerset Collection Bookcase"/>
    <n v="335.35199999999998"/>
    <n v="3"/>
    <n v="-15.717599999999999"/>
    <n v="-4.6868961568739715"/>
  </r>
  <r>
    <s v="CA-2020-141873"/>
    <x v="30"/>
    <s v="HG-14845"/>
    <s v="Harry Greene"/>
    <s v="United States"/>
    <x v="0"/>
    <x v="2"/>
    <s v="O'Sullivan Elevations Bookcase, Cherry Finish"/>
    <n v="351.35199999999998"/>
    <n v="3"/>
    <n v="-15.717599999999999"/>
    <n v="-4.4734625105307497"/>
  </r>
  <r>
    <s v="CA-2020-164168"/>
    <x v="151"/>
    <s v="LS-16975"/>
    <s v="Lindsay Shagiari"/>
    <s v="United States"/>
    <x v="3"/>
    <x v="1"/>
    <s v="Fellowes Neat Ideas Storage Cubes"/>
    <n v="117.952"/>
    <n v="3"/>
    <n v="-15.590400000000001"/>
    <n v="-13.217580032555617"/>
  </r>
  <r>
    <s v="CA-2019-116974"/>
    <x v="280"/>
    <s v="MP-17965"/>
    <s v="Michael Paige"/>
    <s v="United States"/>
    <x v="0"/>
    <x v="0"/>
    <s v="Mediabridge Sport Armband iPhone 5s"/>
    <n v="23.975999999999999"/>
    <n v="4"/>
    <n v="-15.5844"/>
    <n v="-65"/>
  </r>
  <r>
    <s v="CA-2019-140746"/>
    <x v="322"/>
    <s v="RC-19825"/>
    <s v="Roy Collins"/>
    <s v="United States"/>
    <x v="0"/>
    <x v="2"/>
    <s v="Bevis Round Bullnose 29&quot; High Table Top"/>
    <n v="181.797"/>
    <n v="1"/>
    <n v="-15.582599999999999"/>
    <n v="-8.5714285714285712"/>
  </r>
  <r>
    <s v="CA-2020-121300"/>
    <x v="86"/>
    <s v="MG-17680"/>
    <s v="Maureen Gastineau"/>
    <s v="United States"/>
    <x v="0"/>
    <x v="2"/>
    <s v="Global Wood Trimmed Manager's Task Chair, Khaki"/>
    <n v="100.68600000000001"/>
    <n v="1"/>
    <n v="-15.4666"/>
    <n v="-15.361222016963627"/>
  </r>
  <r>
    <s v="US-2019-114013"/>
    <x v="22"/>
    <s v="SC-20770"/>
    <s v="Stewart Carmichael"/>
    <s v="United States"/>
    <x v="0"/>
    <x v="1"/>
    <s v="GBC VeloBind Cover Sets"/>
    <n v="23.16"/>
    <n v="5"/>
    <n v="-15.44"/>
    <n v="-66.666666666666657"/>
  </r>
  <r>
    <s v="US-2020-165456"/>
    <x v="21"/>
    <s v="TB-21625"/>
    <s v="Trudy Brown"/>
    <s v="United States"/>
    <x v="0"/>
    <x v="2"/>
    <s v="Global Commerce Series Low-Back Swivel/Tilt Chairs"/>
    <n v="1129.316"/>
    <n v="6"/>
    <n v="-15.418799999999999"/>
    <n v="-1.3653220179294367"/>
  </r>
  <r>
    <s v="CA-2020-137498"/>
    <x v="37"/>
    <s v="LC-17050"/>
    <s v="Liz Carlisle"/>
    <s v="United States"/>
    <x v="2"/>
    <x v="2"/>
    <s v="Novimex Fabric Task Chair"/>
    <n v="286.92"/>
    <n v="5"/>
    <n v="-15.244999999999999"/>
    <n v="-5.3133277568660251"/>
  </r>
  <r>
    <s v="CA-2020-169894"/>
    <x v="225"/>
    <s v="MV-17485"/>
    <s v="Mark Van Huff"/>
    <s v="United States"/>
    <x v="2"/>
    <x v="1"/>
    <s v="GBC Recycled Grain Textured Covers"/>
    <n v="107.724"/>
    <n v="2"/>
    <n v="-15.1976"/>
    <n v="-14.107905387843006"/>
  </r>
  <r>
    <s v="CA-2020-106068"/>
    <x v="122"/>
    <s v="RB-19330"/>
    <s v="Randy Bradley"/>
    <s v="United States"/>
    <x v="3"/>
    <x v="1"/>
    <s v="Acco Flexible ACCOHIDE Square Ring Data Binder, Dark Blue, 11 1/2&quot; X 14&quot; 7/8&quot;"/>
    <n v="125.762"/>
    <n v="3"/>
    <n v="-15.1311"/>
    <n v="-12.031535758019116"/>
  </r>
  <r>
    <s v="CA-2020-111220"/>
    <x v="149"/>
    <s v="JS-15595"/>
    <s v="Jill Stevenson"/>
    <s v="United States"/>
    <x v="3"/>
    <x v="1"/>
    <s v="Belkin 7-Outlet SurgeMaster Home Series"/>
    <n v="82.587999999999994"/>
    <n v="2"/>
    <n v="-15.0876"/>
    <n v="-18.268513585508792"/>
  </r>
  <r>
    <s v="US-2019-105578"/>
    <x v="323"/>
    <s v="MY-17380"/>
    <s v="Maribeth Yedwab"/>
    <s v="United States"/>
    <x v="2"/>
    <x v="1"/>
    <s v="Vinyl Sectional Post Binders"/>
    <n v="22.62"/>
    <n v="2"/>
    <n v="-15.08"/>
    <n v="-66.666666666666657"/>
  </r>
  <r>
    <s v="CA-2020-131366"/>
    <x v="225"/>
    <s v="SC-20440"/>
    <s v="Shaun Chance"/>
    <s v="United States"/>
    <x v="0"/>
    <x v="0"/>
    <s v="Blue Parrot B250XT Professional Grade Wireless Bluetooth Headset with"/>
    <n v="126.988"/>
    <n v="2"/>
    <n v="-14.997999999999999"/>
    <n v="-11.810564777774276"/>
  </r>
  <r>
    <s v="CA-2020-125913"/>
    <x v="324"/>
    <s v="JO-15145"/>
    <s v="Jack O'Briant"/>
    <s v="United States"/>
    <x v="2"/>
    <x v="2"/>
    <s v="Lesro Sheffield Collection Coffee Table, End Table, Center Table, Corner Table"/>
    <n v="436.67200000000003"/>
    <n v="7"/>
    <n v="-14.9877"/>
    <n v="-3.4322557892422689"/>
  </r>
  <r>
    <s v="CA-2020-117513"/>
    <x v="321"/>
    <s v="BT-11395"/>
    <s v="Bill Tyler"/>
    <s v="United States"/>
    <x v="2"/>
    <x v="2"/>
    <s v="Lesro Sheffield Collection Coffee Table, End Table, Center Table, Corner Table"/>
    <n v="426.67200000000003"/>
    <n v="7"/>
    <n v="-14.9877"/>
    <n v="-3.5126982787715151"/>
  </r>
  <r>
    <s v="CA-2019-159737"/>
    <x v="19"/>
    <s v="CS-11950"/>
    <s v="Carlos Soltero"/>
    <s v="United States"/>
    <x v="3"/>
    <x v="1"/>
    <s v="XtraLife ClearVue Slant-D Ring Binder, White, 3&quot;"/>
    <n v="8.8079999999999998"/>
    <n v="3"/>
    <n v="-14.973599999999999"/>
    <n v="-170"/>
  </r>
  <r>
    <s v="US-2019-157490"/>
    <x v="13"/>
    <s v="LB-16795"/>
    <s v="Laurel Beltran"/>
    <s v="United States"/>
    <x v="2"/>
    <x v="1"/>
    <s v="Recycled Easel Ring Binders"/>
    <n v="17.904"/>
    <n v="4"/>
    <n v="-14.92"/>
    <n v="-83.333333333333343"/>
  </r>
  <r>
    <s v="CA-2020-140298"/>
    <x v="40"/>
    <s v="JK-16120"/>
    <s v="Julie Kriz"/>
    <s v="United States"/>
    <x v="3"/>
    <x v="1"/>
    <s v="Safco Commercial Shelving"/>
    <n v="100.416"/>
    <n v="2"/>
    <n v="-14.8832"/>
    <n v="-14.821542383683875"/>
  </r>
  <r>
    <s v="CA-2020-148411"/>
    <x v="64"/>
    <s v="RO-19780"/>
    <s v="Rose O'Brian"/>
    <s v="United States"/>
    <x v="3"/>
    <x v="2"/>
    <s v="GuestStacker Chair with Chrome Finish Legs"/>
    <n v="563.46400000000006"/>
    <n v="2"/>
    <n v="-14.8704"/>
    <n v="-2.6391038291709847"/>
  </r>
  <r>
    <s v="CA-2020-162565"/>
    <x v="33"/>
    <s v="RR-19315"/>
    <s v="Ralph Ritter"/>
    <s v="United States"/>
    <x v="3"/>
    <x v="2"/>
    <s v="GuestStacker Chair with Chrome Finish Legs"/>
    <n v="775.46400000000006"/>
    <n v="2"/>
    <n v="-14.8704"/>
    <n v="-1.9176131967441428"/>
  </r>
  <r>
    <s v="US-2020-106131"/>
    <x v="325"/>
    <s v="TP-21565"/>
    <s v="Tracy Poddar"/>
    <s v="United States"/>
    <x v="2"/>
    <x v="0"/>
    <s v="Imation 8GB Mini TravelDrive USB 2.0 Flash Drive"/>
    <n v="194.06399999999999"/>
    <n v="7"/>
    <n v="-14.793100000000001"/>
    <n v="-7.6227945420067611"/>
  </r>
  <r>
    <s v="CA-2019-133697"/>
    <x v="326"/>
    <s v="CM-12445"/>
    <s v="Chuck Magee"/>
    <s v="United States"/>
    <x v="3"/>
    <x v="2"/>
    <s v="Office Star - Ergonomically Designed Knee Chair"/>
    <n v="56.686"/>
    <n v="1"/>
    <n v="-14.5764"/>
    <n v="-25.714285714285712"/>
  </r>
  <r>
    <s v="US-2019-161683"/>
    <x v="107"/>
    <s v="CJ-12010"/>
    <s v="Caroline Jumper"/>
    <s v="United States"/>
    <x v="0"/>
    <x v="1"/>
    <s v="GBC Clear Cover, 8-1/2 x 11, unpunched, 25 covers per pack"/>
    <n v="18.192"/>
    <n v="4"/>
    <n v="-14.553599999999999"/>
    <n v="-80"/>
  </r>
  <r>
    <s v="US-2020-132031"/>
    <x v="327"/>
    <s v="PN-18775"/>
    <s v="Parhena Norris"/>
    <s v="United States"/>
    <x v="1"/>
    <x v="2"/>
    <s v="O'Sullivan 4-Shelf Bookcase in Odessa Pine"/>
    <n v="415.13600000000002"/>
    <n v="4"/>
    <n v="-14.5176"/>
    <n v="-3.497070839435751"/>
  </r>
  <r>
    <s v="CA-2019-159940"/>
    <x v="270"/>
    <s v="BF-11020"/>
    <s v="Barry Französisch"/>
    <s v="United States"/>
    <x v="3"/>
    <x v="2"/>
    <s v="Global Ergonomic Managers Chair"/>
    <n v="253.37200000000001"/>
    <n v="2"/>
    <n v="-14.478400000000001"/>
    <n v="-5.7142857142857144"/>
  </r>
  <r>
    <s v="CA-2020-104003"/>
    <x v="232"/>
    <s v="DC-13285"/>
    <s v="Debra Catini"/>
    <s v="United States"/>
    <x v="2"/>
    <x v="2"/>
    <s v="O'Sullivan Manor Hill 2-Door Library in Brianna Oak"/>
    <n v="350.666"/>
    <n v="2"/>
    <n v="-14.478400000000001"/>
    <n v="-4.1288291422607264"/>
  </r>
  <r>
    <s v="CA-2020-124674"/>
    <x v="328"/>
    <s v="JB-16000"/>
    <s v="Joy Bell-"/>
    <s v="United States"/>
    <x v="3"/>
    <x v="2"/>
    <s v="Atlantic Metals Mobile 2-Shelf Bookcases, Custom Colors"/>
    <n v="342.7328"/>
    <n v="2"/>
    <n v="-14.4588"/>
    <n v="-4.2186799746041235"/>
  </r>
  <r>
    <s v="CA-2019-163328"/>
    <x v="56"/>
    <s v="TP-21565"/>
    <s v="Tracy Poddar"/>
    <s v="United States"/>
    <x v="2"/>
    <x v="2"/>
    <s v="Office Star - Contemporary Task Swivel chair with Loop Arms, Charcoal"/>
    <n v="104.78400000000001"/>
    <n v="1"/>
    <n v="-14.4078"/>
    <n v="-13.749999999999998"/>
  </r>
  <r>
    <s v="US-2020-106663"/>
    <x v="175"/>
    <s v="MO-17800"/>
    <s v="Meg O'Connel"/>
    <s v="United States"/>
    <x v="3"/>
    <x v="2"/>
    <s v="12-1/2 Diameter Round Wall Clock"/>
    <n v="113.976"/>
    <n v="3"/>
    <n v="-14.3856"/>
    <n v="-12.621604548325962"/>
  </r>
  <r>
    <s v="US-2020-112347"/>
    <x v="18"/>
    <s v="BS-11380"/>
    <s v="Bill Stewart"/>
    <s v="United States"/>
    <x v="2"/>
    <x v="0"/>
    <s v="Macally Suction Cup Mount"/>
    <n v="135.36000000000001"/>
    <n v="6"/>
    <n v="-14.34"/>
    <n v="-10.593971631205672"/>
  </r>
  <r>
    <s v="US-2019-108777"/>
    <x v="329"/>
    <s v="JM-15655"/>
    <s v="Jim Mitchum"/>
    <s v="United States"/>
    <x v="0"/>
    <x v="1"/>
    <s v="Wilson Jones Century Plastic Molded Ring Binders"/>
    <n v="18.693000000000001"/>
    <n v="3"/>
    <n v="-14.331300000000001"/>
    <n v="-76.666666666666657"/>
  </r>
  <r>
    <s v="CA-2020-103415"/>
    <x v="299"/>
    <s v="MV-17485"/>
    <s v="Mark Van Huff"/>
    <s v="United States"/>
    <x v="3"/>
    <x v="2"/>
    <s v="Tensor Brushed Steel Torchiere Floor Lamp"/>
    <n v="127.592"/>
    <n v="2"/>
    <n v="-14.271599999999999"/>
    <n v="-11.18534077371622"/>
  </r>
  <r>
    <s v="CA-2019-162082"/>
    <x v="291"/>
    <s v="JS-15880"/>
    <s v="John Stevenson"/>
    <s v="United States"/>
    <x v="3"/>
    <x v="2"/>
    <s v="Safco Value Mate Series Steel Bookcases, Baked Enamel Finish on Steel, Gray"/>
    <n v="241.33199999999999"/>
    <n v="5"/>
    <n v="-14.196"/>
    <n v="-5.8823529411764701"/>
  </r>
  <r>
    <s v="US-2020-165358"/>
    <x v="29"/>
    <s v="SV-20365"/>
    <s v="Seth Vernon"/>
    <s v="United States"/>
    <x v="0"/>
    <x v="2"/>
    <s v="Situations Contoured Folding Chairs, 4/Set"/>
    <n v="214.744"/>
    <n v="4"/>
    <n v="-14.196"/>
    <n v="-6.6106619975412588"/>
  </r>
  <r>
    <s v="CA-2019-130400"/>
    <x v="277"/>
    <s v="SJ-20125"/>
    <s v="Sanjit Jacobs"/>
    <s v="United States"/>
    <x v="3"/>
    <x v="1"/>
    <s v="Pressboard Hanging Data Binders for Unburst Sheets"/>
    <n v="8.8559999999999999"/>
    <n v="9"/>
    <n v="-14.169600000000001"/>
    <n v="-160"/>
  </r>
  <r>
    <s v="CA-2019-115574"/>
    <x v="39"/>
    <s v="BP-11185"/>
    <s v="Ben Peterman"/>
    <s v="United States"/>
    <x v="3"/>
    <x v="2"/>
    <s v="Bush Westfield Collection Bookcases, Fully Assembled"/>
    <n v="141.37200000000001"/>
    <n v="2"/>
    <n v="-14.1372"/>
    <n v="-10"/>
  </r>
  <r>
    <s v="US-2019-144393"/>
    <x v="256"/>
    <s v="SM-20950"/>
    <s v="Suzanne McNair"/>
    <s v="United States"/>
    <x v="1"/>
    <x v="1"/>
    <s v="XtraLife ClearVue Slant-D Ring Binder, White, 3&quot;"/>
    <n v="17.616"/>
    <n v="4"/>
    <n v="-14.0928"/>
    <n v="-80"/>
  </r>
  <r>
    <s v="CA-2019-119165"/>
    <x v="330"/>
    <s v="BD-11320"/>
    <s v="Bill Donatelli"/>
    <s v="United States"/>
    <x v="0"/>
    <x v="2"/>
    <s v="Hon Olson Stacker Stools"/>
    <n v="492.83499999999998"/>
    <n v="5"/>
    <n v="-14.081"/>
    <n v="-2.8571428571428572"/>
  </r>
  <r>
    <s v="CA-2020-158876"/>
    <x v="4"/>
    <s v="AB-10150"/>
    <s v="Aimee Bixby"/>
    <s v="United States"/>
    <x v="3"/>
    <x v="2"/>
    <s v="Telescoping Adjustable Floor Lamp"/>
    <n v="93.992000000000004"/>
    <n v="2"/>
    <n v="-13.993"/>
    <n v="-14.887437228700314"/>
  </r>
  <r>
    <s v="CA-2020-153822"/>
    <x v="121"/>
    <s v="AB-10105"/>
    <s v="Adrian Barton"/>
    <s v="United States"/>
    <x v="2"/>
    <x v="1"/>
    <s v="Plastic Binding Combs"/>
    <n v="99.18"/>
    <n v="4"/>
    <n v="-13.938000000000001"/>
    <n v="-14.053236539624924"/>
  </r>
  <r>
    <s v="CA-2019-112025"/>
    <x v="331"/>
    <s v="LS-16975"/>
    <s v="Lindsay Shagiari"/>
    <s v="United States"/>
    <x v="3"/>
    <x v="1"/>
    <s v="GBC VeloBind Cover Sets"/>
    <n v="9.2639999999999993"/>
    <n v="3"/>
    <n v="-13.896000000000001"/>
    <n v="-150.00000000000003"/>
  </r>
  <r>
    <s v="US-2019-123470"/>
    <x v="332"/>
    <s v="ME-17725"/>
    <s v="Max Engle"/>
    <s v="United States"/>
    <x v="2"/>
    <x v="1"/>
    <s v="Premium Transparent Presentation Covers by GBC"/>
    <n v="18.882000000000001"/>
    <n v="3"/>
    <n v="-13.8468"/>
    <n v="-73.333333333333329"/>
  </r>
  <r>
    <s v="US-2019-150147"/>
    <x v="302"/>
    <s v="JL-15850"/>
    <s v="John Lucas"/>
    <s v="United States"/>
    <x v="0"/>
    <x v="1"/>
    <s v="Ibico Recycled Grain-Textured Covers"/>
    <n v="20.724"/>
    <n v="2"/>
    <n v="-13.816000000000001"/>
    <n v="-66.666666666666671"/>
  </r>
  <r>
    <s v="CA-2020-125451"/>
    <x v="122"/>
    <s v="AH-10075"/>
    <s v="Adam Hart"/>
    <s v="United States"/>
    <x v="0"/>
    <x v="2"/>
    <s v="KI Adjustable-Height Table"/>
    <n v="251.744"/>
    <n v="4"/>
    <n v="-13.7568"/>
    <n v="-5.464598957671285"/>
  </r>
  <r>
    <s v="US-2020-101784"/>
    <x v="333"/>
    <s v="PO-18850"/>
    <s v="Patrick O'Brill"/>
    <s v="United States"/>
    <x v="2"/>
    <x v="2"/>
    <s v="Global Task Chair, Black"/>
    <n v="168.136"/>
    <n v="3"/>
    <n v="-13.7403"/>
    <n v="-8.1721344625779118"/>
  </r>
  <r>
    <s v="CA-2020-148810"/>
    <x v="334"/>
    <s v="DR-12880"/>
    <s v="Dan Reichenbach"/>
    <s v="United States"/>
    <x v="1"/>
    <x v="2"/>
    <s v="Hon Comfortask Task/Swivel Chairs"/>
    <n v="289.55200000000002"/>
    <n v="3"/>
    <n v="-13.6776"/>
    <n v="-4.7237111123390614"/>
  </r>
  <r>
    <s v="CA-2019-169922"/>
    <x v="335"/>
    <s v="MZ-17515"/>
    <s v="Mary Zewe"/>
    <s v="United States"/>
    <x v="3"/>
    <x v="1"/>
    <s v="GBC Wire Binding Combs"/>
    <n v="8.2720000000000002"/>
    <n v="4"/>
    <n v="-13.6488"/>
    <n v="-165"/>
  </r>
  <r>
    <s v="US-2019-113509"/>
    <x v="115"/>
    <s v="PL-18925"/>
    <s v="Paul Lucas"/>
    <s v="United States"/>
    <x v="0"/>
    <x v="0"/>
    <s v="V7 USB Numeric Keypad"/>
    <n v="83.975999999999999"/>
    <n v="3"/>
    <n v="-13.646100000000001"/>
    <n v="-16.25"/>
  </r>
  <r>
    <s v="CA-2020-112725"/>
    <x v="178"/>
    <s v="EH-14125"/>
    <s v="Eugene Hildebrand"/>
    <s v="United States"/>
    <x v="2"/>
    <x v="2"/>
    <s v="Novimex Swivel Fabric Task Chair"/>
    <n v="145.78399999999999"/>
    <n v="1"/>
    <n v="-13.588200000000001"/>
    <n v="-9.3207759424902594"/>
  </r>
  <r>
    <s v="CA-2020-147207"/>
    <x v="96"/>
    <s v="TS-21655"/>
    <s v="Trudy Schmidt"/>
    <s v="United States"/>
    <x v="3"/>
    <x v="1"/>
    <s v="Hoover Commercial SteamVac"/>
    <n v="75.432000000000002"/>
    <n v="2"/>
    <n v="-13.58"/>
    <n v="-18.002969561989605"/>
  </r>
  <r>
    <s v="CA-2020-110821"/>
    <x v="278"/>
    <s v="CK-12205"/>
    <s v="Chloris Kastensmidt"/>
    <s v="United States"/>
    <x v="3"/>
    <x v="0"/>
    <s v="Logitech K350 2.4Ghz Wireless Keyboard"/>
    <n v="160.44800000000001"/>
    <n v="3"/>
    <n v="-13.437900000000001"/>
    <n v="-8.3752368368568018"/>
  </r>
  <r>
    <s v="CA-2019-134180"/>
    <x v="65"/>
    <s v="JP-16135"/>
    <s v="Julie Prescott"/>
    <s v="United States"/>
    <x v="0"/>
    <x v="2"/>
    <s v="Bevis Steel Folding Chairs"/>
    <n v="470.15499999999997"/>
    <n v="7"/>
    <n v="-13.433"/>
    <n v="-2.8571428571428572"/>
  </r>
  <r>
    <s v="CA-2020-122154"/>
    <x v="262"/>
    <s v="SA-20830"/>
    <s v="Sue Ann Reed"/>
    <s v="United States"/>
    <x v="1"/>
    <x v="1"/>
    <s v="Avery Arch Ring Binders"/>
    <n v="87.43"/>
    <n v="1"/>
    <n v="-13.363"/>
    <n v="-15.284227381905522"/>
  </r>
  <r>
    <s v="CA-2019-112739"/>
    <x v="110"/>
    <s v="RD-19810"/>
    <s v="Ross DeVincentis"/>
    <s v="United States"/>
    <x v="3"/>
    <x v="1"/>
    <s v="Acco PRESSTEX Data Binder with Storage Hooks, Dark Blue, 9 1/2&quot; X 11&quot;"/>
    <n v="8.6080000000000005"/>
    <n v="8"/>
    <n v="-13.3424"/>
    <n v="-154.99999999999997"/>
  </r>
  <r>
    <s v="CA-2020-115119"/>
    <x v="184"/>
    <s v="SC-20440"/>
    <s v="Shaun Chance"/>
    <s v="United States"/>
    <x v="0"/>
    <x v="0"/>
    <s v="Cisco Small Business SPA 502G VoIP phone"/>
    <n v="140.542"/>
    <n v="1"/>
    <n v="-13.334099999999999"/>
    <n v="-9.4876264746481471"/>
  </r>
  <r>
    <s v="CA-2019-107146"/>
    <x v="80"/>
    <s v="LC-16885"/>
    <s v="Lena Creighton"/>
    <s v="United States"/>
    <x v="2"/>
    <x v="2"/>
    <s v="Rubbermaid ClusterMat Chairmats, Mat Size- 66&quot; x 60&quot;, Lip 20&quot; x 11&quot; -90 Degree Angle"/>
    <n v="266.35199999999998"/>
    <n v="3"/>
    <n v="-13.317600000000001"/>
    <n v="-5.0000000000000009"/>
  </r>
  <r>
    <s v="US-2019-134488"/>
    <x v="20"/>
    <s v="PK-19075"/>
    <s v="Pete Kriz"/>
    <s v="United States"/>
    <x v="0"/>
    <x v="2"/>
    <s v="Office Star - Contemporary Task Swivel Chair"/>
    <n v="155.37200000000001"/>
    <n v="2"/>
    <n v="-13.317600000000001"/>
    <n v="-8.5714285714285712"/>
  </r>
  <r>
    <s v="CA-2019-112109"/>
    <x v="336"/>
    <s v="JE-15715"/>
    <s v="Joe Elijah"/>
    <s v="United States"/>
    <x v="2"/>
    <x v="1"/>
    <s v="GBC Twin Loop Wire Binding Elements"/>
    <n v="19.968"/>
    <n v="2"/>
    <n v="-13.311999999999999"/>
    <n v="-66.666666666666657"/>
  </r>
  <r>
    <s v="CA-2020-121160"/>
    <x v="1"/>
    <s v="FM-14290"/>
    <s v="Frank Merwin"/>
    <s v="United States"/>
    <x v="3"/>
    <x v="1"/>
    <s v="GBC Standard Plastic Binding Systems' Combs"/>
    <n v="119.536"/>
    <n v="6"/>
    <n v="-13.188000000000001"/>
    <n v="-11.032659617186455"/>
  </r>
  <r>
    <s v="CA-2019-129308"/>
    <x v="270"/>
    <s v="CC-12100"/>
    <s v="Chad Cunningham"/>
    <s v="United States"/>
    <x v="0"/>
    <x v="0"/>
    <s v="Panasonic KX T7731-B Digital phone"/>
    <n v="59.994"/>
    <n v="1"/>
    <n v="-12.998699999999999"/>
    <n v="-21.666666666666664"/>
  </r>
  <r>
    <s v="US-2019-128293"/>
    <x v="337"/>
    <s v="KC-16255"/>
    <s v="Karen Carlisle"/>
    <s v="United States"/>
    <x v="0"/>
    <x v="1"/>
    <s v="Carina Double Wide Media Storage Towers in Natural &amp; Black"/>
    <n v="64.784000000000006"/>
    <n v="1"/>
    <n v="-12.956799999999999"/>
    <n v="-20"/>
  </r>
  <r>
    <s v="CA-2020-127516"/>
    <x v="240"/>
    <s v="EH-14005"/>
    <s v="Erica Hernandez"/>
    <s v="United States"/>
    <x v="1"/>
    <x v="1"/>
    <s v="Carina Double Wide Media Storage Towers in Natural &amp; Black"/>
    <n v="401.78399999999999"/>
    <n v="1"/>
    <n v="-12.956799999999999"/>
    <n v="-3.2248173147760983"/>
  </r>
  <r>
    <s v="US-2020-110576"/>
    <x v="24"/>
    <s v="RB-19795"/>
    <s v="Ross Baird"/>
    <s v="United States"/>
    <x v="0"/>
    <x v="2"/>
    <s v="Deflect-o RollaMat Studded, Beveled Mat for Medium Pile Carpeting"/>
    <n v="536.48800000000006"/>
    <n v="7"/>
    <n v="-12.9122"/>
    <n v="-2.4068012704850807"/>
  </r>
  <r>
    <s v="US-2019-156986"/>
    <x v="306"/>
    <s v="ZC-21910"/>
    <s v="Zuschuss Carroll"/>
    <s v="United States"/>
    <x v="2"/>
    <x v="1"/>
    <s v="Clear Mylar Reinforcing Strips"/>
    <n v="16.821000000000002"/>
    <n v="3"/>
    <n v="-12.896100000000001"/>
    <n v="-76.666666666666657"/>
  </r>
  <r>
    <s v="CA-2019-123337"/>
    <x v="338"/>
    <s v="KD-16495"/>
    <s v="Keith Dawkins"/>
    <s v="United States"/>
    <x v="2"/>
    <x v="2"/>
    <s v="Sauder Forest Hills Library with Doors, Woodland Oak Finish"/>
    <n v="273.666"/>
    <n v="2"/>
    <n v="-12.878399999999999"/>
    <n v="-4.7058823529411766"/>
  </r>
  <r>
    <s v="CA-2020-109085"/>
    <x v="58"/>
    <s v="CK-12325"/>
    <s v="Christine Kargatis"/>
    <s v="United States"/>
    <x v="0"/>
    <x v="2"/>
    <s v="Global Commerce Series Low-Back Swivel/Tilt Chairs"/>
    <n v="938.43"/>
    <n v="5"/>
    <n v="-12.849"/>
    <n v="-1.3692017518621529"/>
  </r>
  <r>
    <s v="CA-2020-161774"/>
    <x v="215"/>
    <s v="GT-14710"/>
    <s v="Greg Tran"/>
    <s v="United States"/>
    <x v="3"/>
    <x v="2"/>
    <s v="Global Commerce Series Low-Back Swivel/Tilt Chairs"/>
    <n v="911.43"/>
    <n v="5"/>
    <n v="-12.849"/>
    <n v="-1.4097626806227579"/>
  </r>
  <r>
    <s v="CA-2019-124590"/>
    <x v="300"/>
    <s v="SP-20920"/>
    <s v="Susan Pistek"/>
    <s v="United States"/>
    <x v="0"/>
    <x v="2"/>
    <s v="Hon 4070 Series Pagoda Round Back Stacking Chairs"/>
    <n v="449.37200000000001"/>
    <n v="2"/>
    <n v="-12.8392"/>
    <n v="-2.8571428571428572"/>
  </r>
  <r>
    <s v="CA-2019-150483"/>
    <x v="227"/>
    <s v="BP-11290"/>
    <s v="Beth Paige"/>
    <s v="United States"/>
    <x v="3"/>
    <x v="2"/>
    <s v="Executive Impressions 16-1/2&quot; Circular Wall Clock"/>
    <n v="32.064"/>
    <n v="3"/>
    <n v="-12.8256"/>
    <n v="-40"/>
  </r>
  <r>
    <s v="US-2019-103646"/>
    <x v="123"/>
    <s v="SP-20545"/>
    <s v="Sibella Parks"/>
    <s v="United States"/>
    <x v="3"/>
    <x v="1"/>
    <s v="Fellowes Bankers Box Stor/Drawer Steel Plus"/>
    <n v="102.336"/>
    <n v="4"/>
    <n v="-12.792"/>
    <n v="-12.5"/>
  </r>
  <r>
    <s v="CA-2019-153101"/>
    <x v="49"/>
    <s v="PJ-19015"/>
    <s v="Pauline Johnson"/>
    <s v="United States"/>
    <x v="2"/>
    <x v="2"/>
    <s v="Lesro Round Back Collection Coffee Table, End Table"/>
    <n v="146.04"/>
    <n v="1"/>
    <n v="-12.778499999999999"/>
    <n v="-8.75"/>
  </r>
  <r>
    <s v="CA-2020-140585"/>
    <x v="339"/>
    <s v="RA-19915"/>
    <s v="Russell Applegate"/>
    <s v="United States"/>
    <x v="2"/>
    <x v="2"/>
    <s v="Bush Saratoga Collection 5-Shelf Bookcase, Hanover Cherry, *Special Order"/>
    <n v="363.83300000000003"/>
    <n v="1"/>
    <n v="-12.6882"/>
    <n v="-3.4873692051023406"/>
  </r>
  <r>
    <s v="CA-2020-153654"/>
    <x v="225"/>
    <s v="MD-17860"/>
    <s v="Michael Dominguez"/>
    <s v="United States"/>
    <x v="1"/>
    <x v="1"/>
    <s v="Avery Durable Slant Ring Binders"/>
    <n v="132.00800000000001"/>
    <n v="8"/>
    <n v="-12.672000000000001"/>
    <n v="-9.5994182170777531"/>
  </r>
  <r>
    <s v="CA-2019-106950"/>
    <x v="110"/>
    <s v="JE-15715"/>
    <s v="Joe Elijah"/>
    <s v="United States"/>
    <x v="1"/>
    <x v="1"/>
    <s v="GBC Plasticlear Binding Covers"/>
    <n v="17.22"/>
    <n v="5"/>
    <n v="-12.628"/>
    <n v="-73.333333333333343"/>
  </r>
  <r>
    <s v="CA-2020-121160"/>
    <x v="1"/>
    <s v="FM-14290"/>
    <s v="Frank Merwin"/>
    <s v="United States"/>
    <x v="3"/>
    <x v="1"/>
    <s v="Rogers Deluxe File Chest"/>
    <n v="146.75200000000001"/>
    <n v="3"/>
    <n v="-12.528600000000001"/>
    <n v="-8.5372601395551673"/>
  </r>
  <r>
    <s v="CA-2020-113481"/>
    <x v="96"/>
    <s v="AS-10045"/>
    <s v="Aaron Smayling"/>
    <s v="United States"/>
    <x v="1"/>
    <x v="1"/>
    <s v="Avery 3 1/2&quot; Diskette Storage Pages, 10/Pack"/>
    <n v="103.66"/>
    <n v="5"/>
    <n v="-12.528"/>
    <n v="-12.085664672969324"/>
  </r>
  <r>
    <s v="US-2019-155173"/>
    <x v="84"/>
    <s v="JB-16045"/>
    <s v="Julia Barnett"/>
    <s v="United States"/>
    <x v="0"/>
    <x v="0"/>
    <s v="Grandstream GXP1160 VoIP phone"/>
    <n v="68.238"/>
    <n v="3"/>
    <n v="-12.510300000000001"/>
    <n v="-18.333333333333336"/>
  </r>
  <r>
    <s v="US-2019-139486"/>
    <x v="340"/>
    <s v="LH-17155"/>
    <s v="Logan Haushalter"/>
    <s v="United States"/>
    <x v="2"/>
    <x v="0"/>
    <s v="Motorola HK250 Universal Bluetooth Headset"/>
    <n v="55.176000000000002"/>
    <n v="3"/>
    <n v="-12.4146"/>
    <n v="-22.5"/>
  </r>
  <r>
    <s v="CA-2020-157420"/>
    <x v="341"/>
    <s v="HZ-14950"/>
    <s v="Henia Zydlo"/>
    <s v="United States"/>
    <x v="3"/>
    <x v="0"/>
    <s v="Motorola HK250 Universal Bluetooth Headset"/>
    <n v="124.176"/>
    <n v="3"/>
    <n v="-12.4146"/>
    <n v="-9.9975840742172402"/>
  </r>
  <r>
    <s v="CA-2020-152261"/>
    <x v="304"/>
    <s v="JA-15970"/>
    <s v="Joseph Airdo"/>
    <s v="United States"/>
    <x v="0"/>
    <x v="1"/>
    <s v="GBC VeloBind Cover Sets"/>
    <n v="93.528000000000006"/>
    <n v="4"/>
    <n v="-12.352"/>
    <n v="-13.206740227525446"/>
  </r>
  <r>
    <s v="CA-2019-137652"/>
    <x v="199"/>
    <s v="EB-13750"/>
    <s v="Edward Becker"/>
    <s v="United States"/>
    <x v="0"/>
    <x v="1"/>
    <s v="GBC VeloBinder Strips"/>
    <n v="18.431999999999999"/>
    <n v="8"/>
    <n v="-12.288"/>
    <n v="-66.666666666666671"/>
  </r>
  <r>
    <s v="CA-2020-156237"/>
    <x v="97"/>
    <s v="PS-18760"/>
    <s v="Pamela Stobb"/>
    <s v="United States"/>
    <x v="0"/>
    <x v="1"/>
    <s v="Aluminum Screw Posts"/>
    <n v="143.31200000000001"/>
    <n v="4"/>
    <n v="-12.208"/>
    <n v="-8.5184771686948757"/>
  </r>
  <r>
    <s v="US-2019-114293"/>
    <x v="284"/>
    <s v="JH-16180"/>
    <s v="Justin Hirsh"/>
    <s v="United States"/>
    <x v="2"/>
    <x v="2"/>
    <s v="Novimex Fabric Task Chair"/>
    <n v="195.136"/>
    <n v="4"/>
    <n v="-12.196"/>
    <n v="-6.25"/>
  </r>
  <r>
    <s v="CA-2020-168389"/>
    <x v="33"/>
    <s v="DV-13045"/>
    <s v="Darrin Van Huff"/>
    <s v="United States"/>
    <x v="1"/>
    <x v="2"/>
    <s v="Global Geo Office Task Chair, Gray"/>
    <n v="339.78399999999999"/>
    <n v="1"/>
    <n v="-12.147"/>
    <n v="-3.5749181833164596"/>
  </r>
  <r>
    <s v="CA-2019-165484"/>
    <x v="342"/>
    <s v="HK-14890"/>
    <s v="Heather Kirkland"/>
    <s v="United States"/>
    <x v="3"/>
    <x v="2"/>
    <s v="DAX Cubicle Frames - 8x10"/>
    <n v="16.155999999999999"/>
    <n v="7"/>
    <n v="-12.117000000000001"/>
    <n v="-75.000000000000014"/>
  </r>
  <r>
    <s v="CA-2019-149762"/>
    <x v="107"/>
    <s v="RD-19720"/>
    <s v="Roger Demir"/>
    <s v="United States"/>
    <x v="2"/>
    <x v="2"/>
    <s v="O'Sullivan Living Dimensions 2-Shelf Bookcases"/>
    <n v="205.666"/>
    <n v="2"/>
    <n v="-12.098000000000001"/>
    <n v="-5.882352941176471"/>
  </r>
  <r>
    <s v="US-2019-162852"/>
    <x v="343"/>
    <s v="BG-11695"/>
    <s v="Brooke Gillingham"/>
    <s v="United States"/>
    <x v="3"/>
    <x v="2"/>
    <s v="Global Manager's Adjustable Task Chair, Storm"/>
    <n v="845.48800000000006"/>
    <n v="8"/>
    <n v="-12.0784"/>
    <n v="-1.4285714285714286"/>
  </r>
  <r>
    <s v="CA-2019-137176"/>
    <x v="344"/>
    <s v="DB-12910"/>
    <s v="Daniel Byrd"/>
    <s v="United States"/>
    <x v="3"/>
    <x v="2"/>
    <s v="Eldon Expressions Punched Metal &amp; Wood Desk Accessories, Black &amp; Cherry"/>
    <n v="15.007999999999999"/>
    <n v="4"/>
    <n v="-12.006399999999999"/>
    <n v="-80"/>
  </r>
  <r>
    <s v="US-2020-164147"/>
    <x v="345"/>
    <s v="DW-13585"/>
    <s v="Dorothy Wardle"/>
    <s v="United States"/>
    <x v="0"/>
    <x v="0"/>
    <s v="Anker 36W 4-Port USB Wall Charger Travel Power Adapter for iPhone 5s 5c 5"/>
    <n v="100.97"/>
    <n v="5"/>
    <n v="-11.994"/>
    <n v="-11.878775874021986"/>
  </r>
  <r>
    <s v="US-2019-105578"/>
    <x v="323"/>
    <s v="MY-17380"/>
    <s v="Maribeth Yedwab"/>
    <s v="United States"/>
    <x v="2"/>
    <x v="1"/>
    <s v="GBC Standard Therm-A-Bind Covers"/>
    <n v="14.952"/>
    <n v="2"/>
    <n v="-11.961600000000001"/>
    <n v="-80"/>
  </r>
  <r>
    <s v="CA-2020-161851"/>
    <x v="346"/>
    <s v="BP-11095"/>
    <s v="Bart Pistole"/>
    <s v="United States"/>
    <x v="1"/>
    <x v="1"/>
    <s v="VariCap6 Expandable Binder"/>
    <n v="107.57"/>
    <n v="3"/>
    <n v="-11.936999999999999"/>
    <n v="-11.096960118992284"/>
  </r>
  <r>
    <s v="US-2019-131114"/>
    <x v="260"/>
    <s v="RW-19630"/>
    <s v="Rob Williams"/>
    <s v="United States"/>
    <x v="3"/>
    <x v="1"/>
    <s v="Belkin 6 Outlet Metallic Surge Strip"/>
    <n v="4.3559999999999999"/>
    <n v="2"/>
    <n v="-11.761200000000001"/>
    <n v="-270"/>
  </r>
  <r>
    <s v="US-2020-132031"/>
    <x v="327"/>
    <s v="PN-18775"/>
    <s v="Parhena Norris"/>
    <s v="United States"/>
    <x v="1"/>
    <x v="2"/>
    <s v="Tenex Chairmats For Use with Hard Floors"/>
    <n v="109.952"/>
    <n v="3"/>
    <n v="-11.6928"/>
    <n v="-10.634458672875438"/>
  </r>
  <r>
    <s v="CA-2019-136595"/>
    <x v="100"/>
    <s v="EM-13825"/>
    <s v="Elizabeth Moffitt"/>
    <s v="United States"/>
    <x v="3"/>
    <x v="2"/>
    <s v="Executive Impressions 12&quot; Wall Clock"/>
    <n v="21.204000000000001"/>
    <n v="3"/>
    <n v="-11.6622"/>
    <n v="-55.000000000000007"/>
  </r>
  <r>
    <s v="US-2020-124779"/>
    <x v="25"/>
    <s v="BF-11020"/>
    <s v="Barry Französisch"/>
    <s v="United States"/>
    <x v="3"/>
    <x v="2"/>
    <s v="DAX Black Cherry Wood-Tone Poster Frame"/>
    <n v="118.184"/>
    <n v="2"/>
    <n v="-11.651199999999999"/>
    <n v="-9.8585256887565151"/>
  </r>
  <r>
    <s v="CA-2020-136539"/>
    <x v="240"/>
    <s v="GH-14665"/>
    <s v="Greg Hansen"/>
    <s v="United States"/>
    <x v="3"/>
    <x v="2"/>
    <s v="Bush Westfield Collection Bookcases, Medium Cherry Finish"/>
    <n v="188.8528"/>
    <n v="2"/>
    <n v="-11.596"/>
    <n v="-6.1402319690256117"/>
  </r>
  <r>
    <s v="CA-2020-164042"/>
    <x v="213"/>
    <s v="KL-16645"/>
    <s v="Ken Lonsdale"/>
    <s v="United States"/>
    <x v="3"/>
    <x v="1"/>
    <s v="Tennsco Commercial Shelving"/>
    <n v="161.816"/>
    <n v="3"/>
    <n v="-11.5938"/>
    <n v="-7.1648044692737427"/>
  </r>
  <r>
    <s v="CA-2019-132019"/>
    <x v="66"/>
    <s v="MH-17620"/>
    <s v="Matt Hagelstein"/>
    <s v="United States"/>
    <x v="3"/>
    <x v="1"/>
    <s v="GBC Recycled VeloBinder Covers"/>
    <n v="6.8159999999999998"/>
    <n v="2"/>
    <n v="-11.587199999999999"/>
    <n v="-170"/>
  </r>
  <r>
    <s v="CA-2020-109085"/>
    <x v="58"/>
    <s v="CK-12325"/>
    <s v="Christine Kargatis"/>
    <s v="United States"/>
    <x v="0"/>
    <x v="0"/>
    <s v="Vtech CS6719"/>
    <n v="104.59399999999999"/>
    <n v="1"/>
    <n v="-11.518800000000001"/>
    <n v="-11.012868807006139"/>
  </r>
  <r>
    <s v="CA-2020-112809"/>
    <x v="243"/>
    <s v="RA-19915"/>
    <s v="Russell Applegate"/>
    <s v="United States"/>
    <x v="3"/>
    <x v="1"/>
    <s v="Ibico Plastic and Wire Spiral Binding Combs"/>
    <n v="101.744"/>
    <n v="4"/>
    <n v="-11.4648"/>
    <n v="-11.26828117628558"/>
  </r>
  <r>
    <s v="CA-2020-134096"/>
    <x v="64"/>
    <s v="PP-18955"/>
    <s v="Paul Prost"/>
    <s v="United States"/>
    <x v="1"/>
    <x v="1"/>
    <s v="Wilson Jones International Size A4 Ring Binders"/>
    <n v="94.57"/>
    <n v="3"/>
    <n v="-11.417999999999999"/>
    <n v="-12.073596277889393"/>
  </r>
  <r>
    <s v="CA-2020-112473"/>
    <x v="347"/>
    <s v="JL-15505"/>
    <s v="Jeremy Lonsdale"/>
    <s v="United States"/>
    <x v="3"/>
    <x v="1"/>
    <s v="Iris 3-Drawer Stacking Bin, Black"/>
    <n v="113.136"/>
    <n v="3"/>
    <n v="-11.2806"/>
    <n v="-9.9708315655494282"/>
  </r>
  <r>
    <s v="CA-2020-122987"/>
    <x v="348"/>
    <s v="SJ-20215"/>
    <s v="Sarah Jordon"/>
    <s v="United States"/>
    <x v="1"/>
    <x v="1"/>
    <s v="Recycled Easel Ring Binders"/>
    <n v="111.428"/>
    <n v="3"/>
    <n v="-11.19"/>
    <n v="-10.042359191585598"/>
  </r>
  <r>
    <s v="CA-2019-134516"/>
    <x v="349"/>
    <s v="FM-14215"/>
    <s v="Filia McAdams"/>
    <s v="United States"/>
    <x v="1"/>
    <x v="2"/>
    <s v="Global High-Back Leather Tilter, Burgundy"/>
    <n v="98.391999999999996"/>
    <n v="1"/>
    <n v="-11.069100000000001"/>
    <n v="-11.250000000000002"/>
  </r>
  <r>
    <s v="CA-2020-154011"/>
    <x v="156"/>
    <s v="DB-13270"/>
    <s v="Deborah Brumfield"/>
    <s v="United States"/>
    <x v="3"/>
    <x v="1"/>
    <s v="GBC Plasticlear Binding Covers"/>
    <n v="111.88800000000001"/>
    <n v="3"/>
    <n v="-11.020799999999999"/>
    <n v="-9.8498498498498481"/>
  </r>
  <r>
    <s v="CA-2019-154018"/>
    <x v="27"/>
    <s v="HA-14920"/>
    <s v="Helen Andreada"/>
    <s v="United States"/>
    <x v="3"/>
    <x v="1"/>
    <s v="Avery Non-Stick Binders"/>
    <n v="6.2859999999999996"/>
    <n v="7"/>
    <n v="-11.000500000000001"/>
    <n v="-175.00000000000003"/>
  </r>
  <r>
    <s v="CA-2019-158806"/>
    <x v="350"/>
    <s v="NM-18520"/>
    <s v="Neoma Murray"/>
    <s v="United States"/>
    <x v="3"/>
    <x v="2"/>
    <s v="Executive Impressions 13&quot; Clairmont Wall Clock"/>
    <n v="23.076000000000001"/>
    <n v="3"/>
    <n v="-10.9611"/>
    <n v="-47.5"/>
  </r>
  <r>
    <s v="US-2019-146710"/>
    <x v="351"/>
    <s v="SS-20875"/>
    <s v="Sung Shariari"/>
    <s v="United States"/>
    <x v="3"/>
    <x v="1"/>
    <s v="Martin-Yale Premier Letter Opener"/>
    <n v="51.52"/>
    <n v="5"/>
    <n v="-10.948"/>
    <n v="-21.25"/>
  </r>
  <r>
    <s v="US-2020-132220"/>
    <x v="151"/>
    <s v="DJ-13510"/>
    <s v="Don Jones"/>
    <s v="United States"/>
    <x v="2"/>
    <x v="0"/>
    <s v="SanDisk Ultra 16 GB MicroSDHC Class 10 Memory Card"/>
    <n v="103.352"/>
    <n v="6"/>
    <n v="-10.9116"/>
    <n v="-10.557705704775911"/>
  </r>
  <r>
    <s v="CA-2019-158568"/>
    <x v="159"/>
    <s v="RB-19465"/>
    <s v="Rick Bensley"/>
    <s v="United States"/>
    <x v="3"/>
    <x v="0"/>
    <s v="SanDisk Ultra 64 GB MicroSDHC Class 10 Memory Card"/>
    <n v="95.975999999999999"/>
    <n v="3"/>
    <n v="-10.7973"/>
    <n v="-11.25"/>
  </r>
  <r>
    <s v="CA-2020-137365"/>
    <x v="21"/>
    <s v="BP-11095"/>
    <s v="Bart Pistole"/>
    <s v="United States"/>
    <x v="3"/>
    <x v="0"/>
    <s v="SanDisk Ultra 64 GB MicroSDHC Class 10 Memory Card"/>
    <n v="115.976"/>
    <n v="3"/>
    <n v="-10.7973"/>
    <n v="-9.309943436573084"/>
  </r>
  <r>
    <s v="CA-2020-130967"/>
    <x v="94"/>
    <s v="EB-13870"/>
    <s v="Emily Burns"/>
    <s v="United States"/>
    <x v="0"/>
    <x v="0"/>
    <s v="Nokia Lumia 521 (T-Mobile)"/>
    <n v="136.982"/>
    <n v="3"/>
    <n v="-10.7964"/>
    <n v="-7.8816194828517618"/>
  </r>
  <r>
    <s v="CA-2020-117632"/>
    <x v="198"/>
    <s v="CS-12175"/>
    <s v="Charles Sheldon"/>
    <s v="United States"/>
    <x v="2"/>
    <x v="2"/>
    <s v="Lesro Sheffield Collection Coffee Table, End Table, Center Table, Corner Table"/>
    <n v="306.48"/>
    <n v="5"/>
    <n v="-10.705500000000001"/>
    <n v="-3.4930501174628037"/>
  </r>
  <r>
    <s v="CA-2020-112536"/>
    <x v="352"/>
    <s v="SG-20890"/>
    <s v="Susan Gilcrest"/>
    <s v="United States"/>
    <x v="3"/>
    <x v="1"/>
    <s v="Acco Pressboard Covers with Storage Hooks, 14 7/8&quot; x 11&quot;, Light Blue"/>
    <n v="105.874"/>
    <n v="7"/>
    <n v="-10.6547"/>
    <n v="-10.063566125772144"/>
  </r>
  <r>
    <s v="CA-2020-167941"/>
    <x v="174"/>
    <s v="JF-15565"/>
    <s v="Jill Fjeld"/>
    <s v="United States"/>
    <x v="1"/>
    <x v="1"/>
    <s v="Avery Durable Poly Binders"/>
    <n v="136.27199999999999"/>
    <n v="8"/>
    <n v="-10.617599999999999"/>
    <n v="-7.7914758717858401"/>
  </r>
  <r>
    <s v="CA-2019-109820"/>
    <x v="165"/>
    <s v="AG-10390"/>
    <s v="Allen Goldenen"/>
    <s v="United States"/>
    <x v="0"/>
    <x v="1"/>
    <s v="Avery Recycled Flexi-View Covers for Binding Systems"/>
    <n v="14.427"/>
    <n v="3"/>
    <n v="-10.579800000000001"/>
    <n v="-73.333333333333343"/>
  </r>
  <r>
    <s v="CA-2020-100223"/>
    <x v="42"/>
    <s v="LS-16945"/>
    <s v="Linda Southworth"/>
    <s v="United States"/>
    <x v="3"/>
    <x v="1"/>
    <s v="Tuf-Vin Binders"/>
    <n v="78.316000000000003"/>
    <n v="1"/>
    <n v="-10.4214"/>
    <n v="-13.306859390162929"/>
  </r>
  <r>
    <s v="US-2020-147669"/>
    <x v="141"/>
    <s v="SV-20935"/>
    <s v="Susan Vittorini"/>
    <s v="United States"/>
    <x v="0"/>
    <x v="1"/>
    <s v="Satellite Sectional Post Binders"/>
    <n v="331.02300000000002"/>
    <n v="1"/>
    <n v="-10.4184"/>
    <n v="-3.1473341731541309"/>
  </r>
  <r>
    <s v="CA-2019-117226"/>
    <x v="353"/>
    <s v="KD-16495"/>
    <s v="Keith Dawkins"/>
    <s v="United States"/>
    <x v="3"/>
    <x v="1"/>
    <s v="Avery Binding System Hidden Tab Executive Style Index Sets"/>
    <n v="6.9240000000000004"/>
    <n v="6"/>
    <n v="-10.385999999999999"/>
    <n v="-149.99999999999997"/>
  </r>
  <r>
    <s v="CA-2020-163006"/>
    <x v="54"/>
    <s v="GH-14410"/>
    <s v="Gary Hansen"/>
    <s v="United States"/>
    <x v="3"/>
    <x v="2"/>
    <s v="Seth Thomas 13 1/2&quot; Wall Clock"/>
    <n v="109.224"/>
    <n v="2"/>
    <n v="-10.3124"/>
    <n v="-9.4415146854171237"/>
  </r>
  <r>
    <s v="CA-2020-117667"/>
    <x v="57"/>
    <s v="MS-17980"/>
    <s v="Michael Stewart"/>
    <s v="United States"/>
    <x v="0"/>
    <x v="2"/>
    <s v="Global Chrome Stack Chair"/>
    <n v="254.96"/>
    <n v="10"/>
    <n v="-10.284000000000001"/>
    <n v="-4.0335738939441486"/>
  </r>
  <r>
    <s v="US-2019-120460"/>
    <x v="354"/>
    <s v="BF-11170"/>
    <s v="Ben Ferrer"/>
    <s v="United States"/>
    <x v="3"/>
    <x v="2"/>
    <s v="Flat Face Poster Frame"/>
    <n v="22.608000000000001"/>
    <n v="3"/>
    <n v="-10.1736"/>
    <n v="-45"/>
  </r>
  <r>
    <s v="US-2019-117037"/>
    <x v="297"/>
    <s v="LW-17215"/>
    <s v="Luke Weiss"/>
    <s v="United States"/>
    <x v="3"/>
    <x v="2"/>
    <s v="Flat Face Poster Frame"/>
    <n v="22.608000000000001"/>
    <n v="3"/>
    <n v="-10.1736"/>
    <n v="-45"/>
  </r>
  <r>
    <s v="US-2019-160528"/>
    <x v="95"/>
    <s v="MH-18115"/>
    <s v="Mick Hernandez"/>
    <s v="United States"/>
    <x v="3"/>
    <x v="2"/>
    <s v="Flat Face Poster Frame"/>
    <n v="22.608000000000001"/>
    <n v="3"/>
    <n v="-10.1736"/>
    <n v="-45"/>
  </r>
  <r>
    <s v="CA-2020-155642"/>
    <x v="352"/>
    <s v="BM-11575"/>
    <s v="Brendan Murry"/>
    <s v="United States"/>
    <x v="3"/>
    <x v="2"/>
    <s v="Flat Face Poster Frame"/>
    <n v="146.608"/>
    <n v="3"/>
    <n v="-10.1736"/>
    <n v="-6.9393211830186621"/>
  </r>
  <r>
    <s v="CA-2020-105669"/>
    <x v="166"/>
    <s v="SJ-20125"/>
    <s v="Sanjit Jacobs"/>
    <s v="United States"/>
    <x v="3"/>
    <x v="1"/>
    <s v="Wilson Jones “Snap” Scratch Pad Binder Tool for Ring Binders"/>
    <n v="111.8"/>
    <n v="5"/>
    <n v="-10.15"/>
    <n v="-9.0787119856887308"/>
  </r>
  <r>
    <s v="CA-2020-136497"/>
    <x v="217"/>
    <s v="RF-19840"/>
    <s v="Roy Französisch"/>
    <s v="United States"/>
    <x v="0"/>
    <x v="1"/>
    <s v="SpineVue Locking Slant-D Ring Binders by Cardinal"/>
    <n v="111.71"/>
    <n v="5"/>
    <n v="-10.054"/>
    <n v="-9.0000895175006708"/>
  </r>
  <r>
    <s v="CA-2020-151855"/>
    <x v="355"/>
    <s v="BW-11110"/>
    <s v="Bart Watters"/>
    <s v="United States"/>
    <x v="1"/>
    <x v="1"/>
    <s v="Fellowes Twister Kit, Gray/Clear, 3/pkg"/>
    <n v="115.06"/>
    <n v="5"/>
    <n v="-10.050000000000001"/>
    <n v="-8.7345732661220232"/>
  </r>
  <r>
    <s v="CA-2020-155824"/>
    <x v="94"/>
    <s v="KS-16300"/>
    <s v="Karen Seio"/>
    <s v="United States"/>
    <x v="1"/>
    <x v="1"/>
    <s v="Heavy-Duty E-Z-D Binders"/>
    <n v="112.092"/>
    <n v="4"/>
    <n v="-10.0372"/>
    <n v="-8.9544302894051331"/>
  </r>
  <r>
    <s v="CA-2020-139402"/>
    <x v="356"/>
    <s v="NC-18535"/>
    <s v="Nick Crebassa"/>
    <s v="United States"/>
    <x v="2"/>
    <x v="1"/>
    <s v="Acco Recycled 2&quot; Capacity Laser Printer Hanging Data Binders"/>
    <n v="118.005"/>
    <n v="3"/>
    <n v="-9.9704999999999995"/>
    <n v="-8.4492182534638367"/>
  </r>
  <r>
    <s v="US-2019-105452"/>
    <x v="15"/>
    <s v="BF-11005"/>
    <s v="Barry Franz"/>
    <s v="United States"/>
    <x v="3"/>
    <x v="2"/>
    <s v="Eldon Image Series Desk Accessories, Ebony"/>
    <n v="24.7"/>
    <n v="5"/>
    <n v="-9.8800000000000008"/>
    <n v="-40"/>
  </r>
  <r>
    <s v="CA-2019-126529"/>
    <x v="357"/>
    <s v="DE-13255"/>
    <s v="Deanra Eno"/>
    <s v="United States"/>
    <x v="0"/>
    <x v="0"/>
    <s v="Cyber Acoustics AC-202b Speech Recognition Stereo Headset"/>
    <n v="15.587999999999999"/>
    <n v="2"/>
    <n v="-9.8724000000000007"/>
    <n v="-63.333333333333343"/>
  </r>
  <r>
    <s v="US-2019-148901"/>
    <x v="220"/>
    <s v="MK-17905"/>
    <s v="Michael Kennedy"/>
    <s v="United States"/>
    <x v="1"/>
    <x v="1"/>
    <s v="Avery Heavy-Duty EZD  Binder With Locking Rings"/>
    <n v="13.391999999999999"/>
    <n v="8"/>
    <n v="-9.8208000000000002"/>
    <n v="-73.333333333333343"/>
  </r>
  <r>
    <s v="CA-2020-104927"/>
    <x v="67"/>
    <s v="AG-10330"/>
    <s v="Alex Grayson"/>
    <s v="United States"/>
    <x v="3"/>
    <x v="1"/>
    <s v="Cardinal HOLDit! Binder Insert Strips,Extra Strips"/>
    <n v="129.35"/>
    <n v="5"/>
    <n v="-9.8115000000000006"/>
    <n v="-7.5852338616157713"/>
  </r>
  <r>
    <s v="CA-2019-145177"/>
    <x v="214"/>
    <s v="PP-18955"/>
    <s v="Paul Prost"/>
    <s v="United States"/>
    <x v="0"/>
    <x v="0"/>
    <s v="Square Credit Card Reader"/>
    <n v="41.957999999999998"/>
    <n v="7"/>
    <n v="-9.7902000000000005"/>
    <n v="-23.333333333333336"/>
  </r>
  <r>
    <s v="CA-2019-124016"/>
    <x v="273"/>
    <s v="JS-15940"/>
    <s v="Joni Sundaresam"/>
    <s v="United States"/>
    <x v="0"/>
    <x v="1"/>
    <s v="Fellowes Black Plastic Comb Bindings"/>
    <n v="12.201000000000001"/>
    <n v="7"/>
    <n v="-9.7607999999999997"/>
    <n v="-80"/>
  </r>
  <r>
    <s v="CA-2020-151750"/>
    <x v="87"/>
    <s v="JM-15250"/>
    <s v="Janet Martin"/>
    <s v="United States"/>
    <x v="3"/>
    <x v="1"/>
    <s v="GBC Instant Report Kit"/>
    <n v="120.47"/>
    <n v="5"/>
    <n v="-9.7050000000000001"/>
    <n v="-8.0559475388063415"/>
  </r>
  <r>
    <s v="US-2019-132577"/>
    <x v="358"/>
    <s v="JE-15475"/>
    <s v="Jeremy Ellison"/>
    <s v="United States"/>
    <x v="3"/>
    <x v="1"/>
    <s v="Wilson Jones Impact Binders"/>
    <n v="6.2160000000000002"/>
    <n v="6"/>
    <n v="-9.6348000000000003"/>
    <n v="-155"/>
  </r>
  <r>
    <s v="CA-2019-130680"/>
    <x v="309"/>
    <s v="BD-11320"/>
    <s v="Bill Donatelli"/>
    <s v="United States"/>
    <x v="2"/>
    <x v="0"/>
    <s v="Macally Suction Cup Mount"/>
    <n v="38.24"/>
    <n v="4"/>
    <n v="-9.56"/>
    <n v="-25"/>
  </r>
  <r>
    <s v="CA-2020-158953"/>
    <x v="318"/>
    <s v="ML-18040"/>
    <s v="Michelle Lonsdale"/>
    <s v="United States"/>
    <x v="3"/>
    <x v="1"/>
    <s v="Presstex Flexible Ring Binders"/>
    <n v="115.37"/>
    <n v="7"/>
    <n v="-9.5549999999999997"/>
    <n v="-8.2820490595475409"/>
  </r>
  <r>
    <s v="CA-2019-124562"/>
    <x v="83"/>
    <s v="JP-16135"/>
    <s v="Julie Prescott"/>
    <s v="United States"/>
    <x v="0"/>
    <x v="1"/>
    <s v="Universal Recycled Hanging Pressboard Report Binders, Letter Size"/>
    <n v="12.957000000000001"/>
    <n v="7"/>
    <n v="-9.5017999999999994"/>
    <n v="-73.333333333333329"/>
  </r>
  <r>
    <s v="CA-2019-166373"/>
    <x v="72"/>
    <s v="JF-15565"/>
    <s v="Jill Fjeld"/>
    <s v="United States"/>
    <x v="3"/>
    <x v="0"/>
    <s v="SanDisk Ultra 32 GB MicroSDHC Class 10 Memory Card"/>
    <n v="106.08"/>
    <n v="6"/>
    <n v="-9.282"/>
    <n v="-8.75"/>
  </r>
  <r>
    <s v="CA-2020-144526"/>
    <x v="105"/>
    <s v="QJ-19255"/>
    <s v="Quincy Jones"/>
    <s v="United States"/>
    <x v="0"/>
    <x v="1"/>
    <s v="GBC VeloBind Cover Sets"/>
    <n v="108.896"/>
    <n v="3"/>
    <n v="-9.2639999999999993"/>
    <n v="-8.5071995298266234"/>
  </r>
  <r>
    <s v="CA-2020-134845"/>
    <x v="2"/>
    <s v="SR-20425"/>
    <s v="Sharelle Roach"/>
    <s v="United States"/>
    <x v="2"/>
    <x v="1"/>
    <s v="Insertable Tab Post Binder Dividers"/>
    <n v="127.03"/>
    <n v="5"/>
    <n v="-9.2230000000000008"/>
    <n v="-7.2604896481146195"/>
  </r>
  <r>
    <s v="US-2019-157490"/>
    <x v="13"/>
    <s v="LB-16795"/>
    <s v="Laurel Beltran"/>
    <s v="United States"/>
    <x v="2"/>
    <x v="1"/>
    <s v="Avery Framed View Binder, EZD Ring (Locking), Navy, 1 1/2&quot;"/>
    <n v="11.976000000000001"/>
    <n v="4"/>
    <n v="-9.1815999999999995"/>
    <n v="-76.666666666666657"/>
  </r>
  <r>
    <s v="US-2019-125969"/>
    <x v="264"/>
    <s v="LS-16975"/>
    <s v="Lindsay Shagiari"/>
    <s v="United States"/>
    <x v="2"/>
    <x v="2"/>
    <s v="Global Task Chair, Black"/>
    <n v="81.424000000000007"/>
    <n v="2"/>
    <n v="-9.1601999999999997"/>
    <n v="-11.249999999999998"/>
  </r>
  <r>
    <s v="CA-2019-146325"/>
    <x v="359"/>
    <s v="DS-13180"/>
    <s v="David Smith"/>
    <s v="United States"/>
    <x v="2"/>
    <x v="2"/>
    <s v="Global Task Chair, Black"/>
    <n v="81.424000000000007"/>
    <n v="2"/>
    <n v="-9.1601999999999997"/>
    <n v="-11.249999999999998"/>
  </r>
  <r>
    <s v="CA-2020-156622"/>
    <x v="254"/>
    <s v="JP-15460"/>
    <s v="Jennifer Patt"/>
    <s v="United States"/>
    <x v="3"/>
    <x v="1"/>
    <s v="Aluminum Screw Posts"/>
    <n v="118.104"/>
    <n v="2"/>
    <n v="-9.1560000000000006"/>
    <n v="-7.7524893314367"/>
  </r>
  <r>
    <s v="CA-2019-159989"/>
    <x v="260"/>
    <s v="EB-13870"/>
    <s v="Emily Burns"/>
    <s v="United States"/>
    <x v="1"/>
    <x v="0"/>
    <s v="ARKON Windshield Dashboard Air Vent Car Mount Holder"/>
    <n v="40.68"/>
    <n v="3"/>
    <n v="-9.1530000000000005"/>
    <n v="-22.5"/>
  </r>
  <r>
    <s v="CA-2019-140018"/>
    <x v="284"/>
    <s v="CK-12205"/>
    <s v="Chloris Kastensmidt"/>
    <s v="United States"/>
    <x v="0"/>
    <x v="2"/>
    <s v="Global Value Steno Chair, Gray"/>
    <n v="127.554"/>
    <n v="3"/>
    <n v="-9.1110000000000007"/>
    <n v="-7.1428571428571441"/>
  </r>
  <r>
    <s v="US-2020-160759"/>
    <x v="33"/>
    <s v="AI-10855"/>
    <s v="Arianne Irving"/>
    <s v="United States"/>
    <x v="0"/>
    <x v="2"/>
    <s v="Leather Task Chair, Black"/>
    <n v="483.68599999999998"/>
    <n v="1"/>
    <n v="-9.0980000000000008"/>
    <n v="-1.8809723663699178"/>
  </r>
  <r>
    <s v="CA-2019-169922"/>
    <x v="335"/>
    <s v="MZ-17515"/>
    <s v="Mary Zewe"/>
    <s v="United States"/>
    <x v="3"/>
    <x v="2"/>
    <s v="Stacking Tray, Side-Loading, Legal, Smoke"/>
    <n v="12.544"/>
    <n v="7"/>
    <n v="-9.0944000000000003"/>
    <n v="-72.5"/>
  </r>
  <r>
    <s v="CA-2020-169439"/>
    <x v="37"/>
    <s v="LC-17140"/>
    <s v="Logan Currie"/>
    <s v="United States"/>
    <x v="0"/>
    <x v="2"/>
    <s v="Deflect-o EconoMat Studded, No Bevel Mat for Low Pile Carpeting"/>
    <n v="171.11199999999999"/>
    <n v="2"/>
    <n v="-9.0904000000000007"/>
    <n v="-5.3125438309411379"/>
  </r>
  <r>
    <s v="CA-2020-117870"/>
    <x v="271"/>
    <s v="JH-15820"/>
    <s v="John Huston"/>
    <s v="United States"/>
    <x v="0"/>
    <x v="0"/>
    <s v="Anker Ultrathin Bluetooth Wireless Keyboard Aluminum Cover with Stand"/>
    <n v="117.976"/>
    <n v="3"/>
    <n v="-8.9969999999999999"/>
    <n v="-7.6261273479351726"/>
  </r>
  <r>
    <s v="US-2020-125647"/>
    <x v="71"/>
    <s v="LC-16870"/>
    <s v="Lena Cacioppo"/>
    <s v="United States"/>
    <x v="3"/>
    <x v="0"/>
    <s v="OtterBox Commuter Series Case - Samsung Galaxy S4"/>
    <n v="157.98400000000001"/>
    <n v="2"/>
    <n v="-8.9963999999999995"/>
    <n v="-5.6945007089325497"/>
  </r>
  <r>
    <s v="US-2020-132206"/>
    <x v="360"/>
    <s v="MK-17905"/>
    <s v="Michael Kennedy"/>
    <s v="United States"/>
    <x v="3"/>
    <x v="1"/>
    <s v="Storex DuraTech Recycled Plastic Frosted Binders"/>
    <n v="107.93600000000001"/>
    <n v="7"/>
    <n v="-8.9039999999999999"/>
    <n v="-8.2493329380373535"/>
  </r>
  <r>
    <s v="US-2020-137491"/>
    <x v="4"/>
    <s v="LC-16930"/>
    <s v="Linda Cazamias"/>
    <s v="United States"/>
    <x v="3"/>
    <x v="2"/>
    <s v="Lifetime Advantage Folding Chairs, 4/Carton"/>
    <n v="315.31200000000001"/>
    <n v="2"/>
    <n v="-8.7232000000000003"/>
    <n v="-2.7665296595118485"/>
  </r>
  <r>
    <s v="CA-2019-156573"/>
    <x v="361"/>
    <s v="RB-19360"/>
    <s v="Raymond Buch"/>
    <s v="United States"/>
    <x v="1"/>
    <x v="1"/>
    <s v="GBC ProClick Spines for 32-Hole Punch"/>
    <n v="11.276999999999999"/>
    <n v="3"/>
    <n v="-8.6456999999999997"/>
    <n v="-76.666666666666671"/>
  </r>
  <r>
    <s v="US-2020-141558"/>
    <x v="91"/>
    <s v="MH-17290"/>
    <s v="Marc Harrigan"/>
    <s v="United States"/>
    <x v="0"/>
    <x v="1"/>
    <s v="Avery Trapezoid Ring Binder, 3&quot; Capacity, Black, 1040 sheets"/>
    <n v="107.294"/>
    <n v="1"/>
    <n v="-8.6058000000000003"/>
    <n v="-8.0207653736462436"/>
  </r>
  <r>
    <s v="US-2020-146878"/>
    <x v="362"/>
    <s v="DL-12865"/>
    <s v="Dan Lawera"/>
    <s v="United States"/>
    <x v="1"/>
    <x v="1"/>
    <s v="Avery Trapezoid Ring Binder, 3&quot; Capacity, Black, 1040 sheets"/>
    <n v="111.294"/>
    <n v="1"/>
    <n v="-8.6058000000000003"/>
    <n v="-7.732492317645157"/>
  </r>
  <r>
    <s v="CA-2020-163265"/>
    <x v="363"/>
    <s v="JS-16030"/>
    <s v="Joy Smith"/>
    <s v="United States"/>
    <x v="3"/>
    <x v="2"/>
    <s v="Global Deluxe High-Back Manager's Chair"/>
    <n v="631.55799999999999"/>
    <n v="3"/>
    <n v="-8.5793999999999997"/>
    <n v="-1.3584500552601662"/>
  </r>
  <r>
    <s v="CA-2020-144491"/>
    <x v="182"/>
    <s v="CJ-12010"/>
    <s v="Caroline Jumper"/>
    <s v="United States"/>
    <x v="3"/>
    <x v="2"/>
    <s v="Global Deluxe High-Back Manager's Chair"/>
    <n v="634.55799999999999"/>
    <n v="3"/>
    <n v="-8.5793999999999997"/>
    <n v="-1.3520277106269245"/>
  </r>
  <r>
    <s v="CA-2019-149349"/>
    <x v="300"/>
    <s v="SP-20650"/>
    <s v="Stephanie Phelps"/>
    <s v="United States"/>
    <x v="3"/>
    <x v="2"/>
    <s v="DAX Charcoal/Nickel-Tone Document Frame, 5 x 7"/>
    <n v="22.751999999999999"/>
    <n v="6"/>
    <n v="-8.532"/>
    <n v="-37.5"/>
  </r>
  <r>
    <s v="CA-2020-152583"/>
    <x v="177"/>
    <s v="RA-19945"/>
    <s v="Ryan Akin"/>
    <s v="United States"/>
    <x v="3"/>
    <x v="2"/>
    <s v="DAX Metal Frame, Desktop, Stepped-Edge"/>
    <n v="91.191999999999993"/>
    <n v="2"/>
    <n v="-8.5007999999999999"/>
    <n v="-9.3218703395034659"/>
  </r>
  <r>
    <s v="CA-2019-145261"/>
    <x v="60"/>
    <s v="AH-10120"/>
    <s v="Adrian Hane"/>
    <s v="United States"/>
    <x v="2"/>
    <x v="0"/>
    <s v="Sony Micro Vault Click 8 GB USB 2.0 Flash Drive"/>
    <n v="112.776"/>
    <n v="3"/>
    <n v="-8.4581999999999997"/>
    <n v="-7.5"/>
  </r>
  <r>
    <s v="CA-2019-164399"/>
    <x v="300"/>
    <s v="DW-13480"/>
    <s v="Dianna Wilson"/>
    <s v="United States"/>
    <x v="2"/>
    <x v="2"/>
    <s v="Global Adaptabilities Conference Tables"/>
    <n v="674.35199999999998"/>
    <n v="3"/>
    <n v="-8.4293999999999993"/>
    <n v="-1.25"/>
  </r>
  <r>
    <s v="CA-2020-144638"/>
    <x v="94"/>
    <s v="MH-18115"/>
    <s v="Mick Hernandez"/>
    <s v="United States"/>
    <x v="0"/>
    <x v="0"/>
    <s v="Cisco SPA525G2 IP Phone - Wireless"/>
    <n v="128.91"/>
    <n v="3"/>
    <n v="-8.3789999999999996"/>
    <n v="-6.4998836397486617"/>
  </r>
  <r>
    <s v="CA-2019-144764"/>
    <x v="110"/>
    <s v="RL-19615"/>
    <s v="Rob Lucas"/>
    <s v="United States"/>
    <x v="3"/>
    <x v="1"/>
    <s v="Rogers Deluxe File Chest"/>
    <n v="35.167999999999999"/>
    <n v="2"/>
    <n v="-8.3523999999999994"/>
    <n v="-23.75"/>
  </r>
  <r>
    <s v="US-2020-107979"/>
    <x v="207"/>
    <s v="FO-14305"/>
    <s v="Frank Olsen"/>
    <s v="United States"/>
    <x v="2"/>
    <x v="1"/>
    <s v="Rogers Deluxe File Chest"/>
    <n v="151.16800000000001"/>
    <n v="2"/>
    <n v="-8.3523999999999994"/>
    <n v="-5.5252434377646056"/>
  </r>
  <r>
    <s v="CA-2019-112256"/>
    <x v="138"/>
    <s v="CK-12205"/>
    <s v="Chloris Kastensmidt"/>
    <s v="United States"/>
    <x v="3"/>
    <x v="1"/>
    <s v="Storex Dura Pro Binders"/>
    <n v="4.7519999999999998"/>
    <n v="4"/>
    <n v="-8.3160000000000007"/>
    <n v="-175.00000000000003"/>
  </r>
  <r>
    <s v="US-2020-108315"/>
    <x v="105"/>
    <s v="MH-18115"/>
    <s v="Mick Hernandez"/>
    <s v="United States"/>
    <x v="1"/>
    <x v="2"/>
    <s v="Tenex B1-RE Series Chair Mats for Low Pile Carpets"/>
    <n v="256.70400000000001"/>
    <n v="6"/>
    <n v="-8.2764000000000006"/>
    <n v="-3.2241024682124162"/>
  </r>
  <r>
    <s v="CA-2019-155670"/>
    <x v="108"/>
    <s v="EM-14065"/>
    <s v="Erin Mull"/>
    <s v="United States"/>
    <x v="1"/>
    <x v="1"/>
    <s v="Acco Translucent Poly Ring Binders"/>
    <n v="11.231999999999999"/>
    <n v="8"/>
    <n v="-8.2368000000000006"/>
    <n v="-73.333333333333343"/>
  </r>
  <r>
    <s v="CA-2020-163265"/>
    <x v="363"/>
    <s v="JS-16030"/>
    <s v="Joy Smith"/>
    <s v="United States"/>
    <x v="3"/>
    <x v="1"/>
    <s v="Tennsco Lockers, Gray"/>
    <n v="156.352"/>
    <n v="3"/>
    <n v="-8.1821999999999999"/>
    <n v="-5.2331917724109704"/>
  </r>
  <r>
    <s v="CA-2019-141957"/>
    <x v="364"/>
    <s v="JG-15310"/>
    <s v="Jason Gross"/>
    <s v="United States"/>
    <x v="0"/>
    <x v="1"/>
    <s v="Wilson Jones 1&quot; Hanging DublLock Ring Binders"/>
    <n v="11.087999999999999"/>
    <n v="7"/>
    <n v="-8.1311999999999998"/>
    <n v="-73.333333333333343"/>
  </r>
  <r>
    <s v="US-2020-132927"/>
    <x v="356"/>
    <s v="RD-19720"/>
    <s v="Roger Demir"/>
    <s v="United States"/>
    <x v="0"/>
    <x v="1"/>
    <s v="Wilson Jones 1&quot; Hanging DublLock Ring Binders"/>
    <n v="106.08799999999999"/>
    <n v="7"/>
    <n v="-8.1311999999999998"/>
    <n v="-7.6645803483900155"/>
  </r>
  <r>
    <s v="CA-2020-107958"/>
    <x v="365"/>
    <s v="AH-10120"/>
    <s v="Adrian Hane"/>
    <s v="United States"/>
    <x v="3"/>
    <x v="1"/>
    <s v="Wilson Jones Four-Pocket Poly Binders"/>
    <n v="112.232"/>
    <n v="4"/>
    <n v="-8.1096000000000004"/>
    <n v="-7.225746667617079"/>
  </r>
  <r>
    <s v="CA-2019-143910"/>
    <x v="63"/>
    <s v="BC-11125"/>
    <s v="Becky Castell"/>
    <s v="United States"/>
    <x v="0"/>
    <x v="2"/>
    <s v="Global Geo Office Task Chair, Gray"/>
    <n v="145.76400000000001"/>
    <n v="2"/>
    <n v="-8.0980000000000008"/>
    <n v="-5.5555555555555562"/>
  </r>
  <r>
    <s v="CA-2019-141397"/>
    <x v="295"/>
    <s v="RC-19825"/>
    <s v="Roy Collins"/>
    <s v="United States"/>
    <x v="2"/>
    <x v="2"/>
    <s v="Hon Valutask Swivel Chairs"/>
    <n v="161.56800000000001"/>
    <n v="2"/>
    <n v="-8.0784000000000002"/>
    <n v="-5"/>
  </r>
  <r>
    <s v="CA-2020-161067"/>
    <x v="140"/>
    <s v="KB-16405"/>
    <s v="Katrina Bavinger"/>
    <s v="United States"/>
    <x v="0"/>
    <x v="2"/>
    <s v="Global Low Back Tilter Chair"/>
    <n v="193.76400000000001"/>
    <n v="2"/>
    <n v="-8.0784000000000002"/>
    <n v="-4.169195516194959"/>
  </r>
  <r>
    <s v="CA-2020-102379"/>
    <x v="18"/>
    <s v="BB-11545"/>
    <s v="Brenda Bowman"/>
    <s v="United States"/>
    <x v="2"/>
    <x v="0"/>
    <s v="Anker Astro 15000mAh USB Portable Charger"/>
    <n v="134.99199999999999"/>
    <n v="1"/>
    <n v="-7.9984000000000002"/>
    <n v="-5.9250918572952473"/>
  </r>
  <r>
    <s v="US-2019-126452"/>
    <x v="43"/>
    <s v="SC-20230"/>
    <s v="Scot Coram"/>
    <s v="United States"/>
    <x v="2"/>
    <x v="0"/>
    <s v="Anker Astro Mini 3000mAh Ultra-Compact Portable Charger"/>
    <n v="31.984000000000002"/>
    <n v="2"/>
    <n v="-7.9960000000000004"/>
    <n v="-25"/>
  </r>
  <r>
    <s v="CA-2020-135909"/>
    <x v="114"/>
    <s v="JW-15220"/>
    <s v="Jane Waco"/>
    <s v="United States"/>
    <x v="2"/>
    <x v="0"/>
    <s v="Anker Astro Mini 3000mAh Ultra-Compact Portable Charger"/>
    <n v="125.98399999999999"/>
    <n v="2"/>
    <n v="-7.9960000000000004"/>
    <n v="-6.3468376936753872"/>
  </r>
  <r>
    <s v="CA-2019-118934"/>
    <x v="366"/>
    <s v="GH-14410"/>
    <s v="Gary Hansen"/>
    <s v="United States"/>
    <x v="1"/>
    <x v="1"/>
    <s v="Avery Durable Slant Ring Binders"/>
    <n v="11.88"/>
    <n v="5"/>
    <n v="-7.92"/>
    <n v="-66.666666666666657"/>
  </r>
  <r>
    <s v="CA-2020-122028"/>
    <x v="243"/>
    <s v="CK-12205"/>
    <s v="Chloris Kastensmidt"/>
    <s v="United States"/>
    <x v="0"/>
    <x v="1"/>
    <s v="GBC Personal VeloBind Strips"/>
    <n v="121.782"/>
    <n v="3"/>
    <n v="-7.9067999999999996"/>
    <n v="-6.4925851111001629"/>
  </r>
  <r>
    <s v="US-2019-100419"/>
    <x v="367"/>
    <s v="CC-12670"/>
    <s v="Craig Carreira"/>
    <s v="United States"/>
    <x v="3"/>
    <x v="1"/>
    <s v="Cardinal Hold-It CD Pocket"/>
    <n v="4.7880000000000003"/>
    <n v="3"/>
    <n v="-7.9001999999999999"/>
    <n v="-165"/>
  </r>
  <r>
    <s v="CA-2019-109827"/>
    <x v="36"/>
    <s v="LW-16825"/>
    <s v="Laurel Workman"/>
    <s v="United States"/>
    <x v="2"/>
    <x v="0"/>
    <s v="Imation Clip USB flash drive - 8 GB"/>
    <n v="45.12"/>
    <n v="3"/>
    <n v="-7.8959999999999999"/>
    <n v="-17.5"/>
  </r>
  <r>
    <s v="CA-2019-129308"/>
    <x v="270"/>
    <s v="CC-12100"/>
    <s v="Chad Cunningham"/>
    <s v="United States"/>
    <x v="0"/>
    <x v="1"/>
    <s v="GBC Standard Plastic Binding Systems' Combs"/>
    <n v="9.42"/>
    <n v="5"/>
    <n v="-7.85"/>
    <n v="-83.333333333333329"/>
  </r>
  <r>
    <s v="CA-2020-157112"/>
    <x v="327"/>
    <s v="GG-14650"/>
    <s v="Greg Guthrie"/>
    <s v="United States"/>
    <x v="0"/>
    <x v="1"/>
    <s v="XtraLife ClearVue Slant-D Ring Binders by Cardinal"/>
    <n v="107.76"/>
    <n v="5"/>
    <n v="-7.84"/>
    <n v="-7.2754268745360049"/>
  </r>
  <r>
    <s v="CA-2020-110429"/>
    <x v="368"/>
    <s v="DM-13015"/>
    <s v="Darrin Martin"/>
    <s v="United States"/>
    <x v="0"/>
    <x v="1"/>
    <s v="Mead 1st Gear 2&quot; Zipper Binder, Asst. Colors"/>
    <n v="149.673"/>
    <n v="3"/>
    <n v="-7.782"/>
    <n v="-5.1993345493175118"/>
  </r>
  <r>
    <s v="US-2020-128118"/>
    <x v="225"/>
    <s v="MY-17380"/>
    <s v="Maribeth Yedwab"/>
    <s v="United States"/>
    <x v="1"/>
    <x v="1"/>
    <s v="Mead 1st Gear 2&quot; Zipper Binder, Asst. Colors"/>
    <n v="101.673"/>
    <n v="3"/>
    <n v="-7.782"/>
    <n v="-7.6539494261013257"/>
  </r>
  <r>
    <s v="US-2019-115455"/>
    <x v="49"/>
    <s v="SE-20110"/>
    <s v="Sanjit Engle"/>
    <s v="United States"/>
    <x v="3"/>
    <x v="2"/>
    <s v="Executive Impressions 12&quot; Wall Clock"/>
    <n v="14.135999999999999"/>
    <n v="2"/>
    <n v="-7.7747999999999999"/>
    <n v="-55.000000000000007"/>
  </r>
  <r>
    <s v="CA-2019-127243"/>
    <x v="173"/>
    <s v="DS-13180"/>
    <s v="David Smith"/>
    <s v="United States"/>
    <x v="0"/>
    <x v="1"/>
    <s v="Tennsco Commercial Shelving"/>
    <n v="32.543999999999997"/>
    <n v="2"/>
    <n v="-7.7291999999999996"/>
    <n v="-23.75"/>
  </r>
  <r>
    <s v="US-2020-156356"/>
    <x v="217"/>
    <s v="ND-18370"/>
    <s v="Natalie DeCherney"/>
    <s v="United States"/>
    <x v="3"/>
    <x v="1"/>
    <s v="Tennsco Commercial Shelving"/>
    <n v="154.54400000000001"/>
    <n v="2"/>
    <n v="-7.7291999999999996"/>
    <n v="-5.0012941298271034"/>
  </r>
  <r>
    <s v="US-2020-100930"/>
    <x v="68"/>
    <s v="CS-12400"/>
    <s v="Christopher Schild"/>
    <s v="United States"/>
    <x v="1"/>
    <x v="0"/>
    <s v="Logitech P710e Mobile Speakerphone"/>
    <n v="654.976"/>
    <n v="3"/>
    <n v="-7.7247000000000003"/>
    <n v="-1.1793867256204809"/>
  </r>
  <r>
    <s v="CA-2019-153577"/>
    <x v="369"/>
    <s v="KH-16330"/>
    <s v="Katharine Harms"/>
    <s v="United States"/>
    <x v="3"/>
    <x v="2"/>
    <s v="Global Commerce Series Low-Back Swivel/Tilt Chairs"/>
    <n v="539.65800000000002"/>
    <n v="3"/>
    <n v="-7.7093999999999996"/>
    <n v="-1.4285714285714286"/>
  </r>
  <r>
    <s v="CA-2020-142671"/>
    <x v="31"/>
    <s v="DR-12940"/>
    <s v="Daniel Raglin"/>
    <s v="United States"/>
    <x v="1"/>
    <x v="1"/>
    <s v="GBC VeloBinder Strips"/>
    <n v="126.52"/>
    <n v="5"/>
    <n v="-7.68"/>
    <n v="-6.0701865317736328"/>
  </r>
  <r>
    <s v="CA-2019-134936"/>
    <x v="78"/>
    <s v="ES-14080"/>
    <s v="Erin Smith"/>
    <s v="United States"/>
    <x v="2"/>
    <x v="1"/>
    <s v="Wilson Jones Clip &amp; Carry Folder Binder Tool for Ring Binders, Clear"/>
    <n v="10.44"/>
    <n v="6"/>
    <n v="-7.6559999999999997"/>
    <n v="-73.333333333333343"/>
  </r>
  <r>
    <s v="US-2019-148901"/>
    <x v="220"/>
    <s v="MK-17905"/>
    <s v="Michael Kennedy"/>
    <s v="United States"/>
    <x v="1"/>
    <x v="1"/>
    <s v="Wilson Jones International Size A4 Ring Binders"/>
    <n v="10.38"/>
    <n v="2"/>
    <n v="-7.6120000000000001"/>
    <n v="-73.333333333333329"/>
  </r>
  <r>
    <s v="CA-2020-165757"/>
    <x v="286"/>
    <s v="PL-18925"/>
    <s v="Paul Lucas"/>
    <s v="United States"/>
    <x v="0"/>
    <x v="1"/>
    <s v="GBC Plasticlear Binding Covers"/>
    <n v="113.33199999999999"/>
    <n v="3"/>
    <n v="-7.5768000000000004"/>
    <n v="-6.685490417534325"/>
  </r>
  <r>
    <s v="CA-2020-133067"/>
    <x v="370"/>
    <s v="MY-18295"/>
    <s v="Muhammed Yedwab"/>
    <s v="United States"/>
    <x v="0"/>
    <x v="1"/>
    <s v="Avery 3 1/2&quot; Diskette Storage Pages, 10/Pack"/>
    <n v="93.396000000000001"/>
    <n v="3"/>
    <n v="-7.5167999999999999"/>
    <n v="-8.048310420146473"/>
  </r>
  <r>
    <s v="US-2020-165344"/>
    <x v="14"/>
    <s v="SB-20290"/>
    <s v="Sean Braxton"/>
    <s v="United States"/>
    <x v="0"/>
    <x v="1"/>
    <s v="Accohide Poly Flexible Ring Binders"/>
    <n v="99.22"/>
    <n v="10"/>
    <n v="-7.48"/>
    <n v="-7.5388026607538805"/>
  </r>
  <r>
    <s v="CA-2019-162383"/>
    <x v="100"/>
    <s v="MD-17350"/>
    <s v="Maribeth Dona"/>
    <s v="United States"/>
    <x v="0"/>
    <x v="1"/>
    <s v="Recycled Easel Ring Binders"/>
    <n v="8.952"/>
    <n v="2"/>
    <n v="-7.46"/>
    <n v="-83.333333333333343"/>
  </r>
  <r>
    <s v="US-2020-145366"/>
    <x v="356"/>
    <s v="CA-12310"/>
    <s v="Christine Abelman"/>
    <s v="United States"/>
    <x v="0"/>
    <x v="1"/>
    <s v="Safco Commercial Shelving"/>
    <n v="111.208"/>
    <n v="1"/>
    <n v="-7.4416000000000002"/>
    <n v="-6.6916049205093158"/>
  </r>
  <r>
    <s v="CA-2019-128531"/>
    <x v="289"/>
    <s v="NS-18505"/>
    <s v="Neola Schneider"/>
    <s v="United States"/>
    <x v="3"/>
    <x v="0"/>
    <s v="Logitech G19 Programmable Gaming Keyboard"/>
    <n v="297.57600000000002"/>
    <n v="3"/>
    <n v="-7.4394"/>
    <n v="-2.5"/>
  </r>
  <r>
    <s v="CA-2020-161172"/>
    <x v="160"/>
    <s v="SP-20920"/>
    <s v="Susan Pistek"/>
    <s v="United States"/>
    <x v="0"/>
    <x v="0"/>
    <s v="OtterBox Defender Series Case - iPhone 5c"/>
    <n v="128.376"/>
    <n v="2"/>
    <n v="-7.3959999999999999"/>
    <n v="-5.7612014706798771"/>
  </r>
  <r>
    <s v="US-2020-119438"/>
    <x v="46"/>
    <s v="CD-11980"/>
    <s v="Carol Darley"/>
    <s v="United States"/>
    <x v="3"/>
    <x v="1"/>
    <s v="Hoover Portapower Portable Vacuum"/>
    <n v="82.688000000000002"/>
    <n v="3"/>
    <n v="-7.3920000000000003"/>
    <n v="-8.939628482972136"/>
  </r>
  <r>
    <s v="CA-2019-154536"/>
    <x v="100"/>
    <s v="JC-15340"/>
    <s v="Jasper Cacioppo"/>
    <s v="United States"/>
    <x v="0"/>
    <x v="1"/>
    <s v="C-Line Peel &amp; Stick Add-On Filing Pockets, 8-3/4 x 5-1/8, 10/Pack"/>
    <n v="9.5549999999999997"/>
    <n v="5"/>
    <n v="-7.3254999999999999"/>
    <n v="-76.666666666666671"/>
  </r>
  <r>
    <s v="CA-2020-105991"/>
    <x v="109"/>
    <s v="LH-17020"/>
    <s v="Lisa Hazard"/>
    <s v="United States"/>
    <x v="2"/>
    <x v="1"/>
    <s v="Avery Durable Slant Ring Binders, No Labels"/>
    <n v="120.55200000000001"/>
    <n v="8"/>
    <n v="-7.3231999999999999"/>
    <n v="-6.0747229411374342"/>
  </r>
  <r>
    <s v="CA-2020-157966"/>
    <x v="52"/>
    <s v="SU-20665"/>
    <s v="Stephanie Ulpright"/>
    <s v="United States"/>
    <x v="3"/>
    <x v="0"/>
    <s v="Plantronics MX500i Earset"/>
    <n v="130.36000000000001"/>
    <n v="1"/>
    <n v="-7.3014999999999999"/>
    <n v="-5.6010279226756667"/>
  </r>
  <r>
    <s v="CA-2020-136364"/>
    <x v="371"/>
    <s v="MH-17455"/>
    <s v="Mark Hamilton"/>
    <s v="United States"/>
    <x v="0"/>
    <x v="0"/>
    <s v="Cisco SPA508G"/>
    <n v="133.59399999999999"/>
    <n v="1"/>
    <n v="-7.2588999999999997"/>
    <n v="-5.4335524050481308"/>
  </r>
  <r>
    <s v="CA-2020-105620"/>
    <x v="141"/>
    <s v="JH-15430"/>
    <s v="Jennifer Halladay"/>
    <s v="United States"/>
    <x v="1"/>
    <x v="0"/>
    <s v="Lexmark 20R1285 X6650 Wireless All-in-One Printer"/>
    <n v="434"/>
    <n v="2"/>
    <n v="-7.2"/>
    <n v="-1.6589861751152075"/>
  </r>
  <r>
    <s v="CA-2019-119186"/>
    <x v="154"/>
    <s v="MS-17710"/>
    <s v="Maurice Satty"/>
    <s v="United States"/>
    <x v="3"/>
    <x v="0"/>
    <s v="Logitech G13 Programmable Gameboard with LCD Display"/>
    <n v="63.991999999999997"/>
    <n v="1"/>
    <n v="-7.1990999999999996"/>
    <n v="-11.25"/>
  </r>
  <r>
    <s v="CA-2019-145261"/>
    <x v="60"/>
    <s v="AH-10120"/>
    <s v="Adrian Hane"/>
    <s v="United States"/>
    <x v="2"/>
    <x v="0"/>
    <s v="Macally Suction Cup Mount"/>
    <n v="28.68"/>
    <n v="3"/>
    <n v="-7.17"/>
    <n v="-25"/>
  </r>
  <r>
    <s v="CA-2020-113075"/>
    <x v="149"/>
    <s v="MC-18100"/>
    <s v="Mick Crebagga"/>
    <s v="United States"/>
    <x v="3"/>
    <x v="0"/>
    <s v="Kingston Digital DataTraveler 32GB USB 2.0"/>
    <n v="142.68"/>
    <n v="3"/>
    <n v="-7.1189999999999998"/>
    <n v="-4.9894869638351551"/>
  </r>
  <r>
    <s v="CA-2019-106306"/>
    <x v="277"/>
    <s v="PG-18820"/>
    <s v="Patrick Gardner"/>
    <s v="United States"/>
    <x v="2"/>
    <x v="1"/>
    <s v="GBC Standard Recycled Report Covers, Clear Plastic Sheets"/>
    <n v="9.702"/>
    <n v="3"/>
    <n v="-7.1147999999999998"/>
    <n v="-73.333333333333329"/>
  </r>
  <r>
    <s v="CA-2019-157511"/>
    <x v="99"/>
    <s v="SV-20365"/>
    <s v="Seth Vernon"/>
    <s v="United States"/>
    <x v="0"/>
    <x v="2"/>
    <s v="Situations Contoured Folding Chairs, 4/Set"/>
    <n v="99.372"/>
    <n v="2"/>
    <n v="-7.0979999999999999"/>
    <n v="-7.1428571428571423"/>
  </r>
  <r>
    <s v="CA-2020-156958"/>
    <x v="372"/>
    <s v="PB-18805"/>
    <s v="Patrick Bzostek"/>
    <s v="United States"/>
    <x v="2"/>
    <x v="0"/>
    <s v="Cyber Acoustics AC-202b Speech Recognition Stereo Headset"/>
    <n v="109.176"/>
    <n v="3"/>
    <n v="-7.0145999999999997"/>
    <n v="-6.4250384699934049"/>
  </r>
  <r>
    <s v="CA-2020-140298"/>
    <x v="40"/>
    <s v="JK-16120"/>
    <s v="Julie Kriz"/>
    <s v="United States"/>
    <x v="3"/>
    <x v="2"/>
    <s v="Telescoping Adjustable Floor Lamp"/>
    <n v="118.996"/>
    <n v="1"/>
    <n v="-6.9965000000000002"/>
    <n v="-5.8796093986352487"/>
  </r>
  <r>
    <s v="CA-2019-131968"/>
    <x v="373"/>
    <s v="LB-16795"/>
    <s v="Laurel Beltran"/>
    <s v="United States"/>
    <x v="1"/>
    <x v="1"/>
    <s v="Ibico Standard Transparent Covers"/>
    <n v="9.8879999999999999"/>
    <n v="2"/>
    <n v="-6.9215999999999998"/>
    <n v="-70"/>
  </r>
  <r>
    <s v="US-2019-148334"/>
    <x v="312"/>
    <s v="DD-13570"/>
    <s v="Dorothy Dickinson"/>
    <s v="United States"/>
    <x v="3"/>
    <x v="1"/>
    <s v="GBC Standard Recycled Report Covers, Clear Plastic Sheets"/>
    <n v="4.3120000000000003"/>
    <n v="2"/>
    <n v="-6.8992000000000004"/>
    <n v="-160"/>
  </r>
  <r>
    <s v="CA-2019-128706"/>
    <x v="374"/>
    <s v="DW-13540"/>
    <s v="Don Weiss"/>
    <s v="United States"/>
    <x v="3"/>
    <x v="2"/>
    <s v="DAX Two-Tone Silver Metal Document Frame"/>
    <n v="16.192"/>
    <n v="2"/>
    <n v="-6.8815999999999997"/>
    <n v="-42.5"/>
  </r>
  <r>
    <s v="CA-2020-124191"/>
    <x v="375"/>
    <s v="TS-21610"/>
    <s v="Troy Staebel"/>
    <s v="United States"/>
    <x v="3"/>
    <x v="2"/>
    <s v="Eldon Expressions Wood Desk Accessories, Oak"/>
    <n v="83.855999999999995"/>
    <n v="3"/>
    <n v="-6.8634000000000004"/>
    <n v="-8.1847452776187755"/>
  </r>
  <r>
    <s v="CA-2020-163160"/>
    <x v="114"/>
    <s v="TS-21610"/>
    <s v="Troy Staebel"/>
    <s v="United States"/>
    <x v="3"/>
    <x v="2"/>
    <s v="Dax Clear Box Frame"/>
    <n v="96.475999999999999"/>
    <n v="3"/>
    <n v="-6.8094000000000001"/>
    <n v="-7.0581284464530034"/>
  </r>
  <r>
    <s v="US-2019-132577"/>
    <x v="358"/>
    <s v="JE-15475"/>
    <s v="Jeremy Ellison"/>
    <s v="United States"/>
    <x v="3"/>
    <x v="1"/>
    <s v="Accohide Poly Flexible Ring Binders"/>
    <n v="4.4880000000000004"/>
    <n v="6"/>
    <n v="-6.7320000000000002"/>
    <n v="-150"/>
  </r>
  <r>
    <s v="US-2020-104661"/>
    <x v="200"/>
    <s v="TB-21250"/>
    <s v="Tim Brockman"/>
    <s v="United States"/>
    <x v="3"/>
    <x v="1"/>
    <s v="Acco D-Ring Binder w/DublLock"/>
    <n v="98.275999999999996"/>
    <n v="1"/>
    <n v="-6.6277999999999997"/>
    <n v="-6.744067727624242"/>
  </r>
  <r>
    <s v="CA-2020-134845"/>
    <x v="2"/>
    <s v="SR-20425"/>
    <s v="Sharelle Roach"/>
    <s v="United States"/>
    <x v="2"/>
    <x v="1"/>
    <s v="Cardinal Holdit Business Card Pockets"/>
    <n v="100.964"/>
    <n v="6"/>
    <n v="-6.5735999999999999"/>
    <n v="-6.5108355453428937"/>
  </r>
  <r>
    <s v="US-2019-128195"/>
    <x v="376"/>
    <s v="RA-19285"/>
    <s v="Ralph Arnett"/>
    <s v="United States"/>
    <x v="3"/>
    <x v="1"/>
    <s v="Ibico Presentation Index for Binding Systems"/>
    <n v="3.98"/>
    <n v="5"/>
    <n v="-6.5670000000000002"/>
    <n v="-165"/>
  </r>
  <r>
    <s v="US-2020-117331"/>
    <x v="168"/>
    <s v="ND-18370"/>
    <s v="Natalie DeCherney"/>
    <s v="United States"/>
    <x v="2"/>
    <x v="1"/>
    <s v="Lock-Up Easel 'Spel-Binder'"/>
    <n v="102.559"/>
    <n v="1"/>
    <n v="-6.5618999999999996"/>
    <n v="-6.3981708089977465"/>
  </r>
  <r>
    <s v="CA-2020-152975"/>
    <x v="97"/>
    <s v="RB-19705"/>
    <s v="Roger Barcio"/>
    <s v="United States"/>
    <x v="0"/>
    <x v="2"/>
    <s v="Office Star - Contemporary Task Swivel chair with Loop Arms, Charcoal"/>
    <n v="624.41"/>
    <n v="5"/>
    <n v="-6.5490000000000004"/>
    <n v="-1.0488300956102563"/>
  </r>
  <r>
    <s v="CA-2020-156363"/>
    <x v="126"/>
    <s v="ML-17395"/>
    <s v="Marina Lichtenstein"/>
    <s v="United States"/>
    <x v="0"/>
    <x v="0"/>
    <s v="LF Elite 3D Dazzle Designer Hard Case Cover, Lf Stylus Pen and Wiper For Apple Iphone 5c Mini Lite"/>
    <n v="145.69999999999999"/>
    <n v="5"/>
    <n v="-6.54"/>
    <n v="-4.4886753603294443"/>
  </r>
  <r>
    <s v="US-2019-114622"/>
    <x v="377"/>
    <s v="JR-16210"/>
    <s v="Justin Ritter"/>
    <s v="United States"/>
    <x v="0"/>
    <x v="1"/>
    <s v="Wilson Jones Hanging Recycled Pressboard Data Binders"/>
    <n v="8.9039999999999999"/>
    <n v="2"/>
    <n v="-6.5296000000000003"/>
    <n v="-73.333333333333343"/>
  </r>
  <r>
    <s v="CA-2019-162383"/>
    <x v="100"/>
    <s v="MD-17350"/>
    <s v="Maribeth Dona"/>
    <s v="United States"/>
    <x v="0"/>
    <x v="1"/>
    <s v="Pressboard Hanging Data Binders for Unburst Sheets"/>
    <n v="8.8559999999999999"/>
    <n v="6"/>
    <n v="-6.4943999999999997"/>
    <n v="-73.333333333333329"/>
  </r>
  <r>
    <s v="CA-2020-167003"/>
    <x v="213"/>
    <s v="VS-21820"/>
    <s v="Vivek Sundaresam"/>
    <s v="United States"/>
    <x v="2"/>
    <x v="2"/>
    <s v="Lesro Sheffield Collection Coffee Table, End Table, Center Table, Corner Table"/>
    <n v="220.28800000000001"/>
    <n v="3"/>
    <n v="-6.4233000000000002"/>
    <n v="-2.9158646862289364"/>
  </r>
  <r>
    <s v="CA-2020-101749"/>
    <x v="378"/>
    <s v="AS-10045"/>
    <s v="Aaron Smayling"/>
    <s v="United States"/>
    <x v="2"/>
    <x v="2"/>
    <s v="Lesro Sheffield Collection Coffee Table, End Table, Center Table, Corner Table"/>
    <n v="221.28800000000001"/>
    <n v="3"/>
    <n v="-6.4233000000000002"/>
    <n v="-2.902687899931311"/>
  </r>
  <r>
    <s v="CA-2020-121160"/>
    <x v="1"/>
    <s v="FM-14290"/>
    <s v="Frank Merwin"/>
    <s v="United States"/>
    <x v="3"/>
    <x v="1"/>
    <s v="Wilson Jones Impact Binders"/>
    <n v="143.14400000000001"/>
    <n v="4"/>
    <n v="-6.4231999999999996"/>
    <n v="-4.4872296428771028"/>
  </r>
  <r>
    <s v="CA-2020-135937"/>
    <x v="89"/>
    <s v="KM-16375"/>
    <s v="Katherine Murray"/>
    <s v="United States"/>
    <x v="2"/>
    <x v="1"/>
    <s v="Fellowes Bankers Box Stor/Drawer Steel Plus"/>
    <n v="101.16800000000001"/>
    <n v="2"/>
    <n v="-6.3959999999999999"/>
    <n v="-6.3221572038589278"/>
  </r>
  <r>
    <s v="CA-2020-148138"/>
    <x v="86"/>
    <s v="ME-18010"/>
    <s v="Michelle Ellison"/>
    <s v="United States"/>
    <x v="0"/>
    <x v="1"/>
    <s v="Fellowes Bankers Box Stor/Drawer Steel Plus"/>
    <n v="158.16800000000001"/>
    <n v="2"/>
    <n v="-6.3959999999999999"/>
    <n v="-4.0438015274897579"/>
  </r>
  <r>
    <s v="US-2020-166324"/>
    <x v="202"/>
    <s v="BE-11455"/>
    <s v="Brad Eason"/>
    <s v="United States"/>
    <x v="0"/>
    <x v="1"/>
    <s v="Wilson Jones Clip &amp; Carry Folder Binder Tool for Ring Binders, Clear"/>
    <n v="89.7"/>
    <n v="5"/>
    <n v="-6.38"/>
    <n v="-7.1125975473801564"/>
  </r>
  <r>
    <s v="CA-2020-128426"/>
    <x v="232"/>
    <s v="JK-15730"/>
    <s v="Joe Kamberova"/>
    <s v="United States"/>
    <x v="3"/>
    <x v="1"/>
    <s v="Storex DuraTech Recycled Plastic Frosted Binders"/>
    <n v="129.24"/>
    <n v="5"/>
    <n v="-6.36"/>
    <n v="-4.9210770659238623"/>
  </r>
  <r>
    <s v="CA-2020-112004"/>
    <x v="222"/>
    <s v="AH-10075"/>
    <s v="Adam Hart"/>
    <s v="United States"/>
    <x v="0"/>
    <x v="1"/>
    <s v="Avery Metallic Poly Binders"/>
    <n v="85.594999999999999"/>
    <n v="5"/>
    <n v="-6.3029999999999999"/>
    <n v="-7.3637478824697702"/>
  </r>
  <r>
    <s v="CA-2019-110898"/>
    <x v="84"/>
    <s v="LC-16870"/>
    <s v="Lena Cacioppo"/>
    <s v="United States"/>
    <x v="3"/>
    <x v="1"/>
    <s v="Commercial WindTunnel Clean Air Upright Vacuum, Replacement Belts, Filtration Bags"/>
    <n v="2.3340000000000001"/>
    <n v="3"/>
    <n v="-6.3018000000000001"/>
    <n v="-270"/>
  </r>
  <r>
    <s v="CA-2019-126627"/>
    <x v="85"/>
    <s v="WB-21850"/>
    <s v="William Brown"/>
    <s v="United States"/>
    <x v="3"/>
    <x v="2"/>
    <s v="Eldon 400 Class Desk Accessories, Black Carbon"/>
    <n v="14"/>
    <n v="4"/>
    <n v="-6.3"/>
    <n v="-45"/>
  </r>
  <r>
    <s v="US-2019-131611"/>
    <x v="77"/>
    <s v="EP-13915"/>
    <s v="Emily Phan"/>
    <s v="United States"/>
    <x v="3"/>
    <x v="1"/>
    <s v="Storex Dura Pro Binders"/>
    <n v="3.5640000000000001"/>
    <n v="3"/>
    <n v="-6.2370000000000001"/>
    <n v="-175"/>
  </r>
  <r>
    <s v="US-2020-118556"/>
    <x v="185"/>
    <s v="TH-21235"/>
    <s v="Tiffany House"/>
    <s v="United States"/>
    <x v="3"/>
    <x v="1"/>
    <s v="Storex Dura Pro Binders"/>
    <n v="94.563999999999993"/>
    <n v="3"/>
    <n v="-6.2370000000000001"/>
    <n v="-6.5955331838754709"/>
  </r>
  <r>
    <s v="US-2020-105389"/>
    <x v="122"/>
    <s v="DM-13015"/>
    <s v="Darrin Martin"/>
    <s v="United States"/>
    <x v="3"/>
    <x v="1"/>
    <s v="Storex Dura Pro Binders"/>
    <n v="105.56399999999999"/>
    <n v="3"/>
    <n v="-6.2370000000000001"/>
    <n v="-5.9082641809707859"/>
  </r>
  <r>
    <s v="US-2019-116365"/>
    <x v="379"/>
    <s v="CA-12310"/>
    <s v="Christine Abelman"/>
    <s v="United States"/>
    <x v="3"/>
    <x v="0"/>
    <s v="WD My Passport Ultra 1TB Portable External Hard Drive"/>
    <n v="165.6"/>
    <n v="3"/>
    <n v="-6.21"/>
    <n v="-3.75"/>
  </r>
  <r>
    <s v="CA-2019-143154"/>
    <x v="118"/>
    <s v="AS-10225"/>
    <s v="Alan Schoenberger"/>
    <s v="United States"/>
    <x v="2"/>
    <x v="0"/>
    <s v="WD My Passport Ultra 1TB Portable External Hard Drive"/>
    <n v="165.6"/>
    <n v="3"/>
    <n v="-6.21"/>
    <n v="-3.75"/>
  </r>
  <r>
    <s v="CA-2019-147109"/>
    <x v="45"/>
    <s v="AH-10075"/>
    <s v="Adam Hart"/>
    <s v="United States"/>
    <x v="3"/>
    <x v="0"/>
    <s v="WD My Passport Ultra 1TB Portable External Hard Drive"/>
    <n v="165.6"/>
    <n v="3"/>
    <n v="-6.21"/>
    <n v="-3.75"/>
  </r>
  <r>
    <s v="CA-2020-100615"/>
    <x v="202"/>
    <s v="SJ-20215"/>
    <s v="Sarah Jordon"/>
    <s v="United States"/>
    <x v="3"/>
    <x v="2"/>
    <s v="Master Caster Door Stop, Large Neon Orange"/>
    <n v="120.56"/>
    <n v="5"/>
    <n v="-6.1879999999999997"/>
    <n v="-5.1327140013271402"/>
  </r>
  <r>
    <s v="US-2020-122672"/>
    <x v="1"/>
    <s v="HG-14965"/>
    <s v="Henry Goldwyn"/>
    <s v="United States"/>
    <x v="0"/>
    <x v="0"/>
    <s v="SanDisk Ultra 32 GB MicroSDHC Class 10 Memory Card"/>
    <n v="141.72"/>
    <n v="4"/>
    <n v="-6.1879999999999997"/>
    <n v="-4.3663561953147054"/>
  </r>
  <r>
    <s v="US-2020-142573"/>
    <x v="29"/>
    <s v="ML-17410"/>
    <s v="Maris LaWare"/>
    <s v="United States"/>
    <x v="2"/>
    <x v="1"/>
    <s v="Acco Expandable Hanging Binders"/>
    <n v="116.65600000000001"/>
    <n v="4"/>
    <n v="-6.1247999999999996"/>
    <n v="-5.2503085996433958"/>
  </r>
  <r>
    <s v="CA-2019-112109"/>
    <x v="336"/>
    <s v="JE-15715"/>
    <s v="Joe Elijah"/>
    <s v="United States"/>
    <x v="2"/>
    <x v="1"/>
    <s v="Wilson Jones Active Use Binders"/>
    <n v="8.7360000000000007"/>
    <n v="4"/>
    <n v="-6.1151999999999997"/>
    <n v="-70"/>
  </r>
  <r>
    <s v="CA-2020-142622"/>
    <x v="177"/>
    <s v="JK-15625"/>
    <s v="Jim Karlsson"/>
    <s v="United States"/>
    <x v="2"/>
    <x v="2"/>
    <s v="Novimex Fabric Task Chair"/>
    <n v="109.568"/>
    <n v="2"/>
    <n v="-6.0979999999999999"/>
    <n v="-5.5654935747663554"/>
  </r>
  <r>
    <s v="CA-2019-101693"/>
    <x v="203"/>
    <s v="LC-17140"/>
    <s v="Logan Currie"/>
    <s v="United States"/>
    <x v="3"/>
    <x v="2"/>
    <s v="Global Value Mid-Back Manager's Chair, Gray"/>
    <n v="85.245999999999995"/>
    <n v="2"/>
    <n v="-6.0890000000000004"/>
    <n v="-7.1428571428571441"/>
  </r>
  <r>
    <s v="CA-2020-108070"/>
    <x v="217"/>
    <s v="JE-15745"/>
    <s v="Joel Eaton"/>
    <s v="United States"/>
    <x v="2"/>
    <x v="2"/>
    <s v="O'Sullivan Living Dimensions 2-Shelf Bookcases"/>
    <n v="128.833"/>
    <n v="1"/>
    <n v="-6.0490000000000004"/>
    <n v="-4.695225602136099"/>
  </r>
  <r>
    <s v="CA-2020-156664"/>
    <x v="339"/>
    <s v="BP-11290"/>
    <s v="Beth Paige"/>
    <s v="United States"/>
    <x v="0"/>
    <x v="1"/>
    <s v="Fellowes Twister Kit, Gray/Clear, 3/pkg"/>
    <n v="284.23599999999999"/>
    <n v="3"/>
    <n v="-6.03"/>
    <n v="-2.1214765195119547"/>
  </r>
  <r>
    <s v="CA-2020-163692"/>
    <x v="266"/>
    <s v="Dp-13240"/>
    <s v="Dean percer"/>
    <s v="United States"/>
    <x v="2"/>
    <x v="1"/>
    <s v="Wilson Jones Leather-Like Binders with DublLock Round Rings"/>
    <n v="70.856999999999999"/>
    <n v="3"/>
    <n v="-6.0236999999999998"/>
    <n v="-8.5012066556585797"/>
  </r>
  <r>
    <s v="CA-2020-142461"/>
    <x v="380"/>
    <s v="KT-16480"/>
    <s v="Kean Thornton"/>
    <s v="United States"/>
    <x v="3"/>
    <x v="2"/>
    <s v="Atlantic Metals Mobile 5-Shelf Bookcases, Custom Colors"/>
    <n v="221.66640000000001"/>
    <n v="1"/>
    <n v="-6.0195999999999996"/>
    <n v="-2.7156122894583929"/>
  </r>
  <r>
    <s v="CA-2019-116232"/>
    <x v="381"/>
    <s v="AC-10450"/>
    <s v="Amy Cox"/>
    <s v="United States"/>
    <x v="1"/>
    <x v="1"/>
    <s v="Acco Suede Grain Vinyl Round Ring Binder"/>
    <n v="7.5060000000000002"/>
    <n v="9"/>
    <n v="-6.0048000000000004"/>
    <n v="-80"/>
  </r>
  <r>
    <s v="CA-2020-107832"/>
    <x v="254"/>
    <s v="FH-14275"/>
    <s v="Frank Hawley"/>
    <s v="United States"/>
    <x v="0"/>
    <x v="1"/>
    <s v="GBC Standard Therm-A-Bind Covers"/>
    <n v="115.476"/>
    <n v="1"/>
    <n v="-5.9808000000000003"/>
    <n v="-5.1792580276421081"/>
  </r>
  <r>
    <s v="CA-2020-161592"/>
    <x v="382"/>
    <s v="CS-12175"/>
    <s v="Charles Sheldon"/>
    <s v="United States"/>
    <x v="1"/>
    <x v="1"/>
    <s v="3M Organizer Strips"/>
    <n v="114.1"/>
    <n v="5"/>
    <n v="-5.94"/>
    <n v="-5.2059596844872917"/>
  </r>
  <r>
    <s v="CA-2019-125920"/>
    <x v="340"/>
    <s v="SH-19975"/>
    <s v="Sally Hughsby"/>
    <s v="United States"/>
    <x v="3"/>
    <x v="1"/>
    <s v="Cardinal HOLDit! Binder Insert Strips,Extra Strips"/>
    <n v="3.798"/>
    <n v="3"/>
    <n v="-5.8868999999999998"/>
    <n v="-154.99999999999997"/>
  </r>
  <r>
    <s v="US-2020-118038"/>
    <x v="356"/>
    <s v="KB-16600"/>
    <s v="Ken Brennan"/>
    <s v="United States"/>
    <x v="3"/>
    <x v="2"/>
    <s v="6&quot; Cubicle Wall Clock, Black"/>
    <n v="826.70799999999997"/>
    <n v="3"/>
    <n v="-5.8247999999999998"/>
    <n v="-0.7045776743420894"/>
  </r>
  <r>
    <s v="CA-2020-149489"/>
    <x v="298"/>
    <s v="DK-12835"/>
    <s v="Damala Kotsonis"/>
    <s v="United States"/>
    <x v="0"/>
    <x v="1"/>
    <s v="GBC ProClick Spines for 32-Hole Punch"/>
    <n v="110.518"/>
    <n v="2"/>
    <n v="-5.7637999999999998"/>
    <n v="-5.2152590528239742"/>
  </r>
  <r>
    <s v="US-2019-167339"/>
    <x v="383"/>
    <s v="TD-20995"/>
    <s v="Tamara Dahlen"/>
    <s v="United States"/>
    <x v="2"/>
    <x v="2"/>
    <s v="Global Super Steno Chair"/>
    <n v="153.56800000000001"/>
    <n v="2"/>
    <n v="-5.7587999999999999"/>
    <n v="-3.75"/>
  </r>
  <r>
    <s v="CA-2020-118640"/>
    <x v="384"/>
    <s v="CS-11950"/>
    <s v="Carlos Soltero"/>
    <s v="United States"/>
    <x v="3"/>
    <x v="2"/>
    <s v="Contract Clock, 14&quot;, Brown"/>
    <n v="106.792"/>
    <n v="1"/>
    <n v="-5.7148000000000003"/>
    <n v="-5.3513371788148927"/>
  </r>
  <r>
    <s v="CA-2019-123617"/>
    <x v="173"/>
    <s v="AJ-10780"/>
    <s v="Anthony Jacobs"/>
    <s v="United States"/>
    <x v="1"/>
    <x v="1"/>
    <s v="ACCOHIDE Binder by Acco"/>
    <n v="7.4340000000000002"/>
    <n v="6"/>
    <n v="-5.6993999999999998"/>
    <n v="-76.666666666666657"/>
  </r>
  <r>
    <s v="CA-2020-134495"/>
    <x v="311"/>
    <s v="BF-11020"/>
    <s v="Barry Französisch"/>
    <s v="United States"/>
    <x v="1"/>
    <x v="0"/>
    <s v="Mediabridge Sport Armband iPhone 5s"/>
    <n v="111.976"/>
    <n v="3"/>
    <n v="-5.6943000000000001"/>
    <n v="-5.0852861327427306"/>
  </r>
  <r>
    <s v="US-2019-111563"/>
    <x v="56"/>
    <s v="SM-20005"/>
    <s v="Sally Matthias"/>
    <s v="United States"/>
    <x v="3"/>
    <x v="2"/>
    <s v="DAX Two-Tone Rosewood/Black Document Frame, Desktop, 5 x 7"/>
    <n v="11.375999999999999"/>
    <n v="3"/>
    <n v="-5.6879999999999997"/>
    <n v="-50"/>
  </r>
  <r>
    <s v="CA-2020-134915"/>
    <x v="151"/>
    <s v="EM-14140"/>
    <s v="Eugene Moren"/>
    <s v="United States"/>
    <x v="2"/>
    <x v="2"/>
    <s v="Tenex V2T-RE Standard Weight Series Chair Mat, 45&quot; x 53&quot;, Lip 25&quot; x 12&quot;"/>
    <n v="134.56800000000001"/>
    <n v="2"/>
    <n v="-5.6783999999999999"/>
    <n v="-4.2197253433208486"/>
  </r>
  <r>
    <s v="CA-2020-146367"/>
    <x v="385"/>
    <s v="HM-14860"/>
    <s v="Harry Marie"/>
    <s v="United States"/>
    <x v="3"/>
    <x v="1"/>
    <s v="Avery Durable Poly Binders"/>
    <n v="126.318"/>
    <n v="3"/>
    <n v="-5.6406000000000001"/>
    <n v="-4.4653968555550279"/>
  </r>
  <r>
    <s v="CA-2020-122539"/>
    <x v="265"/>
    <s v="SC-20305"/>
    <s v="Sean Christensen"/>
    <s v="United States"/>
    <x v="0"/>
    <x v="1"/>
    <s v="Acco Pressboard Covers with Storage Hooks, 14 7/8&quot; x 11&quot;, Dark Blue"/>
    <n v="117.001"/>
    <n v="7"/>
    <n v="-5.6006999999999998"/>
    <n v="-4.7868821634003123"/>
  </r>
  <r>
    <s v="US-2019-114013"/>
    <x v="22"/>
    <s v="SC-20770"/>
    <s v="Stewart Carmichael"/>
    <s v="United States"/>
    <x v="0"/>
    <x v="2"/>
    <s v="SAFCO Arco Folding Chair"/>
    <n v="386.68"/>
    <n v="2"/>
    <n v="-5.524"/>
    <n v="-1.4285714285714286"/>
  </r>
  <r>
    <s v="CA-2019-129868"/>
    <x v="386"/>
    <s v="MC-18130"/>
    <s v="Mike Caudle"/>
    <s v="United States"/>
    <x v="2"/>
    <x v="2"/>
    <s v="Global Armless Task Chair, Royal Blue"/>
    <n v="146.352"/>
    <n v="3"/>
    <n v="-5.4882"/>
    <n v="-3.75"/>
  </r>
  <r>
    <s v="CA-2019-139234"/>
    <x v="387"/>
    <s v="AF-10870"/>
    <s v="Art Ferguson"/>
    <s v="United States"/>
    <x v="3"/>
    <x v="1"/>
    <s v="Insertable Tab Post Binder Dividers"/>
    <n v="3.2080000000000002"/>
    <n v="2"/>
    <n v="-5.2931999999999997"/>
    <n v="-165"/>
  </r>
  <r>
    <s v="US-2019-116365"/>
    <x v="379"/>
    <s v="CA-12310"/>
    <s v="Christine Abelman"/>
    <s v="United States"/>
    <x v="3"/>
    <x v="0"/>
    <s v="Imation Clip USB flash drive - 8 GB"/>
    <n v="30.08"/>
    <n v="2"/>
    <n v="-5.2640000000000002"/>
    <n v="-17.5"/>
  </r>
  <r>
    <s v="CA-2020-152198"/>
    <x v="37"/>
    <s v="JD-16015"/>
    <s v="Joy Daniels"/>
    <s v="United States"/>
    <x v="0"/>
    <x v="1"/>
    <s v="Acco Data Flex Cable Posts For Top &amp; Bottom Load Binders, 6&quot; Capacity"/>
    <n v="102.258"/>
    <n v="2"/>
    <n v="-5.2149999999999999"/>
    <n v="-5.099845488861507"/>
  </r>
  <r>
    <s v="US-2020-102288"/>
    <x v="156"/>
    <s v="ZC-21910"/>
    <s v="Zuschuss Carroll"/>
    <s v="United States"/>
    <x v="3"/>
    <x v="1"/>
    <s v="Holmes Visible Mist Ultrasonic Humidifier with 2.3-Gallon Output per Day, Replacement Filter"/>
    <n v="78.263999999999996"/>
    <n v="1"/>
    <n v="-5.2072000000000003"/>
    <n v="-6.6533783093120729"/>
  </r>
  <r>
    <s v="CA-2019-124254"/>
    <x v="231"/>
    <s v="TB-21175"/>
    <s v="Thomas Boland"/>
    <s v="United States"/>
    <x v="1"/>
    <x v="1"/>
    <s v="Fellowes Bankers Box Staxonsteel Drawer File/Stacking System"/>
    <n v="51.984000000000002"/>
    <n v="1"/>
    <n v="-5.1984000000000004"/>
    <n v="-10"/>
  </r>
  <r>
    <s v="CA-2020-144064"/>
    <x v="388"/>
    <s v="CP-12085"/>
    <s v="Cathy Prescott"/>
    <s v="United States"/>
    <x v="3"/>
    <x v="1"/>
    <s v="Wilson Jones Easy Flow II Sheet Lifters"/>
    <n v="96.24"/>
    <n v="9"/>
    <n v="-5.1840000000000002"/>
    <n v="-5.3865336658354117"/>
  </r>
  <r>
    <s v="CA-2019-141180"/>
    <x v="389"/>
    <s v="DP-13000"/>
    <s v="Darren Powers"/>
    <s v="United States"/>
    <x v="1"/>
    <x v="1"/>
    <s v="GBC Instant Report Kit"/>
    <n v="7.7640000000000002"/>
    <n v="4"/>
    <n v="-5.1760000000000002"/>
    <n v="-66.666666666666657"/>
  </r>
  <r>
    <s v="CA-2020-134194"/>
    <x v="141"/>
    <s v="GA-14725"/>
    <s v="Guy Armstrong"/>
    <s v="United States"/>
    <x v="3"/>
    <x v="1"/>
    <s v="Wilson Jones 1&quot; Hanging DublLock Ring Binders"/>
    <n v="339.16800000000001"/>
    <n v="3"/>
    <n v="-5.0688000000000004"/>
    <n v="-1.4944806113784321"/>
  </r>
  <r>
    <s v="CA-2019-127243"/>
    <x v="173"/>
    <s v="DS-13180"/>
    <s v="David Smith"/>
    <s v="United States"/>
    <x v="0"/>
    <x v="1"/>
    <s v="GBC Plasticlear Binding Covers"/>
    <n v="6.8879999999999999"/>
    <n v="2"/>
    <n v="-5.0511999999999997"/>
    <n v="-73.333333333333329"/>
  </r>
  <r>
    <s v="CA-2020-116127"/>
    <x v="390"/>
    <s v="SB-20205"/>
    <s v="Sarah Brown"/>
    <s v="United States"/>
    <x v="0"/>
    <x v="2"/>
    <s v="DMI Eclipse Executive Suite Bookcases"/>
    <n v="417.78399999999999"/>
    <n v="1"/>
    <n v="-5.0098000000000003"/>
    <n v="-1.1991363958409131"/>
  </r>
  <r>
    <s v="CA-2020-155936"/>
    <x v="286"/>
    <s v="JK-15730"/>
    <s v="Joe Kamberova"/>
    <s v="United States"/>
    <x v="3"/>
    <x v="1"/>
    <s v="Wilson Jones Standard D-Ring Binders"/>
    <n v="79.036000000000001"/>
    <n v="3"/>
    <n v="-5.0094000000000003"/>
    <n v="-6.3381243990080467"/>
  </r>
  <r>
    <s v="US-2020-145863"/>
    <x v="69"/>
    <s v="RP-19390"/>
    <s v="Resi Pölking"/>
    <s v="United States"/>
    <x v="3"/>
    <x v="1"/>
    <s v="UniKeep View Case Binders"/>
    <n v="99.933999999999997"/>
    <n v="3"/>
    <n v="-4.9878"/>
    <n v="-4.9910941221206002"/>
  </r>
  <r>
    <s v="CA-2020-117422"/>
    <x v="168"/>
    <s v="FC-14245"/>
    <s v="Frank Carlisle"/>
    <s v="United States"/>
    <x v="0"/>
    <x v="1"/>
    <s v="SlimView Poly Binder, 3/8&quot;"/>
    <n v="118.21599999999999"/>
    <n v="4"/>
    <n v="-4.9728000000000003"/>
    <n v="-4.2065371861676937"/>
  </r>
  <r>
    <s v="CA-2020-107629"/>
    <x v="55"/>
    <s v="DB-13060"/>
    <s v="Dave Brooks"/>
    <s v="United States"/>
    <x v="3"/>
    <x v="0"/>
    <s v="Logitech Desktop MK120 Mouse and keyboard Combo"/>
    <n v="274.26400000000001"/>
    <n v="3"/>
    <n v="-4.9080000000000004"/>
    <n v="-1.789516670069714"/>
  </r>
  <r>
    <s v="CA-2019-138520"/>
    <x v="5"/>
    <s v="JL-15505"/>
    <s v="Jeremy Lonsdale"/>
    <s v="United States"/>
    <x v="0"/>
    <x v="2"/>
    <s v="Sauder Barrister Bookcases"/>
    <n v="388.70400000000001"/>
    <n v="6"/>
    <n v="-4.8587999999999996"/>
    <n v="-1.25"/>
  </r>
  <r>
    <s v="CA-2019-113978"/>
    <x v="81"/>
    <s v="TS-21505"/>
    <s v="Tony Sayre"/>
    <s v="United States"/>
    <x v="0"/>
    <x v="1"/>
    <s v="Eldon Gobal File Keepers"/>
    <n v="24.224"/>
    <n v="2"/>
    <n v="-4.8448000000000002"/>
    <n v="-20"/>
  </r>
  <r>
    <s v="CA-2019-155481"/>
    <x v="391"/>
    <s v="DK-13225"/>
    <s v="Dean Katz"/>
    <s v="United States"/>
    <x v="0"/>
    <x v="0"/>
    <s v="Anker 36W 4-Port USB Wall Charger Travel Power Adapter for iPhone 5s 5c 5"/>
    <n v="23.988"/>
    <n v="2"/>
    <n v="-4.7976000000000001"/>
    <n v="-20"/>
  </r>
  <r>
    <s v="US-2020-156356"/>
    <x v="217"/>
    <s v="ND-18370"/>
    <s v="Natalie DeCherney"/>
    <s v="United States"/>
    <x v="3"/>
    <x v="1"/>
    <s v="GBC White Gloss Covers, Plain Front"/>
    <n v="130.89599999999999"/>
    <n v="1"/>
    <n v="-4.7784000000000004"/>
    <n v="-3.6505317198386509"/>
  </r>
  <r>
    <s v="US-2019-117037"/>
    <x v="297"/>
    <s v="LW-17215"/>
    <s v="Luke Weiss"/>
    <s v="United States"/>
    <x v="3"/>
    <x v="1"/>
    <s v="Acco Recycled 2&quot; Capacity Laser Printer Hanging Data Binders"/>
    <n v="2.89"/>
    <n v="1"/>
    <n v="-4.7685000000000004"/>
    <n v="-165"/>
  </r>
  <r>
    <s v="CA-2019-129308"/>
    <x v="270"/>
    <s v="CC-12100"/>
    <s v="Chad Cunningham"/>
    <s v="United States"/>
    <x v="0"/>
    <x v="1"/>
    <s v="Acco Pressboard Covers with Storage Hooks, 14 7/8&quot; x 11&quot;, Executive Red"/>
    <n v="5.7149999999999999"/>
    <n v="5"/>
    <n v="-4.7625000000000002"/>
    <n v="-83.333333333333343"/>
  </r>
  <r>
    <s v="CA-2020-109085"/>
    <x v="58"/>
    <s v="CK-12325"/>
    <s v="Christine Kargatis"/>
    <s v="United States"/>
    <x v="0"/>
    <x v="1"/>
    <s v="Acco Pressboard Covers with Storage Hooks, 14 7/8&quot; x 11&quot;, Executive Red"/>
    <n v="92.715000000000003"/>
    <n v="5"/>
    <n v="-4.7625000000000002"/>
    <n v="-5.1367092703446051"/>
  </r>
  <r>
    <s v="US-2020-154851"/>
    <x v="392"/>
    <s v="BP-11155"/>
    <s v="Becky Pak"/>
    <s v="United States"/>
    <x v="0"/>
    <x v="1"/>
    <s v="Acco Pressboard Covers with Storage Hooks, 14 7/8&quot; x 11&quot;, Executive Red"/>
    <n v="115.715"/>
    <n v="5"/>
    <n v="-4.7625000000000002"/>
    <n v="-4.115715335090524"/>
  </r>
  <r>
    <s v="US-2019-133879"/>
    <x v="393"/>
    <s v="KT-16465"/>
    <s v="Kean Takahito"/>
    <s v="United States"/>
    <x v="3"/>
    <x v="1"/>
    <s v="Avery Durable Slant Ring Binders"/>
    <n v="3.1680000000000001"/>
    <n v="2"/>
    <n v="-4.7519999999999998"/>
    <n v="-149.99999999999997"/>
  </r>
  <r>
    <s v="CA-2020-145233"/>
    <x v="265"/>
    <s v="DV-13465"/>
    <s v="Dianna Vittorini"/>
    <s v="United States"/>
    <x v="2"/>
    <x v="1"/>
    <s v="Recycled Pressboard Report Cover with Reinforced Top Hinge"/>
    <n v="122.783"/>
    <n v="7"/>
    <n v="-4.7481"/>
    <n v="-3.8670662876782611"/>
  </r>
  <r>
    <s v="US-2020-100482"/>
    <x v="320"/>
    <s v="JL-15130"/>
    <s v="Jack Lebron"/>
    <s v="United States"/>
    <x v="0"/>
    <x v="0"/>
    <s v="Kingston Digital DataTraveler 32GB USB 2.0"/>
    <n v="115.12"/>
    <n v="2"/>
    <n v="-4.7460000000000004"/>
    <n v="-4.1226546212647674"/>
  </r>
  <r>
    <s v="US-2020-145863"/>
    <x v="69"/>
    <s v="RP-19390"/>
    <s v="Resi Pölking"/>
    <s v="United States"/>
    <x v="3"/>
    <x v="1"/>
    <s v="Avery Non-Stick Binders"/>
    <n v="119.694"/>
    <n v="3"/>
    <n v="-4.7145000000000001"/>
    <n v="-3.9387939245074941"/>
  </r>
  <r>
    <s v="US-2019-162103"/>
    <x v="394"/>
    <s v="LB-16795"/>
    <s v="Laurel Beltran"/>
    <s v="United States"/>
    <x v="3"/>
    <x v="1"/>
    <s v="XtraLife ClearVue Slant-D Ring Binders by Cardinal"/>
    <n v="3.1360000000000001"/>
    <n v="2"/>
    <n v="-4.7039999999999997"/>
    <n v="-149.99999999999997"/>
  </r>
  <r>
    <s v="US-2019-139087"/>
    <x v="395"/>
    <s v="DK-13375"/>
    <s v="Dennis Kane"/>
    <s v="United States"/>
    <x v="2"/>
    <x v="0"/>
    <s v="Cyber Acoustics AC-202b Speech Recognition Stereo Headset"/>
    <n v="20.783999999999999"/>
    <n v="2"/>
    <n v="-4.6764000000000001"/>
    <n v="-22.5"/>
  </r>
  <r>
    <s v="CA-2019-157749"/>
    <x v="41"/>
    <s v="KL-16645"/>
    <s v="Ken Lonsdale"/>
    <s v="United States"/>
    <x v="3"/>
    <x v="2"/>
    <s v="Staple-based wall hangings"/>
    <n v="11.688000000000001"/>
    <n v="3"/>
    <n v="-4.6752000000000002"/>
    <n v="-40"/>
  </r>
  <r>
    <s v="CA-2019-134348"/>
    <x v="300"/>
    <s v="MS-17710"/>
    <s v="Maurice Satty"/>
    <s v="United States"/>
    <x v="2"/>
    <x v="1"/>
    <s v="Avery Durable Slant Ring Binders With Label Holder"/>
    <n v="6.27"/>
    <n v="5"/>
    <n v="-4.5979999999999999"/>
    <n v="-73.333333333333343"/>
  </r>
  <r>
    <s v="CA-2020-103478"/>
    <x v="102"/>
    <s v="KL-16555"/>
    <s v="Kelly Lampkin"/>
    <s v="United States"/>
    <x v="3"/>
    <x v="1"/>
    <s v="Avery Poly Binder Pockets"/>
    <n v="110.864"/>
    <n v="4"/>
    <n v="-4.5823999999999998"/>
    <n v="-4.1333525761293117"/>
  </r>
  <r>
    <s v="CA-2020-127306"/>
    <x v="325"/>
    <s v="BH-11710"/>
    <s v="Brosina Hoffman"/>
    <s v="United States"/>
    <x v="1"/>
    <x v="1"/>
    <s v="Ibico Presentation Index for Binding Systems"/>
    <n v="122.97"/>
    <n v="5"/>
    <n v="-4.577"/>
    <n v="-3.7220460274863787"/>
  </r>
  <r>
    <s v="CA-2019-120824"/>
    <x v="104"/>
    <s v="AW-10930"/>
    <s v="Arthur Wiediger"/>
    <s v="United States"/>
    <x v="3"/>
    <x v="2"/>
    <s v="Dax Clear Box Frame"/>
    <n v="6.984"/>
    <n v="2"/>
    <n v="-4.5396000000000001"/>
    <n v="-65"/>
  </r>
  <r>
    <s v="CA-2019-116918"/>
    <x v="131"/>
    <s v="JK-15205"/>
    <s v="Jamie Kunitz"/>
    <s v="United States"/>
    <x v="1"/>
    <x v="1"/>
    <s v="Avery Non-Stick Binders"/>
    <n v="5.3879999999999999"/>
    <n v="4"/>
    <n v="-4.49"/>
    <n v="-83.333333333333343"/>
  </r>
  <r>
    <s v="US-2020-155299"/>
    <x v="207"/>
    <s v="Dl-13600"/>
    <s v="Dorris liebe"/>
    <s v="United States"/>
    <x v="3"/>
    <x v="1"/>
    <s v="Eureka Disposable Bags for Sanitaire Vibra Groomer I Upright Vac"/>
    <n v="99.623999999999995"/>
    <n v="2"/>
    <n v="-4.4660000000000002"/>
    <n v="-4.4828555368184375"/>
  </r>
  <r>
    <s v="CA-2020-113453"/>
    <x v="168"/>
    <s v="CM-12160"/>
    <s v="Charles McCrossin"/>
    <s v="United States"/>
    <x v="0"/>
    <x v="1"/>
    <s v="Acco Perma 2700 Stacking Storage Drawers"/>
    <n v="147.376"/>
    <n v="3"/>
    <n v="-4.4610000000000003"/>
    <n v="-3.0269514710672021"/>
  </r>
  <r>
    <s v="CA-2020-156412"/>
    <x v="57"/>
    <s v="CM-12160"/>
    <s v="Charles McCrossin"/>
    <s v="United States"/>
    <x v="0"/>
    <x v="1"/>
    <s v="Storex Dura Pro Binders"/>
    <n v="112.346"/>
    <n v="3"/>
    <n v="-4.4550000000000001"/>
    <n v="-3.965428230644616"/>
  </r>
  <r>
    <s v="US-2019-150357"/>
    <x v="85"/>
    <s v="EB-13975"/>
    <s v="Erica Bern"/>
    <s v="United States"/>
    <x v="1"/>
    <x v="1"/>
    <s v="Martin-Yale Premier Letter Opener"/>
    <n v="20.608000000000001"/>
    <n v="2"/>
    <n v="-4.3792"/>
    <n v="-21.25"/>
  </r>
  <r>
    <s v="CA-2020-158379"/>
    <x v="10"/>
    <s v="JA-15970"/>
    <s v="Joseph Airdo"/>
    <s v="United States"/>
    <x v="0"/>
    <x v="1"/>
    <s v="Clear Mylar Reinforcing Strips"/>
    <n v="94.606999999999999"/>
    <n v="1"/>
    <n v="-4.2987000000000002"/>
    <n v="-4.5437441204139226"/>
  </r>
  <r>
    <s v="CA-2020-167549"/>
    <x v="236"/>
    <s v="EM-14200"/>
    <s v="Evan Minnotte"/>
    <s v="United States"/>
    <x v="3"/>
    <x v="2"/>
    <s v="Safco Drafting Table"/>
    <n v="337.11599999999999"/>
    <n v="6"/>
    <n v="-4.2587999999999999"/>
    <n v="-1.2633040259139288"/>
  </r>
  <r>
    <s v="US-2020-160836"/>
    <x v="183"/>
    <s v="CC-12475"/>
    <s v="Cindy Chapman"/>
    <s v="United States"/>
    <x v="3"/>
    <x v="1"/>
    <s v="Commercial WindTunnel Clean Air Upright Vacuum, Replacement Belts, Filtration Bags"/>
    <n v="86.555999999999997"/>
    <n v="2"/>
    <n v="-4.2012"/>
    <n v="-4.8537363094412864"/>
  </r>
  <r>
    <s v="CA-2019-143714"/>
    <x v="282"/>
    <s v="CC-12370"/>
    <s v="Christopher Conant"/>
    <s v="United States"/>
    <x v="0"/>
    <x v="1"/>
    <s v="Avery Legal 4-Ring Binder"/>
    <n v="6.2939999999999996"/>
    <n v="1"/>
    <n v="-4.1959999999999997"/>
    <n v="-66.666666666666657"/>
  </r>
  <r>
    <s v="CA-2020-167703"/>
    <x v="275"/>
    <s v="MC-17575"/>
    <s v="Matt Collins"/>
    <s v="United States"/>
    <x v="0"/>
    <x v="1"/>
    <s v="Fellowes Black Plastic Comb Bindings"/>
    <n v="936.22900000000004"/>
    <n v="3"/>
    <n v="-4.1832000000000003"/>
    <n v="-0.44681376030864239"/>
  </r>
  <r>
    <s v="CA-2019-163328"/>
    <x v="56"/>
    <s v="TP-21565"/>
    <s v="Tracy Poddar"/>
    <s v="United States"/>
    <x v="2"/>
    <x v="1"/>
    <s v="Serrated Blade or Curved Handle Hand Letter Openers"/>
    <n v="17.584"/>
    <n v="7"/>
    <n v="-4.1761999999999997"/>
    <n v="-23.75"/>
  </r>
  <r>
    <s v="CA-2019-134936"/>
    <x v="78"/>
    <s v="ES-14080"/>
    <s v="Erin Smith"/>
    <s v="United States"/>
    <x v="2"/>
    <x v="1"/>
    <s v="Cardinal Slant-D Ring Binder, Heavy Gauge Vinyl"/>
    <n v="5.2140000000000004"/>
    <n v="2"/>
    <n v="-4.1711999999999998"/>
    <n v="-80"/>
  </r>
  <r>
    <s v="CA-2020-140872"/>
    <x v="132"/>
    <s v="NR-18550"/>
    <s v="Nick Radford"/>
    <s v="United States"/>
    <x v="1"/>
    <x v="0"/>
    <s v="WD My Passport Ultra 1TB Portable External Hard Drive"/>
    <n v="153.4"/>
    <n v="2"/>
    <n v="-4.1399999999999997"/>
    <n v="-2.6988265971316814"/>
  </r>
  <r>
    <s v="CA-2019-130946"/>
    <x v="5"/>
    <s v="ZC-21910"/>
    <s v="Zuschuss Carroll"/>
    <s v="United States"/>
    <x v="3"/>
    <x v="2"/>
    <s v="Global Chrome Stack Chair"/>
    <n v="95.983999999999995"/>
    <n v="4"/>
    <n v="-4.1135999999999999"/>
    <n v="-4.2857142857142856"/>
  </r>
  <r>
    <s v="CA-2019-136049"/>
    <x v="39"/>
    <s v="NM-18520"/>
    <s v="Neoma Murray"/>
    <s v="United States"/>
    <x v="0"/>
    <x v="1"/>
    <s v="Universal Recycled Hanging Pressboard Report Binders, Letter Size"/>
    <n v="5.5529999999999999"/>
    <n v="3"/>
    <n v="-4.0721999999999996"/>
    <n v="-73.333333333333329"/>
  </r>
  <r>
    <s v="CA-2019-162187"/>
    <x v="111"/>
    <s v="NS-18640"/>
    <s v="Noel Staavos"/>
    <s v="United States"/>
    <x v="0"/>
    <x v="1"/>
    <s v="Acco Perma 4000 Stacking Storage Drawers"/>
    <n v="64.959999999999994"/>
    <n v="5"/>
    <n v="-4.0599999999999996"/>
    <n v="-6.25"/>
  </r>
  <r>
    <s v="CA-2020-119746"/>
    <x v="254"/>
    <s v="CM-12385"/>
    <s v="Christopher Martinez"/>
    <s v="United States"/>
    <x v="3"/>
    <x v="2"/>
    <s v="Contemporary Wood/Metal Frame"/>
    <n v="86.463999999999999"/>
    <n v="1"/>
    <n v="-4.04"/>
    <n v="-4.6724648408586233"/>
  </r>
  <r>
    <s v="CA-2020-110310"/>
    <x v="396"/>
    <s v="NB-18655"/>
    <s v="Nona Balk"/>
    <s v="United States"/>
    <x v="1"/>
    <x v="1"/>
    <s v="Avery Hole Reinforcements"/>
    <n v="85.606999999999999"/>
    <n v="3"/>
    <n v="-3.9249000000000001"/>
    <n v="-4.5847886270982512"/>
  </r>
  <r>
    <s v="CA-2019-134691"/>
    <x v="296"/>
    <s v="KC-16540"/>
    <s v="Kelly Collister"/>
    <s v="United States"/>
    <x v="3"/>
    <x v="1"/>
    <s v="Binder Posts"/>
    <n v="2.2959999999999998"/>
    <n v="2"/>
    <n v="-3.9032"/>
    <n v="-170.00000000000003"/>
  </r>
  <r>
    <s v="CA-2020-101728"/>
    <x v="397"/>
    <s v="SC-20575"/>
    <s v="Sonia Cooley"/>
    <s v="United States"/>
    <x v="3"/>
    <x v="1"/>
    <s v="Binder Posts"/>
    <n v="107.29600000000001"/>
    <n v="2"/>
    <n v="-3.9032"/>
    <n v="-3.6377870563674324"/>
  </r>
  <r>
    <s v="CA-2020-126914"/>
    <x v="267"/>
    <s v="JE-15715"/>
    <s v="Joe Elijah"/>
    <s v="United States"/>
    <x v="1"/>
    <x v="2"/>
    <s v="O'Sullivan 2-Shelf Heavy-Duty Bookcases"/>
    <n v="119.72799999999999"/>
    <n v="2"/>
    <n v="-3.8864000000000001"/>
    <n v="-3.2460243217960714"/>
  </r>
  <r>
    <s v="CA-2019-131744"/>
    <x v="398"/>
    <s v="SC-20770"/>
    <s v="Stewart Carmichael"/>
    <s v="United States"/>
    <x v="0"/>
    <x v="1"/>
    <s v="DXL Angle-View Binders with Locking Rings by Samsill"/>
    <n v="4.6260000000000003"/>
    <n v="2"/>
    <n v="-3.855"/>
    <n v="-83.333333333333329"/>
  </r>
  <r>
    <s v="CA-2019-169103"/>
    <x v="277"/>
    <s v="ZC-21910"/>
    <s v="Zuschuss Carroll"/>
    <s v="United States"/>
    <x v="1"/>
    <x v="2"/>
    <s v="Deflect-o DuraMat Lighweight, Studded, Beveled Mat for Low Pile Carpeting"/>
    <n v="102.36"/>
    <n v="3"/>
    <n v="-3.8384999999999998"/>
    <n v="-3.75"/>
  </r>
  <r>
    <s v="CA-2019-130050"/>
    <x v="133"/>
    <s v="MC-17425"/>
    <s v="Mark Cousins"/>
    <s v="United States"/>
    <x v="3"/>
    <x v="2"/>
    <s v="Staple-based wall hangings"/>
    <n v="9.5519999999999996"/>
    <n v="3"/>
    <n v="-3.8208000000000002"/>
    <n v="-40"/>
  </r>
  <r>
    <s v="CA-2019-128916"/>
    <x v="399"/>
    <s v="MA-17560"/>
    <s v="Matt Abelman"/>
    <s v="United States"/>
    <x v="3"/>
    <x v="2"/>
    <s v="Staple-based wall hangings"/>
    <n v="9.5519999999999996"/>
    <n v="3"/>
    <n v="-3.8208000000000002"/>
    <n v="-40"/>
  </r>
  <r>
    <s v="CA-2020-133928"/>
    <x v="206"/>
    <s v="ZC-21910"/>
    <s v="Zuschuss Carroll"/>
    <s v="United States"/>
    <x v="1"/>
    <x v="1"/>
    <s v="Acco Pressboard Covers with Storage Hooks, 14 7/8&quot; x 11&quot;, Executive Red"/>
    <n v="81.572000000000003"/>
    <n v="4"/>
    <n v="-3.81"/>
    <n v="-4.6707203452164965"/>
  </r>
  <r>
    <s v="CA-2020-111374"/>
    <x v="400"/>
    <s v="CB-12415"/>
    <s v="Christy Brittain"/>
    <s v="United States"/>
    <x v="0"/>
    <x v="1"/>
    <s v="ACCOHIDE 3-Ring Binder, Blue, 1&quot;"/>
    <n v="132.95599999999999"/>
    <n v="4"/>
    <n v="-3.7995999999999999"/>
    <n v="-2.8577875387346192"/>
  </r>
  <r>
    <s v="US-2020-109484"/>
    <x v="174"/>
    <s v="RB-19705"/>
    <s v="Roger Barcio"/>
    <s v="United States"/>
    <x v="2"/>
    <x v="1"/>
    <s v="Flexible Leather- Look Classic Collection Ring Binder"/>
    <n v="82.682000000000002"/>
    <n v="1"/>
    <n v="-3.7879999999999998"/>
    <n v="-4.5814082871725397"/>
  </r>
  <r>
    <s v="CA-2019-104311"/>
    <x v="139"/>
    <s v="AS-10090"/>
    <s v="Adam Shillingsburg"/>
    <s v="United States"/>
    <x v="3"/>
    <x v="1"/>
    <s v="Akro Stacking Bins"/>
    <n v="18.936"/>
    <n v="3"/>
    <n v="-3.7871999999999999"/>
    <n v="-20"/>
  </r>
  <r>
    <s v="CA-2020-165099"/>
    <x v="33"/>
    <s v="DK-13375"/>
    <s v="Dennis Kane"/>
    <s v="United States"/>
    <x v="3"/>
    <x v="1"/>
    <s v="Hoover Commercial Lightweight Upright Vacuum"/>
    <n v="360.392"/>
    <n v="2"/>
    <n v="-3.7584"/>
    <n v="-1.0428644365024751"/>
  </r>
  <r>
    <s v="US-2020-147221"/>
    <x v="18"/>
    <s v="JS-16030"/>
    <s v="Joy Smith"/>
    <s v="United States"/>
    <x v="3"/>
    <x v="2"/>
    <s v="Advantus Panel Wall Acrylic Frame"/>
    <n v="139.75200000000001"/>
    <n v="4"/>
    <n v="-3.7195999999999998"/>
    <n v="-2.6615719274142764"/>
  </r>
  <r>
    <s v="CA-2020-138156"/>
    <x v="401"/>
    <s v="MM-17260"/>
    <s v="Magdelene Morse"/>
    <s v="United States"/>
    <x v="0"/>
    <x v="2"/>
    <s v="Deflect-o RollaMat Studded, Beveled Mat for Medium Pile Carpeting"/>
    <n v="164.56800000000001"/>
    <n v="2"/>
    <n v="-3.6892"/>
    <n v="-2.2417480919741384"/>
  </r>
  <r>
    <s v="CA-2020-163265"/>
    <x v="363"/>
    <s v="JS-16030"/>
    <s v="Joy Smith"/>
    <s v="United States"/>
    <x v="3"/>
    <x v="2"/>
    <s v="Executive Impressions 13&quot; Clairmont Wall Clock"/>
    <n v="110.69199999999999"/>
    <n v="1"/>
    <n v="-3.6537000000000002"/>
    <n v="-3.3007805442127709"/>
  </r>
  <r>
    <s v="CA-2020-161893"/>
    <x v="402"/>
    <s v="HP-14815"/>
    <s v="Harold Pawlan"/>
    <s v="United States"/>
    <x v="2"/>
    <x v="1"/>
    <s v="Wilson Jones data.warehouse D-Ring Binders with DublLock"/>
    <n v="109.938"/>
    <n v="2"/>
    <n v="-3.6212"/>
    <n v="-3.2938565373210356"/>
  </r>
  <r>
    <s v="US-2020-118087"/>
    <x v="37"/>
    <s v="SP-20620"/>
    <s v="Stefania Perrino"/>
    <s v="United States"/>
    <x v="0"/>
    <x v="1"/>
    <s v="GBC Prepunched Paper, 19-Hole, for Binding Systems, 24-lb"/>
    <n v="124.503"/>
    <n v="1"/>
    <n v="-3.6023999999999998"/>
    <n v="-2.8934242548372326"/>
  </r>
  <r>
    <s v="CA-2019-163398"/>
    <x v="101"/>
    <s v="CB-12415"/>
    <s v="Christy Brittain"/>
    <s v="United States"/>
    <x v="3"/>
    <x v="1"/>
    <s v="Heavy-Duty E-Z-D Binders"/>
    <n v="2.1819999999999999"/>
    <n v="1"/>
    <n v="-3.6002999999999998"/>
    <n v="-165"/>
  </r>
  <r>
    <s v="CA-2019-135265"/>
    <x v="270"/>
    <s v="CC-12370"/>
    <s v="Christopher Conant"/>
    <s v="United States"/>
    <x v="2"/>
    <x v="2"/>
    <s v="Global Leather Task Chair, Black"/>
    <n v="287.96800000000002"/>
    <n v="4"/>
    <n v="-3.5996000000000001"/>
    <n v="-1.25"/>
  </r>
  <r>
    <s v="CA-2020-131618"/>
    <x v="245"/>
    <s v="LS-17200"/>
    <s v="Luke Schmidt"/>
    <s v="United States"/>
    <x v="3"/>
    <x v="1"/>
    <s v="Avery Durable Binders"/>
    <n v="131.304"/>
    <n v="4"/>
    <n v="-3.5712000000000002"/>
    <n v="-2.7197952842259188"/>
  </r>
  <r>
    <s v="CA-2020-152198"/>
    <x v="37"/>
    <s v="JD-16015"/>
    <s v="Joy Daniels"/>
    <s v="United States"/>
    <x v="0"/>
    <x v="1"/>
    <s v="3M Organizer Strips"/>
    <n v="131.86000000000001"/>
    <n v="3"/>
    <n v="-3.5640000000000001"/>
    <n v="-2.7028666767784011"/>
  </r>
  <r>
    <s v="US-2020-100930"/>
    <x v="68"/>
    <s v="CS-12400"/>
    <s v="Christopher Schild"/>
    <s v="United States"/>
    <x v="1"/>
    <x v="1"/>
    <s v="GBC Instant Index System for Binding Systems"/>
    <n v="106.328"/>
    <n v="2"/>
    <n v="-3.552"/>
    <n v="-3.3406064254006469"/>
  </r>
  <r>
    <s v="US-2020-108315"/>
    <x v="105"/>
    <s v="MH-18115"/>
    <s v="Mick Hernandez"/>
    <s v="United States"/>
    <x v="1"/>
    <x v="1"/>
    <s v="Acco PRESSTEX Data Binder with Storage Hooks, Light Blue, 9 1/2&quot; X 11&quot;"/>
    <n v="126.842"/>
    <n v="3"/>
    <n v="-3.5508000000000002"/>
    <n v="-2.7993882152599299"/>
  </r>
  <r>
    <s v="CA-2020-106432"/>
    <x v="6"/>
    <s v="CA-12265"/>
    <s v="Christina Anderson"/>
    <s v="United States"/>
    <x v="3"/>
    <x v="1"/>
    <s v="SlimView Poly Binder, 3/8&quot;"/>
    <n v="103.072"/>
    <n v="2"/>
    <n v="-3.5224000000000002"/>
    <n v="-3.4174169512573735"/>
  </r>
  <r>
    <s v="CA-2019-140417"/>
    <x v="81"/>
    <s v="KE-16420"/>
    <s v="Katrina Edelman"/>
    <s v="United States"/>
    <x v="2"/>
    <x v="1"/>
    <s v="GBC Poly Designer Binding Covers"/>
    <n v="5.0220000000000002"/>
    <n v="1"/>
    <n v="-3.5154000000000001"/>
    <n v="-70"/>
  </r>
  <r>
    <s v="US-2020-109316"/>
    <x v="207"/>
    <s v="MG-17680"/>
    <s v="Maureen Gastineau"/>
    <s v="United States"/>
    <x v="2"/>
    <x v="0"/>
    <s v="Shocksock Galaxy S4 Armband"/>
    <n v="146.52000000000001"/>
    <n v="2"/>
    <n v="-3.504"/>
    <n v="-2.3914823914823913"/>
  </r>
  <r>
    <s v="CA-2020-140872"/>
    <x v="132"/>
    <s v="NR-18550"/>
    <s v="Nick Radford"/>
    <s v="United States"/>
    <x v="1"/>
    <x v="1"/>
    <s v="Wilson Jones Standard D-Ring Binders"/>
    <n v="93.554000000000002"/>
    <n v="3"/>
    <n v="-3.4914000000000001"/>
    <n v="-3.7319622891592017"/>
  </r>
  <r>
    <s v="CA-2019-159023"/>
    <x v="65"/>
    <s v="NW-18400"/>
    <s v="Natalie Webber"/>
    <s v="United States"/>
    <x v="2"/>
    <x v="1"/>
    <s v="Avery Reinforcements for Hole-Punch Pages"/>
    <n v="4.1580000000000004"/>
    <n v="7"/>
    <n v="-3.4649999999999999"/>
    <n v="-83.333333333333329"/>
  </r>
  <r>
    <s v="CA-2020-158120"/>
    <x v="328"/>
    <s v="KH-16330"/>
    <s v="Katharine Harms"/>
    <s v="United States"/>
    <x v="2"/>
    <x v="1"/>
    <s v="Avery Reinforcements for Hole-Punch Pages"/>
    <n v="109.158"/>
    <n v="7"/>
    <n v="-3.4649999999999999"/>
    <n v="-3.1742978068487879"/>
  </r>
  <r>
    <s v="US-2019-156097"/>
    <x v="204"/>
    <s v="EH-14125"/>
    <s v="Eugene Hildebrand"/>
    <s v="United States"/>
    <x v="3"/>
    <x v="1"/>
    <s v="Avery Binding System Hidden Tab Executive Style Index Sets"/>
    <n v="2.3079999999999998"/>
    <n v="2"/>
    <n v="-3.4620000000000002"/>
    <n v="-150.00000000000003"/>
  </r>
  <r>
    <s v="CA-2020-161172"/>
    <x v="160"/>
    <s v="SP-20920"/>
    <s v="Susan Pistek"/>
    <s v="United States"/>
    <x v="0"/>
    <x v="1"/>
    <s v="Avery Binding System Hidden Tab Executive Style Index Sets"/>
    <n v="125.193"/>
    <n v="3"/>
    <n v="-3.4620000000000002"/>
    <n v="-2.7653303299705256"/>
  </r>
  <r>
    <s v="US-2019-150147"/>
    <x v="302"/>
    <s v="JL-15850"/>
    <s v="John Lucas"/>
    <s v="United States"/>
    <x v="0"/>
    <x v="1"/>
    <s v="Wilson Jones Custom Binder Spines &amp; Labels"/>
    <n v="4.8959999999999999"/>
    <n v="3"/>
    <n v="-3.4272"/>
    <n v="-70"/>
  </r>
  <r>
    <s v="CA-2019-113551"/>
    <x v="399"/>
    <s v="NF-18385"/>
    <s v="Natalie Fritzler"/>
    <s v="United States"/>
    <x v="3"/>
    <x v="1"/>
    <s v="GBC Wire Binding Combs"/>
    <n v="2.0680000000000001"/>
    <n v="1"/>
    <n v="-3.4121999999999999"/>
    <n v="-165"/>
  </r>
  <r>
    <s v="CA-2020-160801"/>
    <x v="121"/>
    <s v="FG-14260"/>
    <s v="Frank Gastineau"/>
    <s v="United States"/>
    <x v="0"/>
    <x v="1"/>
    <s v="Acco PRESSTEX Data Binder with Storage Hooks, Dark Blue, 9 1/2&quot; X 11&quot;"/>
    <n v="84.841999999999999"/>
    <n v="3"/>
    <n v="-3.3894000000000002"/>
    <n v="-3.9949553287286959"/>
  </r>
  <r>
    <s v="CA-2020-145093"/>
    <x v="102"/>
    <s v="PT-19090"/>
    <s v="Pete Takahito"/>
    <s v="United States"/>
    <x v="3"/>
    <x v="1"/>
    <s v="Wilson Jones 1&quot; Hanging DublLock Ring Binders"/>
    <n v="82.111999999999995"/>
    <n v="2"/>
    <n v="-3.3792"/>
    <n v="-4.1153546375682"/>
  </r>
  <r>
    <s v="CA-2020-131492"/>
    <x v="6"/>
    <s v="HH-15010"/>
    <s v="Hilary Holden"/>
    <s v="United States"/>
    <x v="2"/>
    <x v="2"/>
    <s v="Anderson Hickey Conga Table Tops &amp; Accessories"/>
    <n v="131.36799999999999"/>
    <n v="2"/>
    <n v="-3.3506"/>
    <n v="-2.5505450337981852"/>
  </r>
  <r>
    <s v="CA-2019-134348"/>
    <x v="300"/>
    <s v="MS-17710"/>
    <s v="Maurice Satty"/>
    <s v="United States"/>
    <x v="2"/>
    <x v="1"/>
    <s v="Round Ring Binders"/>
    <n v="4.3680000000000003"/>
    <n v="7"/>
    <n v="-3.3488000000000002"/>
    <n v="-76.666666666666657"/>
  </r>
  <r>
    <s v="CA-2019-115588"/>
    <x v="214"/>
    <s v="AF-10885"/>
    <s v="Art Foster"/>
    <s v="United States"/>
    <x v="0"/>
    <x v="1"/>
    <s v="Staple remover"/>
    <n v="14.72"/>
    <n v="5"/>
    <n v="-3.3119999999999998"/>
    <n v="-22.499999999999996"/>
  </r>
  <r>
    <s v="CA-2020-112536"/>
    <x v="352"/>
    <s v="SG-20890"/>
    <s v="Susan Gilcrest"/>
    <s v="United States"/>
    <x v="3"/>
    <x v="1"/>
    <s v="Avery Framed View Binder, EZD Ring (Locking), Navy, 1 1/2&quot;"/>
    <n v="80.995999999999995"/>
    <n v="1"/>
    <n v="-3.2934000000000001"/>
    <n v="-4.066126722307275"/>
  </r>
  <r>
    <s v="CA-2019-139234"/>
    <x v="387"/>
    <s v="AF-10870"/>
    <s v="Art Ferguson"/>
    <s v="United States"/>
    <x v="3"/>
    <x v="0"/>
    <s v="Logitech Desktop MK120 Mouse and keyboard Combo"/>
    <n v="26.175999999999998"/>
    <n v="2"/>
    <n v="-3.2719999999999998"/>
    <n v="-12.5"/>
  </r>
  <r>
    <s v="CA-2020-111262"/>
    <x v="259"/>
    <s v="KH-16510"/>
    <s v="Keith Herrera"/>
    <s v="United States"/>
    <x v="3"/>
    <x v="0"/>
    <s v="Logitech Desktop MK120 Mouse and keyboard Combo"/>
    <n v="109.176"/>
    <n v="2"/>
    <n v="-3.2719999999999998"/>
    <n v="-2.9969956767055028"/>
  </r>
  <r>
    <s v="CA-2019-150007"/>
    <x v="106"/>
    <s v="AS-10090"/>
    <s v="Adam Shillingsburg"/>
    <s v="United States"/>
    <x v="3"/>
    <x v="1"/>
    <s v="Insertable Tab Indexes For Data Binders"/>
    <n v="1.9079999999999999"/>
    <n v="3"/>
    <n v="-3.2435999999999998"/>
    <n v="-170"/>
  </r>
  <r>
    <s v="CA-2019-114209"/>
    <x v="340"/>
    <s v="AS-10285"/>
    <s v="Alejandro Savely"/>
    <s v="United States"/>
    <x v="3"/>
    <x v="1"/>
    <s v="Pressboard Covers with Storage Hooks, 9 1/2&quot; x 11&quot;, Light Blue"/>
    <n v="1.964"/>
    <n v="2"/>
    <n v="-3.2406000000000001"/>
    <n v="-165"/>
  </r>
  <r>
    <s v="CA-2019-108644"/>
    <x v="274"/>
    <s v="SJ-20215"/>
    <s v="Sarah Jordon"/>
    <s v="United States"/>
    <x v="3"/>
    <x v="1"/>
    <s v="Pressboard Covers with Storage Hooks, 9 1/2&quot; x 11&quot;, Light Blue"/>
    <n v="1.964"/>
    <n v="2"/>
    <n v="-3.2406000000000001"/>
    <n v="-165"/>
  </r>
  <r>
    <s v="CA-2020-163860"/>
    <x v="240"/>
    <s v="LO-17170"/>
    <s v="Lori Olson"/>
    <s v="United States"/>
    <x v="3"/>
    <x v="2"/>
    <s v="Padded Folding Chairs, Black, 4/Carton"/>
    <n v="116.372"/>
    <n v="2"/>
    <n v="-3.2391999999999999"/>
    <n v="-2.7834874368404772"/>
  </r>
  <r>
    <s v="CA-2020-147228"/>
    <x v="37"/>
    <s v="SO-20335"/>
    <s v="Sean O'Donnell"/>
    <s v="United States"/>
    <x v="1"/>
    <x v="1"/>
    <s v="Fellowes Super Stor/Drawer Files"/>
    <n v="292.48"/>
    <n v="2"/>
    <n v="-3.2309999999999999"/>
    <n v="-1.104690919037199"/>
  </r>
  <r>
    <s v="CA-2019-104311"/>
    <x v="139"/>
    <s v="AS-10090"/>
    <s v="Adam Shillingsburg"/>
    <s v="United States"/>
    <x v="3"/>
    <x v="1"/>
    <s v="Sterilite Show Offs Storage Containers"/>
    <n v="12.672000000000001"/>
    <n v="3"/>
    <n v="-3.1680000000000001"/>
    <n v="-25"/>
  </r>
  <r>
    <s v="CA-2020-102414"/>
    <x v="403"/>
    <s v="JA-15970"/>
    <s v="Joseph Airdo"/>
    <s v="United States"/>
    <x v="2"/>
    <x v="1"/>
    <s v="Avery Durable Slant Ring Binders"/>
    <n v="114.752"/>
    <n v="2"/>
    <n v="-3.1680000000000001"/>
    <n v="-2.7607361963190189"/>
  </r>
  <r>
    <s v="CA-2020-121125"/>
    <x v="380"/>
    <s v="MG-17890"/>
    <s v="Michael Granlund"/>
    <s v="United States"/>
    <x v="2"/>
    <x v="0"/>
    <s v="SanDisk Ultra 32 GB MicroSDHC Class 10 Memory Card"/>
    <n v="144.36000000000001"/>
    <n v="2"/>
    <n v="-3.0939999999999999"/>
    <n v="-2.1432529786644499"/>
  </r>
  <r>
    <s v="CA-2020-115070"/>
    <x v="404"/>
    <s v="MG-18205"/>
    <s v="Mitch Gastineau"/>
    <s v="United States"/>
    <x v="1"/>
    <x v="1"/>
    <s v="Acco Pressboard Covers with Storage Hooks, 14 7/8&quot; x 11&quot;, Light Blue"/>
    <n v="97.418999999999997"/>
    <n v="3"/>
    <n v="-3.0933000000000002"/>
    <n v="-3.1752532873464112"/>
  </r>
  <r>
    <s v="CA-2020-109757"/>
    <x v="130"/>
    <s v="MD-17350"/>
    <s v="Maribeth Dona"/>
    <s v="United States"/>
    <x v="0"/>
    <x v="1"/>
    <s v="Wilson Jones Active Use Binders"/>
    <n v="88.367999999999995"/>
    <n v="2"/>
    <n v="-3.0575999999999999"/>
    <n v="-3.4600760456273765"/>
  </r>
  <r>
    <s v="CA-2019-158568"/>
    <x v="159"/>
    <s v="RB-19465"/>
    <s v="Rick Bensley"/>
    <s v="United States"/>
    <x v="3"/>
    <x v="1"/>
    <s v="Avery Hidden Tab Dividers for Binding Systems"/>
    <n v="1.788"/>
    <n v="3"/>
    <n v="-3.0396000000000001"/>
    <n v="-170"/>
  </r>
  <r>
    <s v="CA-2020-125878"/>
    <x v="292"/>
    <s v="MH-18025"/>
    <s v="Michelle Huthwaite"/>
    <s v="United States"/>
    <x v="3"/>
    <x v="1"/>
    <s v="Avery Hidden Tab Dividers for Binding Systems"/>
    <n v="529.78800000000001"/>
    <n v="3"/>
    <n v="-3.0396000000000001"/>
    <n v="-0.57373892953407779"/>
  </r>
  <r>
    <s v="CA-2019-118934"/>
    <x v="366"/>
    <s v="GH-14410"/>
    <s v="Gary Hansen"/>
    <s v="United States"/>
    <x v="1"/>
    <x v="1"/>
    <s v="Tuff Stuff Recycled Round Ring Binders"/>
    <n v="4.3380000000000001"/>
    <n v="3"/>
    <n v="-3.0366"/>
    <n v="-70"/>
  </r>
  <r>
    <s v="CA-2019-157707"/>
    <x v="85"/>
    <s v="CC-12610"/>
    <s v="Corey Catlett"/>
    <s v="United States"/>
    <x v="2"/>
    <x v="0"/>
    <s v="iOttie HLCRIO102 Car Mount"/>
    <n v="15.992000000000001"/>
    <n v="1"/>
    <n v="-2.9984999999999999"/>
    <n v="-18.749999999999996"/>
  </r>
  <r>
    <s v="CA-2020-100622"/>
    <x v="368"/>
    <s v="DK-13090"/>
    <s v="Dave Kipp"/>
    <s v="United States"/>
    <x v="1"/>
    <x v="1"/>
    <s v="Avery Self-Adhesive Photo Pockets for Polaroid Photos"/>
    <n v="119.086"/>
    <n v="2"/>
    <n v="-2.9964"/>
    <n v="-2.5161647884721963"/>
  </r>
  <r>
    <s v="CA-2020-124940"/>
    <x v="405"/>
    <s v="DK-13090"/>
    <s v="Dave Kipp"/>
    <s v="United States"/>
    <x v="3"/>
    <x v="0"/>
    <s v="Microsoft Natural Keyboard Elite"/>
    <n v="973.904"/>
    <n v="1"/>
    <n v="-2.9940000000000002"/>
    <n v="-0.30742249749461964"/>
  </r>
  <r>
    <s v="CA-2020-131016"/>
    <x v="406"/>
    <s v="DC-12850"/>
    <s v="Dan Campbell"/>
    <s v="United States"/>
    <x v="3"/>
    <x v="1"/>
    <s v="Acco Perma 2700 Stacking Storage Drawers"/>
    <n v="153.584"/>
    <n v="2"/>
    <n v="-2.9740000000000002"/>
    <n v="-1.9363996249609334"/>
  </r>
  <r>
    <s v="CA-2020-102610"/>
    <x v="1"/>
    <s v="CA-12265"/>
    <s v="Christina Anderson"/>
    <s v="United States"/>
    <x v="1"/>
    <x v="1"/>
    <s v="Storex Dura Pro Binders"/>
    <n v="105.56399999999999"/>
    <n v="2"/>
    <n v="-2.97"/>
    <n v="-2.8134591337956127"/>
  </r>
  <r>
    <s v="US-2020-163657"/>
    <x v="149"/>
    <s v="JL-15235"/>
    <s v="Janet Lee"/>
    <s v="United States"/>
    <x v="2"/>
    <x v="2"/>
    <s v="Hon 2111 Invitation Series Straight Table"/>
    <n v="265.52800000000002"/>
    <n v="2"/>
    <n v="-2.9565999999999999"/>
    <n v="-1.1134795577114276"/>
  </r>
  <r>
    <s v="CA-2019-108364"/>
    <x v="78"/>
    <s v="BP-11050"/>
    <s v="Barry Pond"/>
    <s v="United States"/>
    <x v="3"/>
    <x v="1"/>
    <s v="Wilson Jones Easy Flow II Sheet Lifters"/>
    <n v="1.8"/>
    <n v="5"/>
    <n v="-2.88"/>
    <n v="-160"/>
  </r>
  <r>
    <s v="CA-2019-157749"/>
    <x v="41"/>
    <s v="KL-16645"/>
    <s v="Ken Lonsdale"/>
    <s v="United States"/>
    <x v="3"/>
    <x v="2"/>
    <s v="Eldon 100 Class Desk Accessories"/>
    <n v="4.0439999999999996"/>
    <n v="3"/>
    <n v="-2.8308"/>
    <n v="-70"/>
  </r>
  <r>
    <s v="US-2019-127971"/>
    <x v="165"/>
    <s v="DW-13195"/>
    <s v="David Wiener"/>
    <s v="United States"/>
    <x v="3"/>
    <x v="2"/>
    <s v="Eldon Wave Desk Accessories"/>
    <n v="7.0679999999999996"/>
    <n v="3"/>
    <n v="-2.8271999999999999"/>
    <n v="-40"/>
  </r>
  <r>
    <s v="CA-2020-138611"/>
    <x v="244"/>
    <s v="CK-12595"/>
    <s v="Clytie Kelty"/>
    <s v="United States"/>
    <x v="0"/>
    <x v="1"/>
    <s v="Prestige Round Ring Binders"/>
    <n v="83.647999999999996"/>
    <n v="2"/>
    <n v="-2.7968000000000002"/>
    <n v="-3.3435348125478201"/>
  </r>
  <r>
    <s v="CA-2019-159912"/>
    <x v="159"/>
    <s v="GB-14530"/>
    <s v="George Bell"/>
    <s v="United States"/>
    <x v="0"/>
    <x v="1"/>
    <s v="Fellowes Black Plastic Comb Bindings"/>
    <n v="3.4860000000000002"/>
    <n v="2"/>
    <n v="-2.7888000000000002"/>
    <n v="-80"/>
  </r>
  <r>
    <s v="CA-2019-110898"/>
    <x v="84"/>
    <s v="LC-16870"/>
    <s v="Lena Cacioppo"/>
    <s v="United States"/>
    <x v="3"/>
    <x v="1"/>
    <s v="Peel &amp; Stick Add-On Corner Pockets"/>
    <n v="1.728"/>
    <n v="4"/>
    <n v="-2.7648000000000001"/>
    <n v="-160"/>
  </r>
  <r>
    <s v="US-2019-139262"/>
    <x v="272"/>
    <s v="LC-16960"/>
    <s v="Lindsay Castell"/>
    <s v="United States"/>
    <x v="1"/>
    <x v="1"/>
    <s v="Avery Durable Slant Ring Binders With Label Holder"/>
    <n v="3.762"/>
    <n v="3"/>
    <n v="-2.7587999999999999"/>
    <n v="-73.333333333333329"/>
  </r>
  <r>
    <s v="CA-2020-136448"/>
    <x v="35"/>
    <s v="AS-10090"/>
    <s v="Adam Shillingsburg"/>
    <s v="United States"/>
    <x v="0"/>
    <x v="1"/>
    <s v="Binder Posts"/>
    <n v="98.444000000000003"/>
    <n v="2"/>
    <n v="-2.7551999999999999"/>
    <n v="-2.7987485270813859"/>
  </r>
  <r>
    <s v="US-2019-150357"/>
    <x v="85"/>
    <s v="EB-13975"/>
    <s v="Erica Bern"/>
    <s v="United States"/>
    <x v="1"/>
    <x v="1"/>
    <s v="Presstex Flexible Ring Binders"/>
    <n v="4.0949999999999998"/>
    <n v="3"/>
    <n v="-2.73"/>
    <n v="-66.666666666666671"/>
  </r>
  <r>
    <s v="US-2020-166233"/>
    <x v="142"/>
    <s v="MO-17950"/>
    <s v="Michael Oakman"/>
    <s v="United States"/>
    <x v="1"/>
    <x v="0"/>
    <s v="Imation 8gb Micro Traveldrive Usb 2.0 Flash Drive"/>
    <n v="152"/>
    <n v="2"/>
    <n v="-2.7"/>
    <n v="-1.7763157894736841"/>
  </r>
  <r>
    <s v="CA-2020-111262"/>
    <x v="259"/>
    <s v="KH-16510"/>
    <s v="Keith Herrera"/>
    <s v="United States"/>
    <x v="3"/>
    <x v="0"/>
    <s v="Imation 8gb Micro Traveldrive Usb 2.0 Flash Drive"/>
    <n v="138"/>
    <n v="2"/>
    <n v="-2.7"/>
    <n v="-1.956521739130435"/>
  </r>
  <r>
    <s v="CA-2019-106278"/>
    <x v="110"/>
    <s v="BM-11140"/>
    <s v="Becky Martin"/>
    <s v="United States"/>
    <x v="2"/>
    <x v="2"/>
    <s v="Global Leather Task Chair, Black"/>
    <n v="215.976"/>
    <n v="3"/>
    <n v="-2.6997"/>
    <n v="-1.25"/>
  </r>
  <r>
    <s v="CA-2020-111388"/>
    <x v="149"/>
    <s v="SU-20665"/>
    <s v="Stephanie Ulpright"/>
    <s v="United States"/>
    <x v="2"/>
    <x v="2"/>
    <s v="Global Leather Task Chair, Black"/>
    <n v="236.976"/>
    <n v="3"/>
    <n v="-2.6997"/>
    <n v="-1.1392292890419284"/>
  </r>
  <r>
    <s v="CA-2020-158246"/>
    <x v="407"/>
    <s v="JB-15400"/>
    <s v="Jennifer Braxton"/>
    <s v="United States"/>
    <x v="2"/>
    <x v="2"/>
    <s v="Global Leather Task Chair, Black"/>
    <n v="229.976"/>
    <n v="3"/>
    <n v="-2.6997"/>
    <n v="-1.1739051031411973"/>
  </r>
  <r>
    <s v="CA-2019-168956"/>
    <x v="75"/>
    <s v="EA-14035"/>
    <s v="Erin Ashbrook"/>
    <s v="United States"/>
    <x v="3"/>
    <x v="2"/>
    <s v="Global Stack Chair with Arms, Black"/>
    <n v="62.957999999999998"/>
    <n v="3"/>
    <n v="-2.6981999999999999"/>
    <n v="-4.2857142857142856"/>
  </r>
  <r>
    <s v="CA-2020-139773"/>
    <x v="57"/>
    <s v="DV-13045"/>
    <s v="Darrin Van Huff"/>
    <s v="United States"/>
    <x v="0"/>
    <x v="2"/>
    <s v="Safco Chair Connectors, 6/Carton"/>
    <n v="213.55199999999999"/>
    <n v="7"/>
    <n v="-2.6936"/>
    <n v="-1.2613321345620738"/>
  </r>
  <r>
    <s v="CA-2020-118773"/>
    <x v="34"/>
    <s v="TP-21415"/>
    <s v="Tom Prescott"/>
    <s v="United States"/>
    <x v="3"/>
    <x v="2"/>
    <s v="Stacking Trays by OIC"/>
    <n v="122.98399999999999"/>
    <n v="2"/>
    <n v="-2.6892"/>
    <n v="-2.1866259025564303"/>
  </r>
  <r>
    <s v="CA-2020-163860"/>
    <x v="240"/>
    <s v="LO-17170"/>
    <s v="Lori Olson"/>
    <s v="United States"/>
    <x v="3"/>
    <x v="1"/>
    <s v="Computer Printout Index Tabs"/>
    <n v="398.68"/>
    <n v="5"/>
    <n v="-2.6880000000000002"/>
    <n v="-0.67422494230962171"/>
  </r>
  <r>
    <s v="CA-2019-168032"/>
    <x v="26"/>
    <s v="DF-13135"/>
    <s v="David Flashing"/>
    <s v="United States"/>
    <x v="3"/>
    <x v="1"/>
    <s v="Avery Durable Binders"/>
    <n v="1.728"/>
    <n v="3"/>
    <n v="-2.6783999999999999"/>
    <n v="-155"/>
  </r>
  <r>
    <s v="CA-2019-120824"/>
    <x v="104"/>
    <s v="AW-10930"/>
    <s v="Arthur Wiediger"/>
    <s v="United States"/>
    <x v="3"/>
    <x v="1"/>
    <s v="Acco Pressboard Covers with Storage Hooks, 14 7/8&quot; x 11&quot;, Executive Red"/>
    <n v="1.524"/>
    <n v="2"/>
    <n v="-2.6669999999999998"/>
    <n v="-174.99999999999997"/>
  </r>
  <r>
    <s v="CA-2020-106831"/>
    <x v="167"/>
    <s v="FH-14350"/>
    <s v="Fred Harton"/>
    <s v="United States"/>
    <x v="0"/>
    <x v="1"/>
    <s v="Cardinal HOLDit! Binder Insert Strips,Extra Strips"/>
    <n v="108.798"/>
    <n v="2"/>
    <n v="-2.6585999999999999"/>
    <n v="-2.4436110957922019"/>
  </r>
  <r>
    <s v="CA-2019-137239"/>
    <x v="312"/>
    <s v="CR-12730"/>
    <s v="Craig Reiter"/>
    <s v="United States"/>
    <x v="0"/>
    <x v="1"/>
    <s v="Avery Durable Poly Binders"/>
    <n v="3.3180000000000001"/>
    <n v="2"/>
    <n v="-2.6543999999999999"/>
    <n v="-80"/>
  </r>
  <r>
    <s v="US-2020-150595"/>
    <x v="195"/>
    <s v="LE-16810"/>
    <s v="Laurel Elliston"/>
    <s v="United States"/>
    <x v="3"/>
    <x v="1"/>
    <s v="Avery Durable Slant Ring Binders, No Labels"/>
    <n v="96.591999999999999"/>
    <n v="2"/>
    <n v="-2.6267999999999998"/>
    <n v="-2.7194798741096569"/>
  </r>
  <r>
    <s v="CA-2019-145499"/>
    <x v="323"/>
    <s v="RW-19690"/>
    <s v="Robert Waldorf"/>
    <s v="United States"/>
    <x v="1"/>
    <x v="1"/>
    <s v="Angle-D Ring Binders"/>
    <n v="3.282"/>
    <n v="2"/>
    <n v="-2.6255999999999999"/>
    <n v="-80"/>
  </r>
  <r>
    <s v="US-2019-158309"/>
    <x v="127"/>
    <s v="PA-19060"/>
    <s v="Pete Armstrong"/>
    <s v="United States"/>
    <x v="1"/>
    <x v="1"/>
    <s v="Zipper Ring Binder Pockets"/>
    <n v="3.7440000000000002"/>
    <n v="4"/>
    <n v="-2.6208"/>
    <n v="-70"/>
  </r>
  <r>
    <s v="CA-2020-112487"/>
    <x v="408"/>
    <s v="TC-21535"/>
    <s v="Tracy Collins"/>
    <s v="United States"/>
    <x v="0"/>
    <x v="1"/>
    <s v="Acco Economy Flexible Poly Round Ring Binder"/>
    <n v="308.13200000000001"/>
    <n v="2"/>
    <n v="-2.61"/>
    <n v="-0.84703958043955174"/>
  </r>
  <r>
    <s v="CA-2020-126354"/>
    <x v="275"/>
    <s v="SC-20380"/>
    <s v="Shahid Collister"/>
    <s v="United States"/>
    <x v="1"/>
    <x v="1"/>
    <s v="GBC Instant Report Kit"/>
    <n v="118.88200000000001"/>
    <n v="2"/>
    <n v="-2.5880000000000001"/>
    <n v="-2.1769485708517688"/>
  </r>
  <r>
    <s v="CA-2020-156237"/>
    <x v="97"/>
    <s v="PS-18760"/>
    <s v="Pamela Stobb"/>
    <s v="United States"/>
    <x v="0"/>
    <x v="1"/>
    <s v="GBC Instant Report Kit"/>
    <n v="68.882000000000005"/>
    <n v="2"/>
    <n v="-2.5880000000000001"/>
    <n v="-3.7571499085392408"/>
  </r>
  <r>
    <s v="CA-2020-140872"/>
    <x v="132"/>
    <s v="NR-18550"/>
    <s v="Nick Radford"/>
    <s v="United States"/>
    <x v="1"/>
    <x v="0"/>
    <s v="Logitech P710e Mobile Speakerphone"/>
    <n v="222.99199999999999"/>
    <n v="1"/>
    <n v="-2.5749"/>
    <n v="-1.1547051015283061"/>
  </r>
  <r>
    <s v="CA-2020-157966"/>
    <x v="52"/>
    <s v="SU-20665"/>
    <s v="Stephanie Ulpright"/>
    <s v="United States"/>
    <x v="3"/>
    <x v="2"/>
    <s v="SAFCO Folding Chair Trolley"/>
    <n v="139.768"/>
    <n v="1"/>
    <n v="-2.5648"/>
    <n v="-1.8350409249613644"/>
  </r>
  <r>
    <s v="CA-2020-130141"/>
    <x v="126"/>
    <s v="HA-14905"/>
    <s v="Helen Abelman"/>
    <s v="United States"/>
    <x v="2"/>
    <x v="1"/>
    <s v="Storex Flexible Poly Binders with Double Pockets"/>
    <n v="84.168000000000006"/>
    <n v="4"/>
    <n v="-2.5344000000000002"/>
    <n v="-3.0111206159110351"/>
  </r>
  <r>
    <s v="CA-2020-153822"/>
    <x v="121"/>
    <s v="AB-10105"/>
    <s v="Adrian Barton"/>
    <s v="United States"/>
    <x v="2"/>
    <x v="1"/>
    <s v="Akro Stacking Bins"/>
    <n v="135.624"/>
    <n v="2"/>
    <n v="-2.5247999999999999"/>
    <n v="-1.8616174128472835"/>
  </r>
  <r>
    <s v="CA-2020-152807"/>
    <x v="177"/>
    <s v="MC-18100"/>
    <s v="Mick Crebagga"/>
    <s v="United States"/>
    <x v="0"/>
    <x v="1"/>
    <s v="Eldon Shelf Savers Cubes and Bins"/>
    <n v="109.16800000000001"/>
    <n v="2"/>
    <n v="-2.5127999999999999"/>
    <n v="-2.3017734134544918"/>
  </r>
  <r>
    <s v="US-2020-110149"/>
    <x v="409"/>
    <s v="WB-21850"/>
    <s v="William Brown"/>
    <s v="United States"/>
    <x v="0"/>
    <x v="1"/>
    <s v="Heavy-Duty E-Z-D Binders"/>
    <n v="443.27300000000002"/>
    <n v="1"/>
    <n v="-2.5093000000000001"/>
    <n v="-0.56608455737209351"/>
  </r>
  <r>
    <s v="CA-2019-113733"/>
    <x v="83"/>
    <s v="LH-16900"/>
    <s v="Lena Hernandez"/>
    <s v="United States"/>
    <x v="1"/>
    <x v="0"/>
    <s v="Imation 30456 USB Flash Drive 8GB"/>
    <n v="16.559999999999999"/>
    <n v="3"/>
    <n v="-2.484"/>
    <n v="-15.000000000000002"/>
  </r>
  <r>
    <s v="CA-2019-133123"/>
    <x v="410"/>
    <s v="KB-16315"/>
    <s v="Karl Braun"/>
    <s v="United States"/>
    <x v="1"/>
    <x v="1"/>
    <s v="Pressboard Data Binders by Wilson Jones"/>
    <n v="3.2040000000000002"/>
    <n v="2"/>
    <n v="-2.4563999999999999"/>
    <n v="-76.666666666666657"/>
  </r>
  <r>
    <s v="CA-2019-115588"/>
    <x v="214"/>
    <s v="AF-10885"/>
    <s v="Art Foster"/>
    <s v="United States"/>
    <x v="0"/>
    <x v="1"/>
    <s v="Acco Perma 4000 Stacking Storage Drawers"/>
    <n v="38.975999999999999"/>
    <n v="3"/>
    <n v="-2.4359999999999999"/>
    <n v="-6.25"/>
  </r>
  <r>
    <s v="CA-2020-163860"/>
    <x v="240"/>
    <s v="LO-17170"/>
    <s v="Lori Olson"/>
    <s v="United States"/>
    <x v="3"/>
    <x v="2"/>
    <s v="G.E. Longer-Life Indoor Recessed Floodlight Bulbs"/>
    <n v="1302.9680000000001"/>
    <n v="3"/>
    <n v="-2.3904000000000001"/>
    <n v="-0.18345807418140736"/>
  </r>
  <r>
    <s v="CA-2019-159912"/>
    <x v="159"/>
    <s v="GB-14530"/>
    <s v="George Bell"/>
    <s v="United States"/>
    <x v="0"/>
    <x v="1"/>
    <s v="Revere Boxed Rubber Bands by Revere"/>
    <n v="10.584"/>
    <n v="7"/>
    <n v="-2.3814000000000002"/>
    <n v="-22.500000000000004"/>
  </r>
  <r>
    <s v="CA-2019-128531"/>
    <x v="289"/>
    <s v="NS-18505"/>
    <s v="Neola Schneider"/>
    <s v="United States"/>
    <x v="3"/>
    <x v="0"/>
    <s v="Logitech G105 Gaming Keyboard"/>
    <n v="94.992000000000004"/>
    <n v="2"/>
    <n v="-2.3748"/>
    <n v="-2.5"/>
  </r>
  <r>
    <s v="US-2020-118087"/>
    <x v="37"/>
    <s v="SP-20620"/>
    <s v="Stefania Perrino"/>
    <s v="United States"/>
    <x v="0"/>
    <x v="1"/>
    <s v="Wilson Jones Standard D-Ring Binders"/>
    <n v="94.036000000000001"/>
    <n v="2"/>
    <n v="-2.3275999999999999"/>
    <n v="-2.4752222553064782"/>
  </r>
  <r>
    <s v="CA-2020-121160"/>
    <x v="1"/>
    <s v="FM-14290"/>
    <s v="Frank Merwin"/>
    <s v="United States"/>
    <x v="3"/>
    <x v="1"/>
    <s v="Self-Adhesive Ring Binder Labels"/>
    <n v="78.408000000000001"/>
    <n v="2"/>
    <n v="-2.3231999999999999"/>
    <n v="-2.9629629629629628"/>
  </r>
  <r>
    <s v="CA-2020-123239"/>
    <x v="411"/>
    <s v="MG-18145"/>
    <s v="Mike Gockenbach"/>
    <s v="United States"/>
    <x v="1"/>
    <x v="2"/>
    <s v="Eldon Delta Triangular Chair Mat, 52&quot; x 58&quot;, Clear"/>
    <n v="131.03200000000001"/>
    <n v="3"/>
    <n v="-2.2757999999999998"/>
    <n v="-1.7368276451553817"/>
  </r>
  <r>
    <s v="US-2020-124303"/>
    <x v="333"/>
    <s v="FH-14365"/>
    <s v="Fred Hopkins"/>
    <s v="United States"/>
    <x v="0"/>
    <x v="1"/>
    <s v="Pressboard Covers with Storage Hooks, 9 1/2&quot; x 11&quot;, Light Blue"/>
    <n v="74.945999999999998"/>
    <n v="2"/>
    <n v="-2.2585999999999999"/>
    <n v="-3.0136364849358204"/>
  </r>
  <r>
    <s v="CA-2019-108567"/>
    <x v="246"/>
    <s v="DB-13210"/>
    <s v="Dean Braden"/>
    <s v="United States"/>
    <x v="1"/>
    <x v="1"/>
    <s v="Avery Non-Stick Binders"/>
    <n v="2.694"/>
    <n v="2"/>
    <n v="-2.2450000000000001"/>
    <n v="-83.333333333333343"/>
  </r>
  <r>
    <s v="CA-2019-149279"/>
    <x v="412"/>
    <s v="CL-12700"/>
    <s v="Craig Leslie"/>
    <s v="United States"/>
    <x v="2"/>
    <x v="1"/>
    <s v="Wilson Jones Impact Binders"/>
    <n v="3.1080000000000001"/>
    <n v="2"/>
    <n v="-2.1756000000000002"/>
    <n v="-70"/>
  </r>
  <r>
    <s v="US-2019-150567"/>
    <x v="297"/>
    <s v="RP-19855"/>
    <s v="Roy Phan"/>
    <s v="United States"/>
    <x v="1"/>
    <x v="1"/>
    <s v="Pressboard Hanging Data Binders for Unburst Sheets"/>
    <n v="2.952"/>
    <n v="2"/>
    <n v="-2.1648000000000001"/>
    <n v="-73.333333333333343"/>
  </r>
  <r>
    <s v="CA-2019-159373"/>
    <x v="22"/>
    <s v="LT-17110"/>
    <s v="Liz Thompson"/>
    <s v="United States"/>
    <x v="3"/>
    <x v="1"/>
    <s v="Insertable Tab Indexes For Data Binders"/>
    <n v="1.272"/>
    <n v="2"/>
    <n v="-2.1623999999999999"/>
    <n v="-170"/>
  </r>
  <r>
    <s v="CA-2019-169922"/>
    <x v="335"/>
    <s v="MZ-17515"/>
    <s v="Mary Zewe"/>
    <s v="United States"/>
    <x v="3"/>
    <x v="1"/>
    <s v="Computer Printout Index Tabs"/>
    <n v="1.3440000000000001"/>
    <n v="4"/>
    <n v="-2.1503999999999999"/>
    <n v="-160"/>
  </r>
  <r>
    <s v="CA-2019-128916"/>
    <x v="399"/>
    <s v="MA-17560"/>
    <s v="Matt Abelman"/>
    <s v="United States"/>
    <x v="3"/>
    <x v="2"/>
    <s v="OIC Stacking Trays"/>
    <n v="5.3440000000000003"/>
    <n v="4"/>
    <n v="-2.1375999999999999"/>
    <n v="-40"/>
  </r>
  <r>
    <s v="CA-2020-133102"/>
    <x v="23"/>
    <s v="ED-13885"/>
    <s v="Emily Ducich"/>
    <s v="United States"/>
    <x v="3"/>
    <x v="2"/>
    <s v="SAFCO Optional Arm Kit for Workspace Cribbage Stacking Chair"/>
    <n v="164.59200000000001"/>
    <n v="4"/>
    <n v="-2.1312000000000002"/>
    <n v="-1.294838145231846"/>
  </r>
  <r>
    <s v="CA-2020-133648"/>
    <x v="390"/>
    <s v="ML-17755"/>
    <s v="Max Ludwig"/>
    <s v="United States"/>
    <x v="2"/>
    <x v="1"/>
    <s v="Plymouth Boxed Rubber Bands by Plymouth"/>
    <n v="123.304"/>
    <n v="3"/>
    <n v="-2.1194999999999999"/>
    <n v="-1.7189223382858627"/>
  </r>
  <r>
    <s v="CA-2020-106068"/>
    <x v="122"/>
    <s v="RB-19330"/>
    <s v="Randy Bradley"/>
    <s v="United States"/>
    <x v="3"/>
    <x v="0"/>
    <s v="WD My Passport Ultra 1TB Portable External Hard Drive"/>
    <n v="148.19999999999999"/>
    <n v="1"/>
    <n v="-2.0699999999999998"/>
    <n v="-1.3967611336032388"/>
  </r>
  <r>
    <s v="US-2019-161844"/>
    <x v="260"/>
    <s v="DK-12835"/>
    <s v="Damala Kotsonis"/>
    <s v="United States"/>
    <x v="1"/>
    <x v="1"/>
    <s v="Acco Pressboard Covers with Storage Hooks, 14 7/8&quot; x 11&quot;, Light Blue"/>
    <n v="2.9460000000000002"/>
    <n v="2"/>
    <n v="-2.0621999999999998"/>
    <n v="-69.999999999999986"/>
  </r>
  <r>
    <s v="CA-2019-124506"/>
    <x v="373"/>
    <s v="BB-11545"/>
    <s v="Brenda Bowman"/>
    <s v="United States"/>
    <x v="3"/>
    <x v="2"/>
    <s v="Global Chrome Stack Chair"/>
    <n v="47.991999999999997"/>
    <n v="2"/>
    <n v="-2.0568"/>
    <n v="-4.2857142857142856"/>
  </r>
  <r>
    <s v="CA-2020-149181"/>
    <x v="287"/>
    <s v="MD-17350"/>
    <s v="Maribeth Dona"/>
    <s v="United States"/>
    <x v="0"/>
    <x v="2"/>
    <s v="Global Chrome Stack Chair"/>
    <n v="157.99199999999999"/>
    <n v="2"/>
    <n v="-2.0568"/>
    <n v="-1.3018380677502659"/>
  </r>
  <r>
    <s v="CA-2019-163202"/>
    <x v="76"/>
    <s v="BM-11650"/>
    <s v="Brian Moss"/>
    <s v="United States"/>
    <x v="0"/>
    <x v="1"/>
    <s v="Recycled Pressboard Report Cover with Reinforced Top Hinge"/>
    <n v="2.907"/>
    <n v="3"/>
    <n v="-2.0348999999999999"/>
    <n v="-70"/>
  </r>
  <r>
    <s v="US-2019-110156"/>
    <x v="319"/>
    <s v="EH-13945"/>
    <s v="Eric Hoffmann"/>
    <s v="United States"/>
    <x v="3"/>
    <x v="1"/>
    <s v="Avery Hidden Tab Dividers for Binding Systems"/>
    <n v="1.1919999999999999"/>
    <n v="2"/>
    <n v="-2.0264000000000002"/>
    <n v="-170.00000000000003"/>
  </r>
  <r>
    <s v="CA-2019-164784"/>
    <x v="116"/>
    <s v="HF-14995"/>
    <s v="Herbert Flentye"/>
    <s v="United States"/>
    <x v="1"/>
    <x v="1"/>
    <s v="Newell 3-Hole Punched Plastic Slotted Magazine Holders for Binders"/>
    <n v="2.742"/>
    <n v="2"/>
    <n v="-2.0108000000000001"/>
    <n v="-73.333333333333343"/>
  </r>
  <r>
    <s v="CA-2020-147228"/>
    <x v="37"/>
    <s v="SO-20335"/>
    <s v="Sean O'Donnell"/>
    <s v="United States"/>
    <x v="1"/>
    <x v="1"/>
    <s v="Staple remover"/>
    <n v="101.83199999999999"/>
    <n v="3"/>
    <n v="-1.9872000000000001"/>
    <n v="-1.9514494461465945"/>
  </r>
  <r>
    <s v="CA-2019-139689"/>
    <x v="268"/>
    <s v="MP-17965"/>
    <s v="Michael Paige"/>
    <s v="United States"/>
    <x v="1"/>
    <x v="1"/>
    <s v="Zipper Ring Binder Pockets"/>
    <n v="2.8079999999999998"/>
    <n v="3"/>
    <n v="-1.9656"/>
    <n v="-70"/>
  </r>
  <r>
    <s v="US-2020-168690"/>
    <x v="413"/>
    <s v="TS-21085"/>
    <s v="Thais Sissman"/>
    <s v="United States"/>
    <x v="1"/>
    <x v="1"/>
    <s v="Zipper Ring Binder Pockets"/>
    <n v="93.808000000000007"/>
    <n v="3"/>
    <n v="-1.9656"/>
    <n v="-2.0953436807095343"/>
  </r>
  <r>
    <s v="CA-2020-164042"/>
    <x v="213"/>
    <s v="KL-16645"/>
    <s v="Ken Lonsdale"/>
    <s v="United States"/>
    <x v="3"/>
    <x v="1"/>
    <s v="Storex Dura Pro Binders"/>
    <n v="100.188"/>
    <n v="1"/>
    <n v="-1.9601999999999999"/>
    <n v="-1.9565217391304346"/>
  </r>
  <r>
    <s v="CA-2020-106691"/>
    <x v="174"/>
    <s v="CC-12370"/>
    <s v="Christopher Conant"/>
    <s v="United States"/>
    <x v="3"/>
    <x v="1"/>
    <s v="Zipper Ring Binder Pockets"/>
    <n v="102.248"/>
    <n v="2"/>
    <n v="-1.9343999999999999"/>
    <n v="-1.8918707456380561"/>
  </r>
  <r>
    <s v="US-2020-118038"/>
    <x v="356"/>
    <s v="KB-16600"/>
    <s v="Ken Brennan"/>
    <s v="United States"/>
    <x v="3"/>
    <x v="1"/>
    <s v="Economy Binders"/>
    <n v="98.248000000000005"/>
    <n v="3"/>
    <n v="-1.9343999999999999"/>
    <n v="-1.9688950411204296"/>
  </r>
  <r>
    <s v="CA-2020-168900"/>
    <x v="370"/>
    <s v="SH-20395"/>
    <s v="Shahid Hopkins"/>
    <s v="United States"/>
    <x v="0"/>
    <x v="1"/>
    <s v="DXL Angle-View Binders with Locking Rings by Samsill"/>
    <n v="87.313000000000002"/>
    <n v="1"/>
    <n v="-1.9275"/>
    <n v="-2.2075750460985191"/>
  </r>
  <r>
    <s v="CA-2019-109820"/>
    <x v="165"/>
    <s v="AG-10390"/>
    <s v="Allen Goldenen"/>
    <s v="United States"/>
    <x v="0"/>
    <x v="1"/>
    <s v="Acco 3-Hole Punch"/>
    <n v="2.6280000000000001"/>
    <n v="2"/>
    <n v="-1.9272"/>
    <n v="-73.333333333333329"/>
  </r>
  <r>
    <s v="US-2019-105578"/>
    <x v="323"/>
    <s v="MY-17380"/>
    <s v="Maribeth Yedwab"/>
    <s v="United States"/>
    <x v="2"/>
    <x v="1"/>
    <s v="Storex Flexible Poly Binders with Double Pockets"/>
    <n v="2.3759999999999999"/>
    <n v="3"/>
    <n v="-1.9008"/>
    <n v="-80"/>
  </r>
  <r>
    <s v="CA-2020-152205"/>
    <x v="189"/>
    <s v="SF-20965"/>
    <s v="Sylvia Foulston"/>
    <s v="United States"/>
    <x v="0"/>
    <x v="1"/>
    <s v="GBC Standard Plastic Binding Systems Combs"/>
    <n v="97.655000000000001"/>
    <n v="1"/>
    <n v="-1.8585"/>
    <n v="-1.9031283600430087"/>
  </r>
  <r>
    <s v="CA-2020-127306"/>
    <x v="325"/>
    <s v="BH-11710"/>
    <s v="Brosina Hoffman"/>
    <s v="United States"/>
    <x v="1"/>
    <x v="1"/>
    <s v="Avery Durable Slant Ring Binders With Label Holder"/>
    <n v="101.508"/>
    <n v="2"/>
    <n v="-1.8391999999999999"/>
    <n v="-1.811876896402254"/>
  </r>
  <r>
    <s v="US-2020-107272"/>
    <x v="181"/>
    <s v="TS-21610"/>
    <s v="Troy Staebel"/>
    <s v="United States"/>
    <x v="2"/>
    <x v="1"/>
    <s v="Avery Durable Slant Ring Binders, No Labels"/>
    <n v="81.388000000000005"/>
    <n v="2"/>
    <n v="-1.8308"/>
    <n v="-2.2494716665847543"/>
  </r>
  <r>
    <s v="CA-2019-140977"/>
    <x v="414"/>
    <s v="JL-15175"/>
    <s v="James Lanier"/>
    <s v="United States"/>
    <x v="1"/>
    <x v="0"/>
    <s v="Penpower WorldCard Pro Card Scanner"/>
    <n v="91.474999999999994"/>
    <n v="1"/>
    <n v="-1.8294999999999999"/>
    <n v="-2"/>
  </r>
  <r>
    <s v="CA-2019-126165"/>
    <x v="415"/>
    <s v="AH-10465"/>
    <s v="Amy Hunt"/>
    <s v="United States"/>
    <x v="2"/>
    <x v="2"/>
    <s v="Hon 61000 Series Interactive Training Tables"/>
    <n v="71.087999999999994"/>
    <n v="2"/>
    <n v="-1.7771999999999999"/>
    <n v="-2.5"/>
  </r>
  <r>
    <s v="CA-2019-164889"/>
    <x v="416"/>
    <s v="CP-12340"/>
    <s v="Christine Phan"/>
    <s v="United States"/>
    <x v="2"/>
    <x v="2"/>
    <s v="Hon 61000 Series Interactive Training Tables"/>
    <n v="71.087999999999994"/>
    <n v="2"/>
    <n v="-1.7771999999999999"/>
    <n v="-2.5"/>
  </r>
  <r>
    <s v="CA-2020-137505"/>
    <x v="225"/>
    <s v="BP-11290"/>
    <s v="Beth Paige"/>
    <s v="United States"/>
    <x v="2"/>
    <x v="2"/>
    <s v="Hon 61000 Series Interactive Training Tables"/>
    <n v="163.08799999999999"/>
    <n v="2"/>
    <n v="-1.7771999999999999"/>
    <n v="-1.0897184342195625"/>
  </r>
  <r>
    <s v="CA-2020-160633"/>
    <x v="417"/>
    <s v="BS-11380"/>
    <s v="Bill Stewart"/>
    <s v="United States"/>
    <x v="0"/>
    <x v="0"/>
    <s v="Logitech Media Keyboard K200"/>
    <n v="178.96"/>
    <n v="5"/>
    <n v="-1.7495000000000001"/>
    <n v="-0.97759275815824764"/>
  </r>
  <r>
    <s v="CA-2019-101791"/>
    <x v="242"/>
    <s v="BS-11665"/>
    <s v="Brian Stugart"/>
    <s v="United States"/>
    <x v="3"/>
    <x v="2"/>
    <s v="G.E. Halogen Desk Lamp Bulbs"/>
    <n v="5.5839999999999996"/>
    <n v="2"/>
    <n v="-1.6752"/>
    <n v="-30.000000000000004"/>
  </r>
  <r>
    <s v="CA-2020-133067"/>
    <x v="370"/>
    <s v="MY-18295"/>
    <s v="Muhammed Yedwab"/>
    <s v="United States"/>
    <x v="0"/>
    <x v="1"/>
    <s v="Black Avery Memo-Size 3-Ring Binder, 5 1/2&quot; x 8 1/2&quot;"/>
    <n v="92.201999999999998"/>
    <n v="2"/>
    <n v="-1.5414000000000001"/>
    <n v="-1.6717641699746211"/>
  </r>
  <r>
    <s v="CA-2020-169817"/>
    <x v="362"/>
    <s v="EB-13870"/>
    <s v="Emily Burns"/>
    <s v="United States"/>
    <x v="0"/>
    <x v="1"/>
    <s v="Insertable Tab Indexes For Data Binders"/>
    <n v="104.908"/>
    <n v="2"/>
    <n v="-1.5264"/>
    <n v="-1.4549891333358753"/>
  </r>
  <r>
    <s v="CA-2020-169362"/>
    <x v="169"/>
    <s v="SP-20860"/>
    <s v="Sung Pak"/>
    <s v="United States"/>
    <x v="3"/>
    <x v="0"/>
    <s v="Logitech Wireless Touch Keyboard K400"/>
    <n v="157.98400000000001"/>
    <n v="2"/>
    <n v="-1.4994000000000001"/>
    <n v="-0.94908345148875839"/>
  </r>
  <r>
    <s v="US-2019-155173"/>
    <x v="84"/>
    <s v="JB-16045"/>
    <s v="Julia Barnett"/>
    <s v="United States"/>
    <x v="0"/>
    <x v="1"/>
    <s v="Avery Self-Adhesive Photo Pockets for Polaroid Photos"/>
    <n v="2.0430000000000001"/>
    <n v="1"/>
    <n v="-1.4982"/>
    <n v="-73.333333333333329"/>
  </r>
  <r>
    <s v="US-2019-131891"/>
    <x v="307"/>
    <s v="PW-19240"/>
    <s v="Pierre Wener"/>
    <s v="United States"/>
    <x v="1"/>
    <x v="1"/>
    <s v="Avery Triangle Shaped Sheet Lifters, Black, 2/Pack"/>
    <n v="2.214"/>
    <n v="3"/>
    <n v="-1.476"/>
    <n v="-66.666666666666657"/>
  </r>
  <r>
    <s v="CA-2019-113600"/>
    <x v="50"/>
    <s v="SH-20395"/>
    <s v="Shahid Hopkins"/>
    <s v="United States"/>
    <x v="0"/>
    <x v="1"/>
    <s v="Avery Triangle Shaped Sheet Lifters, Black, 2/Pack"/>
    <n v="2.214"/>
    <n v="3"/>
    <n v="-1.476"/>
    <n v="-66.666666666666657"/>
  </r>
  <r>
    <s v="CA-2020-160045"/>
    <x v="418"/>
    <s v="LB-16735"/>
    <s v="Larry Blacks"/>
    <s v="United States"/>
    <x v="3"/>
    <x v="2"/>
    <s v="DAX Value U-Channel Document Frames, Easel Back"/>
    <n v="87.988"/>
    <n v="1"/>
    <n v="-1.4413"/>
    <n v="-1.6380642814929309"/>
  </r>
  <r>
    <s v="CA-2019-114727"/>
    <x v="241"/>
    <s v="LS-16945"/>
    <s v="Linda Southworth"/>
    <s v="United States"/>
    <x v="2"/>
    <x v="1"/>
    <s v="Round Ring Binders"/>
    <n v="1.8720000000000001"/>
    <n v="3"/>
    <n v="-1.4352"/>
    <n v="-76.666666666666657"/>
  </r>
  <r>
    <s v="US-2019-131114"/>
    <x v="260"/>
    <s v="RW-19630"/>
    <s v="Rob Williams"/>
    <s v="United States"/>
    <x v="3"/>
    <x v="0"/>
    <s v="Kingston Digital DataTraveler 8GB USB 2.0"/>
    <n v="19.04"/>
    <n v="4"/>
    <n v="-1.4279999999999999"/>
    <n v="-7.5"/>
  </r>
  <r>
    <s v="CA-2020-117394"/>
    <x v="130"/>
    <s v="MM-17920"/>
    <s v="Michael Moore"/>
    <s v="United States"/>
    <x v="0"/>
    <x v="0"/>
    <s v="Kingston Digital DataTraveler 8GB USB 2.0"/>
    <n v="94.04"/>
    <n v="4"/>
    <n v="-1.4279999999999999"/>
    <n v="-1.5185027647809441"/>
  </r>
  <r>
    <s v="CA-2019-163153"/>
    <x v="393"/>
    <s v="DM-12955"/>
    <s v="Dario Medina"/>
    <s v="United States"/>
    <x v="3"/>
    <x v="2"/>
    <s v="Safco Drafting Table"/>
    <n v="99.372"/>
    <n v="2"/>
    <n v="-1.4196"/>
    <n v="-1.4285714285714286"/>
  </r>
  <r>
    <s v="CA-2020-163860"/>
    <x v="240"/>
    <s v="LO-17170"/>
    <s v="Lori Olson"/>
    <s v="United States"/>
    <x v="3"/>
    <x v="2"/>
    <s v="3M Hangers With Command Adhesive"/>
    <n v="478.96"/>
    <n v="2"/>
    <n v="-1.4059999999999999"/>
    <n v="-0.29355269751127444"/>
  </r>
  <r>
    <s v="CA-2020-121678"/>
    <x v="417"/>
    <s v="BM-11650"/>
    <s v="Brian Moss"/>
    <s v="United States"/>
    <x v="0"/>
    <x v="1"/>
    <s v="Prestige Round Ring Binders"/>
    <n v="97.823999999999998"/>
    <n v="1"/>
    <n v="-1.3984000000000001"/>
    <n v="-1.4295060516846583"/>
  </r>
  <r>
    <s v="CA-2020-146024"/>
    <x v="304"/>
    <s v="SC-20770"/>
    <s v="Stewart Carmichael"/>
    <s v="United States"/>
    <x v="3"/>
    <x v="1"/>
    <s v="Staple remover"/>
    <n v="94.975999999999999"/>
    <n v="4"/>
    <n v="-1.3952"/>
    <n v="-1.4690026954177897"/>
  </r>
  <r>
    <s v="CA-2019-111976"/>
    <x v="277"/>
    <s v="BD-11620"/>
    <s v="Brian DeCherney"/>
    <s v="United States"/>
    <x v="0"/>
    <x v="1"/>
    <s v="Rubber Band Ball"/>
    <n v="5.984"/>
    <n v="2"/>
    <n v="-1.3464"/>
    <n v="-22.5"/>
  </r>
  <r>
    <s v="CA-2019-168361"/>
    <x v="219"/>
    <s v="KB-16600"/>
    <s v="Ken Brennan"/>
    <s v="United States"/>
    <x v="3"/>
    <x v="1"/>
    <s v="Avery Durable Slant Ring Binders With Label Holder"/>
    <n v="0.83599999999999997"/>
    <n v="1"/>
    <n v="-1.3375999999999999"/>
    <n v="-160"/>
  </r>
  <r>
    <s v="CA-2020-122595"/>
    <x v="55"/>
    <s v="GM-14455"/>
    <s v="Gary Mitchum"/>
    <s v="United States"/>
    <x v="3"/>
    <x v="2"/>
    <s v="Master Caster Door Stop, Gray"/>
    <n v="434.03199999999998"/>
    <n v="1"/>
    <n v="-1.3208"/>
    <n v="-0.30430935967854905"/>
  </r>
  <r>
    <s v="CA-2020-119193"/>
    <x v="67"/>
    <s v="SK-19990"/>
    <s v="Sally Knutson"/>
    <s v="United States"/>
    <x v="0"/>
    <x v="1"/>
    <s v="Angle-D Ring Binders"/>
    <n v="128.64099999999999"/>
    <n v="1"/>
    <n v="-1.3128"/>
    <n v="-1.0205144549560405"/>
  </r>
  <r>
    <s v="CA-2019-146521"/>
    <x v="364"/>
    <s v="CC-12610"/>
    <s v="Corey Catlett"/>
    <s v="United States"/>
    <x v="0"/>
    <x v="1"/>
    <s v="GBC Instant Report Kit"/>
    <n v="1.9410000000000001"/>
    <n v="1"/>
    <n v="-1.294"/>
    <n v="-66.666666666666657"/>
  </r>
  <r>
    <s v="CA-2019-112109"/>
    <x v="336"/>
    <s v="JE-15715"/>
    <s v="Joe Elijah"/>
    <s v="United States"/>
    <x v="2"/>
    <x v="1"/>
    <s v="Perma STOR-ALL Hanging File Box, 13 1/8&quot;W x 12 1/4&quot;D x 10 1/2&quot;H"/>
    <n v="33.488"/>
    <n v="7"/>
    <n v="-1.2558"/>
    <n v="-3.75"/>
  </r>
  <r>
    <s v="CA-2019-162383"/>
    <x v="100"/>
    <s v="MD-17350"/>
    <s v="Maribeth Dona"/>
    <s v="United States"/>
    <x v="0"/>
    <x v="2"/>
    <s v="Global Push Button Manager's Chair, Indigo"/>
    <n v="85.245999999999995"/>
    <n v="2"/>
    <n v="-1.2178"/>
    <n v="-1.4285714285714286"/>
  </r>
  <r>
    <s v="CA-2019-130393"/>
    <x v="212"/>
    <s v="JM-15865"/>
    <s v="John Murray"/>
    <s v="United States"/>
    <x v="3"/>
    <x v="2"/>
    <s v="Global Push Button Manager's Chair, Indigo"/>
    <n v="85.245999999999995"/>
    <n v="2"/>
    <n v="-1.2178"/>
    <n v="-1.4285714285714286"/>
  </r>
  <r>
    <s v="CA-2020-102736"/>
    <x v="258"/>
    <s v="LP-17095"/>
    <s v="Liz Preis"/>
    <s v="United States"/>
    <x v="1"/>
    <x v="0"/>
    <s v="Maxell LTO Ultrium - 800 GB"/>
    <n v="133.56800000000001"/>
    <n v="4"/>
    <n v="-1.1195999999999999"/>
    <n v="-0.83822472448490637"/>
  </r>
  <r>
    <s v="US-2020-102288"/>
    <x v="156"/>
    <s v="ZC-21910"/>
    <s v="Zuschuss Carroll"/>
    <s v="United States"/>
    <x v="3"/>
    <x v="1"/>
    <s v="Hoover Replacement Belt for Commercial Guardsman Heavy-Duty Upright Vacuum"/>
    <n v="124.444"/>
    <n v="1"/>
    <n v="-1.1100000000000001"/>
    <n v="-0.89196747131239751"/>
  </r>
  <r>
    <s v="CA-2020-133102"/>
    <x v="23"/>
    <s v="ED-13885"/>
    <s v="Emily Ducich"/>
    <s v="United States"/>
    <x v="3"/>
    <x v="1"/>
    <s v="Acco Side-Punched Conventional Columnar Pads"/>
    <n v="103.55200000000001"/>
    <n v="2"/>
    <n v="-1.0409999999999999"/>
    <n v="-1.0052920271940666"/>
  </r>
  <r>
    <s v="US-2020-156909"/>
    <x v="419"/>
    <s v="SF-20065"/>
    <s v="Sandra Flanagan"/>
    <s v="United States"/>
    <x v="0"/>
    <x v="2"/>
    <s v="Global Deluxe Stacking Chair, Gray"/>
    <n v="114.372"/>
    <n v="2"/>
    <n v="-1.0196000000000001"/>
    <n v="-0.89147693491413993"/>
  </r>
  <r>
    <s v="CA-2020-155642"/>
    <x v="352"/>
    <s v="BM-11575"/>
    <s v="Brendan Murry"/>
    <s v="United States"/>
    <x v="3"/>
    <x v="2"/>
    <s v="C-Line Cubicle Keepers Polyproplyene Holder With Velcro Backings"/>
    <n v="105.892"/>
    <n v="1"/>
    <n v="-0.99329999999999996"/>
    <n v="-0.93803120160163189"/>
  </r>
  <r>
    <s v="CA-2020-149489"/>
    <x v="298"/>
    <s v="DK-12835"/>
    <s v="Damala Kotsonis"/>
    <s v="United States"/>
    <x v="0"/>
    <x v="1"/>
    <s v="Avery Reinforcements for Hole-Punch Pages"/>
    <n v="92.188000000000002"/>
    <n v="2"/>
    <n v="-0.99"/>
    <n v="-1.0738924805831562"/>
  </r>
  <r>
    <s v="US-2020-162068"/>
    <x v="240"/>
    <s v="PC-18745"/>
    <s v="Pamela Coakley"/>
    <s v="United States"/>
    <x v="2"/>
    <x v="1"/>
    <s v="Avery Reinforcements for Hole-Punch Pages"/>
    <n v="198.18799999999999"/>
    <n v="2"/>
    <n v="-0.99"/>
    <n v="-0.49952570286798392"/>
  </r>
  <r>
    <s v="CA-2020-124114"/>
    <x v="304"/>
    <s v="RS-19765"/>
    <s v="Roland Schwarz"/>
    <s v="United States"/>
    <x v="3"/>
    <x v="1"/>
    <s v="Acco Suede Grain Vinyl Round Ring Binder"/>
    <n v="118.556"/>
    <n v="1"/>
    <n v="-0.94520000000000004"/>
    <n v="-0.79726036640912312"/>
  </r>
  <r>
    <s v="CA-2020-112865"/>
    <x v="352"/>
    <s v="BH-11710"/>
    <s v="Brosina Hoffman"/>
    <s v="United States"/>
    <x v="0"/>
    <x v="0"/>
    <s v="KeyTronic KT800P2 - Keyboard - Black"/>
    <n v="133.048"/>
    <n v="3"/>
    <n v="-0.9012"/>
    <n v="-0.67734952798989834"/>
  </r>
  <r>
    <s v="CA-2020-123491"/>
    <x v="177"/>
    <s v="JK-15205"/>
    <s v="Jamie Kunitz"/>
    <s v="United States"/>
    <x v="2"/>
    <x v="2"/>
    <s v="Global Leather Task Chair, Black"/>
    <n v="172.99199999999999"/>
    <n v="1"/>
    <n v="-0.89990000000000003"/>
    <n v="-0.52019746577876436"/>
  </r>
  <r>
    <s v="CA-2020-122987"/>
    <x v="348"/>
    <s v="SJ-20215"/>
    <s v="Sarah Jordon"/>
    <s v="United States"/>
    <x v="1"/>
    <x v="1"/>
    <s v="Acco Perma 3000 Stacking Storage Drawers"/>
    <n v="154.136"/>
    <n v="4"/>
    <n v="-0.83919999999999995"/>
    <n v="-0.54445424819639787"/>
  </r>
  <r>
    <s v="CA-2019-165218"/>
    <x v="420"/>
    <s v="RW-19630"/>
    <s v="Rob Williams"/>
    <s v="United States"/>
    <x v="3"/>
    <x v="1"/>
    <s v="Acco Perma 4000 Stacking Storage Drawers"/>
    <n v="12.992000000000001"/>
    <n v="1"/>
    <n v="-0.81200000000000006"/>
    <n v="-6.25"/>
  </r>
  <r>
    <s v="US-2020-100209"/>
    <x v="112"/>
    <s v="TD-20995"/>
    <s v="Tamara Dahlen"/>
    <s v="United States"/>
    <x v="2"/>
    <x v="1"/>
    <s v="Wilson Jones Easy Flow II Sheet Lifters"/>
    <n v="64.08"/>
    <n v="2"/>
    <n v="-0.79200000000000004"/>
    <n v="-1.2359550561797754"/>
  </r>
  <r>
    <s v="US-2019-123750"/>
    <x v="113"/>
    <s v="RB-19795"/>
    <s v="Ross Baird"/>
    <s v="United States"/>
    <x v="1"/>
    <x v="1"/>
    <s v="Woodgrain Magazine Files by Perma"/>
    <n v="4.7679999999999998"/>
    <n v="2"/>
    <n v="-0.77480000000000004"/>
    <n v="-16.25"/>
  </r>
  <r>
    <s v="CA-2020-103065"/>
    <x v="170"/>
    <s v="PT-19090"/>
    <s v="Pete Takahito"/>
    <s v="United States"/>
    <x v="1"/>
    <x v="1"/>
    <s v="Woodgrain Magazine Files by Perma"/>
    <n v="83.768000000000001"/>
    <n v="2"/>
    <n v="-0.77480000000000004"/>
    <n v="-0.92493553624295677"/>
  </r>
  <r>
    <s v="US-2019-110156"/>
    <x v="319"/>
    <s v="EH-13945"/>
    <s v="Eric Hoffmann"/>
    <s v="United States"/>
    <x v="3"/>
    <x v="2"/>
    <s v="GE General Purpose, Extra Long Life, Showcase &amp; Floodlight Incandescent Bulbs"/>
    <n v="2.3279999999999998"/>
    <n v="2"/>
    <n v="-0.75660000000000005"/>
    <n v="-32.500000000000007"/>
  </r>
  <r>
    <s v="CA-2019-132829"/>
    <x v="39"/>
    <s v="LA-16780"/>
    <s v="Laura Armstrong"/>
    <s v="United States"/>
    <x v="3"/>
    <x v="2"/>
    <s v="GE General Purpose, Extra Long Life, Showcase &amp; Floodlight Incandescent Bulbs"/>
    <n v="2.3279999999999998"/>
    <n v="2"/>
    <n v="-0.75660000000000005"/>
    <n v="-32.500000000000007"/>
  </r>
  <r>
    <s v="CA-2020-167871"/>
    <x v="276"/>
    <s v="AF-10870"/>
    <s v="Art Ferguson"/>
    <s v="United States"/>
    <x v="1"/>
    <x v="1"/>
    <s v="Staple remover"/>
    <n v="139.94399999999999"/>
    <n v="1"/>
    <n v="-0.66239999999999999"/>
    <n v="-0.47333219001886473"/>
  </r>
  <r>
    <s v="CA-2020-127705"/>
    <x v="421"/>
    <s v="AB-10255"/>
    <s v="Alejandro Ballentine"/>
    <s v="United States"/>
    <x v="0"/>
    <x v="0"/>
    <s v="Cush Cases Heavy Duty Rugged Cover Case for Samsung Galaxy S5 - Purple"/>
    <n v="95.97"/>
    <n v="1"/>
    <n v="-0.64349999999999996"/>
    <n v="-0.67052203813691769"/>
  </r>
  <r>
    <s v="CA-2019-135594"/>
    <x v="422"/>
    <s v="AH-10120"/>
    <s v="Adrian Hane"/>
    <s v="United States"/>
    <x v="3"/>
    <x v="0"/>
    <s v="Kingston Digital DataTraveler 16GB USB 2.0"/>
    <n v="50.12"/>
    <n v="7"/>
    <n v="-0.62649999999999995"/>
    <n v="-1.25"/>
  </r>
  <r>
    <s v="CA-2020-156720"/>
    <x v="423"/>
    <s v="JM-15580"/>
    <s v="Jill Matthias"/>
    <s v="United States"/>
    <x v="2"/>
    <x v="1"/>
    <s v="Bagged Rubber Bands"/>
    <n v="388.024"/>
    <n v="3"/>
    <n v="-0.6048"/>
    <n v="-0.15586664742387069"/>
  </r>
  <r>
    <s v="CA-2020-151450"/>
    <x v="424"/>
    <s v="JM-15580"/>
    <s v="Jill Matthias"/>
    <s v="United States"/>
    <x v="2"/>
    <x v="1"/>
    <s v="Bagged Rubber Bands"/>
    <n v="2975.51"/>
    <n v="3"/>
    <n v="-0.6048"/>
    <n v="-2.0325927320022447E-2"/>
  </r>
  <r>
    <s v="US-2019-132577"/>
    <x v="358"/>
    <s v="JE-15475"/>
    <s v="Jeremy Ellison"/>
    <s v="United States"/>
    <x v="3"/>
    <x v="0"/>
    <s v="KeyTronic KT800P2 - Keyboard - Black"/>
    <n v="24.032"/>
    <n v="2"/>
    <n v="-0.6008"/>
    <n v="-2.5"/>
  </r>
  <r>
    <s v="CA-2020-164168"/>
    <x v="151"/>
    <s v="LS-16975"/>
    <s v="Lindsay Shagiari"/>
    <s v="United States"/>
    <x v="3"/>
    <x v="0"/>
    <s v="Maxell LTO Ultrium - 800 GB"/>
    <n v="160.78399999999999"/>
    <n v="2"/>
    <n v="-0.55979999999999996"/>
    <n v="-0.34816897203701858"/>
  </r>
  <r>
    <s v="US-2020-139955"/>
    <x v="189"/>
    <s v="CM-12160"/>
    <s v="Charles McCrossin"/>
    <s v="United States"/>
    <x v="3"/>
    <x v="1"/>
    <s v="Staple remover"/>
    <n v="110.744"/>
    <n v="1"/>
    <n v="-0.3488"/>
    <n v="-0.31496062992125984"/>
  </r>
  <r>
    <s v="CA-2020-121125"/>
    <x v="380"/>
    <s v="MG-17890"/>
    <s v="Michael Granlund"/>
    <s v="United States"/>
    <x v="2"/>
    <x v="2"/>
    <s v="Tensor Brushed Steel Torchiere Floor Lamp"/>
    <n v="123.592"/>
    <n v="1"/>
    <n v="-0.33979999999999999"/>
    <n v="-0.27493688911903685"/>
  </r>
  <r>
    <s v="CA-2020-152485"/>
    <x v="130"/>
    <s v="JD-15790"/>
    <s v="John Dryer"/>
    <s v="United States"/>
    <x v="3"/>
    <x v="1"/>
    <s v="Acco Perma 3000 Stacking Storage Drawers"/>
    <n v="102.78400000000001"/>
    <n v="1"/>
    <n v="-0.20979999999999999"/>
    <n v="-0.20411737235367369"/>
  </r>
  <r>
    <s v="CA-2019-168046"/>
    <x v="143"/>
    <s v="JD-15895"/>
    <s v="Jonathan Doherty"/>
    <s v="United States"/>
    <x v="0"/>
    <x v="1"/>
    <s v="SAFCO Commercial Wire Shelving, 72h"/>
    <n v="428.68"/>
    <n v="7"/>
    <n v="0"/>
    <n v="0"/>
  </r>
  <r>
    <s v="CA-2019-163048"/>
    <x v="425"/>
    <s v="MH-17440"/>
    <s v="Mark Haberlin"/>
    <s v="United States"/>
    <x v="3"/>
    <x v="2"/>
    <s v="Harbour Creations Steel Folding Chair"/>
    <n v="241.5"/>
    <n v="4"/>
    <n v="0"/>
    <n v="0"/>
  </r>
  <r>
    <s v="CA-2019-159373"/>
    <x v="22"/>
    <s v="LT-17110"/>
    <s v="Liz Thompson"/>
    <s v="United States"/>
    <x v="3"/>
    <x v="2"/>
    <s v="Hon Non-Folding Utility Tables"/>
    <n v="557.58500000000004"/>
    <n v="5"/>
    <n v="0"/>
    <n v="0"/>
  </r>
  <r>
    <s v="US-2019-133879"/>
    <x v="393"/>
    <s v="KT-16465"/>
    <s v="Kean Takahito"/>
    <s v="United States"/>
    <x v="3"/>
    <x v="2"/>
    <s v="Global Airflow Leather Mesh Back Chair, Black"/>
    <n v="528.42999999999995"/>
    <n v="5"/>
    <n v="0"/>
    <n v="0"/>
  </r>
  <r>
    <s v="CA-2019-136406"/>
    <x v="113"/>
    <s v="BD-11320"/>
    <s v="Bill Donatelli"/>
    <s v="United States"/>
    <x v="2"/>
    <x v="2"/>
    <s v="HON 5400 Series Task Chairs for Big and Tall"/>
    <n v="1121.568"/>
    <n v="2"/>
    <n v="0"/>
    <n v="0"/>
  </r>
  <r>
    <s v="CA-2019-122133"/>
    <x v="426"/>
    <s v="JR-15670"/>
    <s v="Jim Radford"/>
    <s v="United States"/>
    <x v="0"/>
    <x v="1"/>
    <s v="SAFCO Commercial Wire Shelving, Black"/>
    <n v="552.55999999999995"/>
    <n v="4"/>
    <n v="0"/>
    <n v="0"/>
  </r>
  <r>
    <s v="CA-2019-169943"/>
    <x v="427"/>
    <s v="BN-11515"/>
    <s v="Bradley Nguyen"/>
    <s v="United States"/>
    <x v="0"/>
    <x v="1"/>
    <s v="Safco Industrial Wire Shelving System"/>
    <n v="454.9"/>
    <n v="5"/>
    <n v="0"/>
    <n v="0"/>
  </r>
  <r>
    <s v="CA-2019-148852"/>
    <x v="154"/>
    <s v="SV-20785"/>
    <s v="Stewart Visinsky"/>
    <s v="United States"/>
    <x v="2"/>
    <x v="1"/>
    <s v="Alliance Big Bands Rubber Bands, 12/Pack"/>
    <n v="5.94"/>
    <n v="3"/>
    <n v="0"/>
    <n v="0"/>
  </r>
  <r>
    <s v="CA-2019-112830"/>
    <x v="428"/>
    <s v="LP-17095"/>
    <s v="Liz Preis"/>
    <s v="United States"/>
    <x v="0"/>
    <x v="2"/>
    <s v="Deflect-o EconoMat Nonstudded, No Bevel Mat"/>
    <n v="82.64"/>
    <n v="2"/>
    <n v="0"/>
    <n v="0"/>
  </r>
  <r>
    <s v="CA-2019-102813"/>
    <x v="429"/>
    <s v="EA-14035"/>
    <s v="Erin Ashbrook"/>
    <s v="United States"/>
    <x v="3"/>
    <x v="2"/>
    <s v="Global Airflow Leather Mesh Back Chair, Black"/>
    <n v="528.42999999999995"/>
    <n v="5"/>
    <n v="0"/>
    <n v="0"/>
  </r>
  <r>
    <s v="CA-2019-114727"/>
    <x v="241"/>
    <s v="LS-16945"/>
    <s v="Linda Southworth"/>
    <s v="United States"/>
    <x v="2"/>
    <x v="1"/>
    <s v="Sauder Facets Collection Locker/File Cabinet, Sky Alder Finish"/>
    <n v="593.56799999999998"/>
    <n v="2"/>
    <n v="0"/>
    <n v="0"/>
  </r>
  <r>
    <s v="CA-2019-142895"/>
    <x v="364"/>
    <s v="BP-11290"/>
    <s v="Beth Paige"/>
    <s v="United States"/>
    <x v="1"/>
    <x v="2"/>
    <s v="Leather Task Chair, Black"/>
    <n v="363.92"/>
    <n v="5"/>
    <n v="0"/>
    <n v="0"/>
  </r>
  <r>
    <s v="US-2019-104815"/>
    <x v="19"/>
    <s v="RB-19570"/>
    <s v="Rob Beeghly"/>
    <s v="United States"/>
    <x v="3"/>
    <x v="2"/>
    <s v="Safco Value Mate Steel Bookcase, Baked Enamel Finish on Steel, Black"/>
    <n v="198.744"/>
    <n v="4"/>
    <n v="0"/>
    <n v="0"/>
  </r>
  <r>
    <s v="CA-2019-114748"/>
    <x v="280"/>
    <s v="MZ-17335"/>
    <s v="Maria Zettner"/>
    <s v="United States"/>
    <x v="2"/>
    <x v="2"/>
    <s v="Tenex 46&quot; x 60&quot; Computer Anti-Static Chairmat, Rectangular Shaped"/>
    <n v="169.56800000000001"/>
    <n v="2"/>
    <n v="0"/>
    <n v="0"/>
  </r>
  <r>
    <s v="CA-2019-144344"/>
    <x v="256"/>
    <s v="PG-18820"/>
    <s v="Patrick Gardner"/>
    <s v="United States"/>
    <x v="1"/>
    <x v="2"/>
    <s v="Eldon Radial Chair Mat for Low to Medium Pile Carpets"/>
    <n v="63.968000000000004"/>
    <n v="2"/>
    <n v="0"/>
    <n v="0"/>
  </r>
  <r>
    <s v="CA-2019-116722"/>
    <x v="373"/>
    <s v="LP-17080"/>
    <s v="Liz Pelletier"/>
    <s v="United States"/>
    <x v="2"/>
    <x v="2"/>
    <s v="Hon Every-Day Series Multi-Task Chairs"/>
    <n v="451.15199999999999"/>
    <n v="3"/>
    <n v="0"/>
    <n v="0"/>
  </r>
  <r>
    <s v="CA-2019-124590"/>
    <x v="300"/>
    <s v="SP-20920"/>
    <s v="Susan Pistek"/>
    <s v="United States"/>
    <x v="0"/>
    <x v="2"/>
    <s v="Hon Deluxe Fabric Upholstered Stacking Chairs, Rounded Back"/>
    <n v="1537.0740000000001"/>
    <n v="9"/>
    <n v="0"/>
    <n v="0"/>
  </r>
  <r>
    <s v="CA-2019-139885"/>
    <x v="430"/>
    <s v="EB-13840"/>
    <s v="Ellis Ballard"/>
    <s v="United States"/>
    <x v="0"/>
    <x v="1"/>
    <s v="Belkin OmniView SE Rackmount Kit"/>
    <n v="212.88"/>
    <n v="6"/>
    <n v="0"/>
    <n v="0"/>
  </r>
  <r>
    <s v="US-2019-103674"/>
    <x v="431"/>
    <s v="AP-10720"/>
    <s v="Anne Pryor"/>
    <s v="United States"/>
    <x v="2"/>
    <x v="1"/>
    <s v="Alliance Big Bands Rubber Bands, 12/Pack"/>
    <n v="13.86"/>
    <n v="7"/>
    <n v="0"/>
    <n v="0"/>
  </r>
  <r>
    <s v="CA-2019-105746"/>
    <x v="353"/>
    <s v="BD-11605"/>
    <s v="Brian Dahlen"/>
    <s v="United States"/>
    <x v="0"/>
    <x v="2"/>
    <s v="Hon Deluxe Fabric Upholstered Stacking Chairs, Rounded Back"/>
    <n v="170.786"/>
    <n v="1"/>
    <n v="0"/>
    <n v="0"/>
  </r>
  <r>
    <s v="US-2020-100930"/>
    <x v="68"/>
    <s v="CS-12400"/>
    <s v="Christopher Schild"/>
    <s v="United States"/>
    <x v="1"/>
    <x v="2"/>
    <s v="Tenex Contemporary Contur Chairmats for Low and Medium Pile Carpet, Computer, 39&quot; x 49&quot;"/>
    <n v="275.072"/>
    <n v="3"/>
    <n v="0"/>
    <n v="0"/>
  </r>
  <r>
    <s v="CA-2020-135279"/>
    <x v="262"/>
    <s v="BS-11800"/>
    <s v="Bryan Spruell"/>
    <s v="United States"/>
    <x v="0"/>
    <x v="1"/>
    <s v="Office Impressions Heavy Duty Welded Shelving &amp; Multimedia Storage Drawers"/>
    <n v="520.80999999999995"/>
    <n v="3"/>
    <n v="0"/>
    <n v="0"/>
  </r>
  <r>
    <s v="CA-2020-169054"/>
    <x v="432"/>
    <s v="MO-17800"/>
    <s v="Meg O'Connel"/>
    <s v="United States"/>
    <x v="0"/>
    <x v="2"/>
    <s v="Tenex 46&quot; x 60&quot; Computer Anti-Static Chairmat, Rectangular Shaped"/>
    <n v="265.35199999999998"/>
    <n v="3"/>
    <n v="0"/>
    <n v="0"/>
  </r>
  <r>
    <s v="CA-2020-102204"/>
    <x v="28"/>
    <s v="CJ-12010"/>
    <s v="Caroline Jumper"/>
    <s v="United States"/>
    <x v="1"/>
    <x v="2"/>
    <s v="HON 5400 Series Task Chairs for Big and Tall"/>
    <n v="2821.92"/>
    <n v="5"/>
    <n v="0"/>
    <n v="0"/>
  </r>
  <r>
    <s v="CA-2020-140872"/>
    <x v="132"/>
    <s v="NR-18550"/>
    <s v="Nick Radford"/>
    <s v="United States"/>
    <x v="1"/>
    <x v="2"/>
    <s v="Bush Mission Pointe Library"/>
    <n v="276.56799999999998"/>
    <n v="2"/>
    <n v="0"/>
    <n v="0"/>
  </r>
  <r>
    <s v="US-2020-131849"/>
    <x v="433"/>
    <s v="GH-14410"/>
    <s v="Gary Hansen"/>
    <s v="United States"/>
    <x v="2"/>
    <x v="1"/>
    <s v="Sterilite Show Offs Storage Containers"/>
    <n v="115.4"/>
    <n v="5"/>
    <n v="0"/>
    <n v="0"/>
  </r>
  <r>
    <s v="CA-2020-100636"/>
    <x v="334"/>
    <s v="DO-13435"/>
    <s v="Denny Ordway"/>
    <s v="United States"/>
    <x v="0"/>
    <x v="1"/>
    <s v="Safco Industrial Wire Shelving System"/>
    <n v="285.94"/>
    <n v="3"/>
    <n v="0"/>
    <n v="0"/>
  </r>
  <r>
    <s v="CA-2020-142342"/>
    <x v="434"/>
    <s v="AJ-10795"/>
    <s v="Anthony Johnson"/>
    <s v="United States"/>
    <x v="2"/>
    <x v="1"/>
    <s v="Sterilite Show Offs Storage Containers"/>
    <n v="121.56"/>
    <n v="2"/>
    <n v="0"/>
    <n v="0"/>
  </r>
  <r>
    <s v="CA-2020-128363"/>
    <x v="7"/>
    <s v="DC-12850"/>
    <s v="Dan Campbell"/>
    <s v="United States"/>
    <x v="1"/>
    <x v="2"/>
    <s v="Eldon Radial Chair Mat for Low to Medium Pile Carpets"/>
    <n v="132.98400000000001"/>
    <n v="1"/>
    <n v="0"/>
    <n v="0"/>
  </r>
  <r>
    <s v="CA-2020-124205"/>
    <x v="301"/>
    <s v="TC-21145"/>
    <s v="Theresa Coyne"/>
    <s v="United States"/>
    <x v="0"/>
    <x v="1"/>
    <s v="Contico 72&quot;H Heavy-Duty Storage System"/>
    <n v="104.96"/>
    <n v="2"/>
    <n v="0"/>
    <n v="0"/>
  </r>
  <r>
    <s v="US-2020-116652"/>
    <x v="301"/>
    <s v="RD-19480"/>
    <s v="Rick Duston"/>
    <s v="United States"/>
    <x v="2"/>
    <x v="2"/>
    <s v="Leather Task Chair, Black"/>
    <n v="241.352"/>
    <n v="3"/>
    <n v="0"/>
    <n v="0"/>
  </r>
  <r>
    <s v="CA-2020-140186"/>
    <x v="86"/>
    <s v="PG-18820"/>
    <s v="Patrick Gardner"/>
    <s v="United States"/>
    <x v="2"/>
    <x v="2"/>
    <s v="Leather Task Chair, Black"/>
    <n v="187.78399999999999"/>
    <n v="1"/>
    <n v="0"/>
    <n v="0"/>
  </r>
  <r>
    <s v="CA-2020-156951"/>
    <x v="435"/>
    <s v="EB-13840"/>
    <s v="Ellis Ballard"/>
    <s v="United States"/>
    <x v="2"/>
    <x v="2"/>
    <s v="Hon Every-Day Series Multi-Task Chairs"/>
    <n v="468.15199999999999"/>
    <n v="3"/>
    <n v="0"/>
    <n v="0"/>
  </r>
  <r>
    <s v="CA-2020-154137"/>
    <x v="250"/>
    <s v="MT-17815"/>
    <s v="Meg Tillman"/>
    <s v="United States"/>
    <x v="0"/>
    <x v="1"/>
    <s v="Belkin OmniView SE Rackmount Kit"/>
    <n v="125.48"/>
    <n v="1"/>
    <n v="0"/>
    <n v="0"/>
  </r>
  <r>
    <s v="CA-2020-108112"/>
    <x v="436"/>
    <s v="DK-12895"/>
    <s v="Dana Kaydos"/>
    <s v="United States"/>
    <x v="1"/>
    <x v="2"/>
    <s v="Tenex 46&quot; x 60&quot; Computer Anti-Static Chairmat, Rectangular Shaped"/>
    <n v="378.13600000000002"/>
    <n v="4"/>
    <n v="0"/>
    <n v="0"/>
  </r>
  <r>
    <s v="CA-2020-129000"/>
    <x v="92"/>
    <s v="SZ-20035"/>
    <s v="Sam Zeldin"/>
    <s v="United States"/>
    <x v="3"/>
    <x v="1"/>
    <s v="Office Impressions Heavy Duty Welded Shelving &amp; Multimedia Storage Drawers"/>
    <n v="526.80999999999995"/>
    <n v="3"/>
    <n v="0"/>
    <n v="0"/>
  </r>
  <r>
    <s v="US-2020-112347"/>
    <x v="18"/>
    <s v="BS-11380"/>
    <s v="Bill Stewart"/>
    <s v="United States"/>
    <x v="2"/>
    <x v="2"/>
    <s v="Tenex 46&quot; x 60&quot; Computer Anti-Static Chairmat, Rectangular Shaped"/>
    <n v="556.70399999999995"/>
    <n v="6"/>
    <n v="0"/>
    <n v="0"/>
  </r>
  <r>
    <s v="CA-2020-145226"/>
    <x v="136"/>
    <s v="DL-13315"/>
    <s v="Delfina Latchford"/>
    <s v="United States"/>
    <x v="0"/>
    <x v="1"/>
    <s v="Safco Industrial Wire Shelving System"/>
    <n v="282.94"/>
    <n v="3"/>
    <n v="0"/>
    <n v="0"/>
  </r>
  <r>
    <s v="CA-2020-147956"/>
    <x v="437"/>
    <s v="AH-10210"/>
    <s v="Alan Hwang"/>
    <s v="United States"/>
    <x v="2"/>
    <x v="1"/>
    <s v="Office Impressions Heavy Duty Welded Shelving &amp; Multimedia Storage Drawers"/>
    <n v="814.62"/>
    <n v="6"/>
    <n v="0"/>
    <n v="0"/>
  </r>
  <r>
    <s v="CA-2019-130029"/>
    <x v="438"/>
    <s v="GT-14755"/>
    <s v="Guy Thornton"/>
    <s v="United States"/>
    <x v="2"/>
    <x v="1"/>
    <s v="Brites Rubber Bands, 1 1/2 oz. Box"/>
    <n v="3.96"/>
    <n v="2"/>
    <n v="7.9200000000000007E-2"/>
    <n v="2"/>
  </r>
  <r>
    <s v="CA-2020-113278"/>
    <x v="325"/>
    <s v="HR-14770"/>
    <s v="Hallie Redmond"/>
    <s v="United States"/>
    <x v="3"/>
    <x v="1"/>
    <s v="Bagged Rubber Bands"/>
    <n v="121.52"/>
    <n v="2"/>
    <n v="0.1008"/>
    <n v="8.294930875576037E-2"/>
  </r>
  <r>
    <s v="CA-2020-119669"/>
    <x v="439"/>
    <s v="TP-21130"/>
    <s v="Theone Pippenger"/>
    <s v="United States"/>
    <x v="1"/>
    <x v="1"/>
    <s v="Revere Boxed Rubber Bands by Revere"/>
    <n v="98.67"/>
    <n v="3"/>
    <n v="0.1134"/>
    <n v="0.1149285497111584"/>
  </r>
  <r>
    <s v="CA-2020-106824"/>
    <x v="135"/>
    <s v="AT-10735"/>
    <s v="Annie Thurman"/>
    <s v="United States"/>
    <x v="2"/>
    <x v="1"/>
    <s v="Brites Rubber Bands, 1 1/2 oz. Box"/>
    <n v="130.94"/>
    <n v="3"/>
    <n v="0.1188"/>
    <n v="9.0728577974644883E-2"/>
  </r>
  <r>
    <s v="CA-2019-155516"/>
    <x v="72"/>
    <s v="MK-17905"/>
    <s v="Michael Kennedy"/>
    <s v="United States"/>
    <x v="0"/>
    <x v="1"/>
    <s v="Staple remover"/>
    <n v="7.36"/>
    <n v="2"/>
    <n v="0.1472"/>
    <n v="2"/>
  </r>
  <r>
    <s v="CA-2019-142370"/>
    <x v="204"/>
    <s v="TP-21130"/>
    <s v="Theone Pippenger"/>
    <s v="United States"/>
    <x v="1"/>
    <x v="1"/>
    <s v="Letter Slitter"/>
    <n v="5.04"/>
    <n v="2"/>
    <n v="0.1512"/>
    <n v="3"/>
  </r>
  <r>
    <s v="CA-2020-130904"/>
    <x v="320"/>
    <s v="HM-14980"/>
    <s v="Henry MacAllister"/>
    <s v="United States"/>
    <x v="1"/>
    <x v="1"/>
    <s v="Pencil and Crayon Sharpener"/>
    <n v="108.752"/>
    <n v="1"/>
    <n v="0.15329999999999999"/>
    <n v="0.14096292481977343"/>
  </r>
  <r>
    <s v="US-2020-153633"/>
    <x v="14"/>
    <s v="TC-21295"/>
    <s v="Toby Carlisle"/>
    <s v="United States"/>
    <x v="1"/>
    <x v="1"/>
    <s v="DIXON Oriole Pencils"/>
    <n v="108.06399999999999"/>
    <n v="1"/>
    <n v="0.15479999999999999"/>
    <n v="0.14324844536570921"/>
  </r>
  <r>
    <s v="CA-2019-114748"/>
    <x v="280"/>
    <s v="MZ-17335"/>
    <s v="Maria Zettner"/>
    <s v="United States"/>
    <x v="2"/>
    <x v="1"/>
    <s v="Newell 310"/>
    <n v="1.4079999999999999"/>
    <n v="1"/>
    <n v="0.15840000000000001"/>
    <n v="11.250000000000002"/>
  </r>
  <r>
    <s v="CA-2019-150350"/>
    <x v="95"/>
    <s v="MS-17770"/>
    <s v="Maxwell Schwartz"/>
    <s v="United States"/>
    <x v="2"/>
    <x v="1"/>
    <s v="Acme Rosewood Handle Letter Opener"/>
    <n v="15.88"/>
    <n v="4"/>
    <n v="0.1588"/>
    <n v="0.99999999999999989"/>
  </r>
  <r>
    <s v="US-2020-163790"/>
    <x v="88"/>
    <s v="NL-18310"/>
    <s v="Nancy Lomonaco"/>
    <s v="United States"/>
    <x v="2"/>
    <x v="1"/>
    <s v="Super Bands, 12/Pack"/>
    <n v="107.58"/>
    <n v="3"/>
    <n v="0.16739999999999999"/>
    <n v="0.15560513106525375"/>
  </r>
  <r>
    <s v="CA-2019-132409"/>
    <x v="154"/>
    <s v="TH-21235"/>
    <s v="Tiffany House"/>
    <s v="United States"/>
    <x v="0"/>
    <x v="1"/>
    <s v="OIC #2 Pencils, Medium Soft"/>
    <n v="1.504"/>
    <n v="1"/>
    <n v="0.16919999999999999"/>
    <n v="11.249999999999998"/>
  </r>
  <r>
    <s v="CA-2020-167017"/>
    <x v="254"/>
    <s v="DC-12850"/>
    <s v="Dan Campbell"/>
    <s v="United States"/>
    <x v="3"/>
    <x v="1"/>
    <s v="Staple remover"/>
    <n v="88.36"/>
    <n v="2"/>
    <n v="0.1744"/>
    <n v="0.19737437754640108"/>
  </r>
  <r>
    <s v="CA-2020-167395"/>
    <x v="18"/>
    <s v="KM-16720"/>
    <s v="Kunst Miller"/>
    <s v="United States"/>
    <x v="0"/>
    <x v="1"/>
    <s v="Staple remover"/>
    <n v="134.36000000000001"/>
    <n v="2"/>
    <n v="0.1744"/>
    <n v="0.12980053587377194"/>
  </r>
  <r>
    <s v="US-2019-108504"/>
    <x v="251"/>
    <s v="PP-18955"/>
    <s v="Paul Prost"/>
    <s v="United States"/>
    <x v="1"/>
    <x v="1"/>
    <s v="Revere Boxed Rubber Bands by Revere"/>
    <n v="9.4499999999999993"/>
    <n v="5"/>
    <n v="0.189"/>
    <n v="2"/>
  </r>
  <r>
    <s v="CA-2020-166415"/>
    <x v="440"/>
    <s v="ME-17725"/>
    <s v="Max Engle"/>
    <s v="United States"/>
    <x v="2"/>
    <x v="1"/>
    <s v="Rubber Band Ball"/>
    <n v="831.22"/>
    <n v="3"/>
    <n v="0.22439999999999999"/>
    <n v="2.6996463030244697E-2"/>
  </r>
  <r>
    <s v="CA-2019-169026"/>
    <x v="441"/>
    <s v="CM-12655"/>
    <s v="Corinna Mitchell"/>
    <s v="United States"/>
    <x v="1"/>
    <x v="1"/>
    <s v="Alliance Super-Size Bands, Assorted Sizes"/>
    <n v="23.34"/>
    <n v="3"/>
    <n v="0.2334"/>
    <n v="1"/>
  </r>
  <r>
    <s v="US-2019-160206"/>
    <x v="442"/>
    <s v="MY-18295"/>
    <s v="Muhammed Yedwab"/>
    <s v="United States"/>
    <x v="3"/>
    <x v="0"/>
    <s v="Cyber Acoustics AC-202b Speech Recognition Stereo Headset"/>
    <n v="12.99"/>
    <n v="1"/>
    <n v="0.25979999999999998"/>
    <n v="1.9999999999999998"/>
  </r>
  <r>
    <s v="US-2019-139388"/>
    <x v="316"/>
    <s v="CC-12475"/>
    <s v="Cindy Chapman"/>
    <s v="United States"/>
    <x v="0"/>
    <x v="1"/>
    <s v="Rubber Band Ball"/>
    <n v="14.96"/>
    <n v="4"/>
    <n v="0.29920000000000002"/>
    <n v="2"/>
  </r>
  <r>
    <s v="CA-2019-105732"/>
    <x v="443"/>
    <s v="AG-10270"/>
    <s v="Alejandro Grove"/>
    <s v="United States"/>
    <x v="3"/>
    <x v="0"/>
    <s v="Mediabridge Sport Armband iPhone 5s"/>
    <n v="29.97"/>
    <n v="3"/>
    <n v="0.29970000000000002"/>
    <n v="1.0000000000000002"/>
  </r>
  <r>
    <s v="CA-2019-111010"/>
    <x v="180"/>
    <s v="PG-18895"/>
    <s v="Paul Gonzalez"/>
    <s v="United States"/>
    <x v="0"/>
    <x v="1"/>
    <s v="Bagged Rubber Bands"/>
    <n v="7.56"/>
    <n v="6"/>
    <n v="0.3024"/>
    <n v="4"/>
  </r>
  <r>
    <s v="US-2019-129469"/>
    <x v="273"/>
    <s v="KL-16555"/>
    <s v="Kelly Lampkin"/>
    <s v="United States"/>
    <x v="0"/>
    <x v="1"/>
    <s v="Dixon Ticonderoga Maple Cedar Pencil, #2"/>
    <n v="4.9119999999999999"/>
    <n v="2"/>
    <n v="0.307"/>
    <n v="6.25"/>
  </r>
  <r>
    <s v="CA-2019-163636"/>
    <x v="444"/>
    <s v="MP-18175"/>
    <s v="Mike Pelletier"/>
    <s v="United States"/>
    <x v="3"/>
    <x v="1"/>
    <s v="Newell 311"/>
    <n v="3.536"/>
    <n v="2"/>
    <n v="0.30940000000000001"/>
    <n v="8.75"/>
  </r>
  <r>
    <s v="CA-2019-104157"/>
    <x v="445"/>
    <s v="MT-17815"/>
    <s v="Meg Tillman"/>
    <s v="United States"/>
    <x v="1"/>
    <x v="1"/>
    <s v="Akro Stacking Bins"/>
    <n v="7.89"/>
    <n v="1"/>
    <n v="0.31559999999999999"/>
    <n v="4"/>
  </r>
  <r>
    <s v="CA-2019-156573"/>
    <x v="361"/>
    <s v="RB-19360"/>
    <s v="Raymond Buch"/>
    <s v="United States"/>
    <x v="1"/>
    <x v="1"/>
    <s v="Newell 333"/>
    <n v="4.4480000000000004"/>
    <n v="2"/>
    <n v="0.33360000000000001"/>
    <n v="7.5"/>
  </r>
  <r>
    <s v="CA-2019-112256"/>
    <x v="138"/>
    <s v="CK-12205"/>
    <s v="Chloris Kastensmidt"/>
    <s v="United States"/>
    <x v="3"/>
    <x v="1"/>
    <s v="Newell 339"/>
    <n v="4.4480000000000004"/>
    <n v="2"/>
    <n v="0.33360000000000001"/>
    <n v="7.5"/>
  </r>
  <r>
    <s v="CA-2020-151218"/>
    <x v="446"/>
    <s v="PJ-19015"/>
    <s v="Pauline Johnson"/>
    <s v="United States"/>
    <x v="1"/>
    <x v="1"/>
    <s v="Plastic Stacking Crates &amp; Casters"/>
    <n v="89.463999999999999"/>
    <n v="1"/>
    <n v="0.33479999999999999"/>
    <n v="0.37422874005186441"/>
  </r>
  <r>
    <s v="CA-2020-136007"/>
    <x v="447"/>
    <s v="AC-10615"/>
    <s v="Ann Chong"/>
    <s v="United States"/>
    <x v="2"/>
    <x v="1"/>
    <s v="Alliance Rubber Bands"/>
    <n v="619.4"/>
    <n v="5"/>
    <n v="0.33600000000000002"/>
    <n v="5.4246044559250889E-2"/>
  </r>
  <r>
    <s v="CA-2020-151855"/>
    <x v="355"/>
    <s v="BW-11110"/>
    <s v="Bart Watters"/>
    <s v="United States"/>
    <x v="1"/>
    <x v="0"/>
    <s v="Sony 8GB Class 10 Micro SDHC R40 Memory Card"/>
    <n v="103.19199999999999"/>
    <n v="3"/>
    <n v="0.33989999999999998"/>
    <n v="0.32938599891464454"/>
  </r>
  <r>
    <s v="CA-2019-122392"/>
    <x v="448"/>
    <s v="CJ-12010"/>
    <s v="Caroline Jumper"/>
    <s v="United States"/>
    <x v="0"/>
    <x v="1"/>
    <s v="12 Colored Short Pencils"/>
    <n v="4.16"/>
    <n v="2"/>
    <n v="0.36399999999999999"/>
    <n v="8.75"/>
  </r>
  <r>
    <s v="CA-2019-157511"/>
    <x v="99"/>
    <s v="SV-20365"/>
    <s v="Seth Vernon"/>
    <s v="United States"/>
    <x v="0"/>
    <x v="1"/>
    <s v="Eldon Spacemaker Box, Quick-Snap Lid, Clear"/>
    <n v="2.6720000000000002"/>
    <n v="1"/>
    <n v="0.3674"/>
    <n v="13.749999999999998"/>
  </r>
  <r>
    <s v="CA-2020-155047"/>
    <x v="53"/>
    <s v="SE-20110"/>
    <s v="Sanjit Engle"/>
    <s v="United States"/>
    <x v="3"/>
    <x v="1"/>
    <s v="Eberhard Faber 3 1/2&quot; Golf Pencils"/>
    <n v="109.952"/>
    <n v="1"/>
    <n v="0.372"/>
    <n v="0.33832945285215366"/>
  </r>
  <r>
    <s v="CA-2020-101483"/>
    <x v="449"/>
    <s v="AG-10675"/>
    <s v="Anna Gayman"/>
    <s v="United States"/>
    <x v="1"/>
    <x v="1"/>
    <s v="Newell 322"/>
    <n v="114.36799999999999"/>
    <n v="3"/>
    <n v="0.38219999999999998"/>
    <n v="0.33418438724118632"/>
  </r>
  <r>
    <s v="CA-2020-111591"/>
    <x v="450"/>
    <s v="PS-18970"/>
    <s v="Paul Stevenson"/>
    <s v="United States"/>
    <x v="2"/>
    <x v="1"/>
    <s v="Super Bands, 12/Pack"/>
    <n v="106.02"/>
    <n v="7"/>
    <n v="0.3906"/>
    <n v="0.36842105263157898"/>
  </r>
  <r>
    <s v="CA-2020-105487"/>
    <x v="451"/>
    <s v="CS-12250"/>
    <s v="Chris Selesnick"/>
    <s v="United States"/>
    <x v="2"/>
    <x v="1"/>
    <s v="Tennsco Commercial Shelving"/>
    <n v="163.68"/>
    <n v="2"/>
    <n v="0.40679999999999999"/>
    <n v="0.24853372434017595"/>
  </r>
  <r>
    <s v="CA-2019-145842"/>
    <x v="80"/>
    <s v="FM-14380"/>
    <s v="Fred McMath"/>
    <s v="United States"/>
    <x v="0"/>
    <x v="1"/>
    <s v="Rogers Jumbo File, Granite"/>
    <n v="40.74"/>
    <n v="3"/>
    <n v="0.40739999999999998"/>
    <n v="0.99999999999999989"/>
  </r>
  <r>
    <s v="CA-2019-105732"/>
    <x v="443"/>
    <s v="AG-10270"/>
    <s v="Alejandro Grove"/>
    <s v="United States"/>
    <x v="3"/>
    <x v="1"/>
    <s v="Rogers Jumbo File, Granite"/>
    <n v="40.74"/>
    <n v="3"/>
    <n v="0.40739999999999998"/>
    <n v="0.99999999999999989"/>
  </r>
  <r>
    <s v="CA-2019-112389"/>
    <x v="452"/>
    <s v="JM-15655"/>
    <s v="Jim Mitchum"/>
    <s v="United States"/>
    <x v="0"/>
    <x v="1"/>
    <s v="Rogers Jumbo File, Granite"/>
    <n v="40.74"/>
    <n v="3"/>
    <n v="0.40739999999999998"/>
    <n v="0.99999999999999989"/>
  </r>
  <r>
    <s v="CA-2019-136483"/>
    <x v="212"/>
    <s v="AG-10390"/>
    <s v="Allen Goldenen"/>
    <s v="United States"/>
    <x v="1"/>
    <x v="1"/>
    <s v="Newell 343"/>
    <n v="4.7039999999999997"/>
    <n v="2"/>
    <n v="0.41160000000000002"/>
    <n v="8.75"/>
  </r>
  <r>
    <s v="CA-2020-102204"/>
    <x v="28"/>
    <s v="CJ-12010"/>
    <s v="Caroline Jumper"/>
    <s v="United States"/>
    <x v="1"/>
    <x v="1"/>
    <s v="Kleencut Forged Office Shears by Acme United Corporation"/>
    <n v="92.328000000000003"/>
    <n v="2"/>
    <n v="0.41599999999999998"/>
    <n v="0.450567541807469"/>
  </r>
  <r>
    <s v="US-2019-148901"/>
    <x v="220"/>
    <s v="MK-17905"/>
    <s v="Michael Kennedy"/>
    <s v="United States"/>
    <x v="1"/>
    <x v="1"/>
    <s v="Dixon Ticonderoga Pencils"/>
    <n v="4.7679999999999998"/>
    <n v="2"/>
    <n v="0.41720000000000002"/>
    <n v="8.75"/>
  </r>
  <r>
    <s v="CA-2020-129021"/>
    <x v="453"/>
    <s v="PO-18850"/>
    <s v="Patrick O'Brill"/>
    <s v="United States"/>
    <x v="1"/>
    <x v="2"/>
    <s v="Eldon Regeneration Recycled Desk Accessories, Smoke"/>
    <n v="101.78400000000001"/>
    <n v="2"/>
    <n v="0.41760000000000003"/>
    <n v="0.41028059419948121"/>
  </r>
  <r>
    <s v="CA-2020-148012"/>
    <x v="356"/>
    <s v="KM-16225"/>
    <s v="Kalyca Meade"/>
    <s v="United States"/>
    <x v="0"/>
    <x v="1"/>
    <s v="Crayola Colored Pencils"/>
    <n v="110.624"/>
    <n v="1"/>
    <n v="0.4264"/>
    <n v="0.3854498119757015"/>
  </r>
  <r>
    <s v="CA-2020-126536"/>
    <x v="169"/>
    <s v="NK-18490"/>
    <s v="Neil Knudson"/>
    <s v="United States"/>
    <x v="2"/>
    <x v="0"/>
    <s v="Maxell 4.7GB DVD-R 5/Pack"/>
    <n v="110.99"/>
    <n v="1"/>
    <n v="0.43559999999999999"/>
    <n v="0.39246778989098119"/>
  </r>
  <r>
    <s v="CA-2019-152331"/>
    <x v="454"/>
    <s v="LD-16855"/>
    <s v="Lela Donovan"/>
    <s v="United States"/>
    <x v="3"/>
    <x v="1"/>
    <s v="Newell 311"/>
    <n v="5.3040000000000003"/>
    <n v="3"/>
    <n v="0.46410000000000001"/>
    <n v="8.75"/>
  </r>
  <r>
    <s v="CA-2020-130771"/>
    <x v="449"/>
    <s v="LA-16780"/>
    <s v="Laura Armstrong"/>
    <s v="United States"/>
    <x v="3"/>
    <x v="1"/>
    <s v="Assorted Color Push Pins"/>
    <n v="86.896000000000001"/>
    <n v="2"/>
    <n v="0.47060000000000002"/>
    <n v="0.54156693058368621"/>
  </r>
  <r>
    <s v="CA-2020-128363"/>
    <x v="7"/>
    <s v="DC-12850"/>
    <s v="Dan Campbell"/>
    <s v="United States"/>
    <x v="1"/>
    <x v="0"/>
    <s v="Maxell 4.7GB DVD-R 5/Pack"/>
    <n v="125.584"/>
    <n v="2"/>
    <n v="0.47520000000000001"/>
    <n v="0.37839215186647984"/>
  </r>
  <r>
    <s v="CA-2020-145338"/>
    <x v="303"/>
    <s v="BD-11770"/>
    <s v="Bryan Davis"/>
    <s v="United States"/>
    <x v="0"/>
    <x v="1"/>
    <s v="Premium Writing Pencils, Soft, #2 by Central Association for the Blind"/>
    <n v="102.768"/>
    <n v="2"/>
    <n v="0.4768"/>
    <n v="0.46395765218745133"/>
  </r>
  <r>
    <s v="CA-2019-138667"/>
    <x v="343"/>
    <s v="MW-18220"/>
    <s v="Mitch Webber"/>
    <s v="United States"/>
    <x v="0"/>
    <x v="0"/>
    <s v="Micro Innovations USB RF Wireless Keyboard with Mouse"/>
    <n v="40"/>
    <n v="2"/>
    <n v="0.5"/>
    <n v="1.25"/>
  </r>
  <r>
    <s v="CA-2020-152275"/>
    <x v="435"/>
    <s v="KH-16630"/>
    <s v="Ken Heidel"/>
    <s v="United States"/>
    <x v="3"/>
    <x v="1"/>
    <s v="Design Ebony Sketching Pencil"/>
    <n v="117.672"/>
    <n v="6"/>
    <n v="0.50039999999999996"/>
    <n v="0.42524984703242913"/>
  </r>
  <r>
    <s v="CA-2020-158876"/>
    <x v="4"/>
    <s v="AB-10150"/>
    <s v="Aimee Bixby"/>
    <s v="United States"/>
    <x v="3"/>
    <x v="1"/>
    <s v="Acme Elite Stainless Steel Scissors"/>
    <n v="124.672"/>
    <n v="1"/>
    <n v="0.50039999999999996"/>
    <n v="0.40137320328542087"/>
  </r>
  <r>
    <s v="CA-2020-144638"/>
    <x v="94"/>
    <s v="MH-18115"/>
    <s v="Mick Hernandez"/>
    <s v="United States"/>
    <x v="0"/>
    <x v="2"/>
    <s v="Westinghouse Clip-On Gooseneck Lamps"/>
    <n v="81.695999999999998"/>
    <n v="1"/>
    <n v="0.50219999999999998"/>
    <n v="0.61471797884841362"/>
  </r>
  <r>
    <s v="CA-2019-163153"/>
    <x v="393"/>
    <s v="DM-12955"/>
    <s v="Dario Medina"/>
    <s v="United States"/>
    <x v="3"/>
    <x v="1"/>
    <s v="Prang Dustless Chalk Sticks"/>
    <n v="1.3440000000000001"/>
    <n v="1"/>
    <n v="0.504"/>
    <n v="37.5"/>
  </r>
  <r>
    <s v="CA-2020-129378"/>
    <x v="435"/>
    <s v="NS-18505"/>
    <s v="Neola Schneider"/>
    <s v="United States"/>
    <x v="2"/>
    <x v="1"/>
    <s v="Wilson Jones Easy Flow II Sheet Lifters"/>
    <n v="73.44"/>
    <n v="1"/>
    <n v="0.504"/>
    <n v="0.68627450980392157"/>
  </r>
  <r>
    <s v="US-2020-101518"/>
    <x v="368"/>
    <s v="PB-19105"/>
    <s v="Peter Bühler"/>
    <s v="United States"/>
    <x v="0"/>
    <x v="0"/>
    <s v="Memorex 25GB 6X Branded Blu-Ray Recordable Disc, 15/Pack"/>
    <n v="140.77600000000001"/>
    <n v="3"/>
    <n v="0.50970000000000004"/>
    <n v="0.36206455645848723"/>
  </r>
  <r>
    <s v="CA-2020-127180"/>
    <x v="126"/>
    <s v="TA-21385"/>
    <s v="Tom Ashbrook"/>
    <s v="United States"/>
    <x v="0"/>
    <x v="0"/>
    <s v="i.Sound Portable Power - 8000 mAh"/>
    <n v="134.99"/>
    <n v="1"/>
    <n v="0.52990000000000004"/>
    <n v="0.39254759611823092"/>
  </r>
  <r>
    <s v="CA-2020-117261"/>
    <x v="130"/>
    <s v="TH-21235"/>
    <s v="Tiffany House"/>
    <s v="United States"/>
    <x v="2"/>
    <x v="1"/>
    <s v="Rogers Jumbo File, Granite"/>
    <n v="151.32"/>
    <n v="4"/>
    <n v="0.54320000000000002"/>
    <n v="0.35897435897435903"/>
  </r>
  <r>
    <s v="CA-2019-149965"/>
    <x v="295"/>
    <s v="BS-11365"/>
    <s v="Bill Shonely"/>
    <s v="United States"/>
    <x v="3"/>
    <x v="0"/>
    <s v="Imation 30456 USB Flash Drive 8GB"/>
    <n v="6.9"/>
    <n v="1"/>
    <n v="0.55200000000000005"/>
    <n v="8"/>
  </r>
  <r>
    <s v="CA-2020-156391"/>
    <x v="191"/>
    <s v="SL-20155"/>
    <s v="Sara Luxemburg"/>
    <s v="United States"/>
    <x v="2"/>
    <x v="1"/>
    <s v="Prang Drawing Pencil Set"/>
    <n v="88.224000000000004"/>
    <n v="1"/>
    <n v="0.55600000000000005"/>
    <n v="0.63021400072542622"/>
  </r>
  <r>
    <s v="CA-2020-131016"/>
    <x v="406"/>
    <s v="DC-12850"/>
    <s v="Dan Campbell"/>
    <s v="United States"/>
    <x v="3"/>
    <x v="1"/>
    <s v="Newell 314"/>
    <n v="99.927999999999997"/>
    <n v="2"/>
    <n v="0.55800000000000005"/>
    <n v="0.55840204947562255"/>
  </r>
  <r>
    <s v="CA-2019-147137"/>
    <x v="455"/>
    <s v="AA-10645"/>
    <s v="Anna Andreadi"/>
    <s v="United States"/>
    <x v="2"/>
    <x v="1"/>
    <s v="Eldon Shelf Savers Cubes and Bins"/>
    <n v="27.92"/>
    <n v="4"/>
    <n v="0.55840000000000001"/>
    <n v="2"/>
  </r>
  <r>
    <s v="CA-2020-110310"/>
    <x v="396"/>
    <s v="NB-18655"/>
    <s v="Nona Balk"/>
    <s v="United States"/>
    <x v="1"/>
    <x v="1"/>
    <s v="Rogers Handheld Barrel Pencil Sharpener"/>
    <n v="87.575999999999993"/>
    <n v="3"/>
    <n v="0.57540000000000002"/>
    <n v="0.65702932310221984"/>
  </r>
  <r>
    <s v="CA-2019-158211"/>
    <x v="162"/>
    <s v="BP-11185"/>
    <s v="Ben Peterman"/>
    <s v="United States"/>
    <x v="0"/>
    <x v="1"/>
    <s v="Newell 312"/>
    <n v="4.6719999999999997"/>
    <n v="1"/>
    <n v="0.58399999999999996"/>
    <n v="12.5"/>
  </r>
  <r>
    <s v="CA-2020-140872"/>
    <x v="132"/>
    <s v="NR-18550"/>
    <s v="Nick Radford"/>
    <s v="United States"/>
    <x v="1"/>
    <x v="1"/>
    <s v="Bravo II Megaboss 12-Amp Hard Body Upright, Replacement Belts, 2 Belts per Pack"/>
    <n v="111.2"/>
    <n v="2"/>
    <n v="0.58499999999999996"/>
    <n v="0.52607913669064743"/>
  </r>
  <r>
    <s v="CA-2019-134474"/>
    <x v="456"/>
    <s v="AJ-10795"/>
    <s v="Anthony Johnson"/>
    <s v="United States"/>
    <x v="1"/>
    <x v="1"/>
    <s v="Newell 337"/>
    <n v="5.2480000000000002"/>
    <n v="2"/>
    <n v="0.59040000000000004"/>
    <n v="11.25"/>
  </r>
  <r>
    <s v="CA-2019-158778"/>
    <x v="100"/>
    <s v="DB-13210"/>
    <s v="Dean Braden"/>
    <s v="United States"/>
    <x v="0"/>
    <x v="1"/>
    <s v="Newell 329"/>
    <n v="7.8719999999999999"/>
    <n v="3"/>
    <n v="0.59040000000000004"/>
    <n v="7.5000000000000009"/>
  </r>
  <r>
    <s v="CA-2020-144638"/>
    <x v="94"/>
    <s v="MH-18115"/>
    <s v="Mick Hernandez"/>
    <s v="United States"/>
    <x v="0"/>
    <x v="1"/>
    <s v="Newell 337"/>
    <n v="128.24799999999999"/>
    <n v="2"/>
    <n v="0.59040000000000004"/>
    <n v="0.46035805626598469"/>
  </r>
  <r>
    <s v="CA-2020-140298"/>
    <x v="40"/>
    <s v="JK-16120"/>
    <s v="Julie Kriz"/>
    <s v="United States"/>
    <x v="3"/>
    <x v="1"/>
    <s v="Newell 348"/>
    <n v="89.248000000000005"/>
    <n v="2"/>
    <n v="0.59040000000000004"/>
    <n v="0.6615274291860882"/>
  </r>
  <r>
    <s v="CA-2020-106852"/>
    <x v="446"/>
    <s v="ST-20530"/>
    <s v="Shui Tom"/>
    <s v="United States"/>
    <x v="0"/>
    <x v="1"/>
    <s v="Newell 35"/>
    <n v="98.248000000000005"/>
    <n v="2"/>
    <n v="0.59040000000000004"/>
    <n v="0.60092826317075154"/>
  </r>
  <r>
    <s v="CA-2020-131632"/>
    <x v="457"/>
    <s v="AH-10120"/>
    <s v="Adrian Hane"/>
    <s v="United States"/>
    <x v="3"/>
    <x v="1"/>
    <s v="Newell 350"/>
    <n v="95.248000000000005"/>
    <n v="2"/>
    <n v="0.59040000000000004"/>
    <n v="0.61985553502435753"/>
  </r>
  <r>
    <s v="US-2020-132059"/>
    <x v="71"/>
    <s v="AP-10915"/>
    <s v="Arthur Prichep"/>
    <s v="United States"/>
    <x v="2"/>
    <x v="0"/>
    <s v="Belkin F8E887 USB Wired Ergonomic Keyboard"/>
    <n v="132.98400000000001"/>
    <n v="2"/>
    <n v="0.5998"/>
    <n v="0.4510317030620225"/>
  </r>
  <r>
    <s v="CA-2019-126004"/>
    <x v="430"/>
    <s v="BM-11140"/>
    <s v="Becky Martin"/>
    <s v="United States"/>
    <x v="0"/>
    <x v="1"/>
    <s v="Peel &amp; Stick Add-On Corner Pockets"/>
    <n v="1.728"/>
    <n v="1"/>
    <n v="0.6048"/>
    <n v="35"/>
  </r>
  <r>
    <s v="US-2020-167920"/>
    <x v="356"/>
    <s v="JL-15835"/>
    <s v="John Lee"/>
    <s v="United States"/>
    <x v="1"/>
    <x v="1"/>
    <s v="Eldon Gobal File Keepers"/>
    <n v="129.13999999999999"/>
    <n v="1"/>
    <n v="0.60560000000000003"/>
    <n v="0.46894842806256781"/>
  </r>
  <r>
    <s v="US-2020-123862"/>
    <x v="413"/>
    <s v="JF-15190"/>
    <s v="Jamie Frazer"/>
    <s v="United States"/>
    <x v="2"/>
    <x v="1"/>
    <s v="Tennsco Commercial Shelving"/>
    <n v="101.02"/>
    <n v="3"/>
    <n v="0.61019999999999996"/>
    <n v="0.60403880419718869"/>
  </r>
  <r>
    <s v="CA-2020-164042"/>
    <x v="213"/>
    <s v="KL-16645"/>
    <s v="Ken Lonsdale"/>
    <s v="United States"/>
    <x v="3"/>
    <x v="1"/>
    <s v="OIC Thumb-Tacks"/>
    <n v="71.823999999999998"/>
    <n v="2"/>
    <n v="0.61560000000000004"/>
    <n v="0.85709512140788613"/>
  </r>
  <r>
    <s v="CA-2020-109757"/>
    <x v="130"/>
    <s v="MD-17350"/>
    <s v="Maribeth Dona"/>
    <s v="United States"/>
    <x v="0"/>
    <x v="1"/>
    <s v="DIXON Oriole Pencils"/>
    <n v="125.256"/>
    <n v="4"/>
    <n v="0.61919999999999997"/>
    <n v="0.49434757616401609"/>
  </r>
  <r>
    <s v="CA-2020-140242"/>
    <x v="128"/>
    <s v="ML-17755"/>
    <s v="Max Ludwig"/>
    <s v="United States"/>
    <x v="3"/>
    <x v="1"/>
    <s v="Blackstonian Pencils"/>
    <n v="94.408000000000001"/>
    <n v="3"/>
    <n v="0.64080000000000004"/>
    <n v="0.67875603762393011"/>
  </r>
  <r>
    <s v="CA-2019-116540"/>
    <x v="110"/>
    <s v="SS-20590"/>
    <s v="Sonia Sunley"/>
    <s v="United States"/>
    <x v="3"/>
    <x v="1"/>
    <s v="Colored Push Pins"/>
    <n v="1.81"/>
    <n v="1"/>
    <n v="0.65159999999999996"/>
    <n v="36"/>
  </r>
  <r>
    <s v="CA-2020-166933"/>
    <x v="298"/>
    <s v="MG-17890"/>
    <s v="Michael Granlund"/>
    <s v="United States"/>
    <x v="2"/>
    <x v="1"/>
    <s v="Colored Push Pins"/>
    <n v="81.81"/>
    <n v="1"/>
    <n v="0.65159999999999996"/>
    <n v="0.79647964796479631"/>
  </r>
  <r>
    <s v="US-2020-119816"/>
    <x v="163"/>
    <s v="TT-21460"/>
    <s v="Tonja Turnell"/>
    <s v="United States"/>
    <x v="3"/>
    <x v="1"/>
    <s v="Crate-A-Files"/>
    <n v="123.72"/>
    <n v="1"/>
    <n v="0.65400000000000003"/>
    <n v="0.52861299709020371"/>
  </r>
  <r>
    <s v="CA-2020-127782"/>
    <x v="88"/>
    <s v="TH-21115"/>
    <s v="Thea Hudgings"/>
    <s v="United States"/>
    <x v="0"/>
    <x v="2"/>
    <s v="Eldon Image Series Black Desk Accessories"/>
    <n v="122.312"/>
    <n v="1"/>
    <n v="0.66239999999999999"/>
    <n v="0.54156583164366545"/>
  </r>
  <r>
    <s v="CA-2020-125451"/>
    <x v="122"/>
    <s v="AH-10075"/>
    <s v="Adam Hart"/>
    <s v="United States"/>
    <x v="0"/>
    <x v="1"/>
    <s v="Hoover Replacement Belt for Commercial Guardsman Heavy-Duty Upright Vacuum"/>
    <n v="97.22"/>
    <n v="1"/>
    <n v="0.66600000000000004"/>
    <n v="0.68504422958239053"/>
  </r>
  <r>
    <s v="CA-2020-129707"/>
    <x v="458"/>
    <s v="LH-16750"/>
    <s v="Larry Hughes"/>
    <s v="United States"/>
    <x v="2"/>
    <x v="1"/>
    <s v="Newell 318"/>
    <n v="85.896000000000001"/>
    <n v="4"/>
    <n v="0.66720000000000002"/>
    <n v="0.77675328303995528"/>
  </r>
  <r>
    <s v="CA-2019-113390"/>
    <x v="459"/>
    <s v="EP-13915"/>
    <s v="Emily Phan"/>
    <s v="United States"/>
    <x v="3"/>
    <x v="1"/>
    <s v="Avery Fluorescent Highlighter Four-Color Set"/>
    <n v="5.3440000000000003"/>
    <n v="2"/>
    <n v="0.66800000000000004"/>
    <n v="12.5"/>
  </r>
  <r>
    <s v="CA-2020-112536"/>
    <x v="352"/>
    <s v="SG-20890"/>
    <s v="Susan Gilcrest"/>
    <s v="United States"/>
    <x v="3"/>
    <x v="1"/>
    <s v="Plastic Stacking Crates &amp; Casters"/>
    <n v="89.927999999999997"/>
    <n v="2"/>
    <n v="0.66959999999999997"/>
    <n v="0.74459567654123304"/>
  </r>
  <r>
    <s v="CA-2020-165757"/>
    <x v="286"/>
    <s v="PL-18925"/>
    <s v="Paul Lucas"/>
    <s v="United States"/>
    <x v="0"/>
    <x v="1"/>
    <s v="Plastic Stacking Crates &amp; Casters"/>
    <n v="108.928"/>
    <n v="2"/>
    <n v="0.66959999999999997"/>
    <n v="0.61471797884841362"/>
  </r>
  <r>
    <s v="US-2019-132577"/>
    <x v="358"/>
    <s v="JE-15475"/>
    <s v="Jeremy Ellison"/>
    <s v="United States"/>
    <x v="3"/>
    <x v="1"/>
    <s v="Avery 494"/>
    <n v="2.0880000000000001"/>
    <n v="1"/>
    <n v="0.67859999999999998"/>
    <n v="32.499999999999993"/>
  </r>
  <r>
    <s v="CA-2019-123946"/>
    <x v="460"/>
    <s v="AJ-10795"/>
    <s v="Anthony Johnson"/>
    <s v="United States"/>
    <x v="1"/>
    <x v="1"/>
    <s v="Rogers Jumbo File, Granite"/>
    <n v="67.900000000000006"/>
    <n v="5"/>
    <n v="0.67900000000000005"/>
    <n v="1"/>
  </r>
  <r>
    <s v="CA-2020-138779"/>
    <x v="325"/>
    <s v="RB-19570"/>
    <s v="Rob Beeghly"/>
    <s v="United States"/>
    <x v="1"/>
    <x v="0"/>
    <s v="Sannysis Cute Owl Design Soft Skin Case Cover for Samsung Galaxy S4"/>
    <n v="89.92"/>
    <n v="5"/>
    <n v="0.69299999999999995"/>
    <n v="0.77068505338078286"/>
  </r>
  <r>
    <s v="CA-2020-134915"/>
    <x v="151"/>
    <s v="EM-14140"/>
    <s v="Eugene Moren"/>
    <s v="United States"/>
    <x v="2"/>
    <x v="0"/>
    <s v="Cush Cases Heavy Duty Rugged Cover Case for Samsung Galaxy S5 - Purple"/>
    <n v="112.92"/>
    <n v="2"/>
    <n v="0.69299999999999995"/>
    <n v="0.61370882040382568"/>
  </r>
  <r>
    <s v="CA-2020-127712"/>
    <x v="461"/>
    <s v="MG-17890"/>
    <s v="Michael Granlund"/>
    <s v="United States"/>
    <x v="2"/>
    <x v="1"/>
    <s v="Acme Kleen Earth Office Shears"/>
    <n v="93.207999999999998"/>
    <n v="2"/>
    <n v="0.69840000000000002"/>
    <n v="0.74929190627413966"/>
  </r>
  <r>
    <s v="CA-2019-164938"/>
    <x v="462"/>
    <s v="PB-19210"/>
    <s v="Phillip Breyer"/>
    <s v="United States"/>
    <x v="3"/>
    <x v="0"/>
    <s v="Mediabridge Sport Armband iPhone 5s"/>
    <n v="69.930000000000007"/>
    <n v="7"/>
    <n v="0.69930000000000003"/>
    <n v="1"/>
  </r>
  <r>
    <s v="CA-2020-161774"/>
    <x v="215"/>
    <s v="GT-14710"/>
    <s v="Greg Tran"/>
    <s v="United States"/>
    <x v="3"/>
    <x v="0"/>
    <s v="PayAnywhere Card Reader"/>
    <n v="128.99199999999999"/>
    <n v="1"/>
    <n v="0.69930000000000003"/>
    <n v="0.54212664351277606"/>
  </r>
  <r>
    <s v="CA-2020-104024"/>
    <x v="388"/>
    <s v="MD-17860"/>
    <s v="Michael Dominguez"/>
    <s v="United States"/>
    <x v="0"/>
    <x v="1"/>
    <s v="Newell 323"/>
    <n v="89.408000000000001"/>
    <n v="7"/>
    <n v="0.7056"/>
    <n v="0.78919112383679313"/>
  </r>
  <r>
    <s v="CA-2020-112172"/>
    <x v="255"/>
    <s v="MM-18280"/>
    <s v="Muhammed MacIntyre"/>
    <s v="United States"/>
    <x v="0"/>
    <x v="1"/>
    <s v="Plymouth Boxed Rubber Bands by Plymouth"/>
    <n v="117.13"/>
    <n v="3"/>
    <n v="0.70650000000000002"/>
    <n v="0.60317595833689064"/>
  </r>
  <r>
    <s v="CA-2019-107783"/>
    <x v="15"/>
    <s v="OT-18730"/>
    <s v="Olvera Toch"/>
    <s v="United States"/>
    <x v="0"/>
    <x v="1"/>
    <s v="Hoover Replacement Belts For Soft Guard &amp; Commercial Ltweight Upright Vacs, 2/Pk"/>
    <n v="9.48"/>
    <n v="3"/>
    <n v="0.71099999999999997"/>
    <n v="7.5"/>
  </r>
  <r>
    <s v="CA-2020-131282"/>
    <x v="32"/>
    <s v="CB-12025"/>
    <s v="Cassandra Brandow"/>
    <s v="United States"/>
    <x v="3"/>
    <x v="1"/>
    <s v="Staples in misc. colors"/>
    <n v="221.12"/>
    <n v="5"/>
    <n v="0.71199999999999997"/>
    <n v="0.3219971056439942"/>
  </r>
  <r>
    <s v="CA-2019-106341"/>
    <x v="326"/>
    <s v="LF-17185"/>
    <s v="Luke Foster"/>
    <s v="United States"/>
    <x v="0"/>
    <x v="1"/>
    <s v="Premium Writing Pencils, Soft, #2 by Central Association for the Blind"/>
    <n v="7.1520000000000001"/>
    <n v="3"/>
    <n v="0.71519999999999995"/>
    <n v="10"/>
  </r>
  <r>
    <s v="CA-2019-108987"/>
    <x v="49"/>
    <s v="AG-10675"/>
    <s v="Anna Gayman"/>
    <s v="United States"/>
    <x v="3"/>
    <x v="0"/>
    <s v="Sony 64GB Class 10 Micro SDHC R40 Memory Card"/>
    <n v="57.584000000000003"/>
    <n v="2"/>
    <n v="0.7198"/>
    <n v="1.25"/>
  </r>
  <r>
    <s v="CA-2020-130106"/>
    <x v="195"/>
    <s v="VF-21715"/>
    <s v="Vicky Freymann"/>
    <s v="United States"/>
    <x v="2"/>
    <x v="1"/>
    <s v="Newell 333"/>
    <n v="116.78"/>
    <n v="1"/>
    <n v="0.7228"/>
    <n v="0.61894159958897066"/>
  </r>
  <r>
    <s v="CA-2020-107293"/>
    <x v="258"/>
    <s v="CS-12400"/>
    <s v="Christopher Schild"/>
    <s v="United States"/>
    <x v="2"/>
    <x v="1"/>
    <s v="Newell 333"/>
    <n v="89.78"/>
    <n v="1"/>
    <n v="0.7228"/>
    <n v="0.80507908220093571"/>
  </r>
  <r>
    <s v="US-2019-100720"/>
    <x v="133"/>
    <s v="CK-12205"/>
    <s v="Chloris Kastensmidt"/>
    <s v="United States"/>
    <x v="0"/>
    <x v="1"/>
    <s v="Acme Value Line Scissors"/>
    <n v="5.84"/>
    <n v="2"/>
    <n v="0.73"/>
    <n v="12.5"/>
  </r>
  <r>
    <s v="CA-2020-160962"/>
    <x v="463"/>
    <s v="MC-17605"/>
    <s v="Matt Connell"/>
    <s v="United States"/>
    <x v="0"/>
    <x v="1"/>
    <s v="Sterilite Officeware Hinged File Box"/>
    <n v="117.384"/>
    <n v="1"/>
    <n v="0.73360000000000003"/>
    <n v="0.62495740475703676"/>
  </r>
  <r>
    <s v="CA-2020-133648"/>
    <x v="390"/>
    <s v="ML-17755"/>
    <s v="Max Ludwig"/>
    <s v="United States"/>
    <x v="2"/>
    <x v="1"/>
    <s v="Eldon Spacemaker Box, Quick-Snap Lid, Clear"/>
    <n v="103.34399999999999"/>
    <n v="2"/>
    <n v="0.73480000000000001"/>
    <n v="0.71102337823192441"/>
  </r>
  <r>
    <s v="CA-2020-117702"/>
    <x v="24"/>
    <s v="LS-16975"/>
    <s v="Lindsay Shagiari"/>
    <s v="United States"/>
    <x v="0"/>
    <x v="1"/>
    <s v="BIC Brite Liner Grip Highlighters"/>
    <n v="117.64"/>
    <n v="1"/>
    <n v="0.73799999999999999"/>
    <n v="0.62733764025841554"/>
  </r>
  <r>
    <s v="CA-2020-108322"/>
    <x v="105"/>
    <s v="SS-20140"/>
    <s v="Saphhira Shifley"/>
    <s v="United States"/>
    <x v="1"/>
    <x v="0"/>
    <s v="Maxell 4.7GB DVD+R 5/Pack"/>
    <n v="124.376"/>
    <n v="3"/>
    <n v="0.74250000000000005"/>
    <n v="0.5969801247829164"/>
  </r>
  <r>
    <s v="CA-2020-132185"/>
    <x v="464"/>
    <s v="DB-13615"/>
    <s v="Doug Bickford"/>
    <s v="United States"/>
    <x v="1"/>
    <x v="1"/>
    <s v="Pencil and Crayon Sharpener"/>
    <n v="120.76"/>
    <n v="5"/>
    <n v="0.76649999999999996"/>
    <n v="0.63473004306061598"/>
  </r>
  <r>
    <s v="CA-2020-160962"/>
    <x v="463"/>
    <s v="MC-17605"/>
    <s v="Matt Connell"/>
    <s v="United States"/>
    <x v="0"/>
    <x v="1"/>
    <s v="Newell 341"/>
    <n v="133.84800000000001"/>
    <n v="2"/>
    <n v="0.77039999999999997"/>
    <n v="0.57557826788596012"/>
  </r>
  <r>
    <s v="CA-2020-123687"/>
    <x v="465"/>
    <s v="KC-16675"/>
    <s v="Kimberly Carter"/>
    <s v="United States"/>
    <x v="1"/>
    <x v="1"/>
    <s v="Martin-Yale Premier Letter Opener"/>
    <n v="126.76"/>
    <n v="2"/>
    <n v="0.77280000000000004"/>
    <n v="0.60965604291574627"/>
  </r>
  <r>
    <s v="CA-2019-103982"/>
    <x v="17"/>
    <s v="AA-10315"/>
    <s v="Alex Avila"/>
    <s v="United States"/>
    <x v="3"/>
    <x v="1"/>
    <s v="Acco Banker's Clasps, 5 3/4&quot;-Long"/>
    <n v="2.3039999999999998"/>
    <n v="1"/>
    <n v="0.77759999999999996"/>
    <n v="33.75"/>
  </r>
  <r>
    <s v="CA-2019-139010"/>
    <x v="272"/>
    <s v="MC-17635"/>
    <s v="Matthew Clasen"/>
    <s v="United States"/>
    <x v="2"/>
    <x v="0"/>
    <s v="SanDisk Ultra 16 GB MicroSDHC Class 10 Memory Card"/>
    <n v="12.99"/>
    <n v="1"/>
    <n v="0.77939999999999998"/>
    <n v="6"/>
  </r>
  <r>
    <s v="CA-2019-109666"/>
    <x v="190"/>
    <s v="KM-16720"/>
    <s v="Kunst Miller"/>
    <s v="United States"/>
    <x v="0"/>
    <x v="0"/>
    <s v="Gear Head AU3700S Headset"/>
    <n v="25.98"/>
    <n v="2"/>
    <n v="0.77939999999999998"/>
    <n v="3"/>
  </r>
  <r>
    <s v="CA-2020-148922"/>
    <x v="409"/>
    <s v="SU-20665"/>
    <s v="Stephanie Ulpright"/>
    <s v="United States"/>
    <x v="1"/>
    <x v="0"/>
    <s v="Cyber Acoustics AC-202b Speech Recognition Stereo Headset"/>
    <n v="161.97"/>
    <n v="3"/>
    <n v="0.77939999999999998"/>
    <n v="0.4812002222633821"/>
  </r>
  <r>
    <s v="CA-2020-159884"/>
    <x v="461"/>
    <s v="JF-15490"/>
    <s v="Jeremy Farry"/>
    <s v="United States"/>
    <x v="2"/>
    <x v="1"/>
    <s v="Neat Ideas Personal Hanging Folder Files, Black"/>
    <n v="140.744"/>
    <n v="1"/>
    <n v="0.80579999999999996"/>
    <n v="0.57252884670039217"/>
  </r>
  <r>
    <s v="CA-2019-101329"/>
    <x v="16"/>
    <s v="MM-17920"/>
    <s v="Michael Moore"/>
    <s v="United States"/>
    <x v="0"/>
    <x v="1"/>
    <s v="Newell 32"/>
    <n v="2.88"/>
    <n v="1"/>
    <n v="0.80640000000000001"/>
    <n v="28.000000000000004"/>
  </r>
  <r>
    <s v="CA-2019-145240"/>
    <x v="410"/>
    <s v="BG-11740"/>
    <s v="Bruce Geld"/>
    <s v="United States"/>
    <x v="3"/>
    <x v="1"/>
    <s v="Tenex Personal Project File with Scoop Front Design, Black"/>
    <n v="10.784000000000001"/>
    <n v="1"/>
    <n v="0.80879999999999996"/>
    <n v="7.5"/>
  </r>
  <r>
    <s v="CA-2019-128923"/>
    <x v="260"/>
    <s v="GB-14530"/>
    <s v="George Bell"/>
    <s v="United States"/>
    <x v="3"/>
    <x v="1"/>
    <s v="Hunt BOSTON Vista Battery-Operated Pencil Sharpener, Black"/>
    <n v="9.3279999999999994"/>
    <n v="1"/>
    <n v="0.81620000000000004"/>
    <n v="8.75"/>
  </r>
  <r>
    <s v="CA-2019-159940"/>
    <x v="270"/>
    <s v="BF-11020"/>
    <s v="Barry Französisch"/>
    <s v="United States"/>
    <x v="3"/>
    <x v="1"/>
    <s v="Acco Hot Clips Clips to Go"/>
    <n v="2.6320000000000001"/>
    <n v="1"/>
    <n v="0.82250000000000001"/>
    <n v="31.25"/>
  </r>
  <r>
    <s v="CA-2020-102267"/>
    <x v="21"/>
    <s v="SC-20800"/>
    <s v="Stuart Calhoun"/>
    <s v="United States"/>
    <x v="3"/>
    <x v="1"/>
    <s v="Binder Clips by OIC"/>
    <n v="128.36799999999999"/>
    <n v="2"/>
    <n v="0.82879999999999998"/>
    <n v="0.64564377414932073"/>
  </r>
  <r>
    <s v="CA-2020-168403"/>
    <x v="37"/>
    <s v="DK-12835"/>
    <s v="Damala Kotsonis"/>
    <s v="United States"/>
    <x v="2"/>
    <x v="1"/>
    <s v="Belkin 7-Outlet SurgeMaster Home Series"/>
    <n v="135.17599999999999"/>
    <n v="1"/>
    <n v="0.83819999999999995"/>
    <n v="0.62008048766053148"/>
  </r>
  <r>
    <s v="CA-2020-141992"/>
    <x v="156"/>
    <s v="FO-14305"/>
    <s v="Frank Olsen"/>
    <s v="United States"/>
    <x v="3"/>
    <x v="1"/>
    <s v="Fiskars Spring-Action Scissors"/>
    <n v="102.184"/>
    <n v="1"/>
    <n v="0.83879999999999999"/>
    <n v="0.82087215219603848"/>
  </r>
  <r>
    <s v="CA-2019-111682"/>
    <x v="80"/>
    <s v="TB-21055"/>
    <s v="Ted Butterfield"/>
    <s v="United States"/>
    <x v="0"/>
    <x v="1"/>
    <s v="Prang Dustless Chalk Sticks"/>
    <n v="1.68"/>
    <n v="1"/>
    <n v="0.84"/>
    <n v="50"/>
  </r>
  <r>
    <s v="US-2020-116652"/>
    <x v="301"/>
    <s v="RD-19480"/>
    <s v="Rick Duston"/>
    <s v="United States"/>
    <x v="2"/>
    <x v="1"/>
    <s v="Cardinal Poly Pocket Divider Pockets for Ring Binders"/>
    <n v="118.688"/>
    <n v="1"/>
    <n v="0.84"/>
    <n v="0.70773793475330271"/>
  </r>
  <r>
    <s v="US-2019-157490"/>
    <x v="13"/>
    <s v="LB-16795"/>
    <s v="Laurel Beltran"/>
    <s v="United States"/>
    <x v="2"/>
    <x v="0"/>
    <s v="Memorex 25GB 6X Branded Blu-Ray Recordable Disc, 15/Pack"/>
    <n v="67.959999999999994"/>
    <n v="5"/>
    <n v="0.84950000000000003"/>
    <n v="1.2500000000000002"/>
  </r>
  <r>
    <s v="US-2020-119816"/>
    <x v="163"/>
    <s v="TT-21460"/>
    <s v="Tonja Turnell"/>
    <s v="United States"/>
    <x v="3"/>
    <x v="1"/>
    <s v="Avery 497"/>
    <n v="124.464"/>
    <n v="1"/>
    <n v="0.86240000000000006"/>
    <n v="0.69289111711016838"/>
  </r>
  <r>
    <s v="CA-2019-105473"/>
    <x v="466"/>
    <s v="BM-11785"/>
    <s v="Bryan Mills"/>
    <s v="United States"/>
    <x v="2"/>
    <x v="1"/>
    <s v="Stiletto Hand Letter Openers"/>
    <n v="28.8"/>
    <n v="3"/>
    <n v="0.86399999999999999"/>
    <n v="3"/>
  </r>
  <r>
    <s v="CA-2020-140326"/>
    <x v="130"/>
    <s v="HW-14935"/>
    <s v="Helen Wasserman"/>
    <s v="United States"/>
    <x v="3"/>
    <x v="1"/>
    <s v="Sanford Colorific Colored Pencils, 12/Box"/>
    <n v="88.912000000000006"/>
    <n v="3"/>
    <n v="0.86399999999999999"/>
    <n v="0.97174734569012056"/>
  </r>
  <r>
    <s v="CA-2020-135111"/>
    <x v="240"/>
    <s v="CS-12400"/>
    <s v="Christopher Schild"/>
    <s v="United States"/>
    <x v="3"/>
    <x v="1"/>
    <s v="Staples in misc. colors"/>
    <n v="373.48"/>
    <n v="1"/>
    <n v="0.86799999999999999"/>
    <n v="0.23240869658348504"/>
  </r>
  <r>
    <s v="CA-2019-128531"/>
    <x v="289"/>
    <s v="NS-18505"/>
    <s v="Neola Schneider"/>
    <s v="United States"/>
    <x v="3"/>
    <x v="1"/>
    <s v="Colored Push Pins"/>
    <n v="4.3440000000000003"/>
    <n v="3"/>
    <n v="0.86880000000000002"/>
    <n v="20"/>
  </r>
  <r>
    <s v="CA-2020-104080"/>
    <x v="467"/>
    <s v="AH-10210"/>
    <s v="Alan Hwang"/>
    <s v="United States"/>
    <x v="2"/>
    <x v="1"/>
    <s v="Newell 323"/>
    <n v="77.36"/>
    <n v="2"/>
    <n v="0.87360000000000004"/>
    <n v="1.1292657704239917"/>
  </r>
  <r>
    <s v="CA-2019-131380"/>
    <x v="468"/>
    <s v="CC-12220"/>
    <s v="Chris Cortes"/>
    <s v="United States"/>
    <x v="2"/>
    <x v="1"/>
    <s v="Rogers Deluxe File Chest"/>
    <n v="87.92"/>
    <n v="4"/>
    <n v="0.87919999999999998"/>
    <n v="1"/>
  </r>
  <r>
    <s v="CA-2019-163776"/>
    <x v="469"/>
    <s v="JS-16030"/>
    <s v="Joy Smith"/>
    <s v="United States"/>
    <x v="1"/>
    <x v="1"/>
    <s v="Rogers Deluxe File Chest"/>
    <n v="87.92"/>
    <n v="4"/>
    <n v="0.87919999999999998"/>
    <n v="1"/>
  </r>
  <r>
    <s v="CA-2020-139437"/>
    <x v="142"/>
    <s v="RD-19585"/>
    <s v="Rob Dowd"/>
    <s v="United States"/>
    <x v="2"/>
    <x v="1"/>
    <s v="Rogers Deluxe File Chest"/>
    <n v="100.92"/>
    <n v="4"/>
    <n v="0.87919999999999998"/>
    <n v="0.87118509710661907"/>
  </r>
  <r>
    <s v="CA-2019-120257"/>
    <x v="381"/>
    <s v="PW-19240"/>
    <s v="Pierre Wener"/>
    <s v="United States"/>
    <x v="0"/>
    <x v="1"/>
    <s v="Newell 348"/>
    <n v="7.8719999999999999"/>
    <n v="3"/>
    <n v="0.88560000000000005"/>
    <n v="11.25"/>
  </r>
  <r>
    <s v="CA-2020-152499"/>
    <x v="470"/>
    <s v="EH-13765"/>
    <s v="Edward Hooks"/>
    <s v="United States"/>
    <x v="3"/>
    <x v="1"/>
    <s v="Newell 348"/>
    <n v="85.872"/>
    <n v="3"/>
    <n v="0.88560000000000005"/>
    <n v="1.0313024035774176"/>
  </r>
  <r>
    <s v="US-2019-117793"/>
    <x v="95"/>
    <s v="MA-17560"/>
    <s v="Matt Abelman"/>
    <s v="United States"/>
    <x v="3"/>
    <x v="0"/>
    <s v="Maxell 4.7GB DVD+R 5/Pack"/>
    <n v="1.98"/>
    <n v="2"/>
    <n v="0.89100000000000001"/>
    <n v="45"/>
  </r>
  <r>
    <s v="CA-2020-101273"/>
    <x v="53"/>
    <s v="ST-20530"/>
    <s v="Shui Tom"/>
    <s v="United States"/>
    <x v="1"/>
    <x v="1"/>
    <s v="Hoover Portapower Portable Vacuum"/>
    <n v="125.336"/>
    <n v="4"/>
    <n v="0.89600000000000002"/>
    <n v="0.71487840684240767"/>
  </r>
  <r>
    <s v="US-2020-105389"/>
    <x v="122"/>
    <s v="DM-13015"/>
    <s v="Darrin Martin"/>
    <s v="United States"/>
    <x v="3"/>
    <x v="1"/>
    <s v="Newell 320"/>
    <n v="106.27200000000001"/>
    <n v="3"/>
    <n v="0.89880000000000004"/>
    <n v="0.8457542908762421"/>
  </r>
  <r>
    <s v="CA-2019-150889"/>
    <x v="306"/>
    <s v="PB-19105"/>
    <s v="Peter Bühler"/>
    <s v="United States"/>
    <x v="3"/>
    <x v="0"/>
    <s v="Belkin iPhone and iPad Lightning Cable"/>
    <n v="11.992000000000001"/>
    <n v="1"/>
    <n v="0.89939999999999998"/>
    <n v="7.5"/>
  </r>
  <r>
    <s v="US-2019-158680"/>
    <x v="471"/>
    <s v="NZ-18565"/>
    <s v="Nick Zandusky"/>
    <s v="United States"/>
    <x v="2"/>
    <x v="1"/>
    <s v="Zipper Ring Binder Pockets"/>
    <n v="2.496"/>
    <n v="1"/>
    <n v="0.90480000000000005"/>
    <n v="36.250000000000007"/>
  </r>
  <r>
    <s v="CA-2019-143476"/>
    <x v="106"/>
    <s v="LC-16930"/>
    <s v="Linda Cazamias"/>
    <s v="United States"/>
    <x v="2"/>
    <x v="1"/>
    <s v="Crayola Anti Dust Chalk, 12/Pack"/>
    <n v="2.9119999999999999"/>
    <n v="2"/>
    <n v="0.91"/>
    <n v="31.25"/>
  </r>
  <r>
    <s v="CA-2020-109778"/>
    <x v="419"/>
    <s v="VM-21685"/>
    <s v="Valerie Mitchum"/>
    <s v="United States"/>
    <x v="3"/>
    <x v="1"/>
    <s v="Crayola Anti Dust Chalk, 12/Pack"/>
    <n v="103.91200000000001"/>
    <n v="2"/>
    <n v="0.91"/>
    <n v="0.87574101162522133"/>
  </r>
  <r>
    <s v="CA-2020-162572"/>
    <x v="222"/>
    <s v="RB-19360"/>
    <s v="Raymond Buch"/>
    <s v="United States"/>
    <x v="0"/>
    <x v="1"/>
    <s v="Newell 311"/>
    <n v="131.608"/>
    <n v="6"/>
    <n v="0.92820000000000003"/>
    <n v="0.70527627499848033"/>
  </r>
  <r>
    <s v="CA-2019-139808"/>
    <x v="472"/>
    <s v="MC-18100"/>
    <s v="Mick Crebagga"/>
    <s v="United States"/>
    <x v="2"/>
    <x v="1"/>
    <s v="Alliance Super-Size Bands, Assorted Sizes"/>
    <n v="93.36"/>
    <n v="12"/>
    <n v="0.93359999999999999"/>
    <n v="1"/>
  </r>
  <r>
    <s v="CA-2019-126732"/>
    <x v="110"/>
    <s v="LR-16915"/>
    <s v="Lena Radford"/>
    <s v="United States"/>
    <x v="2"/>
    <x v="1"/>
    <s v="Akro Stacking Bins"/>
    <n v="23.67"/>
    <n v="3"/>
    <n v="0.94679999999999997"/>
    <n v="3.9999999999999996"/>
  </r>
  <r>
    <s v="CA-2020-101637"/>
    <x v="473"/>
    <s v="AC-10615"/>
    <s v="Ann Chong"/>
    <s v="United States"/>
    <x v="3"/>
    <x v="1"/>
    <s v="Iris Project Case"/>
    <n v="113.768"/>
    <n v="2"/>
    <n v="0.95760000000000001"/>
    <n v="0.84171295970747484"/>
  </r>
  <r>
    <s v="US-2020-127292"/>
    <x v="150"/>
    <s v="RM-19375"/>
    <s v="Raymond Messe"/>
    <s v="United States"/>
    <x v="0"/>
    <x v="1"/>
    <s v="Poly String Tie Envelopes"/>
    <n v="109.04"/>
    <n v="1"/>
    <n v="0.95879999999999999"/>
    <n v="0.87931034482758608"/>
  </r>
  <r>
    <s v="CA-2020-100601"/>
    <x v="417"/>
    <s v="JK-15370"/>
    <s v="Jay Kimmel"/>
    <s v="United States"/>
    <x v="2"/>
    <x v="1"/>
    <s v="Eldon Shelf Savers Cubes and Bins"/>
    <n v="148.86000000000001"/>
    <n v="7"/>
    <n v="0.97719999999999996"/>
    <n v="0.65645573021631054"/>
  </r>
  <r>
    <s v="US-2020-162208"/>
    <x v="53"/>
    <s v="SP-20620"/>
    <s v="Stefania Perrino"/>
    <s v="United States"/>
    <x v="1"/>
    <x v="1"/>
    <s v="Convenience Packs of Business Envelopes"/>
    <n v="138.89599999999999"/>
    <n v="1"/>
    <n v="0.97740000000000005"/>
    <n v="0.70369197097108638"/>
  </r>
  <r>
    <s v="CA-2019-132899"/>
    <x v="474"/>
    <s v="SF-20200"/>
    <s v="Sarah Foster"/>
    <s v="United States"/>
    <x v="0"/>
    <x v="1"/>
    <s v="Newell 322"/>
    <n v="3.64"/>
    <n v="2"/>
    <n v="0.98280000000000001"/>
    <n v="27"/>
  </r>
  <r>
    <s v="CA-2020-152807"/>
    <x v="177"/>
    <s v="MC-18100"/>
    <s v="Mick Crebagga"/>
    <s v="United States"/>
    <x v="0"/>
    <x v="2"/>
    <s v="Stacking Tray, Side-Loading, Legal, Smoke"/>
    <n v="110.16800000000001"/>
    <n v="2"/>
    <n v="0.98560000000000003"/>
    <n v="0.89463365042480569"/>
  </r>
  <r>
    <s v="CA-2020-153339"/>
    <x v="368"/>
    <s v="DJ-13510"/>
    <s v="Don Jones"/>
    <s v="United States"/>
    <x v="1"/>
    <x v="2"/>
    <s v="Telescoping Adjustable Floor Lamp"/>
    <n v="93.992000000000004"/>
    <n v="1"/>
    <n v="0.99950000000000006"/>
    <n v="1.0633883734785938"/>
  </r>
  <r>
    <s v="CA-2019-112256"/>
    <x v="138"/>
    <s v="CK-12205"/>
    <s v="Chloris Kastensmidt"/>
    <s v="United States"/>
    <x v="3"/>
    <x v="1"/>
    <s v="Acme Elite Stainless Steel Scissors"/>
    <n v="13.343999999999999"/>
    <n v="2"/>
    <n v="1.0007999999999999"/>
    <n v="7.5"/>
  </r>
  <r>
    <s v="CA-2020-118017"/>
    <x v="299"/>
    <s v="LC-16870"/>
    <s v="Lena Cacioppo"/>
    <s v="United States"/>
    <x v="2"/>
    <x v="1"/>
    <s v="Newell 344"/>
    <n v="75.343999999999994"/>
    <n v="6"/>
    <n v="1.0007999999999999"/>
    <n v="1.328307496283712"/>
  </r>
  <r>
    <s v="CA-2020-133102"/>
    <x v="23"/>
    <s v="ED-13885"/>
    <s v="Emily Ducich"/>
    <s v="United States"/>
    <x v="3"/>
    <x v="1"/>
    <s v="Avery Fluorescent Highlighter Four-Color Set"/>
    <n v="92.016000000000005"/>
    <n v="3"/>
    <n v="1.002"/>
    <n v="1.0889410537297861"/>
  </r>
  <r>
    <s v="US-2020-169551"/>
    <x v="135"/>
    <s v="RL-19615"/>
    <s v="Rob Lucas"/>
    <s v="United States"/>
    <x v="0"/>
    <x v="1"/>
    <s v="Plastic Stacking Crates &amp; Casters"/>
    <n v="85.391999999999996"/>
    <n v="3"/>
    <n v="1.0044"/>
    <n v="1.1762225969645868"/>
  </r>
  <r>
    <s v="CA-2020-147452"/>
    <x v="317"/>
    <s v="CS-11845"/>
    <s v="Cari Sayre"/>
    <s v="United States"/>
    <x v="2"/>
    <x v="1"/>
    <s v="Commercial WindTunnel Clean Air Upright Vacuum, Replacement Belts, Filtration Bags"/>
    <n v="108.89"/>
    <n v="1"/>
    <n v="1.0114000000000001"/>
    <n v="0.928827256864726"/>
  </r>
  <r>
    <s v="CA-2019-137729"/>
    <x v="415"/>
    <s v="BF-11005"/>
    <s v="Barry Franz"/>
    <s v="United States"/>
    <x v="2"/>
    <x v="1"/>
    <s v="Perma STOR-ALL Hanging File Box, 13 1/8&quot;W x 12 1/4&quot;D x 10 1/2&quot;H"/>
    <n v="5.98"/>
    <n v="1"/>
    <n v="1.0165999999999999"/>
    <n v="17"/>
  </r>
  <r>
    <s v="US-2020-153948"/>
    <x v="174"/>
    <s v="FM-14290"/>
    <s v="Frank Merwin"/>
    <s v="United States"/>
    <x v="2"/>
    <x v="0"/>
    <s v="Kingston Digital DataTraveler 32GB USB 2.0"/>
    <n v="140.94999999999999"/>
    <n v="1"/>
    <n v="1.0169999999999999"/>
    <n v="0.72153245831855262"/>
  </r>
  <r>
    <s v="CA-2019-120200"/>
    <x v="475"/>
    <s v="TP-21130"/>
    <s v="Theone Pippenger"/>
    <s v="United States"/>
    <x v="0"/>
    <x v="1"/>
    <s v="Acme Stainless Steel Office Snips"/>
    <n v="11.632"/>
    <n v="2"/>
    <n v="1.0178"/>
    <n v="8.75"/>
  </r>
  <r>
    <s v="CA-2020-136063"/>
    <x v="476"/>
    <s v="SS-20140"/>
    <s v="Saphhira Shifley"/>
    <s v="United States"/>
    <x v="3"/>
    <x v="1"/>
    <s v="Newell 307"/>
    <n v="416.19200000000001"/>
    <n v="7"/>
    <n v="1.0192000000000001"/>
    <n v="0.24488697524219591"/>
  </r>
  <r>
    <s v="CA-2019-141523"/>
    <x v="78"/>
    <s v="MH-17440"/>
    <s v="Mark Haberlin"/>
    <s v="United States"/>
    <x v="0"/>
    <x v="1"/>
    <s v="Newell 326"/>
    <n v="3.52"/>
    <n v="2"/>
    <n v="1.0207999999999999"/>
    <n v="28.999999999999996"/>
  </r>
  <r>
    <s v="US-2020-120649"/>
    <x v="477"/>
    <s v="JF-15490"/>
    <s v="Jeremy Farry"/>
    <s v="United States"/>
    <x v="0"/>
    <x v="1"/>
    <s v="Newell 326"/>
    <n v="111.52"/>
    <n v="2"/>
    <n v="1.0207999999999999"/>
    <n v="0.91535150645624097"/>
  </r>
  <r>
    <s v="CA-2020-113530"/>
    <x v="234"/>
    <s v="BC-11125"/>
    <s v="Becky Castell"/>
    <s v="United States"/>
    <x v="2"/>
    <x v="1"/>
    <s v="Newell 310"/>
    <n v="102.52"/>
    <n v="2"/>
    <n v="1.0207999999999999"/>
    <n v="0.99570815450643768"/>
  </r>
  <r>
    <s v="CA-2019-169971"/>
    <x v="478"/>
    <s v="IL-15100"/>
    <s v="Ivan Liston"/>
    <s v="United States"/>
    <x v="3"/>
    <x v="1"/>
    <s v="Faber Castell Col-Erase Pencils"/>
    <n v="3.9119999999999999"/>
    <n v="1"/>
    <n v="1.0268999999999999"/>
    <n v="26.25"/>
  </r>
  <r>
    <s v="CA-2019-117660"/>
    <x v="353"/>
    <s v="BM-11785"/>
    <s v="Bryan Mills"/>
    <s v="United States"/>
    <x v="0"/>
    <x v="1"/>
    <s v="Acme Office Executive Series Stainless Steel Trimmers"/>
    <n v="13.712"/>
    <n v="2"/>
    <n v="1.0284"/>
    <n v="7.5"/>
  </r>
  <r>
    <s v="CA-2020-117863"/>
    <x v="352"/>
    <s v="TS-21340"/>
    <s v="Toby Swindell"/>
    <s v="United States"/>
    <x v="0"/>
    <x v="1"/>
    <s v="Acco Pressboard Covers with Storage Hooks, 9 1/2&quot; x 11&quot;, Executive Red"/>
    <n v="102.048"/>
    <n v="1"/>
    <n v="1.0286999999999999"/>
    <n v="1.0080550329256821"/>
  </r>
  <r>
    <s v="CA-2020-134565"/>
    <x v="206"/>
    <s v="TB-21400"/>
    <s v="Tom Boeckenhauer"/>
    <s v="United States"/>
    <x v="2"/>
    <x v="1"/>
    <s v="Belkin 19&quot; Vented Equipment Shelf, Black"/>
    <n v="115.96"/>
    <n v="2"/>
    <n v="1.0296000000000001"/>
    <n v="0.88789237668161436"/>
  </r>
  <r>
    <s v="US-2019-124163"/>
    <x v="81"/>
    <s v="SC-20695"/>
    <s v="Steve Chapman"/>
    <s v="United States"/>
    <x v="3"/>
    <x v="1"/>
    <s v="Manco Dry-Lighter Erasable Highlighter"/>
    <n v="3.04"/>
    <n v="1"/>
    <n v="1.0336000000000001"/>
    <n v="34"/>
  </r>
  <r>
    <s v="CA-2019-119963"/>
    <x v="313"/>
    <s v="SN-20710"/>
    <s v="Steve Nguyen"/>
    <s v="United States"/>
    <x v="3"/>
    <x v="1"/>
    <s v="4009 Highlighters by Sanford"/>
    <n v="6.3680000000000003"/>
    <n v="2"/>
    <n v="1.0347999999999999"/>
    <n v="16.249999999999996"/>
  </r>
  <r>
    <s v="CA-2019-119445"/>
    <x v="454"/>
    <s v="GM-14500"/>
    <s v="Gene McClure"/>
    <s v="United States"/>
    <x v="0"/>
    <x v="1"/>
    <s v="Woodgrain Magazine Files by Perma"/>
    <n v="14.9"/>
    <n v="5"/>
    <n v="1.0429999999999999"/>
    <n v="6.9999999999999991"/>
  </r>
  <r>
    <s v="CA-2019-111409"/>
    <x v="99"/>
    <s v="PO-18850"/>
    <s v="Patrick O'Brill"/>
    <s v="United States"/>
    <x v="1"/>
    <x v="1"/>
    <s v="Avery 480"/>
    <n v="3"/>
    <n v="1"/>
    <n v="1.05"/>
    <n v="35"/>
  </r>
  <r>
    <s v="US-2020-132031"/>
    <x v="327"/>
    <s v="PN-18775"/>
    <s v="Parhena Norris"/>
    <s v="United States"/>
    <x v="1"/>
    <x v="1"/>
    <s v="Avery 496"/>
    <n v="97"/>
    <n v="1"/>
    <n v="1.05"/>
    <n v="1.0824742268041236"/>
  </r>
  <r>
    <s v="CA-2019-117919"/>
    <x v="351"/>
    <s v="TB-21355"/>
    <s v="Todd Boyes"/>
    <s v="United States"/>
    <x v="3"/>
    <x v="1"/>
    <s v="Portfile Personal File Boxes"/>
    <n v="14.16"/>
    <n v="1"/>
    <n v="1.0620000000000001"/>
    <n v="7.5"/>
  </r>
  <r>
    <s v="CA-2019-129714"/>
    <x v="391"/>
    <s v="AB-10060"/>
    <s v="Adam Bellavance"/>
    <s v="United States"/>
    <x v="0"/>
    <x v="1"/>
    <s v="Acco Hanging Data Binders"/>
    <n v="3.048"/>
    <n v="1"/>
    <n v="1.0668"/>
    <n v="35"/>
  </r>
  <r>
    <s v="CA-2019-134516"/>
    <x v="349"/>
    <s v="FM-14215"/>
    <s v="Filia McAdams"/>
    <s v="United States"/>
    <x v="1"/>
    <x v="2"/>
    <s v="Dana Swing-Arm Lamps"/>
    <n v="17.088000000000001"/>
    <n v="2"/>
    <n v="1.0680000000000001"/>
    <n v="6.25"/>
  </r>
  <r>
    <s v="CA-2020-143861"/>
    <x v="375"/>
    <s v="LC-16885"/>
    <s v="Lena Creighton"/>
    <s v="United States"/>
    <x v="1"/>
    <x v="2"/>
    <s v="Dana Swing-Arm Lamps"/>
    <n v="100.08799999999999"/>
    <n v="2"/>
    <n v="1.0680000000000001"/>
    <n v="1.0670609863320279"/>
  </r>
  <r>
    <s v="CA-2020-101210"/>
    <x v="153"/>
    <s v="DW-13540"/>
    <s v="Don Weiss"/>
    <s v="United States"/>
    <x v="1"/>
    <x v="1"/>
    <s v="Xerox 199"/>
    <n v="129.42400000000001"/>
    <n v="1"/>
    <n v="1.07"/>
    <n v="0.8267400173074545"/>
  </r>
  <r>
    <s v="CA-2020-140627"/>
    <x v="172"/>
    <s v="DK-12985"/>
    <s v="Darren Koutras"/>
    <s v="United States"/>
    <x v="1"/>
    <x v="1"/>
    <s v="Pencil and Crayon Sharpener"/>
    <n v="402.26400000000001"/>
    <n v="7"/>
    <n v="1.0730999999999999"/>
    <n v="0.26676510948034127"/>
  </r>
  <r>
    <s v="CA-2020-125640"/>
    <x v="236"/>
    <s v="DD-13570"/>
    <s v="Dorothy Dickinson"/>
    <s v="United States"/>
    <x v="0"/>
    <x v="1"/>
    <s v="Avery 491"/>
    <n v="119.304"/>
    <n v="1"/>
    <n v="1.0738000000000001"/>
    <n v="0.90005364447126679"/>
  </r>
  <r>
    <s v="CA-2020-119004"/>
    <x v="254"/>
    <s v="JM-15250"/>
    <s v="Janet Martin"/>
    <s v="United States"/>
    <x v="1"/>
    <x v="1"/>
    <s v="Newell Chalk Holder"/>
    <n v="107.304"/>
    <n v="1"/>
    <n v="1.0738000000000001"/>
    <n v="1.0007082680981139"/>
  </r>
  <r>
    <s v="CA-2020-115931"/>
    <x v="67"/>
    <s v="JM-15655"/>
    <s v="Jim Mitchum"/>
    <s v="United States"/>
    <x v="2"/>
    <x v="1"/>
    <s v="Design Ebony Sketching Pencil"/>
    <n v="389.17"/>
    <n v="3"/>
    <n v="1.0842000000000001"/>
    <n v="0.27859290284451527"/>
  </r>
  <r>
    <s v="US-2020-133361"/>
    <x v="215"/>
    <s v="AJ-10780"/>
    <s v="Anthony Jacobs"/>
    <s v="United States"/>
    <x v="0"/>
    <x v="1"/>
    <s v="OIC #2 Pencils, Medium Soft"/>
    <n v="83.76"/>
    <n v="2"/>
    <n v="1.0904"/>
    <n v="1.3018147086914995"/>
  </r>
  <r>
    <s v="CA-2020-102554"/>
    <x v="206"/>
    <s v="KN-16705"/>
    <s v="Kristina Nunn"/>
    <s v="United States"/>
    <x v="1"/>
    <x v="1"/>
    <s v="OIC #2 Pencils, Medium Soft"/>
    <n v="118.76"/>
    <n v="2"/>
    <n v="1.0904"/>
    <n v="0.91815426069383632"/>
  </r>
  <r>
    <s v="CA-2020-103065"/>
    <x v="170"/>
    <s v="PT-19090"/>
    <s v="Pete Takahito"/>
    <s v="United States"/>
    <x v="1"/>
    <x v="1"/>
    <s v="Prang Drawing Pencil Set"/>
    <n v="135.44800000000001"/>
    <n v="2"/>
    <n v="1.1120000000000001"/>
    <n v="0.82097926879688143"/>
  </r>
  <r>
    <s v="CA-2020-149853"/>
    <x v="378"/>
    <s v="PO-18850"/>
    <s v="Patrick O'Brill"/>
    <s v="United States"/>
    <x v="1"/>
    <x v="1"/>
    <s v="Hoover Portapower Portable Vacuum"/>
    <n v="146.91999999999999"/>
    <n v="5"/>
    <n v="1.1200000000000001"/>
    <n v="0.76231962973046574"/>
  </r>
  <r>
    <s v="CA-2019-111213"/>
    <x v="442"/>
    <s v="FP-14320"/>
    <s v="Frank Preis"/>
    <s v="United States"/>
    <x v="0"/>
    <x v="1"/>
    <s v="Avery Non-Stick Binders"/>
    <n v="3.5920000000000001"/>
    <n v="1"/>
    <n v="1.1225000000000001"/>
    <n v="31.25"/>
  </r>
  <r>
    <s v="US-2019-146710"/>
    <x v="351"/>
    <s v="SS-20875"/>
    <s v="Sung Shariari"/>
    <s v="United States"/>
    <x v="3"/>
    <x v="1"/>
    <s v="Ampad Gold Fibre Wirebound Steno Books, 6&quot; x 9&quot;, Gregg Ruled"/>
    <n v="3.528"/>
    <n v="1"/>
    <n v="1.1466000000000001"/>
    <n v="32.5"/>
  </r>
  <r>
    <s v="US-2020-165358"/>
    <x v="29"/>
    <s v="SV-20365"/>
    <s v="Seth Vernon"/>
    <s v="United States"/>
    <x v="0"/>
    <x v="1"/>
    <s v="Acme Kleencut Forged Steel Scissors"/>
    <n v="113.184"/>
    <n v="2"/>
    <n v="1.1479999999999999"/>
    <n v="1.0142776364150408"/>
  </r>
  <r>
    <s v="US-2020-106796"/>
    <x v="198"/>
    <s v="JP-16135"/>
    <s v="Julie Prescott"/>
    <s v="United States"/>
    <x v="0"/>
    <x v="1"/>
    <s v="Newell 347"/>
    <n v="96.272000000000006"/>
    <n v="3"/>
    <n v="1.1556"/>
    <n v="1.2003490111351169"/>
  </r>
  <r>
    <s v="CA-2019-135776"/>
    <x v="39"/>
    <s v="EH-13765"/>
    <s v="Edward Hooks"/>
    <s v="United States"/>
    <x v="2"/>
    <x v="1"/>
    <s v="Sanford EarthWrite Recycled Pencils, Medium Soft, #2"/>
    <n v="4.2"/>
    <n v="2"/>
    <n v="1.1759999999999999"/>
    <n v="27.999999999999996"/>
  </r>
  <r>
    <s v="CA-2020-144568"/>
    <x v="201"/>
    <s v="JO-15550"/>
    <s v="Jesus Ocampo"/>
    <s v="United States"/>
    <x v="3"/>
    <x v="1"/>
    <s v="Plymouth Boxed Rubber Bands by Plymouth"/>
    <n v="122.55"/>
    <n v="5"/>
    <n v="1.1775"/>
    <n v="0.96083231334149322"/>
  </r>
  <r>
    <s v="CA-2019-106621"/>
    <x v="479"/>
    <s v="DM-12955"/>
    <s v="Dario Medina"/>
    <s v="United States"/>
    <x v="2"/>
    <x v="1"/>
    <s v="Newell 351"/>
    <n v="10.496"/>
    <n v="4"/>
    <n v="1.1808000000000001"/>
    <n v="11.25"/>
  </r>
  <r>
    <s v="CA-2019-154018"/>
    <x v="27"/>
    <s v="HA-14920"/>
    <s v="Helen Andreada"/>
    <s v="United States"/>
    <x v="3"/>
    <x v="1"/>
    <s v="Newell 334"/>
    <n v="15.872"/>
    <n v="1"/>
    <n v="1.1903999999999999"/>
    <n v="7.5"/>
  </r>
  <r>
    <s v="CA-2020-106047"/>
    <x v="480"/>
    <s v="CS-11860"/>
    <s v="Cari Schnelling"/>
    <s v="United States"/>
    <x v="0"/>
    <x v="1"/>
    <s v="Wirebound Message Books, Four 2 3/4 x 5 Forms per Page, 200 Sets per Book"/>
    <n v="89.816000000000003"/>
    <n v="1"/>
    <n v="1.1924999999999999"/>
    <n v="1.3277144384074104"/>
  </r>
  <r>
    <s v="CA-2019-105291"/>
    <x v="481"/>
    <s v="SP-20920"/>
    <s v="Susan Pistek"/>
    <s v="United States"/>
    <x v="2"/>
    <x v="1"/>
    <s v="Assorted Color Push Pins"/>
    <n v="3.62"/>
    <n v="2"/>
    <n v="1.1946000000000001"/>
    <n v="33"/>
  </r>
  <r>
    <s v="CA-2020-114055"/>
    <x v="141"/>
    <s v="MH-18115"/>
    <s v="Mick Hernandez"/>
    <s v="United States"/>
    <x v="1"/>
    <x v="1"/>
    <s v="Assorted Color Push Pins"/>
    <n v="435.62"/>
    <n v="2"/>
    <n v="1.1946000000000001"/>
    <n v="0.27422983334098527"/>
  </r>
  <r>
    <s v="CA-2020-146269"/>
    <x v="482"/>
    <s v="MH-17455"/>
    <s v="Mark Hamilton"/>
    <s v="United States"/>
    <x v="3"/>
    <x v="1"/>
    <s v="Staples in misc. colors"/>
    <n v="144.15199999999999"/>
    <n v="2"/>
    <n v="1.1970000000000001"/>
    <n v="0.83037349464454202"/>
  </r>
  <r>
    <s v="US-2019-151827"/>
    <x v="187"/>
    <s v="CS-11950"/>
    <s v="Carlos Soltero"/>
    <s v="United States"/>
    <x v="0"/>
    <x v="0"/>
    <s v="Anker Ultra-Slim Mini Bluetooth 3.0 Wireless Keyboard"/>
    <n v="31.984000000000002"/>
    <n v="2"/>
    <n v="1.1994"/>
    <n v="3.75"/>
  </r>
  <r>
    <s v="CA-2019-124506"/>
    <x v="373"/>
    <s v="BB-11545"/>
    <s v="Brenda Bowman"/>
    <s v="United States"/>
    <x v="3"/>
    <x v="0"/>
    <s v="Belkin F8E887 USB Wired Ergonomic Keyboard"/>
    <n v="95.968000000000004"/>
    <n v="4"/>
    <n v="1.1996"/>
    <n v="1.25"/>
  </r>
  <r>
    <s v="CA-2020-106068"/>
    <x v="122"/>
    <s v="RB-19330"/>
    <s v="Randy Bradley"/>
    <s v="United States"/>
    <x v="3"/>
    <x v="1"/>
    <s v="Advantus Rolling Storage Box"/>
    <n v="109.72"/>
    <n v="1"/>
    <n v="1.2004999999999999"/>
    <n v="1.0941487422530074"/>
  </r>
  <r>
    <s v="CA-2019-111605"/>
    <x v="343"/>
    <s v="JW-15955"/>
    <s v="Joni Wasserman"/>
    <s v="United States"/>
    <x v="1"/>
    <x v="1"/>
    <s v="Avery 479"/>
    <n v="2.61"/>
    <n v="1"/>
    <n v="1.2005999999999999"/>
    <n v="46"/>
  </r>
  <r>
    <s v="CA-2019-157749"/>
    <x v="41"/>
    <s v="KL-16645"/>
    <s v="Ken Lonsdale"/>
    <s v="United States"/>
    <x v="3"/>
    <x v="1"/>
    <s v="Binney &amp; Smith Crayola Metallic Colored Pencils, 8-Color Set"/>
    <n v="7.4080000000000004"/>
    <n v="2"/>
    <n v="1.2038"/>
    <n v="16.249999999999996"/>
  </r>
  <r>
    <s v="CA-2020-165904"/>
    <x v="68"/>
    <s v="HR-14770"/>
    <s v="Hallie Redmond"/>
    <s v="United States"/>
    <x v="1"/>
    <x v="1"/>
    <s v="50 Colored Long Pencils"/>
    <n v="90.256"/>
    <n v="2"/>
    <n v="1.2192000000000001"/>
    <n v="1.3508243219287361"/>
  </r>
  <r>
    <s v="CA-2019-103128"/>
    <x v="373"/>
    <s v="SC-20845"/>
    <s v="Sung Chung"/>
    <s v="United States"/>
    <x v="3"/>
    <x v="1"/>
    <s v="Newell 332"/>
    <n v="14.112"/>
    <n v="6"/>
    <n v="1.2347999999999999"/>
    <n v="8.75"/>
  </r>
  <r>
    <s v="CA-2020-163069"/>
    <x v="243"/>
    <s v="PJ-19015"/>
    <s v="Pauline Johnson"/>
    <s v="United States"/>
    <x v="0"/>
    <x v="1"/>
    <s v="Newell 325"/>
    <n v="125.91200000000001"/>
    <n v="3"/>
    <n v="1.2390000000000001"/>
    <n v="0.98402058580595964"/>
  </r>
  <r>
    <s v="CA-2020-134285"/>
    <x v="3"/>
    <s v="DS-13180"/>
    <s v="David Smith"/>
    <s v="United States"/>
    <x v="3"/>
    <x v="1"/>
    <s v="Binder Clips by OIC"/>
    <n v="1015.552"/>
    <n v="3"/>
    <n v="1.2432000000000001"/>
    <n v="0.12241618351399043"/>
  </r>
  <r>
    <s v="CA-2020-127782"/>
    <x v="88"/>
    <s v="TH-21115"/>
    <s v="Thea Hudgings"/>
    <s v="United States"/>
    <x v="0"/>
    <x v="1"/>
    <s v="Black &amp; Decker Filter for Double Action Dustbuster Cordless Vac BLDV7210"/>
    <n v="143.136"/>
    <n v="3"/>
    <n v="1.2585"/>
    <n v="0.87923373574782027"/>
  </r>
  <r>
    <s v="CA-2019-102561"/>
    <x v="241"/>
    <s v="NK-18490"/>
    <s v="Neil Knudson"/>
    <s v="United States"/>
    <x v="0"/>
    <x v="1"/>
    <s v="Newell 326"/>
    <n v="11.263999999999999"/>
    <n v="8"/>
    <n v="1.2672000000000001"/>
    <n v="11.250000000000002"/>
  </r>
  <r>
    <s v="CA-2020-145772"/>
    <x v="132"/>
    <s v="SS-20140"/>
    <s v="Saphhira Shifley"/>
    <s v="United States"/>
    <x v="2"/>
    <x v="1"/>
    <s v="UniKeep View Case Binders"/>
    <n v="94.912000000000006"/>
    <n v="1"/>
    <n v="1.2714000000000001"/>
    <n v="1.3395566419420095"/>
  </r>
  <r>
    <s v="CA-2019-164784"/>
    <x v="116"/>
    <s v="HF-14995"/>
    <s v="Herbert Flentye"/>
    <s v="United States"/>
    <x v="1"/>
    <x v="1"/>
    <s v="Avery 499"/>
    <n v="3.984"/>
    <n v="1"/>
    <n v="1.2948"/>
    <n v="32.5"/>
  </r>
  <r>
    <s v="CA-2019-119018"/>
    <x v="56"/>
    <s v="CW-11905"/>
    <s v="Carl Weiss"/>
    <s v="United States"/>
    <x v="2"/>
    <x v="1"/>
    <s v="Acco Economy Flexible Poly Round Ring Binder"/>
    <n v="4.1760000000000002"/>
    <n v="1"/>
    <n v="1.3049999999999999"/>
    <n v="31.25"/>
  </r>
  <r>
    <s v="CA-2020-123043"/>
    <x v="483"/>
    <s v="AH-10195"/>
    <s v="Alan Haines"/>
    <s v="United States"/>
    <x v="0"/>
    <x v="1"/>
    <s v="Acco Translucent Poly Ring Binders"/>
    <n v="141.744"/>
    <n v="1"/>
    <n v="1.3104"/>
    <n v="0.92448357602438191"/>
  </r>
  <r>
    <s v="US-2020-112928"/>
    <x v="167"/>
    <s v="BB-10990"/>
    <s v="Barry Blumstein"/>
    <s v="United States"/>
    <x v="0"/>
    <x v="1"/>
    <s v="Eureka Sanitaire  Multi-Pro Heavy-Duty Upright, Disposable Bags"/>
    <n v="105.48"/>
    <n v="5"/>
    <n v="1.3109999999999999"/>
    <n v="1.2428896473265072"/>
  </r>
  <r>
    <s v="CA-2020-162033"/>
    <x v="74"/>
    <s v="EM-14200"/>
    <s v="Evan Minnotte"/>
    <s v="United States"/>
    <x v="1"/>
    <x v="1"/>
    <s v="Staples"/>
    <n v="106.76"/>
    <n v="2"/>
    <n v="1.3160000000000001"/>
    <n v="1.2326714125140501"/>
  </r>
  <r>
    <s v="US-2020-162558"/>
    <x v="11"/>
    <s v="Dp-13240"/>
    <s v="Dean percer"/>
    <s v="United States"/>
    <x v="1"/>
    <x v="2"/>
    <s v="Eldon Expressions Wood Desk Accessories, Oak"/>
    <n v="127.80800000000001"/>
    <n v="2"/>
    <n v="1.3284"/>
    <n v="1.0393715573360041"/>
  </r>
  <r>
    <s v="CA-2020-120404"/>
    <x v="216"/>
    <s v="KH-16330"/>
    <s v="Katharine Harms"/>
    <s v="United States"/>
    <x v="0"/>
    <x v="0"/>
    <s v="Maxell 4.7GB DVD+R 5/Pack"/>
    <n v="85.97"/>
    <n v="3"/>
    <n v="1.3365"/>
    <n v="1.554612073979295"/>
  </r>
  <r>
    <s v="CA-2019-116596"/>
    <x v="484"/>
    <s v="BW-11200"/>
    <s v="Ben Wallace"/>
    <s v="United States"/>
    <x v="0"/>
    <x v="1"/>
    <s v="Rogers Profile Extra Capacity Storage Tub"/>
    <n v="33.479999999999997"/>
    <n v="2"/>
    <n v="1.3391999999999999"/>
    <n v="4"/>
  </r>
  <r>
    <s v="CA-2019-152534"/>
    <x v="295"/>
    <s v="DP-13105"/>
    <s v="Dave Poirier"/>
    <s v="United States"/>
    <x v="2"/>
    <x v="1"/>
    <s v="DIXON Oriole Pencils"/>
    <n v="5.16"/>
    <n v="2"/>
    <n v="1.3415999999999999"/>
    <n v="25.999999999999996"/>
  </r>
  <r>
    <s v="CA-2020-101665"/>
    <x v="92"/>
    <s v="TZ-21580"/>
    <s v="Tracy Zic"/>
    <s v="United States"/>
    <x v="2"/>
    <x v="1"/>
    <s v="DIXON Oriole Pencils"/>
    <n v="100.16"/>
    <n v="2"/>
    <n v="1.3415999999999999"/>
    <n v="1.3394568690095845"/>
  </r>
  <r>
    <s v="CA-2019-152072"/>
    <x v="322"/>
    <s v="Dp-13240"/>
    <s v="Dean percer"/>
    <s v="United States"/>
    <x v="0"/>
    <x v="1"/>
    <s v="American Pencil"/>
    <n v="4.66"/>
    <n v="2"/>
    <n v="1.3513999999999999"/>
    <n v="28.999999999999996"/>
  </r>
  <r>
    <s v="CA-2020-159107"/>
    <x v="47"/>
    <s v="KT-16480"/>
    <s v="Kean Thornton"/>
    <s v="United States"/>
    <x v="2"/>
    <x v="1"/>
    <s v="Acco Banker's Clasps, 5 3/4&quot;-Long"/>
    <n v="111.88"/>
    <n v="1"/>
    <n v="1.3535999999999999"/>
    <n v="1.2098677154093673"/>
  </r>
  <r>
    <s v="CA-2020-113278"/>
    <x v="325"/>
    <s v="HR-14770"/>
    <s v="Hallie Redmond"/>
    <s v="United States"/>
    <x v="3"/>
    <x v="0"/>
    <s v="ARKON Windshield Dashboard Air Vent Car Mount Holder"/>
    <n v="168.8"/>
    <n v="4"/>
    <n v="1.3560000000000001"/>
    <n v="0.80331753554502372"/>
  </r>
  <r>
    <s v="CA-2020-168389"/>
    <x v="33"/>
    <s v="DV-13045"/>
    <s v="Darrin Van Huff"/>
    <s v="United States"/>
    <x v="1"/>
    <x v="1"/>
    <s v="Stanley Bostitch Contemporary Electric Pencil Sharpeners"/>
    <n v="332.584"/>
    <n v="1"/>
    <n v="1.3584000000000001"/>
    <n v="0.40843816900392077"/>
  </r>
  <r>
    <s v="US-2020-125717"/>
    <x v="189"/>
    <s v="DS-13030"/>
    <s v="Darrin Sayre"/>
    <s v="United States"/>
    <x v="2"/>
    <x v="0"/>
    <s v="Lenovo 17-Key USB Numeric Keypad"/>
    <n v="142.38399999999999"/>
    <n v="2"/>
    <n v="1.3595999999999999"/>
    <n v="0.95488257107540186"/>
  </r>
  <r>
    <s v="CA-2020-159954"/>
    <x v="8"/>
    <s v="SS-20410"/>
    <s v="Shahid Shariari"/>
    <s v="United States"/>
    <x v="1"/>
    <x v="1"/>
    <s v="Wilson Jones Suede Grain Vinyl Binders"/>
    <n v="73.78"/>
    <n v="1"/>
    <n v="1.3622000000000001"/>
    <n v="1.8462998102466792"/>
  </r>
  <r>
    <s v="CA-2019-127761"/>
    <x v="214"/>
    <s v="SW-20275"/>
    <s v="Scott Williamson"/>
    <s v="United States"/>
    <x v="0"/>
    <x v="1"/>
    <s v="Presstex Flexible Ring Binders"/>
    <n v="3.64"/>
    <n v="1"/>
    <n v="1.365"/>
    <n v="37.5"/>
  </r>
  <r>
    <s v="CA-2020-154214"/>
    <x v="485"/>
    <s v="TB-21595"/>
    <s v="Troy Blackwell"/>
    <s v="United States"/>
    <x v="3"/>
    <x v="2"/>
    <s v="GE General Purpose, Extra Long Life, Showcase &amp; Floodlight Incandescent Bulbs"/>
    <n v="134.91"/>
    <n v="1"/>
    <n v="1.3676999999999999"/>
    <n v="1.0137869690905048"/>
  </r>
  <r>
    <s v="CA-2020-117422"/>
    <x v="168"/>
    <s v="FC-14245"/>
    <s v="Frank Carlisle"/>
    <s v="United States"/>
    <x v="0"/>
    <x v="1"/>
    <s v="RSVP Cards &amp; Envelopes, Blank White, 8-1/2&quot; X 11&quot;, 24 Cards/25 Envelopes/Set"/>
    <n v="136.06399999999999"/>
    <n v="1"/>
    <n v="1.3715999999999999"/>
    <n v="1.0080550329256821"/>
  </r>
  <r>
    <s v="CA-2019-124352"/>
    <x v="486"/>
    <s v="CD-12790"/>
    <s v="Cynthia Delaney"/>
    <s v="United States"/>
    <x v="3"/>
    <x v="0"/>
    <s v="Samsung Replacement EH64AVFWE Premium Headset"/>
    <n v="5.5"/>
    <n v="1"/>
    <n v="1.375"/>
    <n v="25"/>
  </r>
  <r>
    <s v="CA-2020-101483"/>
    <x v="449"/>
    <s v="AG-10675"/>
    <s v="Anna Gayman"/>
    <s v="United States"/>
    <x v="1"/>
    <x v="0"/>
    <s v="Samsung Replacement EH64AVFWE Premium Headset"/>
    <n v="93"/>
    <n v="5"/>
    <n v="1.375"/>
    <n v="1.478494623655914"/>
  </r>
  <r>
    <s v="US-2020-140312"/>
    <x v="14"/>
    <s v="KL-16645"/>
    <s v="Ken Lonsdale"/>
    <s v="United States"/>
    <x v="2"/>
    <x v="0"/>
    <s v="Samsung Replacement EH64AVFWE Premium Headset"/>
    <n v="143"/>
    <n v="5"/>
    <n v="1.375"/>
    <n v="0.96153846153846156"/>
  </r>
  <r>
    <s v="CA-2020-115602"/>
    <x v="339"/>
    <s v="DJ-13630"/>
    <s v="Doug Jacobs"/>
    <s v="United States"/>
    <x v="0"/>
    <x v="1"/>
    <s v="Sanford Pocket Accent Highlighters"/>
    <n v="266.2"/>
    <n v="2"/>
    <n v="1.3759999999999999"/>
    <n v="0.51690458302028552"/>
  </r>
  <r>
    <s v="CA-2019-138933"/>
    <x v="412"/>
    <s v="JL-15130"/>
    <s v="Jack Lebron"/>
    <s v="United States"/>
    <x v="2"/>
    <x v="1"/>
    <s v="Cardinal Holdit Business Card Pockets"/>
    <n v="3.984"/>
    <n v="1"/>
    <n v="1.3944000000000001"/>
    <n v="35"/>
  </r>
  <r>
    <s v="CA-2020-113530"/>
    <x v="234"/>
    <s v="BC-11125"/>
    <s v="Becky Castell"/>
    <s v="United States"/>
    <x v="2"/>
    <x v="1"/>
    <s v="Newell 314"/>
    <n v="95.58"/>
    <n v="1"/>
    <n v="1.395"/>
    <n v="1.4595103578154425"/>
  </r>
  <r>
    <s v="CA-2020-162880"/>
    <x v="141"/>
    <s v="GD-14590"/>
    <s v="Giulietta Dortch"/>
    <s v="United States"/>
    <x v="2"/>
    <x v="1"/>
    <s v="Tuff Stuff Recycled Round Ring Binders"/>
    <n v="272.85599999999999"/>
    <n v="1"/>
    <n v="1.3977999999999999"/>
    <n v="0.51228486820887209"/>
  </r>
  <r>
    <s v="US-2020-115252"/>
    <x v="170"/>
    <s v="MY-18295"/>
    <s v="Muhammed Yedwab"/>
    <s v="United States"/>
    <x v="1"/>
    <x v="0"/>
    <s v="PayAnywhere Card Reader"/>
    <n v="100.98399999999999"/>
    <n v="2"/>
    <n v="1.3986000000000001"/>
    <n v="1.384971876732948"/>
  </r>
  <r>
    <s v="CA-2019-141957"/>
    <x v="364"/>
    <s v="JG-15310"/>
    <s v="Jason Gross"/>
    <s v="United States"/>
    <x v="0"/>
    <x v="1"/>
    <s v="Boston 16765 Mini Stand Up Battery Pencil Sharpener"/>
    <n v="18.655999999999999"/>
    <n v="2"/>
    <n v="1.3992"/>
    <n v="7.5000000000000009"/>
  </r>
  <r>
    <s v="CA-2020-126074"/>
    <x v="11"/>
    <s v="RF-19735"/>
    <s v="Roland Fjeld"/>
    <s v="United States"/>
    <x v="3"/>
    <x v="1"/>
    <s v="Avery Durable Binders"/>
    <n v="98.88"/>
    <n v="1"/>
    <n v="1.4112"/>
    <n v="1.4271844660194175"/>
  </r>
  <r>
    <s v="CA-2020-146535"/>
    <x v="225"/>
    <s v="FM-14290"/>
    <s v="Frank Merwin"/>
    <s v="United States"/>
    <x v="1"/>
    <x v="1"/>
    <s v="Avery Durable Binders"/>
    <n v="117.88"/>
    <n v="1"/>
    <n v="1.4112"/>
    <n v="1.1971496437054632"/>
  </r>
  <r>
    <s v="CA-2020-159135"/>
    <x v="1"/>
    <s v="KM-16375"/>
    <s v="Katherine Murray"/>
    <s v="United States"/>
    <x v="1"/>
    <x v="1"/>
    <s v="Binney &amp; Smith inkTank Desk Highlighter, Chisel Tip, Yellow, 12/Box"/>
    <n v="103.3"/>
    <n v="2"/>
    <n v="1.419"/>
    <n v="1.373668925459826"/>
  </r>
  <r>
    <s v="US-2020-132444"/>
    <x v="276"/>
    <s v="CD-12280"/>
    <s v="Christina DeMoss"/>
    <s v="United States"/>
    <x v="2"/>
    <x v="1"/>
    <s v="Binder Clips by OIC"/>
    <n v="111.96"/>
    <n v="2"/>
    <n v="1.4208000000000001"/>
    <n v="1.2690246516613077"/>
  </r>
  <r>
    <s v="CA-2020-108287"/>
    <x v="339"/>
    <s v="AG-10330"/>
    <s v="Alex Grayson"/>
    <s v="United States"/>
    <x v="1"/>
    <x v="1"/>
    <s v="Newell 310"/>
    <n v="354.67200000000003"/>
    <n v="9"/>
    <n v="1.4256"/>
    <n v="0.40194884287454324"/>
  </r>
  <r>
    <s v="CA-2019-156503"/>
    <x v="487"/>
    <s v="NC-18415"/>
    <s v="Nathan Cano"/>
    <s v="United States"/>
    <x v="1"/>
    <x v="1"/>
    <s v="Staple remover"/>
    <n v="12.768000000000001"/>
    <n v="2"/>
    <n v="1.4363999999999999"/>
    <n v="11.249999999999998"/>
  </r>
  <r>
    <s v="CA-2019-152730"/>
    <x v="323"/>
    <s v="EM-14140"/>
    <s v="Eugene Moren"/>
    <s v="United States"/>
    <x v="3"/>
    <x v="1"/>
    <s v="Newell 333"/>
    <n v="5.56"/>
    <n v="2"/>
    <n v="1.4456"/>
    <n v="26"/>
  </r>
  <r>
    <s v="CA-2020-121048"/>
    <x v="38"/>
    <s v="TC-21295"/>
    <s v="Toby Carlisle"/>
    <s v="United States"/>
    <x v="2"/>
    <x v="1"/>
    <s v="Acco Suede Grain Vinyl Round Ring Binder"/>
    <n v="112.44799999999999"/>
    <n v="2"/>
    <n v="1.4456"/>
    <n v="1.2855719977233921"/>
  </r>
  <r>
    <s v="CA-2020-126067"/>
    <x v="488"/>
    <s v="KN-16705"/>
    <s v="Kristina Nunn"/>
    <s v="United States"/>
    <x v="2"/>
    <x v="1"/>
    <s v="Newell 344"/>
    <n v="77.56"/>
    <n v="2"/>
    <n v="1.4456"/>
    <n v="1.8638473439917485"/>
  </r>
  <r>
    <s v="CA-2020-144904"/>
    <x v="222"/>
    <s v="KW-16435"/>
    <s v="Katrina Willman"/>
    <s v="United States"/>
    <x v="0"/>
    <x v="1"/>
    <s v="Newell 333"/>
    <n v="115.56"/>
    <n v="2"/>
    <n v="1.4456"/>
    <n v="1.2509518864659053"/>
  </r>
  <r>
    <s v="CA-2020-169005"/>
    <x v="88"/>
    <s v="BG-11035"/>
    <s v="Barry Gonzalez"/>
    <s v="United States"/>
    <x v="1"/>
    <x v="1"/>
    <s v="Newell 318"/>
    <n v="107.56"/>
    <n v="2"/>
    <n v="1.4456"/>
    <n v="1.3439940498326515"/>
  </r>
  <r>
    <s v="CA-2020-103380"/>
    <x v="341"/>
    <s v="BF-11005"/>
    <s v="Barry Franz"/>
    <s v="United States"/>
    <x v="2"/>
    <x v="1"/>
    <s v="Newell 344"/>
    <n v="113.56"/>
    <n v="2"/>
    <n v="1.4456"/>
    <n v="1.272983444874956"/>
  </r>
  <r>
    <s v="CA-2019-160220"/>
    <x v="326"/>
    <s v="JS-16030"/>
    <s v="Joy Smith"/>
    <s v="United States"/>
    <x v="3"/>
    <x v="1"/>
    <s v="Woodgrain Magazine Files by Perma"/>
    <n v="20.86"/>
    <n v="7"/>
    <n v="1.4601999999999999"/>
    <n v="6.9999999999999991"/>
  </r>
  <r>
    <s v="CA-2019-140501"/>
    <x v="489"/>
    <s v="IM-15070"/>
    <s v="Irene Maddox"/>
    <s v="United States"/>
    <x v="0"/>
    <x v="1"/>
    <s v="Translucent Push Pins by OIC"/>
    <n v="3.96"/>
    <n v="2"/>
    <n v="1.4652000000000001"/>
    <n v="37"/>
  </r>
  <r>
    <s v="CA-2019-126613"/>
    <x v="48"/>
    <s v="AA-10375"/>
    <s v="Allen Armold"/>
    <s v="United States"/>
    <x v="2"/>
    <x v="1"/>
    <s v="Sterilite Officeware Hinged File Box"/>
    <n v="16.768000000000001"/>
    <n v="2"/>
    <n v="1.4672000000000001"/>
    <n v="8.75"/>
  </r>
  <r>
    <s v="US-2020-100482"/>
    <x v="320"/>
    <s v="JL-15130"/>
    <s v="Jack Lebron"/>
    <s v="United States"/>
    <x v="0"/>
    <x v="1"/>
    <s v="Sterilite Officeware Hinged File Box"/>
    <n v="92.768000000000001"/>
    <n v="2"/>
    <n v="1.4672000000000001"/>
    <n v="1.5815798551224562"/>
  </r>
  <r>
    <s v="CA-2019-109666"/>
    <x v="190"/>
    <s v="KM-16720"/>
    <s v="Kunst Miller"/>
    <s v="United States"/>
    <x v="0"/>
    <x v="1"/>
    <s v="BIC Brite Liner Grip Highlighters"/>
    <n v="3.28"/>
    <n v="2"/>
    <n v="1.476"/>
    <n v="45"/>
  </r>
  <r>
    <s v="CA-2020-120168"/>
    <x v="347"/>
    <s v="TB-21625"/>
    <s v="Trudy Brown"/>
    <s v="United States"/>
    <x v="0"/>
    <x v="1"/>
    <s v="Acco Hot Clips Clips to Go"/>
    <n v="103.29"/>
    <n v="1"/>
    <n v="1.4804999999999999"/>
    <n v="1.4333430148126631"/>
  </r>
  <r>
    <s v="CA-2020-110198"/>
    <x v="28"/>
    <s v="AG-10900"/>
    <s v="Arthur Gainer"/>
    <s v="United States"/>
    <x v="1"/>
    <x v="1"/>
    <s v="Avery 492"/>
    <n v="215.608"/>
    <n v="2"/>
    <n v="1.4976"/>
    <n v="0.69459389261993987"/>
  </r>
  <r>
    <s v="CA-2020-139416"/>
    <x v="182"/>
    <s v="AG-10270"/>
    <s v="Alejandro Grove"/>
    <s v="United States"/>
    <x v="0"/>
    <x v="2"/>
    <s v="Eldon Expressions Punched Metal &amp; Wood Desk Accessories, Black &amp; Cherry"/>
    <n v="117.008"/>
    <n v="2"/>
    <n v="1.5007999999999999"/>
    <n v="1.2826473403527965"/>
  </r>
  <r>
    <s v="CA-2019-149461"/>
    <x v="394"/>
    <s v="AS-10135"/>
    <s v="Adrian Shami"/>
    <s v="United States"/>
    <x v="2"/>
    <x v="2"/>
    <s v="Eldon Image Series Desk Accessories, Burgundy"/>
    <n v="4.18"/>
    <n v="1"/>
    <n v="1.5047999999999999"/>
    <n v="36"/>
  </r>
  <r>
    <s v="US-2019-133879"/>
    <x v="393"/>
    <s v="KT-16465"/>
    <s v="Kean Takahito"/>
    <s v="United States"/>
    <x v="3"/>
    <x v="1"/>
    <s v="Newell 33"/>
    <n v="13.391999999999999"/>
    <n v="3"/>
    <n v="1.5065999999999999"/>
    <n v="11.25"/>
  </r>
  <r>
    <s v="CA-2019-160941"/>
    <x v="364"/>
    <s v="DK-12835"/>
    <s v="Damala Kotsonis"/>
    <s v="United States"/>
    <x v="2"/>
    <x v="1"/>
    <s v="Self-Adhesive Removable Labels"/>
    <n v="3.15"/>
    <n v="1"/>
    <n v="1.512"/>
    <n v="48.000000000000007"/>
  </r>
  <r>
    <s v="CA-2019-166163"/>
    <x v="332"/>
    <s v="CY-12745"/>
    <s v="Craig Yedwab"/>
    <s v="United States"/>
    <x v="2"/>
    <x v="1"/>
    <s v="Avery 488"/>
    <n v="3.15"/>
    <n v="1"/>
    <n v="1.512"/>
    <n v="48.000000000000007"/>
  </r>
  <r>
    <s v="CA-2020-148691"/>
    <x v="299"/>
    <s v="CS-12460"/>
    <s v="Chuck Sachs"/>
    <s v="United States"/>
    <x v="0"/>
    <x v="1"/>
    <s v="Avery 520"/>
    <n v="108.15"/>
    <n v="1"/>
    <n v="1.512"/>
    <n v="1.3980582524271845"/>
  </r>
  <r>
    <s v="US-2019-115819"/>
    <x v="190"/>
    <s v="JO-15280"/>
    <s v="Jas O'Carroll"/>
    <s v="United States"/>
    <x v="2"/>
    <x v="1"/>
    <s v="Newell 307"/>
    <n v="5.46"/>
    <n v="3"/>
    <n v="1.5287999999999999"/>
    <n v="27.999999999999996"/>
  </r>
  <r>
    <s v="CA-2020-128944"/>
    <x v="156"/>
    <s v="KH-16330"/>
    <s v="Katharine Harms"/>
    <s v="United States"/>
    <x v="0"/>
    <x v="0"/>
    <s v="Memorex 25GB 6X Branded Blu-Ray Recordable Disc, 15/Pack"/>
    <n v="161.328"/>
    <n v="9"/>
    <n v="1.5290999999999999"/>
    <n v="0.94782058911038369"/>
  </r>
  <r>
    <s v="US-2019-131114"/>
    <x v="260"/>
    <s v="RW-19630"/>
    <s v="Rob Williams"/>
    <s v="United States"/>
    <x v="3"/>
    <x v="1"/>
    <s v="Acme Office Executive Series Stainless Steel Trimmers"/>
    <n v="20.568000000000001"/>
    <n v="3"/>
    <n v="1.5426"/>
    <n v="7.5"/>
  </r>
  <r>
    <s v="US-2019-108504"/>
    <x v="251"/>
    <s v="PP-18955"/>
    <s v="Paul Prost"/>
    <s v="United States"/>
    <x v="1"/>
    <x v="1"/>
    <s v="Belkin 19&quot; Vented Equipment Shelf, Black"/>
    <n v="154.44"/>
    <n v="3"/>
    <n v="1.5444"/>
    <n v="1"/>
  </r>
  <r>
    <s v="CA-2019-144729"/>
    <x v="72"/>
    <s v="JE-15745"/>
    <s v="Joel Eaton"/>
    <s v="United States"/>
    <x v="2"/>
    <x v="1"/>
    <s v="Belkin 19&quot; Vented Equipment Shelf, Black"/>
    <n v="154.44"/>
    <n v="3"/>
    <n v="1.5444"/>
    <n v="1"/>
  </r>
  <r>
    <s v="CA-2020-124828"/>
    <x v="142"/>
    <s v="YS-21880"/>
    <s v="Yana Sorensen"/>
    <s v="United States"/>
    <x v="1"/>
    <x v="1"/>
    <s v="4009 Highlighters by Sanford"/>
    <n v="78.552000000000007"/>
    <n v="3"/>
    <n v="1.5522"/>
    <n v="1.9760158875649252"/>
  </r>
  <r>
    <s v="CA-2019-103163"/>
    <x v="490"/>
    <s v="FM-14290"/>
    <s v="Frank Merwin"/>
    <s v="United States"/>
    <x v="2"/>
    <x v="1"/>
    <s v="Avery Hanging File Binders"/>
    <n v="4.7839999999999998"/>
    <n v="1"/>
    <n v="1.5548"/>
    <n v="32.5"/>
  </r>
  <r>
    <s v="CA-2020-118136"/>
    <x v="35"/>
    <s v="BB-10990"/>
    <s v="Barry Blumstein"/>
    <s v="United States"/>
    <x v="2"/>
    <x v="1"/>
    <s v="Newell 330"/>
    <n v="92.98"/>
    <n v="1"/>
    <n v="1.5548"/>
    <n v="1.6721875672187567"/>
  </r>
  <r>
    <s v="CA-2020-122707"/>
    <x v="217"/>
    <s v="EB-13750"/>
    <s v="Edward Becker"/>
    <s v="United States"/>
    <x v="1"/>
    <x v="0"/>
    <s v="SanDisk Ultra 16 GB MicroSDHC Class 10 Memory Card"/>
    <n v="109.98"/>
    <n v="2"/>
    <n v="1.5588"/>
    <n v="1.4173486088379705"/>
  </r>
  <r>
    <s v="CA-2020-118003"/>
    <x v="57"/>
    <s v="DO-13645"/>
    <s v="Doug O'Connell"/>
    <s v="United States"/>
    <x v="0"/>
    <x v="2"/>
    <s v="Tensor &quot;Hersey Kiss&quot; Styled Floor Lamp"/>
    <n v="106.99"/>
    <n v="1"/>
    <n v="1.5588"/>
    <n v="1.4569585942611458"/>
  </r>
  <r>
    <s v="US-2020-162558"/>
    <x v="11"/>
    <s v="Dp-13240"/>
    <s v="Dean percer"/>
    <s v="United States"/>
    <x v="1"/>
    <x v="2"/>
    <s v="Eldon 500 Class Desk Accessories"/>
    <n v="94.656000000000006"/>
    <n v="1"/>
    <n v="1.5690999999999999"/>
    <n v="1.6576867816091954"/>
  </r>
  <r>
    <s v="CA-2019-106530"/>
    <x v="491"/>
    <s v="CL-12565"/>
    <s v="Clay Ludtke"/>
    <s v="United States"/>
    <x v="0"/>
    <x v="1"/>
    <s v="Hanging Personal Folder File"/>
    <n v="25.12"/>
    <n v="2"/>
    <n v="1.57"/>
    <n v="6.25"/>
  </r>
  <r>
    <s v="US-2020-161193"/>
    <x v="216"/>
    <s v="BT-11680"/>
    <s v="Brian Thompson"/>
    <s v="United States"/>
    <x v="0"/>
    <x v="2"/>
    <s v="GE General Purpose, Extra Long Life, Showcase &amp; Floodlight Incandescent Bulbs"/>
    <n v="123.65600000000001"/>
    <n v="2"/>
    <n v="1.5713999999999999"/>
    <n v="1.2707834638028075"/>
  </r>
  <r>
    <s v="US-2020-118087"/>
    <x v="37"/>
    <s v="SP-20620"/>
    <s v="Stefania Perrino"/>
    <s v="United States"/>
    <x v="0"/>
    <x v="1"/>
    <s v="Quartet Omega Colored Chalk, 12/Pack"/>
    <n v="105.672"/>
    <n v="1"/>
    <n v="1.5768"/>
    <n v="1.4921644333409039"/>
  </r>
  <r>
    <s v="CA-2019-128531"/>
    <x v="289"/>
    <s v="NS-18505"/>
    <s v="Neola Schneider"/>
    <s v="United States"/>
    <x v="3"/>
    <x v="1"/>
    <s v="Dixon My First Ticonderoga Pencil, #2"/>
    <n v="14.04"/>
    <n v="3"/>
    <n v="1.5794999999999999"/>
    <n v="11.25"/>
  </r>
  <r>
    <s v="US-2019-137547"/>
    <x v="492"/>
    <s v="EB-13705"/>
    <s v="Ed Braxton"/>
    <s v="United States"/>
    <x v="3"/>
    <x v="0"/>
    <s v="Belkin Grip Candy Sheer Case / Cover for iPhone 5 and 5S"/>
    <n v="21.071999999999999"/>
    <n v="3"/>
    <n v="1.5804"/>
    <n v="7.5000000000000009"/>
  </r>
  <r>
    <s v="CA-2020-112431"/>
    <x v="169"/>
    <s v="RW-19690"/>
    <s v="Robert Waldorf"/>
    <s v="United States"/>
    <x v="2"/>
    <x v="1"/>
    <s v="Newell 343"/>
    <n v="118.88"/>
    <n v="2"/>
    <n v="1.5875999999999999"/>
    <n v="1.3354643337819649"/>
  </r>
  <r>
    <s v="CA-2019-126858"/>
    <x v="319"/>
    <s v="JM-15265"/>
    <s v="Janet Molinari"/>
    <s v="United States"/>
    <x v="2"/>
    <x v="2"/>
    <s v="Tenex Chairmats For Use With Carpeted Floors"/>
    <n v="31.96"/>
    <n v="2"/>
    <n v="1.5980000000000001"/>
    <n v="5"/>
  </r>
  <r>
    <s v="US-2019-155768"/>
    <x v="212"/>
    <s v="LB-16795"/>
    <s v="Laurel Beltran"/>
    <s v="United States"/>
    <x v="2"/>
    <x v="2"/>
    <s v="Tenex Chairmats For Use With Carpeted Floors"/>
    <n v="31.96"/>
    <n v="2"/>
    <n v="1.5980000000000001"/>
    <n v="5"/>
  </r>
  <r>
    <s v="CA-2019-105284"/>
    <x v="289"/>
    <s v="MG-17650"/>
    <s v="Matthew Grinstein"/>
    <s v="United States"/>
    <x v="0"/>
    <x v="1"/>
    <s v="Stockwell Gold Paper Clips"/>
    <n v="4.4160000000000004"/>
    <n v="3"/>
    <n v="1.6008"/>
    <n v="36.25"/>
  </r>
  <r>
    <s v="CA-2019-157511"/>
    <x v="99"/>
    <s v="SV-20365"/>
    <s v="Seth Vernon"/>
    <s v="United States"/>
    <x v="0"/>
    <x v="2"/>
    <s v="Eldon Pizzaz Desk Accessories"/>
    <n v="5.3520000000000003"/>
    <n v="3"/>
    <n v="1.6055999999999999"/>
    <n v="30"/>
  </r>
  <r>
    <s v="CA-2019-146157"/>
    <x v="284"/>
    <s v="RD-19720"/>
    <s v="Roger Demir"/>
    <s v="United States"/>
    <x v="3"/>
    <x v="1"/>
    <s v="Tenex Personal Project File with Scoop Front Design, Black"/>
    <n v="21.568000000000001"/>
    <n v="2"/>
    <n v="1.6175999999999999"/>
    <n v="7.5"/>
  </r>
  <r>
    <s v="US-2019-108504"/>
    <x v="251"/>
    <s v="PP-18955"/>
    <s v="Paul Prost"/>
    <s v="United States"/>
    <x v="1"/>
    <x v="1"/>
    <s v="Carina 42&quot;Hx23 3/4&quot;W Media Storage Unit"/>
    <n v="80.98"/>
    <n v="1"/>
    <n v="1.6195999999999999"/>
    <n v="1.9999999999999998"/>
  </r>
  <r>
    <s v="CA-2019-130911"/>
    <x v="70"/>
    <s v="DC-12850"/>
    <s v="Dan Campbell"/>
    <s v="United States"/>
    <x v="0"/>
    <x v="1"/>
    <s v="Hunt BOSTON Vista Battery-Operated Pencil Sharpener, Black"/>
    <n v="18.655999999999999"/>
    <n v="2"/>
    <n v="1.6324000000000001"/>
    <n v="8.75"/>
  </r>
  <r>
    <s v="CA-2019-160395"/>
    <x v="235"/>
    <s v="KL-16555"/>
    <s v="Kelly Lampkin"/>
    <s v="United States"/>
    <x v="2"/>
    <x v="1"/>
    <s v="Crayola Anti Dust Chalk, 12/Pack"/>
    <n v="3.64"/>
    <n v="2"/>
    <n v="1.6379999999999999"/>
    <n v="44.999999999999993"/>
  </r>
  <r>
    <s v="CA-2019-132094"/>
    <x v="261"/>
    <s v="VG-21805"/>
    <s v="Vivek Grady"/>
    <s v="United States"/>
    <x v="0"/>
    <x v="1"/>
    <s v="Binney &amp; Smith inkTank Erasable Pocket Highlighter, Chisel Tip, Yellow"/>
    <n v="5.4720000000000004"/>
    <n v="3"/>
    <n v="1.6415999999999999"/>
    <n v="30"/>
  </r>
  <r>
    <s v="CA-2019-138968"/>
    <x v="115"/>
    <s v="FC-14335"/>
    <s v="Fred Chung"/>
    <s v="United States"/>
    <x v="2"/>
    <x v="1"/>
    <s v="Avery Round Ring Poly Binders"/>
    <n v="4.5439999999999996"/>
    <n v="2"/>
    <n v="1.6472"/>
    <n v="36.250000000000007"/>
  </r>
  <r>
    <s v="CA-2019-165470"/>
    <x v="0"/>
    <s v="HJ-14875"/>
    <s v="Heather Jas"/>
    <s v="United States"/>
    <x v="1"/>
    <x v="1"/>
    <s v="Telephone Message Books with Fax/Mobile Section, 5 1/2&quot; x 3 3/16&quot;"/>
    <n v="5.08"/>
    <n v="1"/>
    <n v="1.651"/>
    <n v="32.5"/>
  </r>
  <r>
    <s v="CA-2019-163951"/>
    <x v="353"/>
    <s v="CJ-11875"/>
    <s v="Carl Jackson"/>
    <s v="United States"/>
    <x v="0"/>
    <x v="1"/>
    <s v="Newell 31"/>
    <n v="16.52"/>
    <n v="5"/>
    <n v="1.6519999999999999"/>
    <n v="10"/>
  </r>
  <r>
    <s v="CA-2020-100160"/>
    <x v="266"/>
    <s v="CB-12025"/>
    <s v="Cassandra Brandow"/>
    <s v="United States"/>
    <x v="0"/>
    <x v="1"/>
    <s v="Poly String Tie Envelopes"/>
    <n v="92.896000000000001"/>
    <n v="3"/>
    <n v="1.6524000000000001"/>
    <n v="1.7787633482604204"/>
  </r>
  <r>
    <s v="CA-2019-123946"/>
    <x v="460"/>
    <s v="AJ-10795"/>
    <s v="Anthony Johnson"/>
    <s v="United States"/>
    <x v="1"/>
    <x v="0"/>
    <s v="Imation 30456 USB Flash Drive 8GB"/>
    <n v="20.7"/>
    <n v="3"/>
    <n v="1.6559999999999999"/>
    <n v="8"/>
  </r>
  <r>
    <s v="US-2019-132857"/>
    <x v="111"/>
    <s v="CA-12775"/>
    <s v="Cynthia Arntzen"/>
    <s v="United States"/>
    <x v="1"/>
    <x v="1"/>
    <s v="Prang Drawing Pencil Set"/>
    <n v="6.6719999999999997"/>
    <n v="3"/>
    <n v="1.6679999999999999"/>
    <n v="25"/>
  </r>
  <r>
    <s v="CA-2020-161823"/>
    <x v="140"/>
    <s v="AG-10300"/>
    <s v="Aleksandra Gannaway"/>
    <s v="United States"/>
    <x v="2"/>
    <x v="1"/>
    <s v="Premium Writing Pencils, Soft, #2 by Central Association for the Blind"/>
    <n v="105.96"/>
    <n v="2"/>
    <n v="1.6688000000000001"/>
    <n v="1.5749339373348437"/>
  </r>
  <r>
    <s v="CA-2019-140256"/>
    <x v="312"/>
    <s v="PW-19030"/>
    <s v="Pauline Webber"/>
    <s v="United States"/>
    <x v="2"/>
    <x v="1"/>
    <s v="Newell 346"/>
    <n v="5.76"/>
    <n v="2"/>
    <n v="1.6704000000000001"/>
    <n v="29.000000000000004"/>
  </r>
  <r>
    <s v="US-2019-125402"/>
    <x v="81"/>
    <s v="DL-12865"/>
    <s v="Dan Lawera"/>
    <s v="United States"/>
    <x v="2"/>
    <x v="1"/>
    <s v="Newell 346"/>
    <n v="5.76"/>
    <n v="2"/>
    <n v="1.6704000000000001"/>
    <n v="29.000000000000004"/>
  </r>
  <r>
    <s v="US-2020-129224"/>
    <x v="294"/>
    <s v="AS-10630"/>
    <s v="Ann Steele"/>
    <s v="United States"/>
    <x v="1"/>
    <x v="1"/>
    <s v="Avery 474"/>
    <n v="127.608"/>
    <n v="2"/>
    <n v="1.6704000000000001"/>
    <n v="1.3090088395711867"/>
  </r>
  <r>
    <s v="CA-2020-124597"/>
    <x v="105"/>
    <s v="AS-10630"/>
    <s v="Ann Steele"/>
    <s v="United States"/>
    <x v="1"/>
    <x v="1"/>
    <s v="Avery 474"/>
    <n v="119.608"/>
    <n v="2"/>
    <n v="1.6704000000000001"/>
    <n v="1.3965621028693733"/>
  </r>
  <r>
    <s v="CA-2020-158736"/>
    <x v="339"/>
    <s v="TT-21460"/>
    <s v="Tonja Turnell"/>
    <s v="United States"/>
    <x v="2"/>
    <x v="1"/>
    <s v="Newell 335"/>
    <n v="293.76"/>
    <n v="2"/>
    <n v="1.6704000000000001"/>
    <n v="0.56862745098039225"/>
  </r>
  <r>
    <s v="CA-2020-105333"/>
    <x v="21"/>
    <s v="VP-21730"/>
    <s v="Victor Preis"/>
    <s v="United States"/>
    <x v="0"/>
    <x v="1"/>
    <s v="Iris 3-Drawer Stacking Bin, Black"/>
    <n v="100.56"/>
    <n v="4"/>
    <n v="1.6712"/>
    <n v="1.6618933969769292"/>
  </r>
  <r>
    <s v="CA-2020-115364"/>
    <x v="334"/>
    <s v="OT-18730"/>
    <s v="Olvera Toch"/>
    <s v="United States"/>
    <x v="2"/>
    <x v="1"/>
    <s v="Eldon Shelf Savers Cubes and Bins"/>
    <n v="126.76"/>
    <n v="12"/>
    <n v="1.6752"/>
    <n v="1.321552540233512"/>
  </r>
  <r>
    <s v="US-2019-146710"/>
    <x v="351"/>
    <s v="SS-20875"/>
    <s v="Sung Shariari"/>
    <s v="United States"/>
    <x v="3"/>
    <x v="1"/>
    <s v="Xerox 196"/>
    <n v="4.6239999999999997"/>
    <n v="1"/>
    <n v="1.6761999999999999"/>
    <n v="36.25"/>
  </r>
  <r>
    <s v="CA-2019-145177"/>
    <x v="214"/>
    <s v="PP-18955"/>
    <s v="Paul Prost"/>
    <s v="United States"/>
    <x v="0"/>
    <x v="1"/>
    <s v="Xerox 1924"/>
    <n v="4.6239999999999997"/>
    <n v="1"/>
    <n v="1.6761999999999999"/>
    <n v="36.25"/>
  </r>
  <r>
    <s v="CA-2020-141663"/>
    <x v="228"/>
    <s v="DP-13105"/>
    <s v="Dave Poirier"/>
    <s v="United States"/>
    <x v="0"/>
    <x v="1"/>
    <s v="Translucent Push Pins by OIC"/>
    <n v="99.92"/>
    <n v="5"/>
    <n v="1.6830000000000001"/>
    <n v="1.6843474779823859"/>
  </r>
  <r>
    <s v="CA-2019-123015"/>
    <x v="386"/>
    <s v="AJ-10795"/>
    <s v="Anthony Johnson"/>
    <s v="United States"/>
    <x v="0"/>
    <x v="1"/>
    <s v="Round Ring Binders"/>
    <n v="4.992"/>
    <n v="3"/>
    <n v="1.6848000000000001"/>
    <n v="33.75"/>
  </r>
  <r>
    <s v="CA-2020-118724"/>
    <x v="102"/>
    <s v="AR-10825"/>
    <s v="Anthony Rawles"/>
    <s v="United States"/>
    <x v="2"/>
    <x v="1"/>
    <s v="Nontoxic Chalk"/>
    <n v="97.52"/>
    <n v="2"/>
    <n v="1.6896"/>
    <n v="1.7325676784249386"/>
  </r>
  <r>
    <s v="CA-2019-162187"/>
    <x v="111"/>
    <s v="NS-18640"/>
    <s v="Noel Staavos"/>
    <s v="United States"/>
    <x v="0"/>
    <x v="1"/>
    <s v="Elite 5&quot; Scissors"/>
    <n v="13.52"/>
    <n v="2"/>
    <n v="1.69"/>
    <n v="12.5"/>
  </r>
  <r>
    <s v="CA-2020-101210"/>
    <x v="153"/>
    <s v="DW-13540"/>
    <s v="Don Weiss"/>
    <s v="United States"/>
    <x v="1"/>
    <x v="1"/>
    <s v="Zebra Zazzle Fluorescent Highlighters"/>
    <n v="143.72800000000001"/>
    <n v="2"/>
    <n v="1.7023999999999999"/>
    <n v="1.1844595346766111"/>
  </r>
  <r>
    <s v="US-2020-118087"/>
    <x v="37"/>
    <s v="SP-20620"/>
    <s v="Stefania Perrino"/>
    <s v="United States"/>
    <x v="0"/>
    <x v="2"/>
    <s v="Eldon Expressions Punched Metal &amp; Wood Desk Accessories, Pewter &amp; Cherry"/>
    <n v="88.024000000000001"/>
    <n v="2"/>
    <n v="1.7023999999999999"/>
    <n v="1.9340179950922476"/>
  </r>
  <r>
    <s v="CA-2020-163405"/>
    <x v="493"/>
    <s v="BN-11515"/>
    <s v="Bradley Nguyen"/>
    <s v="United States"/>
    <x v="2"/>
    <x v="1"/>
    <s v="Newell 317"/>
    <n v="302.88"/>
    <n v="2"/>
    <n v="1.7052"/>
    <n v="0.56299524564183834"/>
  </r>
  <r>
    <s v="CA-2020-158036"/>
    <x v="25"/>
    <s v="DB-13555"/>
    <s v="Dorothy Badders"/>
    <s v="United States"/>
    <x v="0"/>
    <x v="0"/>
    <s v="Imation Swivel Flash Drive USB flash drive - 8 GB"/>
    <n v="105.096"/>
    <n v="1"/>
    <n v="1.7055"/>
    <n v="1.6228020095912308"/>
  </r>
  <r>
    <s v="CA-2020-111178"/>
    <x v="267"/>
    <s v="TD-20995"/>
    <s v="Tamara Dahlen"/>
    <s v="United States"/>
    <x v="3"/>
    <x v="1"/>
    <s v="Newell 331"/>
    <n v="132.56"/>
    <n v="5"/>
    <n v="1.7115"/>
    <n v="1.2911134580567289"/>
  </r>
  <r>
    <s v="CA-2019-142902"/>
    <x v="460"/>
    <s v="BP-11185"/>
    <s v="Ben Peterman"/>
    <s v="United States"/>
    <x v="2"/>
    <x v="2"/>
    <s v="Eldon Expressions Desk Accessory, Wood Photo Frame, Mahogany"/>
    <n v="15.231999999999999"/>
    <n v="1"/>
    <n v="1.7136"/>
    <n v="11.25"/>
  </r>
  <r>
    <s v="CA-2019-118052"/>
    <x v="387"/>
    <s v="BE-11455"/>
    <s v="Brad Eason"/>
    <s v="United States"/>
    <x v="0"/>
    <x v="1"/>
    <s v="Advantus T-Pin Paper Clips"/>
    <n v="7.2160000000000002"/>
    <n v="2"/>
    <n v="1.7138"/>
    <n v="23.75"/>
  </r>
  <r>
    <s v="CA-2019-163216"/>
    <x v="472"/>
    <s v="AW-10930"/>
    <s v="Arthur Wiediger"/>
    <s v="United States"/>
    <x v="0"/>
    <x v="1"/>
    <s v="Avery 511"/>
    <n v="4.9279999999999999"/>
    <n v="2"/>
    <n v="1.7248000000000001"/>
    <n v="35"/>
  </r>
  <r>
    <s v="CA-2020-148642"/>
    <x v="494"/>
    <s v="DW-13540"/>
    <s v="Don Weiss"/>
    <s v="United States"/>
    <x v="3"/>
    <x v="1"/>
    <s v="Avery 511"/>
    <n v="73.927999999999997"/>
    <n v="2"/>
    <n v="1.7248000000000001"/>
    <n v="2.3330808354074235"/>
  </r>
  <r>
    <s v="CA-2020-102610"/>
    <x v="1"/>
    <s v="CA-12265"/>
    <s v="Christina Anderson"/>
    <s v="United States"/>
    <x v="1"/>
    <x v="1"/>
    <s v="Avery 481"/>
    <n v="83.927999999999997"/>
    <n v="2"/>
    <n v="1.7248000000000001"/>
    <n v="2.0550948431989324"/>
  </r>
  <r>
    <s v="CA-2020-157469"/>
    <x v="18"/>
    <s v="ES-14080"/>
    <s v="Erin Smith"/>
    <s v="United States"/>
    <x v="0"/>
    <x v="1"/>
    <s v="Rogers Handheld Barrel Pencil Sharpener"/>
    <n v="128.72800000000001"/>
    <n v="9"/>
    <n v="1.7262"/>
    <n v="1.3409670001864393"/>
  </r>
  <r>
    <s v="CA-2020-154466"/>
    <x v="87"/>
    <s v="DP-13390"/>
    <s v="Dennis Pardue"/>
    <s v="United States"/>
    <x v="3"/>
    <x v="1"/>
    <s v="Wilson Jones Easy Flow II Sheet Lifters"/>
    <n v="107.6"/>
    <n v="2"/>
    <n v="1.728"/>
    <n v="1.6059479553903344"/>
  </r>
  <r>
    <s v="CA-2019-106075"/>
    <x v="99"/>
    <s v="HM-14980"/>
    <s v="Henry MacAllister"/>
    <s v="United States"/>
    <x v="0"/>
    <x v="1"/>
    <s v="Avery Binding System Hidden Tab Executive Style Index Sets"/>
    <n v="4.6159999999999997"/>
    <n v="1"/>
    <n v="1.7310000000000001"/>
    <n v="37.500000000000007"/>
  </r>
  <r>
    <s v="CA-2019-141082"/>
    <x v="260"/>
    <s v="FM-14380"/>
    <s v="Fred McMath"/>
    <s v="United States"/>
    <x v="0"/>
    <x v="1"/>
    <s v="Avery 517"/>
    <n v="3.69"/>
    <n v="1"/>
    <n v="1.7343"/>
    <n v="47"/>
  </r>
  <r>
    <s v="CA-2020-145660"/>
    <x v="265"/>
    <s v="MG-17650"/>
    <s v="Matthew Grinstein"/>
    <s v="United States"/>
    <x v="0"/>
    <x v="2"/>
    <s v="Magna Visual Magnetic Picture Hangers"/>
    <n v="99.712000000000003"/>
    <n v="2"/>
    <n v="1.7352000000000001"/>
    <n v="1.7402118100128368"/>
  </r>
  <r>
    <s v="CA-2020-141929"/>
    <x v="130"/>
    <s v="RA-19285"/>
    <s v="Ralph Arnett"/>
    <s v="United States"/>
    <x v="2"/>
    <x v="0"/>
    <s v="QVS USB Car Charger 2-Port 2.1Amp for iPod/iPhone/iPad/iPad 2/iPad 3"/>
    <n v="139.56"/>
    <n v="1"/>
    <n v="1.7375"/>
    <n v="1.2449842361708228"/>
  </r>
  <r>
    <s v="CA-2020-135167"/>
    <x v="267"/>
    <s v="SC-20800"/>
    <s v="Stuart Calhoun"/>
    <s v="United States"/>
    <x v="2"/>
    <x v="1"/>
    <s v="Dixon Prang Watercolor Pencils, 10-Color Set with Brush"/>
    <n v="97.26"/>
    <n v="1"/>
    <n v="1.7465999999999999"/>
    <n v="1.7958050586057988"/>
  </r>
  <r>
    <s v="CA-2020-156664"/>
    <x v="339"/>
    <s v="BP-11290"/>
    <s v="Beth Paige"/>
    <s v="United States"/>
    <x v="0"/>
    <x v="1"/>
    <s v="Ideal Clamps"/>
    <n v="379.82400000000001"/>
    <n v="3"/>
    <n v="1.7486999999999999"/>
    <n v="0.46039744723872106"/>
  </r>
  <r>
    <s v="CA-2020-117870"/>
    <x v="271"/>
    <s v="JH-15820"/>
    <s v="John Huston"/>
    <s v="United States"/>
    <x v="0"/>
    <x v="1"/>
    <s v="Newell 312"/>
    <n v="144.01599999999999"/>
    <n v="3"/>
    <n v="1.752"/>
    <n v="1.2165314965003888"/>
  </r>
  <r>
    <s v="CA-2020-100013"/>
    <x v="174"/>
    <s v="ZC-21910"/>
    <s v="Zuschuss Carroll"/>
    <s v="United States"/>
    <x v="2"/>
    <x v="1"/>
    <s v="SANFORD Liquid Accent Tank-Style Highlighters"/>
    <n v="95.68"/>
    <n v="2"/>
    <n v="1.7607999999999999"/>
    <n v="1.8403010033444813"/>
  </r>
  <r>
    <s v="CA-2019-104311"/>
    <x v="139"/>
    <s v="AS-10090"/>
    <s v="Adam Shillingsburg"/>
    <s v="United States"/>
    <x v="3"/>
    <x v="1"/>
    <s v="Avery 502"/>
    <n v="5.04"/>
    <n v="2"/>
    <n v="1.764"/>
    <n v="35"/>
  </r>
  <r>
    <s v="US-2020-154872"/>
    <x v="215"/>
    <s v="DP-13000"/>
    <s v="Darren Powers"/>
    <s v="United States"/>
    <x v="0"/>
    <x v="1"/>
    <s v="Avery 502"/>
    <n v="106.04"/>
    <n v="2"/>
    <n v="1.764"/>
    <n v="1.6635231987929082"/>
  </r>
  <r>
    <s v="CA-2020-110380"/>
    <x v="149"/>
    <s v="PF-19225"/>
    <s v="Phillip Flathmann"/>
    <s v="United States"/>
    <x v="2"/>
    <x v="1"/>
    <s v="Pencil and Crayon Sharpener"/>
    <n v="115.57"/>
    <n v="3"/>
    <n v="1.7739"/>
    <n v="1.5349139049926452"/>
  </r>
  <r>
    <s v="CA-2019-151372"/>
    <x v="100"/>
    <s v="JH-15985"/>
    <s v="Joseph Holt"/>
    <s v="United States"/>
    <x v="2"/>
    <x v="1"/>
    <s v="Advantus Push Pins"/>
    <n v="4.3600000000000003"/>
    <n v="2"/>
    <n v="1.7876000000000001"/>
    <n v="41"/>
  </r>
  <r>
    <s v="CA-2020-100111"/>
    <x v="495"/>
    <s v="SV-20365"/>
    <s v="Seth Vernon"/>
    <s v="United States"/>
    <x v="0"/>
    <x v="1"/>
    <s v="Advantus Push Pins"/>
    <n v="108.36"/>
    <n v="2"/>
    <n v="1.7876000000000001"/>
    <n v="1.6496862310815801"/>
  </r>
  <r>
    <s v="CA-2020-104801"/>
    <x v="496"/>
    <s v="FH-14350"/>
    <s v="Fred Harton"/>
    <s v="United States"/>
    <x v="2"/>
    <x v="1"/>
    <s v="Newell 311"/>
    <n v="919.63"/>
    <n v="3"/>
    <n v="1.7901"/>
    <n v="0.19465437186694648"/>
  </r>
  <r>
    <s v="CA-2020-102099"/>
    <x v="339"/>
    <s v="EP-13915"/>
    <s v="Emily Phan"/>
    <s v="United States"/>
    <x v="2"/>
    <x v="1"/>
    <s v="Newell 327"/>
    <n v="385.63"/>
    <n v="3"/>
    <n v="1.7901"/>
    <n v="0.46420143661022223"/>
  </r>
  <r>
    <s v="CA-2020-163405"/>
    <x v="493"/>
    <s v="BN-11515"/>
    <s v="Bradley Nguyen"/>
    <s v="United States"/>
    <x v="2"/>
    <x v="1"/>
    <s v="Newell 327"/>
    <n v="420.63"/>
    <n v="3"/>
    <n v="1.7901"/>
    <n v="0.42557592183153847"/>
  </r>
  <r>
    <s v="CA-2020-111269"/>
    <x v="360"/>
    <s v="CS-12355"/>
    <s v="Christine Sundaresam"/>
    <s v="United States"/>
    <x v="0"/>
    <x v="1"/>
    <s v="Newell 330"/>
    <n v="113.92"/>
    <n v="5"/>
    <n v="1.794"/>
    <n v="1.5747893258426966"/>
  </r>
  <r>
    <s v="CA-2020-121818"/>
    <x v="216"/>
    <s v="JH-15430"/>
    <s v="Jennifer Halladay"/>
    <s v="United States"/>
    <x v="1"/>
    <x v="1"/>
    <s v="Staples in misc. colors"/>
    <n v="126.72799999999999"/>
    <n v="3"/>
    <n v="1.7955000000000001"/>
    <n v="1.416813963764914"/>
  </r>
  <r>
    <s v="US-2020-141677"/>
    <x v="74"/>
    <s v="HK-14890"/>
    <s v="Heather Kirkland"/>
    <s v="United States"/>
    <x v="3"/>
    <x v="0"/>
    <s v="Sony 64GB Class 10 Micro SDHC R40 Memory Card"/>
    <n v="168.96"/>
    <n v="5"/>
    <n v="1.7995000000000001"/>
    <n v="1.065044981060606"/>
  </r>
  <r>
    <s v="US-2020-146416"/>
    <x v="170"/>
    <s v="JE-16165"/>
    <s v="Justin Ellison"/>
    <s v="United States"/>
    <x v="2"/>
    <x v="1"/>
    <s v="Avery 510"/>
    <n v="104.75"/>
    <n v="1"/>
    <n v="1.8"/>
    <n v="1.7183770883054894"/>
  </r>
  <r>
    <s v="US-2019-104794"/>
    <x v="367"/>
    <s v="KD-16495"/>
    <s v="Keith Dawkins"/>
    <s v="United States"/>
    <x v="0"/>
    <x v="1"/>
    <s v="Stockwell Gold Paper Clips"/>
    <n v="3.68"/>
    <n v="2"/>
    <n v="1.8031999999999999"/>
    <n v="48.999999999999993"/>
  </r>
  <r>
    <s v="CA-2019-168956"/>
    <x v="75"/>
    <s v="EA-14035"/>
    <s v="Erin Ashbrook"/>
    <s v="United States"/>
    <x v="3"/>
    <x v="1"/>
    <s v="Xerox 206"/>
    <n v="5.1840000000000002"/>
    <n v="1"/>
    <n v="1.8144"/>
    <n v="35"/>
  </r>
  <r>
    <s v="CA-2019-112256"/>
    <x v="138"/>
    <s v="CK-12205"/>
    <s v="Chloris Kastensmidt"/>
    <s v="United States"/>
    <x v="3"/>
    <x v="1"/>
    <s v="Xerox 231"/>
    <n v="5.1840000000000002"/>
    <n v="1"/>
    <n v="1.8144"/>
    <n v="35"/>
  </r>
  <r>
    <s v="CA-2019-158694"/>
    <x v="214"/>
    <s v="AI-10855"/>
    <s v="Arianne Irving"/>
    <s v="United States"/>
    <x v="2"/>
    <x v="1"/>
    <s v="Peel &amp; Stick Add-On Corner Pockets"/>
    <n v="5.1840000000000002"/>
    <n v="3"/>
    <n v="1.8144"/>
    <n v="35"/>
  </r>
  <r>
    <s v="CA-2020-127474"/>
    <x v="275"/>
    <s v="RD-19810"/>
    <s v="Ross DeVincentis"/>
    <s v="United States"/>
    <x v="3"/>
    <x v="1"/>
    <s v="Xerox 2"/>
    <n v="119.184"/>
    <n v="1"/>
    <n v="1.8144"/>
    <n v="1.522351993556182"/>
  </r>
  <r>
    <s v="US-2020-126081"/>
    <x v="146"/>
    <s v="FC-14335"/>
    <s v="Fred Chung"/>
    <s v="United States"/>
    <x v="3"/>
    <x v="1"/>
    <s v="Xerox 218"/>
    <n v="88.183999999999997"/>
    <n v="1"/>
    <n v="1.8144"/>
    <n v="2.0575161026943665"/>
  </r>
  <r>
    <s v="CA-2020-133501"/>
    <x v="53"/>
    <s v="DK-12895"/>
    <s v="Dana Kaydos"/>
    <s v="United States"/>
    <x v="1"/>
    <x v="1"/>
    <s v="Xerox 217"/>
    <n v="109.184"/>
    <n v="1"/>
    <n v="1.8144"/>
    <n v="1.6617819460726848"/>
  </r>
  <r>
    <s v="CA-2020-167094"/>
    <x v="168"/>
    <s v="DK-12835"/>
    <s v="Damala Kotsonis"/>
    <s v="United States"/>
    <x v="2"/>
    <x v="1"/>
    <s v="Xerox 218"/>
    <n v="125.184"/>
    <n v="1"/>
    <n v="1.8144"/>
    <n v="1.4493865030674846"/>
  </r>
  <r>
    <s v="CA-2020-164098"/>
    <x v="497"/>
    <s v="CG-12520"/>
    <s v="Claire Gute"/>
    <s v="United States"/>
    <x v="3"/>
    <x v="1"/>
    <s v="SimpliFile Personal File, Black Granite, 15w x 6-15/16d x 11-1/4h"/>
    <n v="141.16"/>
    <n v="2"/>
    <n v="1.8160000000000001"/>
    <n v="1.2864834230660245"/>
  </r>
  <r>
    <s v="CA-2020-150504"/>
    <x v="174"/>
    <s v="HG-14845"/>
    <s v="Harry Greene"/>
    <s v="United States"/>
    <x v="3"/>
    <x v="1"/>
    <s v="SimpliFile Personal File, Black Granite, 15w x 6-15/16d x 11-1/4h"/>
    <n v="130.16"/>
    <n v="2"/>
    <n v="1.8160000000000001"/>
    <n v="1.3952059004302397"/>
  </r>
  <r>
    <s v="CA-2020-134495"/>
    <x v="311"/>
    <s v="BF-11020"/>
    <s v="Barry Französisch"/>
    <s v="United States"/>
    <x v="1"/>
    <x v="1"/>
    <s v="Staple holder"/>
    <n v="148.80799999999999"/>
    <n v="3"/>
    <n v="1.8207"/>
    <n v="1.2235229288747917"/>
  </r>
  <r>
    <s v="CA-2019-168956"/>
    <x v="75"/>
    <s v="EA-14035"/>
    <s v="Erin Ashbrook"/>
    <s v="United States"/>
    <x v="3"/>
    <x v="1"/>
    <s v="Advantus Push Pins"/>
    <n v="6.976"/>
    <n v="4"/>
    <n v="1.8311999999999999"/>
    <n v="26.25"/>
  </r>
  <r>
    <s v="CA-2020-140872"/>
    <x v="132"/>
    <s v="NR-18550"/>
    <s v="Nick Radford"/>
    <s v="United States"/>
    <x v="1"/>
    <x v="1"/>
    <s v="Eureka Sanitaire  Multi-Pro Heavy-Duty Upright, Disposable Bags"/>
    <n v="125.47199999999999"/>
    <n v="7"/>
    <n v="1.8353999999999999"/>
    <n v="1.4627964804896709"/>
  </r>
  <r>
    <s v="CA-2019-144785"/>
    <x v="148"/>
    <s v="CS-12490"/>
    <s v="Cindy Schnelling"/>
    <s v="United States"/>
    <x v="0"/>
    <x v="1"/>
    <s v="Acme Design Line 8&quot; Stainless Steel Bent Scissors w/Champagne Handles, 3-1/8&quot; Cut"/>
    <n v="6.84"/>
    <n v="1"/>
    <n v="1.8468"/>
    <n v="27"/>
  </r>
  <r>
    <s v="CA-2020-115070"/>
    <x v="404"/>
    <s v="MG-18205"/>
    <s v="Mitch Gastineau"/>
    <s v="United States"/>
    <x v="1"/>
    <x v="2"/>
    <s v="Stackable Trays"/>
    <n v="95.32"/>
    <n v="5"/>
    <n v="1.8480000000000001"/>
    <n v="1.9387326898866977"/>
  </r>
  <r>
    <s v="CA-2020-157966"/>
    <x v="52"/>
    <s v="SU-20665"/>
    <s v="Stephanie Ulpright"/>
    <s v="United States"/>
    <x v="3"/>
    <x v="1"/>
    <s v="Eberhard Faber 3 1/2&quot; Golf Pencils"/>
    <n v="144.76"/>
    <n v="5"/>
    <n v="1.86"/>
    <n v="1.284885327438519"/>
  </r>
  <r>
    <s v="US-2020-101539"/>
    <x v="160"/>
    <s v="VM-21685"/>
    <s v="Valerie Mitchum"/>
    <s v="United States"/>
    <x v="2"/>
    <x v="1"/>
    <s v="Safco Commercial Shelving"/>
    <n v="141.51"/>
    <n v="1"/>
    <n v="1.8604000000000001"/>
    <n v="1.3146774079570349"/>
  </r>
  <r>
    <s v="CA-2020-125472"/>
    <x v="380"/>
    <s v="BD-11725"/>
    <s v="Bruce Degenhardt"/>
    <s v="United States"/>
    <x v="1"/>
    <x v="1"/>
    <s v="Avery Binder Labels"/>
    <n v="81.89"/>
    <n v="1"/>
    <n v="1.8672"/>
    <n v="2.2801318842349492"/>
  </r>
  <r>
    <s v="CA-2020-137421"/>
    <x v="482"/>
    <s v="AJ-10945"/>
    <s v="Ashley Jarboe"/>
    <s v="United States"/>
    <x v="2"/>
    <x v="1"/>
    <s v="Avery Hi-Liter Smear-Safe Highlighters"/>
    <n v="88.343999999999994"/>
    <n v="2"/>
    <n v="1.8688"/>
    <n v="2.1153672009417734"/>
  </r>
  <r>
    <s v="CA-2019-149370"/>
    <x v="498"/>
    <s v="DB-13210"/>
    <s v="Dean Braden"/>
    <s v="United States"/>
    <x v="0"/>
    <x v="1"/>
    <s v="Xerox 1968"/>
    <n v="5.3440000000000003"/>
    <n v="1"/>
    <n v="1.8704000000000001"/>
    <n v="35"/>
  </r>
  <r>
    <s v="CA-2020-157112"/>
    <x v="327"/>
    <s v="GG-14650"/>
    <s v="Greg Guthrie"/>
    <s v="United States"/>
    <x v="0"/>
    <x v="1"/>
    <s v="Xerox 195"/>
    <n v="112.34399999999999"/>
    <n v="1"/>
    <n v="1.8704000000000001"/>
    <n v="1.6648864202805671"/>
  </r>
  <r>
    <s v="US-2019-114888"/>
    <x v="204"/>
    <s v="CC-12430"/>
    <s v="Chuck Clark"/>
    <s v="United States"/>
    <x v="2"/>
    <x v="1"/>
    <s v="Kleencut Forged Office Shears by Acme United Corporation"/>
    <n v="6.24"/>
    <n v="3"/>
    <n v="1.8720000000000001"/>
    <n v="30"/>
  </r>
  <r>
    <s v="CA-2019-162082"/>
    <x v="291"/>
    <s v="JS-15880"/>
    <s v="John Stevenson"/>
    <s v="United States"/>
    <x v="3"/>
    <x v="1"/>
    <s v="Xerox 1993"/>
    <n v="5.1840000000000002"/>
    <n v="1"/>
    <n v="1.8792"/>
    <n v="36.25"/>
  </r>
  <r>
    <s v="US-2020-104094"/>
    <x v="266"/>
    <s v="AG-10675"/>
    <s v="Anna Gayman"/>
    <s v="United States"/>
    <x v="3"/>
    <x v="0"/>
    <s v="Rosewill 107 Normal Keys USB Wired Standard Keyboard"/>
    <n v="81.48"/>
    <n v="1"/>
    <n v="1.8872"/>
    <n v="2.3161512027491407"/>
  </r>
  <r>
    <s v="CA-2019-110254"/>
    <x v="376"/>
    <s v="ML-17755"/>
    <s v="Max Ludwig"/>
    <s v="United States"/>
    <x v="1"/>
    <x v="1"/>
    <s v="Avery 476"/>
    <n v="4.13"/>
    <n v="1"/>
    <n v="1.8997999999999999"/>
    <n v="46"/>
  </r>
  <r>
    <s v="CA-2020-150525"/>
    <x v="89"/>
    <s v="JP-16135"/>
    <s v="Julie Prescott"/>
    <s v="United States"/>
    <x v="3"/>
    <x v="1"/>
    <s v="Newell 351"/>
    <n v="1038.56"/>
    <n v="2"/>
    <n v="1.9024000000000001"/>
    <n v="0.18317670620859652"/>
  </r>
  <r>
    <s v="CA-2020-164378"/>
    <x v="205"/>
    <s v="MM-18055"/>
    <s v="Michelle Moray"/>
    <s v="United States"/>
    <x v="0"/>
    <x v="1"/>
    <s v="Newell 349"/>
    <n v="90.56"/>
    <n v="2"/>
    <n v="1.9024000000000001"/>
    <n v="2.100706713780919"/>
  </r>
  <r>
    <s v="CA-2020-137498"/>
    <x v="37"/>
    <s v="LC-17050"/>
    <s v="Liz Carlisle"/>
    <s v="United States"/>
    <x v="2"/>
    <x v="1"/>
    <s v="Newell 35"/>
    <n v="132.56"/>
    <n v="2"/>
    <n v="1.9024000000000001"/>
    <n v="1.4351237175618587"/>
  </r>
  <r>
    <s v="CA-2019-112382"/>
    <x v="119"/>
    <s v="MB-18085"/>
    <s v="Mick Brown"/>
    <s v="United States"/>
    <x v="3"/>
    <x v="0"/>
    <s v="I Need's 3d Hello Kitty Hybrid Silicone Case Cover for HTC One X 4g with 3d Hello Kitty Stylus Pen Green/pink"/>
    <n v="19.135999999999999"/>
    <n v="2"/>
    <n v="1.9136"/>
    <n v="10"/>
  </r>
  <r>
    <s v="CA-2019-106656"/>
    <x v="273"/>
    <s v="DV-13045"/>
    <s v="Darrin Van Huff"/>
    <s v="United States"/>
    <x v="2"/>
    <x v="1"/>
    <s v="Poly String Tie Envelopes"/>
    <n v="4.08"/>
    <n v="2"/>
    <n v="1.9176"/>
    <n v="47"/>
  </r>
  <r>
    <s v="CA-2020-128734"/>
    <x v="437"/>
    <s v="JL-15175"/>
    <s v="James Lanier"/>
    <s v="United States"/>
    <x v="2"/>
    <x v="2"/>
    <s v="Acrylic Self-Standing Desk Frames"/>
    <n v="427.54399999999998"/>
    <n v="4"/>
    <n v="1.9224000000000001"/>
    <n v="0.44963793200232022"/>
  </r>
  <r>
    <s v="CA-2020-122798"/>
    <x v="240"/>
    <s v="SV-20935"/>
    <s v="Susan Vittorini"/>
    <s v="United States"/>
    <x v="2"/>
    <x v="1"/>
    <s v="Xerox 1953"/>
    <n v="131.28"/>
    <n v="1"/>
    <n v="1.9259999999999999"/>
    <n v="1.4670932358318098"/>
  </r>
  <r>
    <s v="US-2020-105697"/>
    <x v="153"/>
    <s v="JE-15715"/>
    <s v="Joe Elijah"/>
    <s v="United States"/>
    <x v="0"/>
    <x v="1"/>
    <s v="Letter/Legal File Tote with Clear Snap-On Lid, Black Granite"/>
    <n v="128.696"/>
    <n v="2"/>
    <n v="1.9272"/>
    <n v="1.4974824392366506"/>
  </r>
  <r>
    <s v="CA-2020-129357"/>
    <x v="215"/>
    <s v="KB-16585"/>
    <s v="Ken Black"/>
    <s v="United States"/>
    <x v="2"/>
    <x v="1"/>
    <s v="Martin-Yale Premier Letter Opener"/>
    <n v="151.4"/>
    <n v="5"/>
    <n v="1.9319999999999999"/>
    <n v="1.2760898282694846"/>
  </r>
  <r>
    <s v="CA-2020-150910"/>
    <x v="67"/>
    <s v="JL-15130"/>
    <s v="Jack Lebron"/>
    <s v="United States"/>
    <x v="1"/>
    <x v="1"/>
    <s v="Crate-A-Files"/>
    <n v="395.16"/>
    <n v="3"/>
    <n v="1.962"/>
    <n v="0.49650774369875483"/>
  </r>
  <r>
    <s v="CA-2019-145583"/>
    <x v="27"/>
    <s v="LC-16885"/>
    <s v="Lena Creighton"/>
    <s v="United States"/>
    <x v="2"/>
    <x v="1"/>
    <s v="Ideal Clamps"/>
    <n v="4.0199999999999996"/>
    <n v="2"/>
    <n v="1.9698"/>
    <n v="49.000000000000007"/>
  </r>
  <r>
    <s v="US-2019-115819"/>
    <x v="190"/>
    <s v="JO-15280"/>
    <s v="Jas O'Carroll"/>
    <s v="United States"/>
    <x v="2"/>
    <x v="1"/>
    <s v="Angle-D Binders with Locking Rings, Label Holders"/>
    <n v="5.84"/>
    <n v="1"/>
    <n v="1.9710000000000001"/>
    <n v="33.75"/>
  </r>
  <r>
    <s v="US-2020-120418"/>
    <x v="206"/>
    <s v="BC-11125"/>
    <s v="Becky Castell"/>
    <s v="United States"/>
    <x v="2"/>
    <x v="1"/>
    <s v="Newell 319"/>
    <n v="125.872"/>
    <n v="1"/>
    <n v="1.984"/>
    <n v="1.5762043981187239"/>
  </r>
  <r>
    <s v="CA-2019-117660"/>
    <x v="353"/>
    <s v="BM-11785"/>
    <s v="Bryan Mills"/>
    <s v="United States"/>
    <x v="0"/>
    <x v="1"/>
    <s v="Avery 487"/>
    <n v="5.9039999999999999"/>
    <n v="2"/>
    <n v="1.9925999999999999"/>
    <n v="33.75"/>
  </r>
  <r>
    <s v="CA-2020-152226"/>
    <x v="198"/>
    <s v="JH-15910"/>
    <s v="Jonathan Howell"/>
    <s v="United States"/>
    <x v="0"/>
    <x v="1"/>
    <s v="Avery 501"/>
    <n v="90.903999999999996"/>
    <n v="2"/>
    <n v="1.9925999999999999"/>
    <n v="2.1919827510340579"/>
  </r>
  <r>
    <s v="US-2019-168410"/>
    <x v="272"/>
    <s v="BV-11245"/>
    <s v="Benjamin Venier"/>
    <s v="United States"/>
    <x v="0"/>
    <x v="0"/>
    <s v="iOttie HLCRIO102 Car Mount"/>
    <n v="39.979999999999997"/>
    <n v="2"/>
    <n v="1.9990000000000001"/>
    <n v="5.0000000000000009"/>
  </r>
  <r>
    <s v="CA-2019-134348"/>
    <x v="300"/>
    <s v="MS-17710"/>
    <s v="Maurice Satty"/>
    <s v="United States"/>
    <x v="2"/>
    <x v="0"/>
    <s v="Micropad Numeric Keypads"/>
    <n v="31.984000000000002"/>
    <n v="2"/>
    <n v="1.9990000000000001"/>
    <n v="6.25"/>
  </r>
  <r>
    <s v="CA-2020-158407"/>
    <x v="318"/>
    <s v="LW-16990"/>
    <s v="Lindsay Williams"/>
    <s v="United States"/>
    <x v="1"/>
    <x v="2"/>
    <s v="Telescoping Adjustable Floor Lamp"/>
    <n v="123.98399999999999"/>
    <n v="2"/>
    <n v="1.9990000000000001"/>
    <n v="1.6123048135243259"/>
  </r>
  <r>
    <s v="US-2019-102239"/>
    <x v="415"/>
    <s v="LW-16990"/>
    <s v="Lindsay Williams"/>
    <s v="United States"/>
    <x v="2"/>
    <x v="1"/>
    <s v="Avery Poly Binder Pockets"/>
    <n v="5.7279999999999998"/>
    <n v="2"/>
    <n v="2.0047999999999999"/>
    <n v="35"/>
  </r>
  <r>
    <s v="CA-2020-126774"/>
    <x v="346"/>
    <s v="SH-20395"/>
    <s v="Shahid Hopkins"/>
    <s v="United States"/>
    <x v="1"/>
    <x v="1"/>
    <s v="Faber Castell Col-Erase Pencils"/>
    <n v="98.89"/>
    <n v="1"/>
    <n v="2.0049000000000001"/>
    <n v="2.0274041864698149"/>
  </r>
  <r>
    <s v="CA-2019-165330"/>
    <x v="111"/>
    <s v="WB-21850"/>
    <s v="William Brown"/>
    <s v="United States"/>
    <x v="2"/>
    <x v="1"/>
    <s v="Rogers Profile Extra Capacity Storage Tub"/>
    <n v="50.22"/>
    <n v="3"/>
    <n v="2.0087999999999999"/>
    <n v="4"/>
  </r>
  <r>
    <s v="CA-2020-148166"/>
    <x v="168"/>
    <s v="NK-18490"/>
    <s v="Neil Knudson"/>
    <s v="United States"/>
    <x v="1"/>
    <x v="1"/>
    <s v="Newell 33"/>
    <n v="128.85599999999999"/>
    <n v="4"/>
    <n v="2.0087999999999999"/>
    <n v="1.55894952505122"/>
  </r>
  <r>
    <s v="CA-2019-144785"/>
    <x v="148"/>
    <s v="CS-12490"/>
    <s v="Cindy Schnelling"/>
    <s v="United States"/>
    <x v="0"/>
    <x v="1"/>
    <s v="American Pencil"/>
    <n v="6.99"/>
    <n v="3"/>
    <n v="2.0270999999999999"/>
    <n v="28.999999999999996"/>
  </r>
  <r>
    <s v="CA-2020-103352"/>
    <x v="464"/>
    <s v="RP-19390"/>
    <s v="Resi Pölking"/>
    <s v="United States"/>
    <x v="0"/>
    <x v="1"/>
    <s v="American Pencil"/>
    <n v="91.99"/>
    <n v="3"/>
    <n v="2.0270999999999999"/>
    <n v="2.2036090879443417"/>
  </r>
  <r>
    <s v="CA-2020-118213"/>
    <x v="181"/>
    <s v="AB-10060"/>
    <s v="Adam Bellavance"/>
    <s v="United States"/>
    <x v="3"/>
    <x v="1"/>
    <s v="Ampad Gold Fibre Wirebound Steno Books, 6&quot; x 9&quot;, Gregg Ruled"/>
    <n v="98.41"/>
    <n v="1"/>
    <n v="2.0286"/>
    <n v="2.0613758764353216"/>
  </r>
  <r>
    <s v="CA-2019-142895"/>
    <x v="364"/>
    <s v="BP-11290"/>
    <s v="Beth Paige"/>
    <s v="United States"/>
    <x v="1"/>
    <x v="1"/>
    <s v="Avery 494"/>
    <n v="6.2640000000000002"/>
    <n v="3"/>
    <n v="2.0358000000000001"/>
    <n v="32.5"/>
  </r>
  <r>
    <s v="CA-2019-142902"/>
    <x v="460"/>
    <s v="BP-11185"/>
    <s v="Ben Peterman"/>
    <s v="United States"/>
    <x v="2"/>
    <x v="1"/>
    <s v="Avery 509"/>
    <n v="6.2640000000000002"/>
    <n v="3"/>
    <n v="2.0358000000000001"/>
    <n v="32.5"/>
  </r>
  <r>
    <s v="CA-2020-134495"/>
    <x v="311"/>
    <s v="BF-11020"/>
    <s v="Barry Französisch"/>
    <s v="United States"/>
    <x v="1"/>
    <x v="1"/>
    <s v="Avery 494"/>
    <n v="116.264"/>
    <n v="3"/>
    <n v="2.0358000000000001"/>
    <n v="1.7510149315351271"/>
  </r>
  <r>
    <s v="CA-2020-110373"/>
    <x v="396"/>
    <s v="MA-17560"/>
    <s v="Matt Abelman"/>
    <s v="United States"/>
    <x v="3"/>
    <x v="0"/>
    <s v="Spigen Samsung Galaxy S5 Case Wallet"/>
    <n v="107.184"/>
    <n v="2"/>
    <n v="2.0388000000000002"/>
    <n v="1.9021495745633679"/>
  </r>
  <r>
    <s v="CA-2019-146157"/>
    <x v="284"/>
    <s v="RD-19720"/>
    <s v="Roger Demir"/>
    <s v="United States"/>
    <x v="3"/>
    <x v="0"/>
    <s v="Lenovo 17-Key USB Numeric Keypad"/>
    <n v="81.575999999999993"/>
    <n v="3"/>
    <n v="2.0394000000000001"/>
    <n v="2.5000000000000004"/>
  </r>
  <r>
    <s v="CA-2019-107216"/>
    <x v="129"/>
    <s v="PV-18985"/>
    <s v="Paul Van Hugh"/>
    <s v="United States"/>
    <x v="2"/>
    <x v="1"/>
    <s v="Newell 326"/>
    <n v="7.04"/>
    <n v="4"/>
    <n v="2.0415999999999999"/>
    <n v="28.999999999999996"/>
  </r>
  <r>
    <s v="CA-2020-140536"/>
    <x v="499"/>
    <s v="TA-21385"/>
    <s v="Tom Ashbrook"/>
    <s v="United States"/>
    <x v="0"/>
    <x v="1"/>
    <s v="Newell 326"/>
    <n v="105.04"/>
    <n v="4"/>
    <n v="2.0415999999999999"/>
    <n v="1.9436405178979432"/>
  </r>
  <r>
    <s v="CA-2020-133256"/>
    <x v="334"/>
    <s v="TH-21550"/>
    <s v="Tracy Hopkins"/>
    <s v="United States"/>
    <x v="3"/>
    <x v="1"/>
    <s v="Ampad Poly Cover Wirebound Steno Book, 6&quot; x 9&quot; Assorted Colors, Gregg Ruled"/>
    <n v="111.54"/>
    <n v="1"/>
    <n v="2.0430000000000001"/>
    <n v="1.8316299085529855"/>
  </r>
  <r>
    <s v="CA-2019-129868"/>
    <x v="386"/>
    <s v="MC-18130"/>
    <s v="Mike Caudle"/>
    <s v="United States"/>
    <x v="2"/>
    <x v="1"/>
    <s v="Hoover Replacement Belts For Soft Guard &amp; Commercial Ltweight Upright Vacs, 2/Pk"/>
    <n v="7.9"/>
    <n v="2"/>
    <n v="2.0539999999999998"/>
    <n v="25.999999999999996"/>
  </r>
  <r>
    <s v="CA-2020-108070"/>
    <x v="217"/>
    <s v="JE-15745"/>
    <s v="Joel Eaton"/>
    <s v="United States"/>
    <x v="2"/>
    <x v="1"/>
    <s v="Belkin 19&quot; Vented Equipment Shelf, Black"/>
    <n v="235.92"/>
    <n v="4"/>
    <n v="2.0592000000000001"/>
    <n v="0.8728382502543236"/>
  </r>
  <r>
    <s v="CA-2020-109946"/>
    <x v="217"/>
    <s v="PL-18925"/>
    <s v="Paul Lucas"/>
    <s v="United States"/>
    <x v="3"/>
    <x v="1"/>
    <s v="Newell 325"/>
    <n v="80.52"/>
    <n v="5"/>
    <n v="2.0649999999999999"/>
    <n v="2.5645802285146546"/>
  </r>
  <r>
    <s v="US-2020-120147"/>
    <x v="392"/>
    <s v="TB-21400"/>
    <s v="Tom Boeckenhauer"/>
    <s v="United States"/>
    <x v="2"/>
    <x v="1"/>
    <s v="Manco Dry-Lighter Erasable Highlighter"/>
    <n v="70.08"/>
    <n v="2"/>
    <n v="2.0672000000000001"/>
    <n v="2.9497716894977173"/>
  </r>
  <r>
    <s v="CA-2019-134334"/>
    <x v="211"/>
    <s v="DK-13090"/>
    <s v="Dave Kipp"/>
    <s v="United States"/>
    <x v="0"/>
    <x v="1"/>
    <s v="Economy #2 Pencils"/>
    <n v="7.98"/>
    <n v="3"/>
    <n v="2.0748000000000002"/>
    <n v="26"/>
  </r>
  <r>
    <s v="CA-2019-168893"/>
    <x v="65"/>
    <s v="AP-10915"/>
    <s v="Arthur Prichep"/>
    <s v="United States"/>
    <x v="1"/>
    <x v="1"/>
    <s v="Economy #2 Pencils"/>
    <n v="7.98"/>
    <n v="3"/>
    <n v="2.0748000000000002"/>
    <n v="26"/>
  </r>
  <r>
    <s v="CA-2020-132682"/>
    <x v="207"/>
    <s v="TH-21235"/>
    <s v="Tiffany House"/>
    <s v="United States"/>
    <x v="3"/>
    <x v="1"/>
    <s v="Acme Tagit Stainless Steel Antibacterial Scissors"/>
    <n v="151.76"/>
    <n v="3"/>
    <n v="2.0790000000000002"/>
    <n v="1.3699261992619929"/>
  </r>
  <r>
    <s v="CA-2020-117646"/>
    <x v="500"/>
    <s v="SC-20845"/>
    <s v="Sung Chung"/>
    <s v="United States"/>
    <x v="2"/>
    <x v="1"/>
    <s v="Southworth 25% Cotton Antique Laid Paper &amp; Envelopes"/>
    <n v="112.672"/>
    <n v="1"/>
    <n v="2.085"/>
    <n v="1.8505041181482533"/>
  </r>
  <r>
    <s v="CA-2020-117632"/>
    <x v="198"/>
    <s v="CS-12175"/>
    <s v="Charles Sheldon"/>
    <s v="United States"/>
    <x v="2"/>
    <x v="1"/>
    <s v="Hoover Commercial Soft Guard Upright Vacuum And Disposable Filtration Bags"/>
    <n v="101.77"/>
    <n v="1"/>
    <n v="2.0979000000000001"/>
    <n v="2.0614129900756608"/>
  </r>
  <r>
    <s v="CA-2020-119004"/>
    <x v="254"/>
    <s v="JM-15250"/>
    <s v="Janet Martin"/>
    <s v="United States"/>
    <x v="1"/>
    <x v="0"/>
    <s v="Speck Products Candyshell Flip Case"/>
    <n v="115.992"/>
    <n v="1"/>
    <n v="2.0994000000000002"/>
    <n v="1.8099524105110696"/>
  </r>
  <r>
    <s v="CA-2019-129280"/>
    <x v="101"/>
    <s v="SM-20905"/>
    <s v="Susan MacKendrick"/>
    <s v="United States"/>
    <x v="0"/>
    <x v="1"/>
    <s v="Avery 496"/>
    <n v="6"/>
    <n v="2"/>
    <n v="2.1"/>
    <n v="35"/>
  </r>
  <r>
    <s v="CA-2019-150007"/>
    <x v="106"/>
    <s v="AS-10090"/>
    <s v="Adam Shillingsburg"/>
    <s v="United States"/>
    <x v="3"/>
    <x v="1"/>
    <s v="Smead Alpha-Z Color-Coded Name Labels First Letter Starter Set"/>
    <n v="6"/>
    <n v="2"/>
    <n v="2.1"/>
    <n v="35"/>
  </r>
  <r>
    <s v="CA-2020-154718"/>
    <x v="150"/>
    <s v="DL-12865"/>
    <s v="Dan Lawera"/>
    <s v="United States"/>
    <x v="3"/>
    <x v="1"/>
    <s v="Avery 510"/>
    <n v="103"/>
    <n v="2"/>
    <n v="2.1"/>
    <n v="2.0388349514563107"/>
  </r>
  <r>
    <s v="CA-2020-162096"/>
    <x v="31"/>
    <s v="TB-21190"/>
    <s v="Thomas Brumley"/>
    <s v="United States"/>
    <x v="2"/>
    <x v="1"/>
    <s v="12 Colored Short Pencils"/>
    <n v="115.8"/>
    <n v="3"/>
    <n v="2.1059999999999999"/>
    <n v="1.8186528497409327"/>
  </r>
  <r>
    <s v="CA-2020-104108"/>
    <x v="18"/>
    <s v="RP-19855"/>
    <s v="Roy Phan"/>
    <s v="United States"/>
    <x v="3"/>
    <x v="1"/>
    <s v="Manco Dry-Lighter Erasable Highlighter"/>
    <n v="106.16"/>
    <n v="5"/>
    <n v="2.1280000000000001"/>
    <n v="2.0045214770158251"/>
  </r>
  <r>
    <s v="CA-2019-165330"/>
    <x v="111"/>
    <s v="WB-21850"/>
    <s v="William Brown"/>
    <s v="United States"/>
    <x v="2"/>
    <x v="1"/>
    <s v="Black Avery Memo-Size 3-Ring Binder, 5 1/2&quot; x 8 1/2&quot;"/>
    <n v="5.8719999999999999"/>
    <n v="2"/>
    <n v="2.1286"/>
    <n v="36.25"/>
  </r>
  <r>
    <s v="US-2020-161935"/>
    <x v="38"/>
    <s v="JL-15835"/>
    <s v="John Lee"/>
    <s v="United States"/>
    <x v="0"/>
    <x v="1"/>
    <s v="Crayola Colored Pencils"/>
    <n v="139.12"/>
    <n v="5"/>
    <n v="2.1320000000000001"/>
    <n v="1.532489936745256"/>
  </r>
  <r>
    <s v="CA-2019-131744"/>
    <x v="398"/>
    <s v="SC-20770"/>
    <s v="Stewart Carmichael"/>
    <s v="United States"/>
    <x v="0"/>
    <x v="1"/>
    <s v="Xerox 1900"/>
    <n v="6.8479999999999999"/>
    <n v="2"/>
    <n v="2.14"/>
    <n v="31.25"/>
  </r>
  <r>
    <s v="CA-2020-101077"/>
    <x v="501"/>
    <s v="DB-13660"/>
    <s v="Duane Benoit"/>
    <s v="United States"/>
    <x v="3"/>
    <x v="1"/>
    <s v="Xerox 1953"/>
    <n v="89.847999999999999"/>
    <n v="2"/>
    <n v="2.14"/>
    <n v="2.3818003739649187"/>
  </r>
  <r>
    <s v="CA-2020-140298"/>
    <x v="40"/>
    <s v="JK-16120"/>
    <s v="Julie Kriz"/>
    <s v="United States"/>
    <x v="3"/>
    <x v="1"/>
    <s v="Xerox 1927"/>
    <n v="90.847999999999999"/>
    <n v="2"/>
    <n v="2.14"/>
    <n v="2.355582951743572"/>
  </r>
  <r>
    <s v="CA-2019-134334"/>
    <x v="211"/>
    <s v="DK-13090"/>
    <s v="Dave Kipp"/>
    <s v="United States"/>
    <x v="0"/>
    <x v="1"/>
    <s v="Wirebound Message Books, Four 2 3/4 x 5 Forms per Page, 200 Sets per Book"/>
    <n v="4.7699999999999996"/>
    <n v="1"/>
    <n v="2.1465000000000001"/>
    <n v="45.000000000000007"/>
  </r>
  <r>
    <s v="US-2019-111528"/>
    <x v="353"/>
    <s v="JP-16135"/>
    <s v="Julie Prescott"/>
    <s v="United States"/>
    <x v="2"/>
    <x v="1"/>
    <s v="Cardinal Hold-It CD Pocket"/>
    <n v="6.3840000000000003"/>
    <n v="1"/>
    <n v="2.1545999999999998"/>
    <n v="33.75"/>
  </r>
  <r>
    <s v="US-2020-125213"/>
    <x v="33"/>
    <s v="NB-18655"/>
    <s v="Nona Balk"/>
    <s v="United States"/>
    <x v="0"/>
    <x v="1"/>
    <s v="Stockwell Push Pins"/>
    <n v="291.54000000000002"/>
    <n v="3"/>
    <n v="2.1581999999999999"/>
    <n v="0.74027577690882884"/>
  </r>
  <r>
    <s v="US-2019-146570"/>
    <x v="389"/>
    <s v="SN-20710"/>
    <s v="Steve Nguyen"/>
    <s v="United States"/>
    <x v="1"/>
    <x v="1"/>
    <s v="Newell 344"/>
    <n v="8.34"/>
    <n v="3"/>
    <n v="2.1684000000000001"/>
    <n v="26"/>
  </r>
  <r>
    <s v="CA-2020-139304"/>
    <x v="303"/>
    <s v="VG-21790"/>
    <s v="Vivek Gonzalez"/>
    <s v="United States"/>
    <x v="2"/>
    <x v="1"/>
    <s v="Newell 339"/>
    <n v="96.34"/>
    <n v="3"/>
    <n v="2.1684000000000001"/>
    <n v="2.250778492837866"/>
  </r>
  <r>
    <s v="CA-2020-107321"/>
    <x v="461"/>
    <s v="AW-10930"/>
    <s v="Arthur Wiediger"/>
    <s v="United States"/>
    <x v="2"/>
    <x v="1"/>
    <s v="Acco Suede Grain Vinyl Round Ring Binder"/>
    <n v="112.672"/>
    <n v="3"/>
    <n v="2.1684000000000001"/>
    <n v="1.9245242828741835"/>
  </r>
  <r>
    <s v="CA-2020-139948"/>
    <x v="434"/>
    <s v="SW-20455"/>
    <s v="Shaun Weien"/>
    <s v="United States"/>
    <x v="1"/>
    <x v="2"/>
    <s v="C-Line Magnetic Cubicle Keepers, Clear Polypropylene"/>
    <n v="92.903999999999996"/>
    <n v="2"/>
    <n v="2.1736"/>
    <n v="2.3396193920606221"/>
  </r>
  <r>
    <s v="US-2020-131849"/>
    <x v="433"/>
    <s v="GH-14410"/>
    <s v="Gary Hansen"/>
    <s v="United States"/>
    <x v="2"/>
    <x v="2"/>
    <s v="Eldon 300 Class Desk Accessories, Black"/>
    <n v="110.95"/>
    <n v="1"/>
    <n v="2.1779999999999999"/>
    <n v="1.9630464173050921"/>
  </r>
  <r>
    <s v="CA-2020-157966"/>
    <x v="52"/>
    <s v="SU-20665"/>
    <s v="Stephanie Ulpright"/>
    <s v="United States"/>
    <x v="3"/>
    <x v="1"/>
    <s v="Col-Erase Pencils with Erasers"/>
    <n v="134.45599999999999"/>
    <n v="4"/>
    <n v="2.1888000000000001"/>
    <n v="1.6278931397631942"/>
  </r>
  <r>
    <s v="CA-2020-130148"/>
    <x v="64"/>
    <s v="NK-18490"/>
    <s v="Neil Knudson"/>
    <s v="United States"/>
    <x v="2"/>
    <x v="1"/>
    <s v="Acme Value Line Scissors"/>
    <n v="109.3"/>
    <n v="2"/>
    <n v="2.19"/>
    <n v="2.0036596523330283"/>
  </r>
  <r>
    <s v="CA-2020-127264"/>
    <x v="502"/>
    <s v="SA-20830"/>
    <s v="Sue Ann Reed"/>
    <s v="United States"/>
    <x v="3"/>
    <x v="1"/>
    <s v="Prang Colored Pencils"/>
    <n v="80.055999999999997"/>
    <n v="3"/>
    <n v="2.2050000000000001"/>
    <n v="2.7543219746177674"/>
  </r>
  <r>
    <s v="CA-2020-110373"/>
    <x v="396"/>
    <s v="MA-17560"/>
    <s v="Matt Abelman"/>
    <s v="United States"/>
    <x v="3"/>
    <x v="1"/>
    <s v="Prang Colored Pencils"/>
    <n v="118.056"/>
    <n v="3"/>
    <n v="2.2050000000000001"/>
    <n v="1.8677576743240498"/>
  </r>
  <r>
    <s v="CA-2019-142958"/>
    <x v="503"/>
    <s v="RW-19630"/>
    <s v="Rob Williams"/>
    <s v="United States"/>
    <x v="2"/>
    <x v="1"/>
    <s v="Acco Pressboard Covers with Storage Hooks, 14 7/8&quot; x 11&quot;, Dark Blue"/>
    <n v="6.0960000000000001"/>
    <n v="2"/>
    <n v="2.2098"/>
    <n v="36.25"/>
  </r>
  <r>
    <s v="CA-2020-157987"/>
    <x v="149"/>
    <s v="AC-10615"/>
    <s v="Ann Chong"/>
    <s v="United States"/>
    <x v="0"/>
    <x v="1"/>
    <s v="BIC Brite Liner Grip Highlighters"/>
    <n v="95.92"/>
    <n v="3"/>
    <n v="2.214"/>
    <n v="2.3081734778982486"/>
  </r>
  <r>
    <s v="CA-2020-151799"/>
    <x v="55"/>
    <s v="BF-11170"/>
    <s v="Ben Ferrer"/>
    <s v="United States"/>
    <x v="0"/>
    <x v="1"/>
    <s v="Safco Industrial Shelving"/>
    <n v="289.85000000000002"/>
    <n v="1"/>
    <n v="2.2155"/>
    <n v="0.76436087631533545"/>
  </r>
  <r>
    <s v="CA-2020-161067"/>
    <x v="140"/>
    <s v="KB-16405"/>
    <s v="Katrina Bavinger"/>
    <s v="United States"/>
    <x v="0"/>
    <x v="1"/>
    <s v="Prang Drawing Pencil Set"/>
    <n v="97.56"/>
    <n v="2"/>
    <n v="2.2240000000000002"/>
    <n v="2.2796227962279625"/>
  </r>
  <r>
    <s v="CA-2019-130799"/>
    <x v="373"/>
    <s v="BK-11260"/>
    <s v="Berenike Kampe"/>
    <s v="United States"/>
    <x v="2"/>
    <x v="2"/>
    <s v="Eldon Regeneration Recycled Desk Accessories, Smoke"/>
    <n v="6.96"/>
    <n v="4"/>
    <n v="2.2271999999999998"/>
    <n v="32"/>
  </r>
  <r>
    <s v="CA-2020-139304"/>
    <x v="303"/>
    <s v="VG-21790"/>
    <s v="Vivek Gonzalez"/>
    <s v="United States"/>
    <x v="2"/>
    <x v="1"/>
    <s v="Acme Office Executive Series Stainless Steel Trimmers"/>
    <n v="117.57"/>
    <n v="1"/>
    <n v="2.2282000000000002"/>
    <n v="1.8952113634430556"/>
  </r>
  <r>
    <s v="CA-2020-151750"/>
    <x v="87"/>
    <s v="JM-15250"/>
    <s v="Janet Martin"/>
    <s v="United States"/>
    <x v="3"/>
    <x v="1"/>
    <s v="Fluorescent Highlighters by Dixon"/>
    <n v="93.736000000000004"/>
    <n v="4"/>
    <n v="2.2288000000000001"/>
    <n v="2.3777417427669199"/>
  </r>
  <r>
    <s v="CA-2020-144036"/>
    <x v="504"/>
    <s v="FO-14305"/>
    <s v="Frank Olsen"/>
    <s v="United States"/>
    <x v="3"/>
    <x v="1"/>
    <s v="Newell 314"/>
    <n v="207.71199999999999"/>
    <n v="8"/>
    <n v="2.2320000000000002"/>
    <n v="1.0745647820058544"/>
  </r>
  <r>
    <s v="CA-2020-103380"/>
    <x v="341"/>
    <s v="BF-11005"/>
    <s v="Barry Franz"/>
    <s v="United States"/>
    <x v="2"/>
    <x v="1"/>
    <s v="Acco Six-Outlet Power Strip, 4' Cord Length"/>
    <n v="108.62"/>
    <n v="1"/>
    <n v="2.2412000000000001"/>
    <n v="2.0633400846989507"/>
  </r>
  <r>
    <s v="CA-2020-137463"/>
    <x v="505"/>
    <s v="KM-16225"/>
    <s v="Kalyca Meade"/>
    <s v="United States"/>
    <x v="2"/>
    <x v="1"/>
    <s v="Accohide Poly Flexible Ring Binders"/>
    <n v="318.98399999999998"/>
    <n v="2"/>
    <n v="2.2440000000000002"/>
    <n v="0.70348356030396519"/>
  </r>
  <r>
    <s v="CA-2020-128370"/>
    <x v="8"/>
    <s v="FH-14275"/>
    <s v="Frank Hawley"/>
    <s v="United States"/>
    <x v="2"/>
    <x v="1"/>
    <s v="Avery Non-Stick Binders"/>
    <n v="113.184"/>
    <n v="2"/>
    <n v="2.2450000000000001"/>
    <n v="1.9834959004806336"/>
  </r>
  <r>
    <s v="CA-2019-109666"/>
    <x v="190"/>
    <s v="KM-16720"/>
    <s v="Kunst Miller"/>
    <s v="United States"/>
    <x v="0"/>
    <x v="1"/>
    <s v="Acme Kleen Earth Office Shears"/>
    <n v="7.76"/>
    <n v="2"/>
    <n v="2.2504"/>
    <n v="28.999999999999996"/>
  </r>
  <r>
    <s v="CA-2020-136448"/>
    <x v="35"/>
    <s v="AS-10090"/>
    <s v="Adam Shillingsburg"/>
    <s v="United States"/>
    <x v="0"/>
    <x v="2"/>
    <s v="Eldon Expressions Punched Metal &amp; Wood Desk Accessories, Black &amp; Cherry"/>
    <n v="149.512"/>
    <n v="3"/>
    <n v="2.2511999999999999"/>
    <n v="1.5056985392476856"/>
  </r>
  <r>
    <s v="CA-2019-169887"/>
    <x v="506"/>
    <s v="MS-17530"/>
    <s v="MaryBeth Skach"/>
    <s v="United States"/>
    <x v="2"/>
    <x v="1"/>
    <s v="Prang Drawing Pencil Set"/>
    <n v="8.34"/>
    <n v="3"/>
    <n v="2.2517999999999998"/>
    <n v="26.999999999999996"/>
  </r>
  <r>
    <s v="CA-2019-154767"/>
    <x v="507"/>
    <s v="BP-11155"/>
    <s v="Becky Pak"/>
    <s v="United States"/>
    <x v="0"/>
    <x v="1"/>
    <s v="Disposable Triple-Filter Dust Bags"/>
    <n v="8.74"/>
    <n v="2"/>
    <n v="2.2724000000000002"/>
    <n v="26"/>
  </r>
  <r>
    <s v="CA-2019-130778"/>
    <x v="319"/>
    <s v="ND-18370"/>
    <s v="Natalie DeCherney"/>
    <s v="United States"/>
    <x v="0"/>
    <x v="1"/>
    <s v="Disposable Triple-Filter Dust Bags"/>
    <n v="8.74"/>
    <n v="2"/>
    <n v="2.2724000000000002"/>
    <n v="26"/>
  </r>
  <r>
    <s v="CA-2019-135776"/>
    <x v="39"/>
    <s v="EH-13765"/>
    <s v="Edward Hooks"/>
    <s v="United States"/>
    <x v="2"/>
    <x v="1"/>
    <s v="SAFCO Boltless Steel Shelving"/>
    <n v="227.28"/>
    <n v="2"/>
    <n v="2.2728000000000002"/>
    <n v="1"/>
  </r>
  <r>
    <s v="CA-2019-116526"/>
    <x v="391"/>
    <s v="JA-15970"/>
    <s v="Joseph Airdo"/>
    <s v="United States"/>
    <x v="3"/>
    <x v="0"/>
    <s v="Belkin Grip Candy Sheer Case / Cover for iPhone 5 and 5S"/>
    <n v="8.7799999999999994"/>
    <n v="1"/>
    <n v="2.2827999999999999"/>
    <n v="26"/>
  </r>
  <r>
    <s v="US-2019-125402"/>
    <x v="81"/>
    <s v="DL-12865"/>
    <s v="Dan Lawera"/>
    <s v="United States"/>
    <x v="2"/>
    <x v="1"/>
    <s v="Avery 513"/>
    <n v="4.9800000000000004"/>
    <n v="1"/>
    <n v="2.2907999999999999"/>
    <n v="46"/>
  </r>
  <r>
    <s v="CA-2019-134425"/>
    <x v="83"/>
    <s v="QJ-19255"/>
    <s v="Quincy Jones"/>
    <s v="United States"/>
    <x v="3"/>
    <x v="0"/>
    <s v="Motorola HK250 Universal Bluetooth Headset"/>
    <n v="114.95"/>
    <n v="5"/>
    <n v="2.2989999999999999"/>
    <n v="2"/>
  </r>
  <r>
    <s v="CA-2020-117401"/>
    <x v="352"/>
    <s v="PP-18955"/>
    <s v="Paul Prost"/>
    <s v="United States"/>
    <x v="3"/>
    <x v="0"/>
    <s v="Motorola HK250 Universal Bluetooth Headset"/>
    <n v="156.94999999999999"/>
    <n v="5"/>
    <n v="2.2989999999999999"/>
    <n v="1.4647977062758841"/>
  </r>
  <r>
    <s v="CA-2019-153346"/>
    <x v="143"/>
    <s v="TB-21355"/>
    <s v="Todd Boyes"/>
    <s v="United States"/>
    <x v="0"/>
    <x v="1"/>
    <s v="Dixon Ticonderoga Maple Cedar Pencil, #2"/>
    <n v="9.2100000000000009"/>
    <n v="3"/>
    <n v="2.3025000000000002"/>
    <n v="25"/>
  </r>
  <r>
    <s v="CA-2020-164364"/>
    <x v="151"/>
    <s v="CS-12355"/>
    <s v="Christine Sundaresam"/>
    <s v="United States"/>
    <x v="2"/>
    <x v="1"/>
    <s v="Dixon Ticonderoga Maple Cedar Pencil, #2"/>
    <n v="88.21"/>
    <n v="3"/>
    <n v="2.3025000000000002"/>
    <n v="2.6102482711710695"/>
  </r>
  <r>
    <s v="CA-2019-100041"/>
    <x v="165"/>
    <s v="BF-10975"/>
    <s v="Barbara Fisher"/>
    <s v="United States"/>
    <x v="3"/>
    <x v="1"/>
    <s v="Pressboard Covers with Storage Hooks, 9 1/2&quot; x 11&quot;, Light Blue"/>
    <n v="4.91"/>
    <n v="1"/>
    <n v="2.3077000000000001"/>
    <n v="47"/>
  </r>
  <r>
    <s v="CA-2019-133872"/>
    <x v="129"/>
    <s v="VM-21835"/>
    <s v="Vivian Mathis"/>
    <s v="United States"/>
    <x v="1"/>
    <x v="0"/>
    <s v="Verbatim Slim CD and DVD Storage Cases, 50/Pack"/>
    <n v="18.463999999999999"/>
    <n v="2"/>
    <n v="2.3079999999999998"/>
    <n v="12.5"/>
  </r>
  <r>
    <s v="CA-2019-129714"/>
    <x v="391"/>
    <s v="AB-10060"/>
    <s v="Adam Bellavance"/>
    <s v="United States"/>
    <x v="0"/>
    <x v="0"/>
    <s v="Sabrent 4-Port USB 2.0 Hub"/>
    <n v="6.79"/>
    <n v="1"/>
    <n v="2.3086000000000002"/>
    <n v="34"/>
  </r>
  <r>
    <s v="CA-2020-157252"/>
    <x v="477"/>
    <s v="CV-12805"/>
    <s v="Cynthia Voltz"/>
    <s v="United States"/>
    <x v="0"/>
    <x v="2"/>
    <s v="Global Deluxe Steno Chair"/>
    <n v="240.846"/>
    <n v="3"/>
    <n v="2.3094000000000001"/>
    <n v="0.95886998330883633"/>
  </r>
  <r>
    <s v="CA-2020-166184"/>
    <x v="473"/>
    <s v="HR-14830"/>
    <s v="Harold Ryan"/>
    <s v="United States"/>
    <x v="0"/>
    <x v="2"/>
    <s v="Global Deluxe Steno Chair"/>
    <n v="235.846"/>
    <n v="3"/>
    <n v="2.3094000000000001"/>
    <n v="0.97919829040984374"/>
  </r>
  <r>
    <s v="CA-2019-103163"/>
    <x v="490"/>
    <s v="FM-14290"/>
    <s v="Frank Merwin"/>
    <s v="United States"/>
    <x v="2"/>
    <x v="1"/>
    <s v="While You Were Out Pads, 50 per Pad, 4 x 5 1/4, Green Cycle"/>
    <n v="4.7300000000000004"/>
    <n v="1"/>
    <n v="2.3176999999999999"/>
    <n v="48.999999999999993"/>
  </r>
  <r>
    <s v="CA-2020-132521"/>
    <x v="71"/>
    <s v="DW-13540"/>
    <s v="Don Weiss"/>
    <s v="United States"/>
    <x v="2"/>
    <x v="1"/>
    <s v="Avery Printable Repositionable Plastic Tabs"/>
    <n v="100.88"/>
    <n v="1"/>
    <n v="2.3220000000000001"/>
    <n v="2.3017446471054721"/>
  </r>
  <r>
    <s v="CA-2020-144820"/>
    <x v="378"/>
    <s v="LW-16825"/>
    <s v="Laurel Workman"/>
    <s v="United States"/>
    <x v="3"/>
    <x v="1"/>
    <s v="Colorific Watercolor Pencils"/>
    <n v="112.64"/>
    <n v="5"/>
    <n v="2.3220000000000001"/>
    <n v="2.0614346590909092"/>
  </r>
  <r>
    <s v="CA-2019-168844"/>
    <x v="227"/>
    <s v="NM-18520"/>
    <s v="Neoma Murray"/>
    <s v="United States"/>
    <x v="0"/>
    <x v="1"/>
    <s v="Avery Hidden Tab Dividers for Binding Systems"/>
    <n v="7.1520000000000001"/>
    <n v="3"/>
    <n v="2.3243999999999998"/>
    <n v="32.499999999999993"/>
  </r>
  <r>
    <s v="CA-2020-121048"/>
    <x v="38"/>
    <s v="TC-21295"/>
    <s v="Toby Carlisle"/>
    <s v="United States"/>
    <x v="2"/>
    <x v="1"/>
    <s v="OIC Binder Clips, Mini, 1/4&quot; Capacity, Black"/>
    <n v="87.96"/>
    <n v="4"/>
    <n v="2.3311999999999999"/>
    <n v="2.6502955889040476"/>
  </r>
  <r>
    <s v="CA-2019-145261"/>
    <x v="60"/>
    <s v="AH-10120"/>
    <s v="Adrian Hane"/>
    <s v="United States"/>
    <x v="2"/>
    <x v="1"/>
    <s v="Newell 312"/>
    <n v="18.687999999999999"/>
    <n v="4"/>
    <n v="2.3359999999999999"/>
    <n v="12.5"/>
  </r>
  <r>
    <s v="CA-2020-104318"/>
    <x v="124"/>
    <s v="FH-14275"/>
    <s v="Frank Hawley"/>
    <s v="United States"/>
    <x v="1"/>
    <x v="1"/>
    <s v="Fellowes Basic Home/Office Series Surge Protectors"/>
    <n v="104.768"/>
    <n v="2"/>
    <n v="2.3363999999999998"/>
    <n v="2.2300702504581551"/>
  </r>
  <r>
    <s v="CA-2020-127313"/>
    <x v="265"/>
    <s v="RA-19285"/>
    <s v="Ralph Arnett"/>
    <s v="United States"/>
    <x v="0"/>
    <x v="1"/>
    <s v="Personal File Boxes with Fold-Down Carry Handle"/>
    <n v="150.392"/>
    <n v="3"/>
    <n v="2.3370000000000002"/>
    <n v="1.5539390393106018"/>
  </r>
  <r>
    <s v="CA-2020-164000"/>
    <x v="339"/>
    <s v="AH-10030"/>
    <s v="Aaron Hawkins"/>
    <s v="United States"/>
    <x v="0"/>
    <x v="1"/>
    <s v="Avery Fluorescent Highlighter Four-Color Set"/>
    <n v="342.70400000000001"/>
    <n v="7"/>
    <n v="2.3380000000000001"/>
    <n v="0.68222139222185907"/>
  </r>
  <r>
    <s v="CA-2019-146374"/>
    <x v="444"/>
    <s v="HE-14800"/>
    <s v="Harold Engle"/>
    <s v="United States"/>
    <x v="0"/>
    <x v="1"/>
    <s v="Easy-staple paper"/>
    <n v="4.9800000000000004"/>
    <n v="1"/>
    <n v="2.3405999999999998"/>
    <n v="46.999999999999993"/>
  </r>
  <r>
    <s v="US-2019-123610"/>
    <x v="310"/>
    <s v="VM-21835"/>
    <s v="Vivian Mathis"/>
    <s v="United States"/>
    <x v="2"/>
    <x v="1"/>
    <s v="Staple holder"/>
    <n v="8.67"/>
    <n v="1"/>
    <n v="2.3409"/>
    <n v="27"/>
  </r>
  <r>
    <s v="CA-2019-160500"/>
    <x v="415"/>
    <s v="DM-13015"/>
    <s v="Darrin Martin"/>
    <s v="United States"/>
    <x v="2"/>
    <x v="1"/>
    <s v="Computer Printout Index Tabs"/>
    <n v="6.72"/>
    <n v="5"/>
    <n v="2.3519999999999999"/>
    <n v="35"/>
  </r>
  <r>
    <s v="CA-2020-124401"/>
    <x v="266"/>
    <s v="RD-19900"/>
    <s v="Ruben Dartt"/>
    <s v="United States"/>
    <x v="2"/>
    <x v="1"/>
    <s v="Hanging Personal Folder File"/>
    <n v="130.68"/>
    <n v="3"/>
    <n v="2.355"/>
    <n v="1.8021120293847566"/>
  </r>
  <r>
    <s v="CA-2020-105480"/>
    <x v="508"/>
    <s v="DK-13225"/>
    <s v="Dean Katz"/>
    <s v="United States"/>
    <x v="0"/>
    <x v="1"/>
    <s v="Wilson Jones Leather-Like Binders with DublLock Round Rings"/>
    <n v="3269.9839999999999"/>
    <n v="1"/>
    <n v="2.3571"/>
    <n v="7.2082921506649578E-2"/>
  </r>
  <r>
    <s v="CA-2020-130904"/>
    <x v="320"/>
    <s v="HM-14980"/>
    <s v="Henry MacAllister"/>
    <s v="United States"/>
    <x v="1"/>
    <x v="1"/>
    <s v="Newell 321"/>
    <n v="97.992000000000004"/>
    <n v="8"/>
    <n v="2.3616000000000001"/>
    <n v="2.4099926524614257"/>
  </r>
  <r>
    <s v="CA-2019-160129"/>
    <x v="509"/>
    <s v="LS-17200"/>
    <s v="Luke Schmidt"/>
    <s v="United States"/>
    <x v="0"/>
    <x v="1"/>
    <s v="Advantus Map Pennant Flags and Round Head Tacks"/>
    <n v="15.8"/>
    <n v="5"/>
    <n v="2.37"/>
    <n v="15"/>
  </r>
  <r>
    <s v="CA-2019-131065"/>
    <x v="296"/>
    <s v="AA-10375"/>
    <s v="Allen Armold"/>
    <s v="United States"/>
    <x v="1"/>
    <x v="1"/>
    <s v="Xerox 4200 Series MultiUse Premium Copy Paper (20Lb. and 84 Bright)"/>
    <n v="5.28"/>
    <n v="1"/>
    <n v="2.3759999999999999"/>
    <n v="44.999999999999993"/>
  </r>
  <r>
    <s v="CA-2020-155460"/>
    <x v="228"/>
    <s v="RW-19630"/>
    <s v="Rob Williams"/>
    <s v="United States"/>
    <x v="2"/>
    <x v="1"/>
    <s v="Xerox 4200 Series MultiUse Premium Copy Paper (20Lb. and 84 Bright)"/>
    <n v="103.28"/>
    <n v="1"/>
    <n v="2.3759999999999999"/>
    <n v="2.3005422153369484"/>
  </r>
  <r>
    <s v="CA-2020-134194"/>
    <x v="141"/>
    <s v="GA-14725"/>
    <s v="Guy Armstrong"/>
    <s v="United States"/>
    <x v="3"/>
    <x v="1"/>
    <s v="Newell 34"/>
    <n v="302.74400000000003"/>
    <n v="2"/>
    <n v="2.3807999999999998"/>
    <n v="0.78640699733107822"/>
  </r>
  <r>
    <s v="CA-2019-127250"/>
    <x v="65"/>
    <s v="SF-20200"/>
    <s v="Sarah Foster"/>
    <s v="United States"/>
    <x v="2"/>
    <x v="1"/>
    <s v="Newell 332"/>
    <n v="8.82"/>
    <n v="3"/>
    <n v="2.3814000000000002"/>
    <n v="27"/>
  </r>
  <r>
    <s v="CA-2020-112725"/>
    <x v="178"/>
    <s v="EH-14125"/>
    <s v="Eugene Hildebrand"/>
    <s v="United States"/>
    <x v="2"/>
    <x v="1"/>
    <s v="Newell 338"/>
    <n v="131.82"/>
    <n v="3"/>
    <n v="2.3814000000000002"/>
    <n v="1.806554392353209"/>
  </r>
  <r>
    <s v="CA-2020-106180"/>
    <x v="406"/>
    <s v="SH-19975"/>
    <s v="Sally Hughsby"/>
    <s v="United States"/>
    <x v="2"/>
    <x v="1"/>
    <s v="Newell 343"/>
    <n v="116.82"/>
    <n v="3"/>
    <n v="2.3814000000000002"/>
    <n v="2.0385208012326661"/>
  </r>
  <r>
    <s v="CA-2019-117625"/>
    <x v="125"/>
    <s v="GM-14500"/>
    <s v="Gene McClure"/>
    <s v="United States"/>
    <x v="3"/>
    <x v="1"/>
    <s v="Grip Seal Envelopes"/>
    <n v="7.0720000000000001"/>
    <n v="2"/>
    <n v="2.3868"/>
    <n v="33.75"/>
  </r>
  <r>
    <s v="CA-2020-155929"/>
    <x v="37"/>
    <s v="AI-10855"/>
    <s v="Arianne Irving"/>
    <s v="United States"/>
    <x v="2"/>
    <x v="1"/>
    <s v="Unpadded Memo Slips"/>
    <n v="73.367999999999995"/>
    <n v="2"/>
    <n v="2.3879999999999999"/>
    <n v="3.2548249918220482"/>
  </r>
  <r>
    <s v="CA-2019-109057"/>
    <x v="16"/>
    <s v="TT-21460"/>
    <s v="Tonja Turnell"/>
    <s v="United States"/>
    <x v="3"/>
    <x v="1"/>
    <s v="Pizazz Global Quick File"/>
    <n v="23.952000000000002"/>
    <n v="2"/>
    <n v="2.3952"/>
    <n v="10"/>
  </r>
  <r>
    <s v="CA-2019-117408"/>
    <x v="510"/>
    <s v="TP-21130"/>
    <s v="Theone Pippenger"/>
    <s v="United States"/>
    <x v="3"/>
    <x v="1"/>
    <s v="Super Decoflex Portable Personal File"/>
    <n v="23.968"/>
    <n v="2"/>
    <n v="2.3967999999999998"/>
    <n v="10"/>
  </r>
  <r>
    <s v="US-2020-129441"/>
    <x v="266"/>
    <s v="JC-15340"/>
    <s v="Jasper Cacioppo"/>
    <s v="United States"/>
    <x v="2"/>
    <x v="2"/>
    <s v="Tenex Chairmats For Use With Carpeted Floors"/>
    <n v="142.94"/>
    <n v="3"/>
    <n v="2.3969999999999998"/>
    <n v="1.6769273821183712"/>
  </r>
  <r>
    <s v="CA-2020-121468"/>
    <x v="4"/>
    <s v="KD-16345"/>
    <s v="Katherine Ducich"/>
    <s v="United States"/>
    <x v="2"/>
    <x v="0"/>
    <s v="Square Credit Card Reader"/>
    <n v="149.96799999999999"/>
    <n v="4"/>
    <n v="2.3976000000000002"/>
    <n v="1.5987410647604825"/>
  </r>
  <r>
    <s v="CA-2020-127705"/>
    <x v="421"/>
    <s v="AB-10255"/>
    <s v="Alejandro Ballentine"/>
    <s v="United States"/>
    <x v="0"/>
    <x v="1"/>
    <s v="Advantus Rolling Storage Box"/>
    <n v="124.44"/>
    <n v="2"/>
    <n v="2.4009999999999998"/>
    <n v="1.9294439087110253"/>
  </r>
  <r>
    <s v="CA-2020-144064"/>
    <x v="388"/>
    <s v="CP-12085"/>
    <s v="Cathy Prescott"/>
    <s v="United States"/>
    <x v="3"/>
    <x v="1"/>
    <s v="Advantus Rolling Storage Box"/>
    <n v="93.44"/>
    <n v="2"/>
    <n v="2.4009999999999998"/>
    <n v="2.5695633561643834"/>
  </r>
  <r>
    <s v="CA-2020-131653"/>
    <x v="303"/>
    <s v="RD-19585"/>
    <s v="Rob Dowd"/>
    <s v="United States"/>
    <x v="0"/>
    <x v="1"/>
    <s v="Permanent Self-Adhesive File Folder Labels for Typewriters by Universal"/>
    <n v="85.22"/>
    <n v="2"/>
    <n v="2.4011999999999998"/>
    <n v="2.8176484393334893"/>
  </r>
  <r>
    <s v="CA-2020-126718"/>
    <x v="176"/>
    <s v="KT-16480"/>
    <s v="Kean Thornton"/>
    <s v="United States"/>
    <x v="0"/>
    <x v="1"/>
    <s v="Color-Coded Legal Exhibit Labels"/>
    <n v="106.91"/>
    <n v="1"/>
    <n v="2.4058999999999999"/>
    <n v="2.2503975306332431"/>
  </r>
  <r>
    <s v="CA-2020-166499"/>
    <x v="120"/>
    <s v="VG-21805"/>
    <s v="Vivek Grady"/>
    <s v="United States"/>
    <x v="0"/>
    <x v="1"/>
    <s v="Dixon Ticonderoga Pencils"/>
    <n v="90.94"/>
    <n v="3"/>
    <n v="2.4138000000000002"/>
    <n v="2.6542775456344847"/>
  </r>
  <r>
    <s v="US-2020-141677"/>
    <x v="74"/>
    <s v="HK-14890"/>
    <s v="Heather Kirkland"/>
    <s v="United States"/>
    <x v="3"/>
    <x v="1"/>
    <s v="Neat Ideas Personal Hanging Folder Files, Black"/>
    <n v="133.232"/>
    <n v="3"/>
    <n v="2.4174000000000002"/>
    <n v="1.814428966014171"/>
  </r>
  <r>
    <s v="CA-2019-128517"/>
    <x v="511"/>
    <s v="SW-20350"/>
    <s v="Sean Wendt"/>
    <s v="United States"/>
    <x v="3"/>
    <x v="1"/>
    <s v="Storex Flexible Poly Binders with Double Pockets"/>
    <n v="5.28"/>
    <n v="2"/>
    <n v="2.4287999999999998"/>
    <n v="46"/>
  </r>
  <r>
    <s v="CA-2019-154403"/>
    <x v="282"/>
    <s v="AP-10720"/>
    <s v="Anne Pryor"/>
    <s v="United States"/>
    <x v="1"/>
    <x v="1"/>
    <s v="Xerox 1949"/>
    <n v="4.9800000000000004"/>
    <n v="1"/>
    <n v="2.4401999999999999"/>
    <n v="48.999999999999993"/>
  </r>
  <r>
    <s v="CA-2020-165715"/>
    <x v="18"/>
    <s v="BG-11035"/>
    <s v="Barry Gonzalez"/>
    <s v="United States"/>
    <x v="1"/>
    <x v="1"/>
    <s v="Sanford 52201 APSCO Electric Pencil Sharpener"/>
    <n v="93.775999999999996"/>
    <n v="1"/>
    <n v="2.4582000000000002"/>
    <n v="2.6213530114314967"/>
  </r>
  <r>
    <s v="CA-2020-144694"/>
    <x v="64"/>
    <s v="BD-11605"/>
    <s v="Brian Dahlen"/>
    <s v="United States"/>
    <x v="1"/>
    <x v="0"/>
    <s v="Verbatim 25 GB 6x Blu-ray Single Layer Recordable Disc, 1/Pack"/>
    <n v="114.88"/>
    <n v="3"/>
    <n v="2.4584999999999999"/>
    <n v="2.1400591922005572"/>
  </r>
  <r>
    <s v="CA-2020-143112"/>
    <x v="188"/>
    <s v="TS-21370"/>
    <s v="Todd Sumrall"/>
    <s v="United States"/>
    <x v="0"/>
    <x v="2"/>
    <s v="Global High-Back Leather Tilter, Burgundy"/>
    <n v="247.38200000000001"/>
    <n v="2"/>
    <n v="2.4598"/>
    <n v="0.9943326515267884"/>
  </r>
  <r>
    <s v="CA-2020-101049"/>
    <x v="239"/>
    <s v="AS-10240"/>
    <s v="Alan Shonely"/>
    <s v="United States"/>
    <x v="0"/>
    <x v="2"/>
    <s v="Stacking Tray, Side-Loading, Legal, Smoke"/>
    <n v="139.91999999999999"/>
    <n v="5"/>
    <n v="2.464"/>
    <n v="1.7610062893081764"/>
  </r>
  <r>
    <s v="US-2019-117037"/>
    <x v="297"/>
    <s v="LW-17215"/>
    <s v="Luke Weiss"/>
    <s v="United States"/>
    <x v="3"/>
    <x v="1"/>
    <s v="Acco Hot Clips Clips to Go"/>
    <n v="7.8959999999999999"/>
    <n v="3"/>
    <n v="2.4674999999999998"/>
    <n v="31.25"/>
  </r>
  <r>
    <s v="CA-2019-131289"/>
    <x v="83"/>
    <s v="SP-20620"/>
    <s v="Stefania Perrino"/>
    <s v="United States"/>
    <x v="2"/>
    <x v="1"/>
    <s v="Newell 341"/>
    <n v="8.56"/>
    <n v="2"/>
    <n v="2.4824000000000002"/>
    <n v="28.999999999999996"/>
  </r>
  <r>
    <s v="CA-2020-103065"/>
    <x v="170"/>
    <s v="PT-19090"/>
    <s v="Pete Takahito"/>
    <s v="United States"/>
    <x v="1"/>
    <x v="1"/>
    <s v="REDIFORM Incoming/Outgoing Call Register, 11&quot; X 8 1/2&quot;, 100 Messages"/>
    <n v="108.672"/>
    <n v="1"/>
    <n v="2.5019999999999998"/>
    <n v="2.3023409893992932"/>
  </r>
  <r>
    <s v="CA-2019-107216"/>
    <x v="129"/>
    <s v="PV-18985"/>
    <s v="Paul Van Hugh"/>
    <s v="United States"/>
    <x v="2"/>
    <x v="1"/>
    <s v="Newell 346"/>
    <n v="8.64"/>
    <n v="3"/>
    <n v="2.5055999999999998"/>
    <n v="28.999999999999996"/>
  </r>
  <r>
    <s v="CA-2019-114601"/>
    <x v="261"/>
    <s v="AA-10480"/>
    <s v="Andrew Allen"/>
    <s v="United States"/>
    <x v="3"/>
    <x v="1"/>
    <s v="Newell 335"/>
    <n v="8.64"/>
    <n v="3"/>
    <n v="2.5055999999999998"/>
    <n v="28.999999999999996"/>
  </r>
  <r>
    <s v="CA-2020-158106"/>
    <x v="318"/>
    <s v="CT-11995"/>
    <s v="Carol Triggs"/>
    <s v="United States"/>
    <x v="3"/>
    <x v="1"/>
    <s v="Newell 346"/>
    <n v="118.64"/>
    <n v="3"/>
    <n v="2.5055999999999998"/>
    <n v="2.1119352663519888"/>
  </r>
  <r>
    <s v="US-2020-150595"/>
    <x v="195"/>
    <s v="LE-16810"/>
    <s v="Laurel Elliston"/>
    <s v="United States"/>
    <x v="3"/>
    <x v="1"/>
    <s v="Acme Forged Steel Scissors with Black Enamel Handles"/>
    <n v="116.34399999999999"/>
    <n v="3"/>
    <n v="2.5137"/>
    <n v="2.1605755346214677"/>
  </r>
  <r>
    <s v="CA-2019-114405"/>
    <x v="474"/>
    <s v="AS-10240"/>
    <s v="Alan Shonely"/>
    <s v="United States"/>
    <x v="0"/>
    <x v="1"/>
    <s v="Belkin 7-Outlet SurgeMaster Home Series"/>
    <n v="33.527999999999999"/>
    <n v="3"/>
    <n v="2.5146000000000002"/>
    <n v="7.5000000000000009"/>
  </r>
  <r>
    <s v="CA-2020-113572"/>
    <x v="117"/>
    <s v="FP-14320"/>
    <s v="Frank Preis"/>
    <s v="United States"/>
    <x v="0"/>
    <x v="0"/>
    <s v="Maxell CD-R Discs"/>
    <n v="86.88"/>
    <n v="4"/>
    <n v="2.5215999999999998"/>
    <n v="2.9023941068139965"/>
  </r>
  <r>
    <s v="CA-2020-168123"/>
    <x v="512"/>
    <s v="JD-16060"/>
    <s v="Julia Dunbar"/>
    <s v="United States"/>
    <x v="3"/>
    <x v="1"/>
    <s v="Advantus Map Pennant Flags and Round Head Tacks"/>
    <n v="112.9"/>
    <n v="2"/>
    <n v="2.528"/>
    <n v="2.2391496899911423"/>
  </r>
  <r>
    <s v="CA-2019-131205"/>
    <x v="478"/>
    <s v="AA-10645"/>
    <s v="Anna Andreadi"/>
    <s v="United States"/>
    <x v="1"/>
    <x v="1"/>
    <s v="Nontoxic Chalk"/>
    <n v="5.28"/>
    <n v="3"/>
    <n v="2.5344000000000002"/>
    <n v="48.000000000000007"/>
  </r>
  <r>
    <s v="CA-2020-113278"/>
    <x v="325"/>
    <s v="HR-14770"/>
    <s v="Hallie Redmond"/>
    <s v="United States"/>
    <x v="3"/>
    <x v="0"/>
    <s v="Imation USB 2.0 Swivel Flash Drive USB flash drive - 4 GB - Pink"/>
    <n v="102.12"/>
    <n v="4"/>
    <n v="2.5451999999999999"/>
    <n v="2.4923619271445356"/>
  </r>
  <r>
    <s v="CA-2019-114538"/>
    <x v="386"/>
    <s v="RC-19825"/>
    <s v="Roy Collins"/>
    <s v="United States"/>
    <x v="2"/>
    <x v="1"/>
    <s v="SANFORD Major Accent Highlighters"/>
    <n v="11.327999999999999"/>
    <n v="2"/>
    <n v="2.5488"/>
    <n v="22.5"/>
  </r>
  <r>
    <s v="US-2020-107384"/>
    <x v="57"/>
    <s v="TP-21130"/>
    <s v="Theone Pippenger"/>
    <s v="United States"/>
    <x v="3"/>
    <x v="1"/>
    <s v="Newell 310"/>
    <n v="93.8"/>
    <n v="5"/>
    <n v="2.552"/>
    <n v="2.7206823027718552"/>
  </r>
  <r>
    <s v="CA-2020-144932"/>
    <x v="249"/>
    <s v="AB-10165"/>
    <s v="Alan Barnes"/>
    <s v="United States"/>
    <x v="0"/>
    <x v="1"/>
    <s v="Zebra Zazzle Fluorescent Highlighters"/>
    <n v="95.591999999999999"/>
    <n v="3"/>
    <n v="2.5535999999999999"/>
    <n v="2.6713532513181018"/>
  </r>
  <r>
    <s v="CA-2019-135776"/>
    <x v="39"/>
    <s v="EH-13765"/>
    <s v="Edward Hooks"/>
    <s v="United States"/>
    <x v="2"/>
    <x v="1"/>
    <s v="Newell 317"/>
    <n v="8.82"/>
    <n v="3"/>
    <n v="2.5577999999999999"/>
    <n v="28.999999999999996"/>
  </r>
  <r>
    <s v="CA-2019-126732"/>
    <x v="110"/>
    <s v="LR-16915"/>
    <s v="Lena Radford"/>
    <s v="United States"/>
    <x v="2"/>
    <x v="1"/>
    <s v="SpineVue Locking Slant-D Ring Binders by Cardinal"/>
    <n v="7.3120000000000003"/>
    <n v="1"/>
    <n v="2.5592000000000001"/>
    <n v="35"/>
  </r>
  <r>
    <s v="CA-2019-129693"/>
    <x v="127"/>
    <s v="TC-20980"/>
    <s v="Tamara Chand"/>
    <s v="United States"/>
    <x v="2"/>
    <x v="1"/>
    <s v="Newell 3-Hole Punched Plastic Slotted Magazine Holders for Binders"/>
    <n v="7.3120000000000003"/>
    <n v="2"/>
    <n v="2.5592000000000001"/>
    <n v="35"/>
  </r>
  <r>
    <s v="CA-2020-101945"/>
    <x v="225"/>
    <s v="GT-14710"/>
    <s v="Greg Tran"/>
    <s v="United States"/>
    <x v="3"/>
    <x v="1"/>
    <s v="Advantus T-Pin Paper Clips"/>
    <n v="99.823999999999998"/>
    <n v="3"/>
    <n v="2.5707"/>
    <n v="2.5752324090399101"/>
  </r>
  <r>
    <s v="CA-2020-102414"/>
    <x v="403"/>
    <s v="JA-15970"/>
    <s v="Joseph Airdo"/>
    <s v="United States"/>
    <x v="2"/>
    <x v="0"/>
    <s v="Logitech B530 USB Headset - headset - Full size, Binaural"/>
    <n v="117.592"/>
    <n v="1"/>
    <n v="2.5893000000000002"/>
    <n v="2.2019355058167225"/>
  </r>
  <r>
    <s v="CA-2020-100314"/>
    <x v="86"/>
    <s v="AS-10630"/>
    <s v="Ann Steele"/>
    <s v="United States"/>
    <x v="3"/>
    <x v="1"/>
    <s v="Avery 499"/>
    <n v="93.968000000000004"/>
    <n v="2"/>
    <n v="2.5895999999999999"/>
    <n v="2.7558317725183037"/>
  </r>
  <r>
    <s v="CA-2019-114307"/>
    <x v="448"/>
    <s v="MF-17665"/>
    <s v="Maureen Fritzler"/>
    <s v="United States"/>
    <x v="0"/>
    <x v="1"/>
    <s v="Wilson Jones Easy Flow II Sheet Lifters"/>
    <n v="5.4"/>
    <n v="3"/>
    <n v="2.5920000000000001"/>
    <n v="48"/>
  </r>
  <r>
    <s v="CA-2020-142776"/>
    <x v="33"/>
    <s v="RS-19870"/>
    <s v="Roy Skaria"/>
    <s v="United States"/>
    <x v="3"/>
    <x v="1"/>
    <s v="Wilson Jones Easy Flow II Sheet Lifters"/>
    <n v="449.4"/>
    <n v="3"/>
    <n v="2.5920000000000001"/>
    <n v="0.57676902536715624"/>
  </r>
  <r>
    <s v="CA-2020-162474"/>
    <x v="52"/>
    <s v="FH-14275"/>
    <s v="Frank Hawley"/>
    <s v="United States"/>
    <x v="3"/>
    <x v="0"/>
    <s v="PowerGen Dual USB Car Charger"/>
    <n v="116.992"/>
    <n v="1"/>
    <n v="2.5973999999999999"/>
    <n v="2.2201518052516409"/>
  </r>
  <r>
    <s v="CA-2019-137204"/>
    <x v="252"/>
    <s v="BO-11350"/>
    <s v="Bill Overfelt"/>
    <s v="United States"/>
    <x v="2"/>
    <x v="2"/>
    <s v="Global Stack Chair without Arms, Black"/>
    <n v="41.567999999999998"/>
    <n v="2"/>
    <n v="2.5979999999999999"/>
    <n v="6.25"/>
  </r>
  <r>
    <s v="CA-2019-130477"/>
    <x v="5"/>
    <s v="LC-17140"/>
    <s v="Logan Currie"/>
    <s v="United States"/>
    <x v="2"/>
    <x v="1"/>
    <s v="Fellowes Neat Ideas Storage Cubes"/>
    <n v="64.959999999999994"/>
    <n v="2"/>
    <n v="2.5983999999999998"/>
    <n v="4"/>
  </r>
  <r>
    <s v="CA-2019-164511"/>
    <x v="319"/>
    <s v="DJ-13630"/>
    <s v="Doug Jacobs"/>
    <s v="United States"/>
    <x v="0"/>
    <x v="1"/>
    <s v="Fellowes Neat Ideas Storage Cubes"/>
    <n v="64.959999999999994"/>
    <n v="2"/>
    <n v="2.5983999999999998"/>
    <n v="4"/>
  </r>
  <r>
    <s v="CA-2019-145709"/>
    <x v="285"/>
    <s v="AH-10690"/>
    <s v="Anna Häberlin"/>
    <s v="United States"/>
    <x v="1"/>
    <x v="2"/>
    <s v="Magna Visual Magnetic Picture Hangers"/>
    <n v="11.568"/>
    <n v="3"/>
    <n v="2.6027999999999998"/>
    <n v="22.499999999999996"/>
  </r>
  <r>
    <s v="CA-2020-143567"/>
    <x v="88"/>
    <s v="TB-21175"/>
    <s v="Thomas Boland"/>
    <s v="United States"/>
    <x v="1"/>
    <x v="1"/>
    <s v="Letter or Legal Size Expandable Poly String Tie Envelopes"/>
    <n v="110.32"/>
    <n v="2"/>
    <n v="2.6067999999999998"/>
    <n v="2.3629441624365479"/>
  </r>
  <r>
    <s v="CA-2019-108105"/>
    <x v="75"/>
    <s v="GW-14605"/>
    <s v="Giulietta Weimer"/>
    <s v="United States"/>
    <x v="1"/>
    <x v="1"/>
    <s v="Wilson Jones “Snap” Scratch Pad Binder Tool for Ring Binders"/>
    <n v="5.8"/>
    <n v="1"/>
    <n v="2.61"/>
    <n v="45"/>
  </r>
  <r>
    <s v="CA-2020-121580"/>
    <x v="201"/>
    <s v="ML-17410"/>
    <s v="Maris LaWare"/>
    <s v="United States"/>
    <x v="3"/>
    <x v="2"/>
    <s v="Eldon Wave Desk Accessories"/>
    <n v="113.24"/>
    <n v="3"/>
    <n v="2.6208"/>
    <n v="2.3143765453903216"/>
  </r>
  <r>
    <s v="CA-2019-168893"/>
    <x v="65"/>
    <s v="AP-10915"/>
    <s v="Arthur Prichep"/>
    <s v="United States"/>
    <x v="1"/>
    <x v="1"/>
    <s v="Boston 16750 Black Compact Battery Pencil Sharpener"/>
    <n v="8.75"/>
    <n v="1"/>
    <n v="2.625"/>
    <n v="30"/>
  </r>
  <r>
    <s v="CA-2020-131037"/>
    <x v="157"/>
    <s v="TM-21490"/>
    <s v="Tony Molinari"/>
    <s v="United States"/>
    <x v="2"/>
    <x v="2"/>
    <s v="Hon Racetrack Conference Tables"/>
    <n v="258.00799999999998"/>
    <n v="1"/>
    <n v="2.6251000000000002"/>
    <n v="1.0174490713466251"/>
  </r>
  <r>
    <s v="CA-2019-121223"/>
    <x v="106"/>
    <s v="GD-14590"/>
    <s v="Giulietta Dortch"/>
    <s v="United States"/>
    <x v="0"/>
    <x v="1"/>
    <s v="Xerox 1972"/>
    <n v="8.4480000000000004"/>
    <n v="2"/>
    <n v="2.64"/>
    <n v="31.25"/>
  </r>
  <r>
    <s v="CA-2020-121300"/>
    <x v="86"/>
    <s v="MG-17680"/>
    <s v="Maureen Gastineau"/>
    <s v="United States"/>
    <x v="0"/>
    <x v="1"/>
    <s v="Xerox 1928"/>
    <n v="122.44799999999999"/>
    <n v="2"/>
    <n v="2.64"/>
    <n v="2.1560172481379851"/>
  </r>
  <r>
    <s v="CA-2020-127922"/>
    <x v="396"/>
    <s v="SH-19975"/>
    <s v="Sally Hughsby"/>
    <s v="United States"/>
    <x v="3"/>
    <x v="1"/>
    <s v="Xerox 1972"/>
    <n v="116.44799999999999"/>
    <n v="2"/>
    <n v="2.64"/>
    <n v="2.2671063478977747"/>
  </r>
  <r>
    <s v="CA-2020-100811"/>
    <x v="341"/>
    <s v="CC-12475"/>
    <s v="Cindy Chapman"/>
    <s v="United States"/>
    <x v="0"/>
    <x v="1"/>
    <s v="Xerox 1972"/>
    <n v="119.44799999999999"/>
    <n v="2"/>
    <n v="2.64"/>
    <n v="2.2101667671287926"/>
  </r>
  <r>
    <s v="CA-2019-165316"/>
    <x v="138"/>
    <s v="JB-15400"/>
    <s v="Jennifer Braxton"/>
    <s v="United States"/>
    <x v="1"/>
    <x v="1"/>
    <s v="Boston 16801 Nautilus Battery Pencil Sharpener"/>
    <n v="35.216000000000001"/>
    <n v="2"/>
    <n v="2.6412"/>
    <n v="7.5"/>
  </r>
  <r>
    <s v="US-2019-134908"/>
    <x v="288"/>
    <s v="JS-15940"/>
    <s v="Joni Sundaresam"/>
    <s v="United States"/>
    <x v="0"/>
    <x v="1"/>
    <s v="Avery 502"/>
    <n v="7.56"/>
    <n v="3"/>
    <n v="2.6459999999999999"/>
    <n v="35"/>
  </r>
  <r>
    <s v="US-2020-167920"/>
    <x v="356"/>
    <s v="JL-15835"/>
    <s v="John Lee"/>
    <s v="United States"/>
    <x v="1"/>
    <x v="1"/>
    <s v="Avery 492"/>
    <n v="106.76"/>
    <n v="2"/>
    <n v="2.6496"/>
    <n v="2.4818284001498685"/>
  </r>
  <r>
    <s v="US-2019-132577"/>
    <x v="358"/>
    <s v="JE-15475"/>
    <s v="Jeremy Ellison"/>
    <s v="United States"/>
    <x v="3"/>
    <x v="1"/>
    <s v="Newell 348"/>
    <n v="23.616"/>
    <n v="9"/>
    <n v="2.6568000000000001"/>
    <n v="11.25"/>
  </r>
  <r>
    <s v="CA-2020-118199"/>
    <x v="513"/>
    <s v="LB-16795"/>
    <s v="Laurel Beltran"/>
    <s v="United States"/>
    <x v="2"/>
    <x v="1"/>
    <s v="Rogers Profile Extra Capacity Storage Tub"/>
    <n v="116.96"/>
    <n v="4"/>
    <n v="2.6783999999999999"/>
    <n v="2.2900136798905608"/>
  </r>
  <r>
    <s v="CA-2019-114867"/>
    <x v="39"/>
    <s v="FM-14290"/>
    <s v="Frank Merwin"/>
    <s v="United States"/>
    <x v="0"/>
    <x v="1"/>
    <s v="Xerox 1952"/>
    <n v="7.968"/>
    <n v="2"/>
    <n v="2.6892"/>
    <n v="33.75"/>
  </r>
  <r>
    <s v="CA-2020-149146"/>
    <x v="169"/>
    <s v="SM-20320"/>
    <s v="Sean Miller"/>
    <s v="United States"/>
    <x v="1"/>
    <x v="1"/>
    <s v="Xerox 1989"/>
    <n v="117.968"/>
    <n v="2"/>
    <n v="2.6892"/>
    <n v="2.2796012477960126"/>
  </r>
  <r>
    <s v="CA-2019-162733"/>
    <x v="514"/>
    <s v="TT-21070"/>
    <s v="Ted Trevino"/>
    <s v="United States"/>
    <x v="2"/>
    <x v="1"/>
    <s v="Xerox 1920"/>
    <n v="5.98"/>
    <n v="1"/>
    <n v="2.6909999999999998"/>
    <n v="44.999999999999993"/>
  </r>
  <r>
    <s v="CA-2019-127243"/>
    <x v="173"/>
    <s v="DS-13180"/>
    <s v="David Smith"/>
    <s v="United States"/>
    <x v="0"/>
    <x v="1"/>
    <s v="Translucent Push Pins by OIC"/>
    <n v="12.672000000000001"/>
    <n v="8"/>
    <n v="2.6928000000000001"/>
    <n v="21.25"/>
  </r>
  <r>
    <s v="CA-2020-147550"/>
    <x v="57"/>
    <s v="KE-16420"/>
    <s v="Katrina Edelman"/>
    <s v="United States"/>
    <x v="0"/>
    <x v="2"/>
    <s v="C-Line Cubicle Keepers Polyproplyene Holder With Velcro Backings"/>
    <n v="109.352"/>
    <n v="3"/>
    <n v="2.6960999999999999"/>
    <n v="2.4655241787987414"/>
  </r>
  <r>
    <s v="CA-2020-121818"/>
    <x v="216"/>
    <s v="JH-15430"/>
    <s v="Jennifer Halladay"/>
    <s v="United States"/>
    <x v="1"/>
    <x v="1"/>
    <s v="Newell 336"/>
    <n v="96.968000000000004"/>
    <n v="7"/>
    <n v="2.6964000000000001"/>
    <n v="2.7807111624453427"/>
  </r>
  <r>
    <s v="CA-2020-168109"/>
    <x v="142"/>
    <s v="JK-15640"/>
    <s v="Jim Kriz"/>
    <s v="United States"/>
    <x v="2"/>
    <x v="0"/>
    <s v="Square Credit Card Reader, 4 1/2&quot; x 4 1/2&quot; x 1&quot;, White"/>
    <n v="111.992"/>
    <n v="1"/>
    <n v="2.6972999999999998"/>
    <n v="2.4084756054003855"/>
  </r>
  <r>
    <s v="CA-2020-131807"/>
    <x v="188"/>
    <s v="GG-14650"/>
    <s v="Greg Guthrie"/>
    <s v="United States"/>
    <x v="2"/>
    <x v="0"/>
    <s v="Square Credit Card Reader, 4 1/2&quot; x 4 1/2&quot; x 1&quot;, White"/>
    <n v="120.992"/>
    <n v="1"/>
    <n v="2.6972999999999998"/>
    <n v="2.2293209468394601"/>
  </r>
  <r>
    <s v="CA-2020-110478"/>
    <x v="163"/>
    <s v="SP-20860"/>
    <s v="Sung Pak"/>
    <s v="United States"/>
    <x v="2"/>
    <x v="1"/>
    <s v="American Pencil"/>
    <n v="122.32"/>
    <n v="4"/>
    <n v="2.7027999999999999"/>
    <n v="2.209614126880314"/>
  </r>
  <r>
    <s v="CA-2020-121398"/>
    <x v="141"/>
    <s v="FH-14365"/>
    <s v="Fred Hopkins"/>
    <s v="United States"/>
    <x v="2"/>
    <x v="1"/>
    <s v="Tennsco Stur-D-Stor Boltless Shelving, 5 Shelves, 24&quot; Deep, Sand"/>
    <n v="386.62"/>
    <n v="2"/>
    <n v="2.7061999999999999"/>
    <n v="0.69996378873312293"/>
  </r>
  <r>
    <s v="US-2019-134761"/>
    <x v="515"/>
    <s v="DB-13210"/>
    <s v="Dean Braden"/>
    <s v="United States"/>
    <x v="1"/>
    <x v="0"/>
    <s v="AT&amp;T 17929 Lendline Telephone"/>
    <n v="36.192"/>
    <n v="1"/>
    <n v="2.7143999999999999"/>
    <n v="7.5"/>
  </r>
  <r>
    <s v="CA-2020-147942"/>
    <x v="311"/>
    <s v="MS-17365"/>
    <s v="Maribeth Schnelling"/>
    <s v="United States"/>
    <x v="2"/>
    <x v="1"/>
    <s v="Avery 498"/>
    <n v="105.78"/>
    <n v="2"/>
    <n v="2.7166000000000001"/>
    <n v="2.5681603327661184"/>
  </r>
  <r>
    <s v="CA-2020-136539"/>
    <x v="240"/>
    <s v="GH-14665"/>
    <s v="Greg Hansen"/>
    <s v="United States"/>
    <x v="3"/>
    <x v="1"/>
    <s v="Stanley Bostitch Contemporary Electric Pencil Sharpeners"/>
    <n v="362.16800000000001"/>
    <n v="2"/>
    <n v="2.7168000000000001"/>
    <n v="0.75014910207417551"/>
  </r>
  <r>
    <s v="CA-2020-159884"/>
    <x v="461"/>
    <s v="JF-15490"/>
    <s v="Jeremy Farry"/>
    <s v="United States"/>
    <x v="2"/>
    <x v="1"/>
    <s v="OIC Bulk Pack Metal Binder Clips"/>
    <n v="70.376000000000005"/>
    <n v="3"/>
    <n v="2.7222"/>
    <n v="3.8680800272820273"/>
  </r>
  <r>
    <s v="US-2020-118038"/>
    <x v="356"/>
    <s v="KB-16600"/>
    <s v="Ken Brennan"/>
    <s v="United States"/>
    <x v="3"/>
    <x v="1"/>
    <s v="SimpliFile Personal File, Black Granite, 15w x 6-15/16d x 11-1/4h"/>
    <n v="121.24"/>
    <n v="3"/>
    <n v="2.7240000000000002"/>
    <n v="2.2467832398548335"/>
  </r>
  <r>
    <s v="CA-2020-123001"/>
    <x v="149"/>
    <s v="AW-10840"/>
    <s v="Anthony Witt"/>
    <s v="United States"/>
    <x v="2"/>
    <x v="1"/>
    <s v="OIC #2 Pencils, Medium Soft"/>
    <n v="101.4"/>
    <n v="5"/>
    <n v="2.726"/>
    <n v="2.6883629191321496"/>
  </r>
  <r>
    <s v="CA-2020-143259"/>
    <x v="423"/>
    <s v="PO-18865"/>
    <s v="Patrick O'Donnell"/>
    <s v="United States"/>
    <x v="0"/>
    <x v="0"/>
    <s v="Gear Head AU3700S Headset"/>
    <n v="441.93"/>
    <n v="7"/>
    <n v="2.7279"/>
    <n v="0.61726970334668385"/>
  </r>
  <r>
    <s v="US-2019-165505"/>
    <x v="516"/>
    <s v="CB-12535"/>
    <s v="Claudia Bergmann"/>
    <s v="United States"/>
    <x v="0"/>
    <x v="1"/>
    <s v="4009 Highlighters"/>
    <n v="8.0399999999999991"/>
    <n v="6"/>
    <n v="2.7336"/>
    <n v="34"/>
  </r>
  <r>
    <s v="CA-2020-107825"/>
    <x v="276"/>
    <s v="NB-18655"/>
    <s v="Nona Balk"/>
    <s v="United States"/>
    <x v="3"/>
    <x v="2"/>
    <s v="GE General Purpose, Extra Long Life, Showcase &amp; Floodlight Incandescent Bulbs"/>
    <n v="104.82"/>
    <n v="2"/>
    <n v="2.7353999999999998"/>
    <n v="2.6096164854035488"/>
  </r>
  <r>
    <s v="CA-2019-163398"/>
    <x v="101"/>
    <s v="CB-12415"/>
    <s v="Christy Brittain"/>
    <s v="United States"/>
    <x v="3"/>
    <x v="1"/>
    <s v="Newell 316"/>
    <n v="27.384"/>
    <n v="7"/>
    <n v="2.7383999999999999"/>
    <n v="10"/>
  </r>
  <r>
    <s v="CA-2020-123246"/>
    <x v="517"/>
    <s v="AJ-10960"/>
    <s v="Astrea Jones"/>
    <s v="United States"/>
    <x v="2"/>
    <x v="1"/>
    <s v="Economy #2 Pencils"/>
    <n v="139.63999999999999"/>
    <n v="4"/>
    <n v="2.7664"/>
    <n v="1.9810942423374394"/>
  </r>
  <r>
    <s v="CA-2020-121790"/>
    <x v="178"/>
    <s v="LP-17095"/>
    <s v="Liz Preis"/>
    <s v="United States"/>
    <x v="3"/>
    <x v="1"/>
    <s v="Acme Tagit Stainless Steel Antibacterial Scissors"/>
    <n v="120.68"/>
    <n v="4"/>
    <n v="2.7719999999999998"/>
    <n v="2.2969837587006956"/>
  </r>
  <r>
    <s v="CA-2020-151176"/>
    <x v="496"/>
    <s v="SV-20785"/>
    <s v="Stewart Visinsky"/>
    <s v="United States"/>
    <x v="0"/>
    <x v="1"/>
    <s v="Barrel Sharpener"/>
    <n v="117.71"/>
    <n v="3"/>
    <n v="2.7846000000000002"/>
    <n v="2.3656443802565632"/>
  </r>
  <r>
    <s v="CA-2020-139493"/>
    <x v="518"/>
    <s v="SG-20605"/>
    <s v="Speros Goranitis"/>
    <s v="United States"/>
    <x v="1"/>
    <x v="1"/>
    <s v="Fluorescent Highlighters by Dixon"/>
    <n v="130.91999999999999"/>
    <n v="5"/>
    <n v="2.786"/>
    <n v="2.1280171096853042"/>
  </r>
  <r>
    <s v="CA-2019-165169"/>
    <x v="288"/>
    <s v="JL-15235"/>
    <s v="Janet Lee"/>
    <s v="United States"/>
    <x v="0"/>
    <x v="1"/>
    <s v="Newell 314"/>
    <n v="11.16"/>
    <n v="2"/>
    <n v="2.79"/>
    <n v="25"/>
  </r>
  <r>
    <s v="CA-2020-102407"/>
    <x v="356"/>
    <s v="AT-10435"/>
    <s v="Alyssa Tate"/>
    <s v="United States"/>
    <x v="2"/>
    <x v="1"/>
    <s v="Newell 314"/>
    <n v="98.16"/>
    <n v="2"/>
    <n v="2.79"/>
    <n v="2.8422982885085579"/>
  </r>
  <r>
    <s v="CA-2019-162348"/>
    <x v="214"/>
    <s v="BF-11170"/>
    <s v="Ben Ferrer"/>
    <s v="United States"/>
    <x v="2"/>
    <x v="2"/>
    <s v="Eldon Expressions Wood and Plastic Desk Accessories, Oak"/>
    <n v="9.98"/>
    <n v="1"/>
    <n v="2.7944"/>
    <n v="27.999999999999996"/>
  </r>
  <r>
    <s v="CA-2019-154788"/>
    <x v="354"/>
    <s v="JL-15835"/>
    <s v="John Lee"/>
    <s v="United States"/>
    <x v="0"/>
    <x v="1"/>
    <s v="Tuff Stuff Recycled Round Ring Binders"/>
    <n v="7.7119999999999997"/>
    <n v="2"/>
    <n v="2.7955999999999999"/>
    <n v="36.25"/>
  </r>
  <r>
    <s v="CA-2019-119018"/>
    <x v="56"/>
    <s v="CW-11905"/>
    <s v="Carl Weiss"/>
    <s v="United States"/>
    <x v="2"/>
    <x v="1"/>
    <s v="Tuff Stuff Recycled Round Ring Binders"/>
    <n v="7.7119999999999997"/>
    <n v="2"/>
    <n v="2.7955999999999999"/>
    <n v="36.25"/>
  </r>
  <r>
    <s v="US-2019-144477"/>
    <x v="63"/>
    <s v="DB-13270"/>
    <s v="Deborah Brumfield"/>
    <s v="United States"/>
    <x v="0"/>
    <x v="1"/>
    <s v="Boston 16765 Mini Stand Up Battery Pencil Sharpener"/>
    <n v="37.311999999999998"/>
    <n v="4"/>
    <n v="2.7984"/>
    <n v="7.5000000000000009"/>
  </r>
  <r>
    <s v="CA-2020-132199"/>
    <x v="137"/>
    <s v="BO-11350"/>
    <s v="Bill Overfelt"/>
    <s v="United States"/>
    <x v="0"/>
    <x v="1"/>
    <s v="Advantus Plastic Paper Clips"/>
    <n v="121"/>
    <n v="2"/>
    <n v="2.8"/>
    <n v="2.3140495867768593"/>
  </r>
  <r>
    <s v="CA-2019-151498"/>
    <x v="123"/>
    <s v="DN-13690"/>
    <s v="Duane Noonan"/>
    <s v="United States"/>
    <x v="2"/>
    <x v="1"/>
    <s v="Round Ring Binders"/>
    <n v="8.32"/>
    <n v="5"/>
    <n v="2.8079999999999998"/>
    <n v="33.75"/>
  </r>
  <r>
    <s v="CA-2019-124527"/>
    <x v="519"/>
    <s v="IM-15055"/>
    <s v="Ionia McGrath"/>
    <s v="United States"/>
    <x v="2"/>
    <x v="1"/>
    <s v="Round Ring Binders"/>
    <n v="8.32"/>
    <n v="5"/>
    <n v="2.8079999999999998"/>
    <n v="33.75"/>
  </r>
  <r>
    <s v="CA-2019-161095"/>
    <x v="507"/>
    <s v="CS-12250"/>
    <s v="Chris Selesnick"/>
    <s v="United States"/>
    <x v="2"/>
    <x v="1"/>
    <s v="Recycled Pressboard Report Cover with Reinforced Top Hinge"/>
    <n v="7.7519999999999998"/>
    <n v="3"/>
    <n v="2.8100999999999998"/>
    <n v="36.25"/>
  </r>
  <r>
    <s v="CA-2019-129126"/>
    <x v="359"/>
    <s v="PK-19075"/>
    <s v="Pete Kriz"/>
    <s v="United States"/>
    <x v="0"/>
    <x v="1"/>
    <s v="Avery 474"/>
    <n v="5.76"/>
    <n v="2"/>
    <n v="2.8224"/>
    <n v="49.000000000000007"/>
  </r>
  <r>
    <s v="US-2020-107636"/>
    <x v="105"/>
    <s v="NM-18520"/>
    <s v="Neoma Murray"/>
    <s v="United States"/>
    <x v="0"/>
    <x v="1"/>
    <s v="Avery 5"/>
    <n v="94.76"/>
    <n v="2"/>
    <n v="2.8224"/>
    <n v="2.9784719290840016"/>
  </r>
  <r>
    <s v="CA-2020-169264"/>
    <x v="520"/>
    <s v="NP-18700"/>
    <s v="Nora Preis"/>
    <s v="United States"/>
    <x v="2"/>
    <x v="1"/>
    <s v="Avery File Folder Labels"/>
    <n v="116.76"/>
    <n v="2"/>
    <n v="2.8224"/>
    <n v="2.4172661870503598"/>
  </r>
  <r>
    <s v="US-2020-133312"/>
    <x v="92"/>
    <s v="BD-11500"/>
    <s v="Bradley Drucker"/>
    <s v="United States"/>
    <x v="2"/>
    <x v="1"/>
    <s v="Sterilite Officeware Hinged File Box"/>
    <n v="111.48"/>
    <n v="1"/>
    <n v="2.8296000000000001"/>
    <n v="2.5382131324004304"/>
  </r>
  <r>
    <s v="CA-2020-110842"/>
    <x v="250"/>
    <s v="GA-14725"/>
    <s v="Guy Armstrong"/>
    <s v="United States"/>
    <x v="2"/>
    <x v="1"/>
    <s v="Belkin 6 Outlet Metallic Surge Strip"/>
    <n v="136.88999999999999"/>
    <n v="1"/>
    <n v="2.8313999999999999"/>
    <n v="2.0683760683760686"/>
  </r>
  <r>
    <s v="CA-2020-169285"/>
    <x v="450"/>
    <s v="RW-19690"/>
    <s v="Robert Waldorf"/>
    <s v="United States"/>
    <x v="3"/>
    <x v="1"/>
    <s v="Xerox 196"/>
    <n v="108.78"/>
    <n v="1"/>
    <n v="2.8321999999999998"/>
    <n v="2.6036036036036032"/>
  </r>
  <r>
    <s v="CA-2020-154816"/>
    <x v="174"/>
    <s v="VB-21745"/>
    <s v="Victoria Brennan"/>
    <s v="United States"/>
    <x v="1"/>
    <x v="1"/>
    <s v="Xerox 1987"/>
    <n v="103.78"/>
    <n v="1"/>
    <n v="2.8321999999999998"/>
    <n v="2.7290422046637115"/>
  </r>
  <r>
    <s v="CA-2020-145037"/>
    <x v="149"/>
    <s v="TB-21055"/>
    <s v="Ted Butterfield"/>
    <s v="United States"/>
    <x v="0"/>
    <x v="1"/>
    <s v="Crate-A-Files"/>
    <n v="110.9"/>
    <n v="1"/>
    <n v="2.8340000000000001"/>
    <n v="2.5554553651938683"/>
  </r>
  <r>
    <s v="CA-2019-166674"/>
    <x v="442"/>
    <s v="RB-19360"/>
    <s v="Raymond Buch"/>
    <s v="United States"/>
    <x v="0"/>
    <x v="1"/>
    <s v="Newell 342"/>
    <n v="9.84"/>
    <n v="3"/>
    <n v="2.8536000000000001"/>
    <n v="29.000000000000004"/>
  </r>
  <r>
    <s v="CA-2019-133613"/>
    <x v="80"/>
    <s v="CP-12340"/>
    <s v="Christine Phan"/>
    <s v="United States"/>
    <x v="0"/>
    <x v="1"/>
    <s v="Newell 35"/>
    <n v="9.84"/>
    <n v="3"/>
    <n v="2.8536000000000001"/>
    <n v="29.000000000000004"/>
  </r>
  <r>
    <s v="US-2019-112970"/>
    <x v="296"/>
    <s v="TB-21250"/>
    <s v="Tim Brockman"/>
    <s v="United States"/>
    <x v="2"/>
    <x v="1"/>
    <s v="Newell 35"/>
    <n v="9.84"/>
    <n v="3"/>
    <n v="2.8536000000000001"/>
    <n v="29.000000000000004"/>
  </r>
  <r>
    <s v="CA-2020-130106"/>
    <x v="195"/>
    <s v="VF-21715"/>
    <s v="Vicky Freymann"/>
    <s v="United States"/>
    <x v="2"/>
    <x v="1"/>
    <s v="Newell 350"/>
    <n v="102.84"/>
    <n v="3"/>
    <n v="2.8536000000000001"/>
    <n v="2.7747957992998833"/>
  </r>
  <r>
    <s v="CA-2020-139311"/>
    <x v="290"/>
    <s v="SF-20965"/>
    <s v="Sylvia Foulston"/>
    <s v="United States"/>
    <x v="3"/>
    <x v="1"/>
    <s v="BIC Brite Liner Grip Highlighters"/>
    <n v="108.184"/>
    <n v="7"/>
    <n v="2.87"/>
    <n v="2.6528876728536566"/>
  </r>
  <r>
    <s v="CA-2019-152800"/>
    <x v="521"/>
    <s v="SP-20920"/>
    <s v="Susan Pistek"/>
    <s v="United States"/>
    <x v="2"/>
    <x v="1"/>
    <s v="Poly String Tie Envelopes"/>
    <n v="6.12"/>
    <n v="3"/>
    <n v="2.8763999999999998"/>
    <n v="47"/>
  </r>
  <r>
    <s v="CA-2020-117156"/>
    <x v="450"/>
    <s v="TB-21055"/>
    <s v="Ted Butterfield"/>
    <s v="United States"/>
    <x v="0"/>
    <x v="1"/>
    <s v="Colored Envelopes"/>
    <n v="118.85599999999999"/>
    <n v="3"/>
    <n v="2.8782000000000001"/>
    <n v="2.421585784478697"/>
  </r>
  <r>
    <s v="CA-2020-127782"/>
    <x v="88"/>
    <s v="TH-21115"/>
    <s v="Thea Hudgings"/>
    <s v="United States"/>
    <x v="0"/>
    <x v="1"/>
    <s v="Colored Envelopes"/>
    <n v="116.85599999999999"/>
    <n v="3"/>
    <n v="2.8782000000000001"/>
    <n v="2.4630314232902033"/>
  </r>
  <r>
    <s v="CA-2020-166436"/>
    <x v="225"/>
    <s v="TS-21370"/>
    <s v="Todd Sumrall"/>
    <s v="United States"/>
    <x v="0"/>
    <x v="1"/>
    <s v="Adams Telephone Message Book W/Dividers/Space For Phone Numbers, 5 1/4&quot;X8 1/2&quot;, 300/Messages"/>
    <n v="123.88"/>
    <n v="1"/>
    <n v="2.8812000000000002"/>
    <n v="2.325799160477882"/>
  </r>
  <r>
    <s v="CA-2019-137050"/>
    <x v="475"/>
    <s v="SW-20755"/>
    <s v="Steven Ward"/>
    <s v="United States"/>
    <x v="0"/>
    <x v="1"/>
    <s v="Pressboard Data Binders by Wilson Jones"/>
    <n v="8.5440000000000005"/>
    <n v="2"/>
    <n v="2.8835999999999999"/>
    <n v="33.75"/>
  </r>
  <r>
    <s v="CA-2020-108539"/>
    <x v="450"/>
    <s v="SC-20725"/>
    <s v="Steven Cartwright"/>
    <s v="United States"/>
    <x v="2"/>
    <x v="1"/>
    <s v="Pressboard Data Binders by Wilson Jones"/>
    <n v="116.544"/>
    <n v="2"/>
    <n v="2.8835999999999999"/>
    <n v="2.4742586490939042"/>
  </r>
  <r>
    <s v="US-2020-149006"/>
    <x v="522"/>
    <s v="BN-11470"/>
    <s v="Brad Norvell"/>
    <s v="United States"/>
    <x v="2"/>
    <x v="1"/>
    <s v="Staple magnet"/>
    <n v="216.68"/>
    <n v="1"/>
    <n v="2.8835999999999999"/>
    <n v="1.3308104116669743"/>
  </r>
  <r>
    <s v="CA-2020-132738"/>
    <x v="385"/>
    <s v="HM-14860"/>
    <s v="Harry Marie"/>
    <s v="United States"/>
    <x v="2"/>
    <x v="1"/>
    <s v="Hammermill CopyPlus Copy Paper (20Lb. and 84 Bright)"/>
    <n v="107.968"/>
    <n v="2"/>
    <n v="2.8883999999999999"/>
    <n v="2.675237107291049"/>
  </r>
  <r>
    <s v="CA-2020-150910"/>
    <x v="67"/>
    <s v="JL-15130"/>
    <s v="Jack Lebron"/>
    <s v="United States"/>
    <x v="1"/>
    <x v="1"/>
    <s v="Newell 325"/>
    <n v="274.12799999999999"/>
    <n v="7"/>
    <n v="2.891"/>
    <n v="1.0546168213389366"/>
  </r>
  <r>
    <s v="CA-2020-106355"/>
    <x v="523"/>
    <s v="AT-10435"/>
    <s v="Alyssa Tate"/>
    <s v="United States"/>
    <x v="0"/>
    <x v="1"/>
    <s v="Newell 318"/>
    <n v="108.12"/>
    <n v="4"/>
    <n v="2.8912"/>
    <n v="2.6740658527561969"/>
  </r>
  <r>
    <s v="US-2019-132423"/>
    <x v="113"/>
    <s v="MY-18295"/>
    <s v="Muhammed Yedwab"/>
    <s v="United States"/>
    <x v="3"/>
    <x v="1"/>
    <s v="Ideal Clamps"/>
    <n v="8.0399999999999991"/>
    <n v="5"/>
    <n v="2.9144999999999999"/>
    <n v="36.250000000000007"/>
  </r>
  <r>
    <s v="CA-2019-131380"/>
    <x v="468"/>
    <s v="CC-12220"/>
    <s v="Chris Cortes"/>
    <s v="United States"/>
    <x v="2"/>
    <x v="1"/>
    <s v="Xerox 1983"/>
    <n v="5.98"/>
    <n v="1"/>
    <n v="2.9302000000000001"/>
    <n v="49"/>
  </r>
  <r>
    <s v="CA-2020-145310"/>
    <x v="67"/>
    <s v="JP-15520"/>
    <s v="Jeremy Pistek"/>
    <s v="United States"/>
    <x v="1"/>
    <x v="1"/>
    <s v="Staple envelope"/>
    <n v="399.82400000000001"/>
    <n v="1"/>
    <n v="2.9340000000000002"/>
    <n v="0.73382288206810997"/>
  </r>
  <r>
    <s v="CA-2019-141551"/>
    <x v="20"/>
    <s v="BP-11230"/>
    <s v="Benjamin Patterson"/>
    <s v="United States"/>
    <x v="3"/>
    <x v="1"/>
    <s v="Avery Heavy-Duty EZD View Binder with Locking Rings"/>
    <n v="6.38"/>
    <n v="1"/>
    <n v="2.9348000000000001"/>
    <n v="46"/>
  </r>
  <r>
    <s v="CA-2019-155187"/>
    <x v="20"/>
    <s v="LA-16780"/>
    <s v="Laura Armstrong"/>
    <s v="United States"/>
    <x v="2"/>
    <x v="1"/>
    <s v="Tennsco Lockers, Gray"/>
    <n v="41.96"/>
    <n v="2"/>
    <n v="2.9371999999999998"/>
    <n v="6.9999999999999991"/>
  </r>
  <r>
    <s v="US-2020-148054"/>
    <x v="482"/>
    <s v="NZ-18565"/>
    <s v="Nick Zandusky"/>
    <s v="United States"/>
    <x v="2"/>
    <x v="2"/>
    <s v="36X48 HARDFLOOR CHAIRMAT"/>
    <n v="110.96"/>
    <n v="2"/>
    <n v="2.9371999999999998"/>
    <n v="2.6470800288392211"/>
  </r>
  <r>
    <s v="CA-2020-129021"/>
    <x v="453"/>
    <s v="PO-18850"/>
    <s v="Patrick O'Brill"/>
    <s v="United States"/>
    <x v="1"/>
    <x v="1"/>
    <s v="Ampad Evidence Wirebond Steno Books, 6&quot; x 9&quot;"/>
    <n v="89.72"/>
    <n v="5"/>
    <n v="2.9430000000000001"/>
    <n v="3.2802050824788229"/>
  </r>
  <r>
    <s v="US-2020-102638"/>
    <x v="218"/>
    <s v="MC-17845"/>
    <s v="Michael Chen"/>
    <s v="United States"/>
    <x v="0"/>
    <x v="1"/>
    <s v="Ideal Clamps"/>
    <n v="254.03"/>
    <n v="3"/>
    <n v="2.9546999999999999"/>
    <n v="1.1631303389363461"/>
  </r>
  <r>
    <s v="US-2020-135230"/>
    <x v="524"/>
    <s v="CK-12325"/>
    <s v="Christine Kargatis"/>
    <s v="United States"/>
    <x v="2"/>
    <x v="1"/>
    <s v="Staples in misc. colors"/>
    <n v="123.58"/>
    <n v="1"/>
    <n v="2.9561999999999999"/>
    <n v="2.3921346496196794"/>
  </r>
  <r>
    <s v="CA-2019-101672"/>
    <x v="257"/>
    <s v="DB-12910"/>
    <s v="Daniel Byrd"/>
    <s v="United States"/>
    <x v="2"/>
    <x v="1"/>
    <s v="Smead Alpha-Z Color-Coded Second Alphabetical Labels and Starter Set"/>
    <n v="6.16"/>
    <n v="2"/>
    <n v="2.9567999999999999"/>
    <n v="48"/>
  </r>
  <r>
    <s v="CA-2020-122175"/>
    <x v="198"/>
    <s v="CA-12775"/>
    <s v="Cynthia Arntzen"/>
    <s v="United States"/>
    <x v="0"/>
    <x v="1"/>
    <s v="Smead Alpha-Z Color-Coded Second Alphabetical Labels and Starter Set"/>
    <n v="83.16"/>
    <n v="2"/>
    <n v="2.9567999999999999"/>
    <n v="3.5555555555555554"/>
  </r>
  <r>
    <s v="US-2020-106145"/>
    <x v="191"/>
    <s v="RA-19885"/>
    <s v="Ruben Ausman"/>
    <s v="United States"/>
    <x v="2"/>
    <x v="2"/>
    <s v="Stackable Trays"/>
    <n v="112.24"/>
    <n v="3"/>
    <n v="2.9567999999999999"/>
    <n v="2.6343549536707056"/>
  </r>
  <r>
    <s v="CA-2020-155558"/>
    <x v="184"/>
    <s v="PG-18895"/>
    <s v="Paul Gonzalez"/>
    <s v="United States"/>
    <x v="3"/>
    <x v="1"/>
    <s v="Avery 511"/>
    <n v="86.16"/>
    <n v="2"/>
    <n v="2.9567999999999999"/>
    <n v="3.4317548746518107"/>
  </r>
  <r>
    <s v="US-2020-132444"/>
    <x v="276"/>
    <s v="CD-12280"/>
    <s v="Christina DeMoss"/>
    <s v="United States"/>
    <x v="2"/>
    <x v="1"/>
    <s v="Wilson Jones 1&quot; Hanging DublLock Ring Binders"/>
    <n v="113.44799999999999"/>
    <n v="2"/>
    <n v="2.9567999999999999"/>
    <n v="2.6063042098582612"/>
  </r>
  <r>
    <s v="CA-2019-109911"/>
    <x v="310"/>
    <s v="VG-21805"/>
    <s v="Vivek Grady"/>
    <s v="United States"/>
    <x v="1"/>
    <x v="1"/>
    <s v="Rogers Handheld Barrel Pencil Sharpener"/>
    <n v="10.96"/>
    <n v="4"/>
    <n v="2.9592000000000001"/>
    <n v="26.999999999999996"/>
  </r>
  <r>
    <s v="CA-2020-100013"/>
    <x v="174"/>
    <s v="ZC-21910"/>
    <s v="Zuschuss Carroll"/>
    <s v="United States"/>
    <x v="2"/>
    <x v="2"/>
    <s v="Dax Clear Box Frame"/>
    <n v="111.73"/>
    <n v="1"/>
    <n v="2.9681999999999999"/>
    <n v="2.6565828336167545"/>
  </r>
  <r>
    <s v="CA-2020-105193"/>
    <x v="501"/>
    <s v="JL-15835"/>
    <s v="John Lee"/>
    <s v="United States"/>
    <x v="0"/>
    <x v="1"/>
    <s v="Newell 311"/>
    <n v="123.05"/>
    <n v="5"/>
    <n v="2.9834999999999998"/>
    <n v="2.4246241365298657"/>
  </r>
  <r>
    <s v="CA-2020-115651"/>
    <x v="112"/>
    <s v="NS-18640"/>
    <s v="Noel Staavos"/>
    <s v="United States"/>
    <x v="3"/>
    <x v="1"/>
    <s v="Quartet Alpha White Chalk, 12/Pack"/>
    <n v="99.84"/>
    <n v="5"/>
    <n v="2.9834999999999998"/>
    <n v="2.98828125"/>
  </r>
  <r>
    <s v="CA-2019-116526"/>
    <x v="391"/>
    <s v="JA-15970"/>
    <s v="Joseph Airdo"/>
    <s v="United States"/>
    <x v="3"/>
    <x v="1"/>
    <s v="Newell 315"/>
    <n v="11.96"/>
    <n v="2"/>
    <n v="2.99"/>
    <n v="25"/>
  </r>
  <r>
    <s v="CA-2019-143476"/>
    <x v="106"/>
    <s v="LC-16930"/>
    <s v="Linda Cazamias"/>
    <s v="United States"/>
    <x v="2"/>
    <x v="1"/>
    <s v="Great White Multi-Use Recycled Paper (20Lb. and 84 Bright)"/>
    <n v="9.5679999999999996"/>
    <n v="2"/>
    <n v="2.99"/>
    <n v="31.250000000000007"/>
  </r>
  <r>
    <s v="CA-2019-154018"/>
    <x v="27"/>
    <s v="HA-14920"/>
    <s v="Helen Andreada"/>
    <s v="United States"/>
    <x v="3"/>
    <x v="1"/>
    <s v="Array Memo Cubes"/>
    <n v="8.2880000000000003"/>
    <n v="2"/>
    <n v="3.0044"/>
    <n v="36.25"/>
  </r>
  <r>
    <s v="US-2020-166688"/>
    <x v="145"/>
    <s v="RD-19480"/>
    <s v="Rick Duston"/>
    <s v="United States"/>
    <x v="2"/>
    <x v="1"/>
    <s v="Wilson Jones Impact Binders"/>
    <n v="110.288"/>
    <n v="2"/>
    <n v="3.0044"/>
    <n v="2.7241404323226464"/>
  </r>
  <r>
    <s v="CA-2020-103611"/>
    <x v="525"/>
    <s v="JM-15535"/>
    <s v="Jessica Myrick"/>
    <s v="United States"/>
    <x v="2"/>
    <x v="2"/>
    <s v="Eldon Image Series Desk Accessories, Burgundy"/>
    <n v="115.36"/>
    <n v="2"/>
    <n v="3.0095999999999998"/>
    <n v="2.6088765603328712"/>
  </r>
  <r>
    <s v="CA-2020-122644"/>
    <x v="151"/>
    <s v="SF-20965"/>
    <s v="Sylvia Foulston"/>
    <s v="United States"/>
    <x v="0"/>
    <x v="0"/>
    <s v="Verbatim 25 GB 6x Blu-ray Single Layer Recordable Disc, 10/Pack"/>
    <n v="100.544"/>
    <n v="2"/>
    <n v="3.0133999999999999"/>
    <n v="2.9970957988542333"/>
  </r>
  <r>
    <s v="CA-2019-103947"/>
    <x v="442"/>
    <s v="BB-10990"/>
    <s v="Barry Blumstein"/>
    <s v="United States"/>
    <x v="2"/>
    <x v="1"/>
    <s v="Belkin F9H710-06 7 Outlet SurgeMaster Surge Protector"/>
    <n v="30.143999999999998"/>
    <n v="2"/>
    <n v="3.0144000000000002"/>
    <n v="10"/>
  </r>
  <r>
    <s v="CA-2020-121293"/>
    <x v="236"/>
    <s v="JC-15775"/>
    <s v="John Castell"/>
    <s v="United States"/>
    <x v="0"/>
    <x v="2"/>
    <s v="Eldon 200 Class Desk Accessories"/>
    <n v="129.096"/>
    <n v="4"/>
    <n v="3.0144000000000002"/>
    <n v="2.335006506785648"/>
  </r>
  <r>
    <s v="CA-2019-109365"/>
    <x v="65"/>
    <s v="XP-21865"/>
    <s v="Xylona Preis"/>
    <s v="United States"/>
    <x v="2"/>
    <x v="1"/>
    <s v="Fellowes Black Plastic Comb Bindings"/>
    <n v="9.2959999999999994"/>
    <n v="2"/>
    <n v="3.0211999999999999"/>
    <n v="32.5"/>
  </r>
  <r>
    <s v="CA-2020-156958"/>
    <x v="372"/>
    <s v="PB-18805"/>
    <s v="Patrick Bzostek"/>
    <s v="United States"/>
    <x v="2"/>
    <x v="1"/>
    <s v="Fellowes Black Plastic Comb Bindings"/>
    <n v="87.296000000000006"/>
    <n v="2"/>
    <n v="3.0211999999999999"/>
    <n v="3.4608687683284458"/>
  </r>
  <r>
    <s v="CA-2019-144855"/>
    <x v="448"/>
    <s v="DL-13495"/>
    <s v="Dionis Lloyd"/>
    <s v="United States"/>
    <x v="2"/>
    <x v="1"/>
    <s v="Self-Adhesive Removable Labels"/>
    <n v="6.3"/>
    <n v="2"/>
    <n v="3.024"/>
    <n v="48.000000000000007"/>
  </r>
  <r>
    <s v="US-2019-150861"/>
    <x v="107"/>
    <s v="EG-13900"/>
    <s v="Emily Grady"/>
    <s v="United States"/>
    <x v="0"/>
    <x v="1"/>
    <s v="Avery 520"/>
    <n v="6.3"/>
    <n v="2"/>
    <n v="3.024"/>
    <n v="48.000000000000007"/>
  </r>
  <r>
    <s v="CA-2020-106943"/>
    <x v="244"/>
    <s v="FO-14305"/>
    <s v="Frank Olsen"/>
    <s v="United States"/>
    <x v="0"/>
    <x v="1"/>
    <s v="3M Organizer Strips"/>
    <n v="121.64"/>
    <n v="2"/>
    <n v="3.024"/>
    <n v="2.486024334100625"/>
  </r>
  <r>
    <s v="CA-2020-129805"/>
    <x v="240"/>
    <s v="HM-14860"/>
    <s v="Harry Marie"/>
    <s v="United States"/>
    <x v="2"/>
    <x v="2"/>
    <s v="3M Hangers With Command Adhesive"/>
    <n v="304.39999999999998"/>
    <n v="2"/>
    <n v="3.0339999999999998"/>
    <n v="0.99671484888304873"/>
  </r>
  <r>
    <s v="CA-2019-112389"/>
    <x v="452"/>
    <s v="JM-15655"/>
    <s v="Jim Mitchum"/>
    <s v="United States"/>
    <x v="0"/>
    <x v="1"/>
    <s v="Commercial WindTunnel Clean Air Upright Vacuum, Replacement Belts, Filtration Bags"/>
    <n v="11.67"/>
    <n v="3"/>
    <n v="3.0341999999999998"/>
    <n v="26"/>
  </r>
  <r>
    <s v="CA-2020-138149"/>
    <x v="146"/>
    <s v="WB-21850"/>
    <s v="William Brown"/>
    <s v="United States"/>
    <x v="2"/>
    <x v="1"/>
    <s v="Newell 328"/>
    <n v="88.68"/>
    <n v="2"/>
    <n v="3.0367999999999999"/>
    <n v="3.4244474515110506"/>
  </r>
  <r>
    <s v="CA-2020-125472"/>
    <x v="380"/>
    <s v="BD-11725"/>
    <s v="Bruce Degenhardt"/>
    <s v="United States"/>
    <x v="1"/>
    <x v="2"/>
    <s v="Acrylic Self-Standing Desk Frames"/>
    <n v="1027.01"/>
    <n v="3"/>
    <n v="3.0438000000000001"/>
    <n v="0.29637491358409362"/>
  </r>
  <r>
    <s v="CA-2019-167241"/>
    <x v="332"/>
    <s v="BD-11320"/>
    <s v="Bill Donatelli"/>
    <s v="United States"/>
    <x v="2"/>
    <x v="1"/>
    <s v="Perma STOR-ALL Hanging File Box, 13 1/8&quot;W x 12 1/4&quot;D x 10 1/2&quot;H"/>
    <n v="17.940000000000001"/>
    <n v="3"/>
    <n v="3.0497999999999998"/>
    <n v="17"/>
  </r>
  <r>
    <s v="CA-2019-133340"/>
    <x v="260"/>
    <s v="LH-17155"/>
    <s v="Logan Haushalter"/>
    <s v="United States"/>
    <x v="3"/>
    <x v="0"/>
    <s v="LF Elite 3D Dazzle Designer Hard Case Cover, Lf Stylus Pen and Wiper For Apple Iphone 5c Mini Lite"/>
    <n v="10.9"/>
    <n v="1"/>
    <n v="3.052"/>
    <n v="27.999999999999996"/>
  </r>
  <r>
    <s v="CA-2019-130442"/>
    <x v="367"/>
    <s v="SF-20065"/>
    <s v="Sandra Flanagan"/>
    <s v="United States"/>
    <x v="1"/>
    <x v="1"/>
    <s v="Acco 6 Outlet Guardian Premium Surge Suppressor"/>
    <n v="34.944000000000003"/>
    <n v="3"/>
    <n v="3.0575999999999999"/>
    <n v="8.75"/>
  </r>
  <r>
    <s v="CA-2020-124744"/>
    <x v="239"/>
    <s v="EH-14125"/>
    <s v="Eugene Hildebrand"/>
    <s v="United States"/>
    <x v="0"/>
    <x v="1"/>
    <s v="Zipper Ring Binder Pockets"/>
    <n v="99.24"/>
    <n v="2"/>
    <n v="3.0575999999999999"/>
    <n v="3.0810157194679566"/>
  </r>
  <r>
    <s v="CA-2020-105445"/>
    <x v="89"/>
    <s v="BP-11095"/>
    <s v="Bart Pistole"/>
    <s v="United States"/>
    <x v="2"/>
    <x v="1"/>
    <s v="Staples"/>
    <n v="92.432000000000002"/>
    <n v="3"/>
    <n v="3.0653999999999999"/>
    <n v="3.3163839362991174"/>
  </r>
  <r>
    <s v="US-2019-118780"/>
    <x v="238"/>
    <s v="PN-18775"/>
    <s v="Parhena Norris"/>
    <s v="United States"/>
    <x v="0"/>
    <x v="1"/>
    <s v="Wirebound Message Books, Four 2 3/4 x 5 White Forms per Page"/>
    <n v="6.69"/>
    <n v="1"/>
    <n v="3.0773999999999999"/>
    <n v="46"/>
  </r>
  <r>
    <s v="CA-2019-100468"/>
    <x v="289"/>
    <s v="AT-10435"/>
    <s v="Alyssa Tate"/>
    <s v="United States"/>
    <x v="2"/>
    <x v="2"/>
    <s v="DAX Value U-Channel Document Frames, Easel Back"/>
    <n v="9.94"/>
    <n v="2"/>
    <n v="3.0813999999999999"/>
    <n v="31"/>
  </r>
  <r>
    <s v="CA-2020-117947"/>
    <x v="243"/>
    <s v="NG-18355"/>
    <s v="Nat Gilpin"/>
    <s v="United States"/>
    <x v="0"/>
    <x v="2"/>
    <s v="DAX Value U-Channel Document Frames, Easel Back"/>
    <n v="109.94"/>
    <n v="2"/>
    <n v="3.0813999999999999"/>
    <n v="2.8028015281062397"/>
  </r>
  <r>
    <s v="CA-2020-140949"/>
    <x v="294"/>
    <s v="DB-13405"/>
    <s v="Denny Blanton"/>
    <s v="United States"/>
    <x v="0"/>
    <x v="1"/>
    <s v="Acco Pressboard Covers with Storage Hooks, 9 1/2&quot; x 11&quot;, Executive Red"/>
    <n v="146.14400000000001"/>
    <n v="3"/>
    <n v="3.0861000000000001"/>
    <n v="2.1116843661046638"/>
  </r>
  <r>
    <s v="CA-2019-127985"/>
    <x v="442"/>
    <s v="DB-12910"/>
    <s v="Daniel Byrd"/>
    <s v="United States"/>
    <x v="1"/>
    <x v="2"/>
    <s v="Regeneration Desk Collection"/>
    <n v="7.04"/>
    <n v="4"/>
    <n v="3.0975999999999999"/>
    <n v="44"/>
  </r>
  <r>
    <s v="CA-2020-134306"/>
    <x v="526"/>
    <s v="TD-20995"/>
    <s v="Tamara Dahlen"/>
    <s v="United States"/>
    <x v="0"/>
    <x v="1"/>
    <s v="Binney &amp; Smith inkTank Erasable Desk Highlighter, Chisel Tip, Yellow, 12/Box"/>
    <n v="127.56"/>
    <n v="3"/>
    <n v="3.0996000000000001"/>
    <n v="2.4299153339604893"/>
  </r>
  <r>
    <s v="CA-2020-111738"/>
    <x v="527"/>
    <s v="CM-12385"/>
    <s v="Christopher Martinez"/>
    <s v="United States"/>
    <x v="2"/>
    <x v="1"/>
    <s v="Manco Dry-Lighter Erasable Highlighter"/>
    <n v="125.12"/>
    <n v="3"/>
    <n v="3.1008"/>
    <n v="2.4782608695652173"/>
  </r>
  <r>
    <s v="CA-2019-167507"/>
    <x v="279"/>
    <s v="SA-20830"/>
    <s v="Sue Ann Reed"/>
    <s v="United States"/>
    <x v="2"/>
    <x v="2"/>
    <s v="3M Hangers With Command Adhesive"/>
    <n v="11.84"/>
    <n v="4"/>
    <n v="3.1080000000000001"/>
    <n v="26.25"/>
  </r>
  <r>
    <s v="CA-2019-167584"/>
    <x v="63"/>
    <s v="LC-16870"/>
    <s v="Lena Cacioppo"/>
    <s v="United States"/>
    <x v="3"/>
    <x v="1"/>
    <s v="Xerox 224"/>
    <n v="6.48"/>
    <n v="1"/>
    <n v="3.1103999999999998"/>
    <n v="47.999999999999993"/>
  </r>
  <r>
    <s v="CA-2019-148201"/>
    <x v="261"/>
    <s v="CC-12145"/>
    <s v="Charles Crestani"/>
    <s v="United States"/>
    <x v="2"/>
    <x v="1"/>
    <s v="Xerox 1931"/>
    <n v="6.48"/>
    <n v="1"/>
    <n v="3.1103999999999998"/>
    <n v="47.999999999999993"/>
  </r>
  <r>
    <s v="CA-2019-109806"/>
    <x v="186"/>
    <s v="JS-15685"/>
    <s v="Jim Sink"/>
    <s v="United States"/>
    <x v="2"/>
    <x v="1"/>
    <s v="Xerox 1995"/>
    <n v="6.48"/>
    <n v="1"/>
    <n v="3.1103999999999998"/>
    <n v="47.999999999999993"/>
  </r>
  <r>
    <s v="CA-2019-141551"/>
    <x v="20"/>
    <s v="BP-11230"/>
    <s v="Benjamin Patterson"/>
    <s v="United States"/>
    <x v="3"/>
    <x v="1"/>
    <s v="Xerox 232"/>
    <n v="6.48"/>
    <n v="1"/>
    <n v="3.1103999999999998"/>
    <n v="47.999999999999993"/>
  </r>
  <r>
    <s v="CA-2019-124485"/>
    <x v="289"/>
    <s v="NC-18340"/>
    <s v="Nat Carroll"/>
    <s v="United States"/>
    <x v="0"/>
    <x v="1"/>
    <s v="Xerox 217"/>
    <n v="6.48"/>
    <n v="1"/>
    <n v="3.1103999999999998"/>
    <n v="47.999999999999993"/>
  </r>
  <r>
    <s v="CA-2019-100587"/>
    <x v="528"/>
    <s v="SL-20155"/>
    <s v="Sara Luxemburg"/>
    <s v="United States"/>
    <x v="0"/>
    <x v="1"/>
    <s v="Xerox 221"/>
    <n v="6.48"/>
    <n v="1"/>
    <n v="3.1103999999999998"/>
    <n v="47.999999999999993"/>
  </r>
  <r>
    <s v="CA-2020-139080"/>
    <x v="402"/>
    <s v="CS-12250"/>
    <s v="Chris Selesnick"/>
    <s v="United States"/>
    <x v="2"/>
    <x v="1"/>
    <s v="Xerox 192"/>
    <n v="90.48"/>
    <n v="1"/>
    <n v="3.1103999999999998"/>
    <n v="3.4376657824933683"/>
  </r>
  <r>
    <s v="US-2020-101539"/>
    <x v="160"/>
    <s v="VM-21685"/>
    <s v="Valerie Mitchum"/>
    <s v="United States"/>
    <x v="2"/>
    <x v="1"/>
    <s v="Xerox 214"/>
    <n v="116.48"/>
    <n v="1"/>
    <n v="3.1103999999999998"/>
    <n v="2.6703296703296702"/>
  </r>
  <r>
    <s v="CA-2020-118577"/>
    <x v="482"/>
    <s v="XP-21865"/>
    <s v="Xylona Preis"/>
    <s v="United States"/>
    <x v="0"/>
    <x v="1"/>
    <s v="Xerox 217"/>
    <n v="133.47999999999999"/>
    <n v="1"/>
    <n v="3.1103999999999998"/>
    <n v="2.3302367395864549"/>
  </r>
  <r>
    <s v="CA-2020-105480"/>
    <x v="508"/>
    <s v="DK-13225"/>
    <s v="Dean Katz"/>
    <s v="United States"/>
    <x v="0"/>
    <x v="1"/>
    <s v="Xerox 227"/>
    <n v="280.48"/>
    <n v="1"/>
    <n v="3.1103999999999998"/>
    <n v="1.1089560752994865"/>
  </r>
  <r>
    <s v="CA-2020-143035"/>
    <x v="378"/>
    <s v="CC-12430"/>
    <s v="Chuck Clark"/>
    <s v="United States"/>
    <x v="0"/>
    <x v="1"/>
    <s v="Quartet Alpha White Chalk, 12/Pack"/>
    <n v="117.63"/>
    <n v="3"/>
    <n v="3.1160999999999999"/>
    <n v="2.6490691150216779"/>
  </r>
  <r>
    <s v="CA-2019-137743"/>
    <x v="331"/>
    <s v="KH-16360"/>
    <s v="Katherine Hughes"/>
    <s v="United States"/>
    <x v="3"/>
    <x v="1"/>
    <s v="Avery 498"/>
    <n v="9.2479999999999993"/>
    <n v="4"/>
    <n v="3.1212"/>
    <n v="33.75"/>
  </r>
  <r>
    <s v="CA-2019-168557"/>
    <x v="204"/>
    <s v="FH-14275"/>
    <s v="Frank Hawley"/>
    <s v="United States"/>
    <x v="2"/>
    <x v="1"/>
    <s v="Avery Heavy-Duty EZD  Binder With Locking Rings"/>
    <n v="8.9280000000000008"/>
    <n v="2"/>
    <n v="3.1248"/>
    <n v="35"/>
  </r>
  <r>
    <s v="CA-2019-132990"/>
    <x v="529"/>
    <s v="KM-16660"/>
    <s v="Khloe Miller"/>
    <s v="United States"/>
    <x v="0"/>
    <x v="2"/>
    <s v="Eldon 500 Class Desk Accessories"/>
    <n v="19.312000000000001"/>
    <n v="2"/>
    <n v="3.1381999999999999"/>
    <n v="16.249999999999996"/>
  </r>
  <r>
    <s v="CA-2020-121790"/>
    <x v="178"/>
    <s v="LP-17095"/>
    <s v="Liz Preis"/>
    <s v="United States"/>
    <x v="3"/>
    <x v="1"/>
    <s v="Quartet Omega Colored Chalk, 12/Pack"/>
    <n v="114.34399999999999"/>
    <n v="2"/>
    <n v="3.1536"/>
    <n v="2.7579934233540895"/>
  </r>
  <r>
    <s v="CA-2019-101469"/>
    <x v="429"/>
    <s v="KH-16360"/>
    <s v="Katherine Hughes"/>
    <s v="United States"/>
    <x v="1"/>
    <x v="1"/>
    <s v="Avery Hi-Liter Pen Style Six-Color Fluorescent Set"/>
    <n v="7.7"/>
    <n v="2"/>
    <n v="3.157"/>
    <n v="41"/>
  </r>
  <r>
    <s v="CA-2020-109701"/>
    <x v="18"/>
    <s v="AM-10360"/>
    <s v="Alice McCarthy"/>
    <s v="United States"/>
    <x v="2"/>
    <x v="1"/>
    <s v="3-ring staple pack"/>
    <n v="132.024"/>
    <n v="6"/>
    <n v="3.1583999999999999"/>
    <n v="2.3922923104890019"/>
  </r>
  <r>
    <s v="CA-2019-157161"/>
    <x v="133"/>
    <s v="JD-15895"/>
    <s v="Jonathan Doherty"/>
    <s v="United States"/>
    <x v="1"/>
    <x v="1"/>
    <s v="Recycled Pressboard Report Cover with Reinforced Top Hinge"/>
    <n v="6.46"/>
    <n v="2"/>
    <n v="3.1654"/>
    <n v="49"/>
  </r>
  <r>
    <s v="CA-2019-100244"/>
    <x v="349"/>
    <s v="GM-14695"/>
    <s v="Greg Maxwell"/>
    <s v="United States"/>
    <x v="2"/>
    <x v="1"/>
    <s v="Newell 343"/>
    <n v="11.76"/>
    <n v="4"/>
    <n v="3.1751999999999998"/>
    <n v="26.999999999999996"/>
  </r>
  <r>
    <s v="US-2020-127719"/>
    <x v="102"/>
    <s v="TW-21025"/>
    <s v="Tamara Willingham"/>
    <s v="United States"/>
    <x v="0"/>
    <x v="1"/>
    <s v="Xerox 1993"/>
    <n v="100.48"/>
    <n v="1"/>
    <n v="3.1751999999999998"/>
    <n v="3.1600318471337574"/>
  </r>
  <r>
    <s v="CA-2020-105130"/>
    <x v="341"/>
    <s v="PJ-18835"/>
    <s v="Patrick Jones"/>
    <s v="United States"/>
    <x v="2"/>
    <x v="1"/>
    <s v="Newell 332"/>
    <n v="119.76"/>
    <n v="4"/>
    <n v="3.1751999999999998"/>
    <n v="2.6513026052104207"/>
  </r>
  <r>
    <s v="CA-2020-159597"/>
    <x v="407"/>
    <s v="MC-17590"/>
    <s v="Matt Collister"/>
    <s v="United States"/>
    <x v="2"/>
    <x v="1"/>
    <s v="Safco Wire Cube Shelving System, For Use as 4 or 5 14&quot; Cubes, Black"/>
    <n v="153.56"/>
    <n v="2"/>
    <n v="3.1779999999999999"/>
    <n v="2.0695493618129719"/>
  </r>
  <r>
    <s v="CA-2020-117667"/>
    <x v="57"/>
    <s v="MS-17980"/>
    <s v="Michael Stewart"/>
    <s v="United States"/>
    <x v="0"/>
    <x v="1"/>
    <s v="DIXON Ticonderoga Erasable Checking Pencils"/>
    <n v="113.392"/>
    <n v="3"/>
    <n v="3.1806000000000001"/>
    <n v="2.8049597855227884"/>
  </r>
  <r>
    <s v="CA-2020-132738"/>
    <x v="385"/>
    <s v="HM-14860"/>
    <s v="Harry Marie"/>
    <s v="United States"/>
    <x v="2"/>
    <x v="1"/>
    <s v="Manila Recycled Extra-Heavyweight Clasp Envelopes, 6&quot; x 9&quot;"/>
    <n v="129.78399999999999"/>
    <n v="1"/>
    <n v="3.1842000000000001"/>
    <n v="2.4534611354250142"/>
  </r>
  <r>
    <s v="CA-2020-152485"/>
    <x v="130"/>
    <s v="JD-15790"/>
    <s v="John Dryer"/>
    <s v="United States"/>
    <x v="3"/>
    <x v="1"/>
    <s v="Crayola Anti Dust Chalk, 12/Pack"/>
    <n v="120.19199999999999"/>
    <n v="7"/>
    <n v="3.1850000000000001"/>
    <n v="2.6499267838125666"/>
  </r>
  <r>
    <s v="CA-2019-137050"/>
    <x v="475"/>
    <s v="SW-20755"/>
    <s v="Steven Ward"/>
    <s v="United States"/>
    <x v="0"/>
    <x v="1"/>
    <s v="Acco Hanging Data Binders"/>
    <n v="9.1440000000000001"/>
    <n v="3"/>
    <n v="3.2004000000000001"/>
    <n v="35"/>
  </r>
  <r>
    <s v="CA-2019-169887"/>
    <x v="506"/>
    <s v="MS-17530"/>
    <s v="MaryBeth Skach"/>
    <s v="United States"/>
    <x v="2"/>
    <x v="1"/>
    <s v="Xerox 1986"/>
    <n v="6.68"/>
    <n v="1"/>
    <n v="3.2063999999999999"/>
    <n v="48"/>
  </r>
  <r>
    <s v="CA-2020-107552"/>
    <x v="109"/>
    <s v="AI-10855"/>
    <s v="Arianne Irving"/>
    <s v="United States"/>
    <x v="0"/>
    <x v="1"/>
    <s v="Xerox 1923"/>
    <n v="117.68"/>
    <n v="1"/>
    <n v="3.2063999999999999"/>
    <n v="2.7246770904146835"/>
  </r>
  <r>
    <s v="CA-2019-162222"/>
    <x v="158"/>
    <s v="SR-20740"/>
    <s v="Steven Roelle"/>
    <s v="United States"/>
    <x v="3"/>
    <x v="1"/>
    <s v="Xerox 1962"/>
    <n v="10.272"/>
    <n v="3"/>
    <n v="3.21"/>
    <n v="31.25"/>
  </r>
  <r>
    <s v="CA-2019-155670"/>
    <x v="108"/>
    <s v="EM-14065"/>
    <s v="Erin Mull"/>
    <s v="United States"/>
    <x v="1"/>
    <x v="1"/>
    <s v="Easy-staple paper"/>
    <n v="10.272"/>
    <n v="3"/>
    <n v="3.21"/>
    <n v="31.25"/>
  </r>
  <r>
    <s v="CA-2019-136231"/>
    <x v="100"/>
    <s v="DM-13015"/>
    <s v="Darrin Martin"/>
    <s v="United States"/>
    <x v="1"/>
    <x v="1"/>
    <s v="Xerox 1971"/>
    <n v="10.272"/>
    <n v="3"/>
    <n v="3.21"/>
    <n v="31.25"/>
  </r>
  <r>
    <s v="CA-2020-142867"/>
    <x v="294"/>
    <s v="PO-19180"/>
    <s v="Philisse Overcash"/>
    <s v="United States"/>
    <x v="3"/>
    <x v="1"/>
    <s v="Xerox 1900"/>
    <n v="119.27200000000001"/>
    <n v="3"/>
    <n v="3.21"/>
    <n v="2.6913273861425986"/>
  </r>
  <r>
    <s v="US-2020-151316"/>
    <x v="47"/>
    <s v="MC-17635"/>
    <s v="Matthew Clasen"/>
    <s v="United States"/>
    <x v="3"/>
    <x v="1"/>
    <s v="Xerox 1971"/>
    <n v="98.272000000000006"/>
    <n v="3"/>
    <n v="3.21"/>
    <n v="3.2664441549983714"/>
  </r>
  <r>
    <s v="US-2020-160836"/>
    <x v="183"/>
    <s v="CC-12475"/>
    <s v="Cindy Chapman"/>
    <s v="United States"/>
    <x v="3"/>
    <x v="1"/>
    <s v="Xerox 1953"/>
    <n v="127.27200000000001"/>
    <n v="3"/>
    <n v="3.21"/>
    <n v="2.5221572694701111"/>
  </r>
  <r>
    <s v="CA-2019-104969"/>
    <x v="5"/>
    <s v="EH-14125"/>
    <s v="Eugene Hildebrand"/>
    <s v="United States"/>
    <x v="0"/>
    <x v="1"/>
    <s v="#10 Self-Seal White Envelopes"/>
    <n v="8.8719999999999999"/>
    <n v="1"/>
    <n v="3.2161"/>
    <n v="36.25"/>
  </r>
  <r>
    <s v="US-2020-103247"/>
    <x v="188"/>
    <s v="PO-19195"/>
    <s v="Phillina Ober"/>
    <s v="United States"/>
    <x v="0"/>
    <x v="0"/>
    <s v="Motorola HK250 Universal Bluetooth Headset"/>
    <n v="198.93"/>
    <n v="7"/>
    <n v="3.2185999999999999"/>
    <n v="1.6179560649474689"/>
  </r>
  <r>
    <s v="CA-2020-105669"/>
    <x v="166"/>
    <s v="SJ-20125"/>
    <s v="Sanjit Jacobs"/>
    <s v="United States"/>
    <x v="3"/>
    <x v="1"/>
    <s v="Newell Chalk Holder"/>
    <n v="133.91200000000001"/>
    <n v="3"/>
    <n v="3.2214"/>
    <n v="2.4056096541012009"/>
  </r>
  <r>
    <s v="CA-2020-117114"/>
    <x v="457"/>
    <s v="CY-12745"/>
    <s v="Craig Yedwab"/>
    <s v="United States"/>
    <x v="3"/>
    <x v="1"/>
    <s v="#10 Gummed Flap White Envelopes, 100/Box"/>
    <n v="108.91200000000001"/>
    <n v="3"/>
    <n v="3.2214"/>
    <n v="2.9578007933010135"/>
  </r>
  <r>
    <s v="CA-2019-109652"/>
    <x v="377"/>
    <s v="QJ-19255"/>
    <s v="Quincy Jones"/>
    <s v="United States"/>
    <x v="3"/>
    <x v="1"/>
    <s v="BIC Brite Liner Grip Highlighters, Assorted, 5/Pack"/>
    <n v="13.568"/>
    <n v="4"/>
    <n v="3.2223999999999999"/>
    <n v="23.75"/>
  </r>
  <r>
    <s v="US-2020-168613"/>
    <x v="451"/>
    <s v="GM-14440"/>
    <s v="Gary McGarr"/>
    <s v="United States"/>
    <x v="0"/>
    <x v="2"/>
    <s v="Office Star - Ergonomically Designed Knee Chair"/>
    <n v="184.76400000000001"/>
    <n v="2"/>
    <n v="3.2391999999999999"/>
    <n v="1.7531553765885128"/>
  </r>
  <r>
    <s v="CA-2020-141446"/>
    <x v="35"/>
    <s v="CL-12700"/>
    <s v="Craig Leslie"/>
    <s v="United States"/>
    <x v="1"/>
    <x v="0"/>
    <s v="KeyTronic E03601U1 - Keyboard - Beige"/>
    <n v="99"/>
    <n v="1"/>
    <n v="3.24"/>
    <n v="3.2727272727272729"/>
  </r>
  <r>
    <s v="CA-2020-148068"/>
    <x v="406"/>
    <s v="MM-18280"/>
    <s v="Muhammed MacIntyre"/>
    <s v="United States"/>
    <x v="0"/>
    <x v="2"/>
    <s v="Ultra Door Push Plate"/>
    <n v="102.82"/>
    <n v="2"/>
    <n v="3.2406000000000001"/>
    <n v="3.1517214549698505"/>
  </r>
  <r>
    <s v="US-2020-141558"/>
    <x v="91"/>
    <s v="MH-17290"/>
    <s v="Marc Harrigan"/>
    <s v="United States"/>
    <x v="0"/>
    <x v="1"/>
    <s v="Desktop 3-Pocket Hot File"/>
    <n v="145.28"/>
    <n v="1"/>
    <n v="3.246"/>
    <n v="2.2343061674008813"/>
  </r>
  <r>
    <s v="CA-2019-102792"/>
    <x v="503"/>
    <s v="JC-15340"/>
    <s v="Jasper Cacioppo"/>
    <s v="United States"/>
    <x v="2"/>
    <x v="1"/>
    <s v="Crayola Colored Pencils"/>
    <n v="9.84"/>
    <n v="3"/>
    <n v="3.2471999999999999"/>
    <n v="33"/>
  </r>
  <r>
    <s v="CA-2019-109666"/>
    <x v="190"/>
    <s v="KM-16720"/>
    <s v="Kunst Miller"/>
    <s v="United States"/>
    <x v="0"/>
    <x v="1"/>
    <s v="Wilson Jones Clip &amp; Carry Folder Binder Tool for Ring Binders, Clear"/>
    <n v="9.2799999999999994"/>
    <n v="2"/>
    <n v="3.2480000000000002"/>
    <n v="35"/>
  </r>
  <r>
    <s v="CA-2019-155551"/>
    <x v="148"/>
    <s v="CR-12580"/>
    <s v="Clay Rozendal"/>
    <s v="United States"/>
    <x v="3"/>
    <x v="1"/>
    <s v="Adams Telephone Message Books, 5 1/4” x 11”"/>
    <n v="9.6639999999999997"/>
    <n v="2"/>
    <n v="3.2616000000000001"/>
    <n v="33.75"/>
  </r>
  <r>
    <s v="US-2020-156083"/>
    <x v="1"/>
    <s v="JL-15175"/>
    <s v="James Lanier"/>
    <s v="United States"/>
    <x v="1"/>
    <x v="1"/>
    <s v="Adams Telephone Message Books, 5 1/4” x 11”"/>
    <n v="106.664"/>
    <n v="2"/>
    <n v="3.2616000000000001"/>
    <n v="3.0578264456611417"/>
  </r>
  <r>
    <s v="US-2019-115819"/>
    <x v="190"/>
    <s v="JO-15280"/>
    <s v="Jas O'Carroll"/>
    <s v="United States"/>
    <x v="2"/>
    <x v="1"/>
    <s v="Avery Binder Labels"/>
    <n v="9.3360000000000003"/>
    <n v="3"/>
    <n v="3.2675999999999998"/>
    <n v="35"/>
  </r>
  <r>
    <s v="CA-2019-129308"/>
    <x v="270"/>
    <s v="CC-12100"/>
    <s v="Chad Cunningham"/>
    <s v="United States"/>
    <x v="0"/>
    <x v="1"/>
    <s v="Permanent Self-Adhesive File Folder Labels for Typewriters, 1 1/8 x 3 1/2, White"/>
    <n v="10.08"/>
    <n v="2"/>
    <n v="3.2759999999999998"/>
    <n v="32.499999999999993"/>
  </r>
  <r>
    <s v="US-2020-125717"/>
    <x v="189"/>
    <s v="DS-13030"/>
    <s v="Darrin Sayre"/>
    <s v="United States"/>
    <x v="2"/>
    <x v="2"/>
    <s v="Dana Halogen Swing-Arm Architect Lamp"/>
    <n v="154.77600000000001"/>
    <n v="1"/>
    <n v="3.2776000000000001"/>
    <n v="2.1176409779293945"/>
  </r>
  <r>
    <s v="CA-2019-116596"/>
    <x v="484"/>
    <s v="BW-11200"/>
    <s v="Ben Wallace"/>
    <s v="United States"/>
    <x v="0"/>
    <x v="1"/>
    <s v="Prestige Round Ring Binders"/>
    <n v="9.7279999999999998"/>
    <n v="2"/>
    <n v="3.2831999999999999"/>
    <n v="33.75"/>
  </r>
  <r>
    <s v="CA-2019-161473"/>
    <x v="442"/>
    <s v="TB-21175"/>
    <s v="Thomas Boland"/>
    <s v="United States"/>
    <x v="0"/>
    <x v="1"/>
    <s v="Acme Value Line Scissors"/>
    <n v="10.95"/>
    <n v="3"/>
    <n v="3.2850000000000001"/>
    <n v="30.000000000000004"/>
  </r>
  <r>
    <s v="CA-2019-151561"/>
    <x v="391"/>
    <s v="PG-18820"/>
    <s v="Patrick Gardner"/>
    <s v="United States"/>
    <x v="0"/>
    <x v="1"/>
    <s v="Acme Value Line Scissors"/>
    <n v="10.95"/>
    <n v="3"/>
    <n v="3.2850000000000001"/>
    <n v="30.000000000000004"/>
  </r>
  <r>
    <s v="US-2019-107440"/>
    <x v="466"/>
    <s v="BS-11365"/>
    <s v="Bill Shonely"/>
    <s v="United States"/>
    <x v="0"/>
    <x v="2"/>
    <s v="Stacking Trays by OIC"/>
    <n v="9.9600000000000009"/>
    <n v="2"/>
    <n v="3.2867999999999999"/>
    <n v="32.999999999999993"/>
  </r>
  <r>
    <s v="CA-2019-128923"/>
    <x v="260"/>
    <s v="GB-14530"/>
    <s v="George Bell"/>
    <s v="United States"/>
    <x v="3"/>
    <x v="1"/>
    <s v="Things To Do Today Pad"/>
    <n v="9.3919999999999995"/>
    <n v="2"/>
    <n v="3.2871999999999999"/>
    <n v="35"/>
  </r>
  <r>
    <s v="CA-2020-117044"/>
    <x v="183"/>
    <s v="HA-14920"/>
    <s v="Helen Andreada"/>
    <s v="United States"/>
    <x v="3"/>
    <x v="1"/>
    <s v="Acco Hot Clips Clips to Go"/>
    <n v="101.52800000000001"/>
    <n v="4"/>
    <n v="3.29"/>
    <n v="3.2404853833425262"/>
  </r>
  <r>
    <s v="CA-2019-161669"/>
    <x v="316"/>
    <s v="EM-14095"/>
    <s v="Eudokia Martin"/>
    <s v="United States"/>
    <x v="2"/>
    <x v="1"/>
    <s v="Acme Preferred Stainless Steel Scissors"/>
    <n v="11.36"/>
    <n v="2"/>
    <n v="3.2944"/>
    <n v="29.000000000000004"/>
  </r>
  <r>
    <s v="CA-2019-111682"/>
    <x v="80"/>
    <s v="TB-21055"/>
    <s v="Ted Butterfield"/>
    <s v="United States"/>
    <x v="0"/>
    <x v="0"/>
    <s v="Imation 8gb Micro Traveldrive Usb 2.0 Flash Drive"/>
    <n v="30"/>
    <n v="2"/>
    <n v="3.3"/>
    <n v="11"/>
  </r>
  <r>
    <s v="CA-2019-124681"/>
    <x v="241"/>
    <s v="SV-20935"/>
    <s v="Susan Vittorini"/>
    <s v="United States"/>
    <x v="3"/>
    <x v="0"/>
    <s v="SanDisk Cruzer 4 GB USB Flash Drive"/>
    <n v="15.576000000000001"/>
    <n v="3"/>
    <n v="3.3098999999999998"/>
    <n v="21.25"/>
  </r>
  <r>
    <s v="CA-2019-138583"/>
    <x v="530"/>
    <s v="DP-13390"/>
    <s v="Dennis Pardue"/>
    <s v="United States"/>
    <x v="0"/>
    <x v="1"/>
    <s v="BIC Liqua Brite Liner"/>
    <n v="16.655999999999999"/>
    <n v="3"/>
    <n v="3.3311999999999999"/>
    <n v="20"/>
  </r>
  <r>
    <s v="CA-2020-167626"/>
    <x v="140"/>
    <s v="MY-18295"/>
    <s v="Muhammed Yedwab"/>
    <s v="United States"/>
    <x v="3"/>
    <x v="1"/>
    <s v="&quot;While you Were Out&quot; Message Book, One Form per Page"/>
    <n v="113.904"/>
    <n v="3"/>
    <n v="3.339"/>
    <n v="2.9314159292035398"/>
  </r>
  <r>
    <s v="CA-2020-165204"/>
    <x v="14"/>
    <s v="MN-17935"/>
    <s v="Michael Nguyen"/>
    <s v="United States"/>
    <x v="1"/>
    <x v="1"/>
    <s v="&quot;While you Were Out&quot; Message Book, One Form per Page"/>
    <n v="74.903999999999996"/>
    <n v="3"/>
    <n v="3.339"/>
    <n v="4.4577058635052866"/>
  </r>
  <r>
    <s v="CA-2019-123414"/>
    <x v="43"/>
    <s v="SU-20665"/>
    <s v="Stephanie Ulpright"/>
    <s v="United States"/>
    <x v="1"/>
    <x v="1"/>
    <s v="Avery 49"/>
    <n v="9.2159999999999993"/>
    <n v="4"/>
    <n v="3.3408000000000002"/>
    <n v="36.250000000000007"/>
  </r>
  <r>
    <s v="CA-2019-116764"/>
    <x v="351"/>
    <s v="EM-13825"/>
    <s v="Elizabeth Moffitt"/>
    <s v="United States"/>
    <x v="1"/>
    <x v="1"/>
    <s v="Avery 484"/>
    <n v="9.2159999999999993"/>
    <n v="4"/>
    <n v="3.3408000000000002"/>
    <n v="36.250000000000007"/>
  </r>
  <r>
    <s v="CA-2019-145177"/>
    <x v="214"/>
    <s v="PP-18955"/>
    <s v="Paul Prost"/>
    <s v="United States"/>
    <x v="0"/>
    <x v="1"/>
    <s v="Avery File Folder Labels"/>
    <n v="9.2159999999999993"/>
    <n v="4"/>
    <n v="3.3408000000000002"/>
    <n v="36.250000000000007"/>
  </r>
  <r>
    <s v="US-2019-147991"/>
    <x v="415"/>
    <s v="ZD-21925"/>
    <s v="Zuschuss Donatelli"/>
    <s v="United States"/>
    <x v="1"/>
    <x v="2"/>
    <s v="Eldon Image Series Desk Accessories, Burgundy"/>
    <n v="16.72"/>
    <n v="5"/>
    <n v="3.3439999999999999"/>
    <n v="20"/>
  </r>
  <r>
    <s v="CA-2020-118017"/>
    <x v="299"/>
    <s v="LC-16870"/>
    <s v="Lena Cacioppo"/>
    <s v="United States"/>
    <x v="2"/>
    <x v="2"/>
    <s v="Eldon Image Series Desk Accessories, Burgundy"/>
    <n v="132.72"/>
    <n v="5"/>
    <n v="3.3439999999999999"/>
    <n v="2.5195901145268236"/>
  </r>
  <r>
    <s v="US-2019-157945"/>
    <x v="66"/>
    <s v="NF-18385"/>
    <s v="Natalie Fritzler"/>
    <s v="United States"/>
    <x v="3"/>
    <x v="1"/>
    <s v="Staple envelope"/>
    <n v="8.9280000000000008"/>
    <n v="2"/>
    <n v="3.3479999999999999"/>
    <n v="37.499999999999993"/>
  </r>
  <r>
    <s v="CA-2019-122392"/>
    <x v="448"/>
    <s v="CJ-12010"/>
    <s v="Caroline Jumper"/>
    <s v="United States"/>
    <x v="0"/>
    <x v="2"/>
    <s v="Master Caster Door Stop, Large Neon Orange"/>
    <n v="11.648"/>
    <n v="2"/>
    <n v="3.3488000000000002"/>
    <n v="28.750000000000004"/>
  </r>
  <r>
    <s v="CA-2020-166695"/>
    <x v="145"/>
    <s v="CC-12430"/>
    <s v="Chuck Clark"/>
    <s v="United States"/>
    <x v="2"/>
    <x v="2"/>
    <s v="G.E. Halogen Desk Lamp Bulbs"/>
    <n v="119.98"/>
    <n v="1"/>
    <n v="3.3504"/>
    <n v="2.792465410901817"/>
  </r>
  <r>
    <s v="CA-2019-100468"/>
    <x v="289"/>
    <s v="AT-10435"/>
    <s v="Alyssa Tate"/>
    <s v="United States"/>
    <x v="2"/>
    <x v="0"/>
    <s v="iKross Bluetooth Portable Keyboard + Cell Phone Stand Holder + Brush for Apple iPhone 5S 5C 5, 4S 4"/>
    <n v="33.520000000000003"/>
    <n v="2"/>
    <n v="3.3519999999999999"/>
    <n v="10"/>
  </r>
  <r>
    <s v="CA-2019-164490"/>
    <x v="100"/>
    <s v="SU-20665"/>
    <s v="Stephanie Ulpright"/>
    <s v="United States"/>
    <x v="3"/>
    <x v="1"/>
    <s v="Xerox 196"/>
    <n v="9.2479999999999993"/>
    <n v="2"/>
    <n v="3.3523999999999998"/>
    <n v="36.25"/>
  </r>
  <r>
    <s v="CA-2019-160136"/>
    <x v="65"/>
    <s v="PJ-18835"/>
    <s v="Patrick Jones"/>
    <s v="United States"/>
    <x v="3"/>
    <x v="1"/>
    <s v="Xerox 1978"/>
    <n v="9.2479999999999993"/>
    <n v="2"/>
    <n v="3.3523999999999998"/>
    <n v="36.25"/>
  </r>
  <r>
    <s v="US-2020-161935"/>
    <x v="38"/>
    <s v="JL-15835"/>
    <s v="John Lee"/>
    <s v="United States"/>
    <x v="0"/>
    <x v="1"/>
    <s v="Xerox 1950"/>
    <n v="122.248"/>
    <n v="2"/>
    <n v="3.3523999999999998"/>
    <n v="2.7422943524638437"/>
  </r>
  <r>
    <s v="CA-2020-103520"/>
    <x v="71"/>
    <s v="MH-17785"/>
    <s v="Maya Herman"/>
    <s v="United States"/>
    <x v="3"/>
    <x v="1"/>
    <s v="Xerox 1899"/>
    <n v="95.248000000000005"/>
    <n v="2"/>
    <n v="3.3523999999999998"/>
    <n v="3.5196539559885767"/>
  </r>
  <r>
    <s v="CA-2020-101700"/>
    <x v="327"/>
    <s v="SO-20335"/>
    <s v="Sean O'Donnell"/>
    <s v="United States"/>
    <x v="2"/>
    <x v="2"/>
    <s v="Eldon Imàge Series Desk Accessories, Clear"/>
    <n v="114.664"/>
    <n v="3"/>
    <n v="3.3534000000000002"/>
    <n v="2.9245447568548104"/>
  </r>
  <r>
    <s v="CA-2019-126935"/>
    <x v="427"/>
    <s v="BT-11395"/>
    <s v="Bill Tyler"/>
    <s v="United States"/>
    <x v="2"/>
    <x v="1"/>
    <s v="GBC Personal VeloBind Strips"/>
    <n v="9.5839999999999996"/>
    <n v="1"/>
    <n v="3.3544"/>
    <n v="35"/>
  </r>
  <r>
    <s v="CA-2019-153269"/>
    <x v="531"/>
    <s v="PS-18760"/>
    <s v="Pamela Stobb"/>
    <s v="United States"/>
    <x v="0"/>
    <x v="1"/>
    <s v="Personal Folder Holder, Ebony"/>
    <n v="11.21"/>
    <n v="1"/>
    <n v="3.363"/>
    <n v="30"/>
  </r>
  <r>
    <s v="CA-2019-137050"/>
    <x v="475"/>
    <s v="SW-20755"/>
    <s v="Steven Ward"/>
    <s v="United States"/>
    <x v="0"/>
    <x v="1"/>
    <s v="Personal Folder Holder, Ebony"/>
    <n v="11.21"/>
    <n v="1"/>
    <n v="3.363"/>
    <n v="30"/>
  </r>
  <r>
    <s v="CA-2020-133620"/>
    <x v="14"/>
    <s v="EM-14065"/>
    <s v="Erin Mull"/>
    <s v="United States"/>
    <x v="0"/>
    <x v="1"/>
    <s v="Personal Folder Holder, Ebony"/>
    <n v="145.21"/>
    <n v="1"/>
    <n v="3.363"/>
    <n v="2.3159562013635426"/>
  </r>
  <r>
    <s v="CA-2019-150658"/>
    <x v="532"/>
    <s v="MS-17365"/>
    <s v="Maribeth Schnelling"/>
    <s v="United States"/>
    <x v="2"/>
    <x v="1"/>
    <s v="Avery Non-Stick Binders"/>
    <n v="10.776"/>
    <n v="3"/>
    <n v="3.3675000000000002"/>
    <n v="31.25"/>
  </r>
  <r>
    <s v="CA-2020-157651"/>
    <x v="409"/>
    <s v="HA-14920"/>
    <s v="Helen Andreada"/>
    <s v="United States"/>
    <x v="0"/>
    <x v="0"/>
    <s v="Memorex Froggy Flash Drive 8 GB"/>
    <n v="302.2"/>
    <n v="1"/>
    <n v="3.3725000000000001"/>
    <n v="1.1159827928524158"/>
  </r>
  <r>
    <s v="US-2019-141544"/>
    <x v="62"/>
    <s v="PO-18850"/>
    <s v="Patrick O'Brill"/>
    <s v="United States"/>
    <x v="0"/>
    <x v="1"/>
    <s v="File Shuttle II and Handi-File, Black"/>
    <n v="54.223999999999997"/>
    <n v="2"/>
    <n v="3.3889999999999998"/>
    <n v="6.25"/>
  </r>
  <r>
    <s v="CA-2020-161172"/>
    <x v="160"/>
    <s v="SP-20920"/>
    <s v="Susan Pistek"/>
    <s v="United States"/>
    <x v="0"/>
    <x v="1"/>
    <s v="File Shuttle II and Handi-File, Black"/>
    <n v="169.22399999999999"/>
    <n v="2"/>
    <n v="3.3889999999999998"/>
    <n v="2.0026710159315462"/>
  </r>
  <r>
    <s v="CA-2020-150959"/>
    <x v="250"/>
    <s v="TD-20995"/>
    <s v="Tamara Dahlen"/>
    <s v="United States"/>
    <x v="3"/>
    <x v="1"/>
    <s v="Permanent Self-Adhesive File Folder Labels for Typewriters by Universal"/>
    <n v="92.44"/>
    <n v="5"/>
    <n v="3.3929999999999998"/>
    <n v="3.6704889658156636"/>
  </r>
  <r>
    <s v="CA-2019-106950"/>
    <x v="110"/>
    <s v="JE-15715"/>
    <s v="Joe Elijah"/>
    <s v="United States"/>
    <x v="1"/>
    <x v="1"/>
    <s v="Zebra Zazzle Fluorescent Highlighters"/>
    <n v="19.456"/>
    <n v="4"/>
    <n v="3.4047999999999998"/>
    <n v="17.5"/>
  </r>
  <r>
    <s v="CA-2020-150525"/>
    <x v="89"/>
    <s v="JP-16135"/>
    <s v="Julie Prescott"/>
    <s v="United States"/>
    <x v="3"/>
    <x v="1"/>
    <s v="Disposable Triple-Filter Dust Bags"/>
    <n v="1233.1099999999999"/>
    <n v="3"/>
    <n v="3.4085999999999999"/>
    <n v="0.27642302795371054"/>
  </r>
  <r>
    <s v="CA-2019-161746"/>
    <x v="72"/>
    <s v="CS-11950"/>
    <s v="Carlos Soltero"/>
    <s v="United States"/>
    <x v="2"/>
    <x v="1"/>
    <s v="SAFCO Boltless Steel Shelving"/>
    <n v="340.92"/>
    <n v="3"/>
    <n v="3.4091999999999998"/>
    <n v="0.99999999999999989"/>
  </r>
  <r>
    <s v="CA-2019-123533"/>
    <x v="289"/>
    <s v="SC-20050"/>
    <s v="Sample Company A"/>
    <s v="United States"/>
    <x v="1"/>
    <x v="1"/>
    <s v="Tops Wirebound Message Log Books"/>
    <n v="10.528"/>
    <n v="4"/>
    <n v="3.4216000000000002"/>
    <n v="32.5"/>
  </r>
  <r>
    <s v="CA-2020-140949"/>
    <x v="294"/>
    <s v="DB-13405"/>
    <s v="Denny Blanton"/>
    <s v="United States"/>
    <x v="0"/>
    <x v="1"/>
    <s v="Avery 486"/>
    <n v="124.31"/>
    <n v="1"/>
    <n v="3.4357000000000002"/>
    <n v="2.7638162657871455"/>
  </r>
  <r>
    <s v="CA-2019-105018"/>
    <x v="173"/>
    <s v="SK-19990"/>
    <s v="Sally Knutson"/>
    <s v="United States"/>
    <x v="0"/>
    <x v="1"/>
    <s v="Avery Poly Binder Pockets"/>
    <n v="7.16"/>
    <n v="2"/>
    <n v="3.4367999999999999"/>
    <n v="48"/>
  </r>
  <r>
    <s v="CA-2020-134649"/>
    <x v="497"/>
    <s v="CA-11965"/>
    <s v="Carol Adams"/>
    <s v="United States"/>
    <x v="1"/>
    <x v="1"/>
    <s v="Avery Poly Binder Pockets"/>
    <n v="111.16"/>
    <n v="2"/>
    <n v="3.4367999999999999"/>
    <n v="3.0917596257646633"/>
  </r>
  <r>
    <s v="CA-2019-158302"/>
    <x v="83"/>
    <s v="JB-16045"/>
    <s v="Julia Barnett"/>
    <s v="United States"/>
    <x v="0"/>
    <x v="1"/>
    <s v="Ampad Gold Fibre Wirebound Steno Books, 6&quot; x 9&quot;, Gregg Ruled"/>
    <n v="10.584"/>
    <n v="3"/>
    <n v="3.4398"/>
    <n v="32.5"/>
  </r>
  <r>
    <s v="CA-2019-161158"/>
    <x v="119"/>
    <s v="PS-18970"/>
    <s v="Paul Stevenson"/>
    <s v="United States"/>
    <x v="0"/>
    <x v="1"/>
    <s v="Sanford Pocket Accent Highlighters"/>
    <n v="8"/>
    <n v="5"/>
    <n v="3.44"/>
    <n v="43"/>
  </r>
  <r>
    <s v="CA-2020-139444"/>
    <x v="37"/>
    <s v="GK-14620"/>
    <s v="Grace Kelly"/>
    <s v="United States"/>
    <x v="3"/>
    <x v="1"/>
    <s v="Avery 511"/>
    <n v="120.85599999999999"/>
    <n v="4"/>
    <n v="3.4496000000000002"/>
    <n v="2.8543059508836963"/>
  </r>
  <r>
    <s v="CA-2020-116113"/>
    <x v="11"/>
    <s v="JW-15220"/>
    <s v="Jane Waco"/>
    <s v="United States"/>
    <x v="1"/>
    <x v="2"/>
    <s v="Master Caster Door Stop, Gray"/>
    <n v="117.16"/>
    <n v="2"/>
    <n v="3.4544000000000001"/>
    <n v="2.9484465687948105"/>
  </r>
  <r>
    <s v="CA-2019-145583"/>
    <x v="27"/>
    <s v="LC-16885"/>
    <s v="Lena Creighton"/>
    <s v="United States"/>
    <x v="2"/>
    <x v="1"/>
    <s v="Sanford Colorific Colored Pencils, 12/Box"/>
    <n v="11.52"/>
    <n v="4"/>
    <n v="3.456"/>
    <n v="30"/>
  </r>
  <r>
    <s v="CA-2020-166198"/>
    <x v="69"/>
    <s v="JW-15955"/>
    <s v="Joni Wasserman"/>
    <s v="United States"/>
    <x v="2"/>
    <x v="0"/>
    <s v="Verbatim Slim CD and DVD Storage Cases, 50/Pack"/>
    <n v="118.54"/>
    <n v="1"/>
    <n v="3.4620000000000002"/>
    <n v="2.9205331533659522"/>
  </r>
  <r>
    <s v="CA-2020-157987"/>
    <x v="149"/>
    <s v="AC-10615"/>
    <s v="Ann Chong"/>
    <s v="United States"/>
    <x v="0"/>
    <x v="2"/>
    <s v="DAX Cubicle Frames - 8x10"/>
    <n v="125.54"/>
    <n v="2"/>
    <n v="3.4620000000000002"/>
    <n v="2.7576867930540065"/>
  </r>
  <r>
    <s v="CA-2019-113390"/>
    <x v="459"/>
    <s v="EP-13915"/>
    <s v="Emily Phan"/>
    <s v="United States"/>
    <x v="3"/>
    <x v="1"/>
    <s v="Newell 309"/>
    <n v="27.72"/>
    <n v="3"/>
    <n v="3.4649999999999999"/>
    <n v="12.5"/>
  </r>
  <r>
    <s v="CA-2019-124254"/>
    <x v="231"/>
    <s v="TB-21175"/>
    <s v="Thomas Boland"/>
    <s v="United States"/>
    <x v="1"/>
    <x v="1"/>
    <s v="TOPS &quot;Important Message&quot; Pads, Canary, 4-1/4 x 5-1/2, 50 Sheets per Pad"/>
    <n v="10.272"/>
    <n v="3"/>
    <n v="3.4668000000000001"/>
    <n v="33.75"/>
  </r>
  <r>
    <s v="CA-2020-134838"/>
    <x v="440"/>
    <s v="ED-13885"/>
    <s v="Emily Ducich"/>
    <s v="United States"/>
    <x v="2"/>
    <x v="1"/>
    <s v="Newell 320"/>
    <n v="133.84"/>
    <n v="3"/>
    <n v="3.4668000000000001"/>
    <n v="2.5902570233114166"/>
  </r>
  <r>
    <s v="CA-2019-165918"/>
    <x v="238"/>
    <s v="BD-11770"/>
    <s v="Bryan Davis"/>
    <s v="United States"/>
    <x v="2"/>
    <x v="1"/>
    <s v="Avery 487"/>
    <n v="7.38"/>
    <n v="2"/>
    <n v="3.4685999999999999"/>
    <n v="47"/>
  </r>
  <r>
    <s v="CA-2019-149482"/>
    <x v="296"/>
    <s v="RR-19315"/>
    <s v="Ralph Ritter"/>
    <s v="United States"/>
    <x v="2"/>
    <x v="1"/>
    <s v="Avery 52"/>
    <n v="7.38"/>
    <n v="2"/>
    <n v="3.4685999999999999"/>
    <n v="47"/>
  </r>
  <r>
    <s v="CA-2020-128965"/>
    <x v="2"/>
    <s v="PS-18760"/>
    <s v="Pamela Stobb"/>
    <s v="United States"/>
    <x v="2"/>
    <x v="1"/>
    <s v="Avery 517"/>
    <n v="114.38"/>
    <n v="2"/>
    <n v="3.4685999999999999"/>
    <n v="3.0325231683860818"/>
  </r>
  <r>
    <s v="CA-2020-107825"/>
    <x v="276"/>
    <s v="NB-18655"/>
    <s v="Nona Balk"/>
    <s v="United States"/>
    <x v="3"/>
    <x v="1"/>
    <s v="Avery 487"/>
    <n v="117.38"/>
    <n v="2"/>
    <n v="3.4685999999999999"/>
    <n v="2.9550178906116886"/>
  </r>
  <r>
    <s v="CA-2019-140130"/>
    <x v="330"/>
    <s v="HW-14935"/>
    <s v="Helen Wasserman"/>
    <s v="United States"/>
    <x v="3"/>
    <x v="1"/>
    <s v="Newell 31"/>
    <n v="12.39"/>
    <n v="3"/>
    <n v="3.4691999999999998"/>
    <n v="27.999999999999996"/>
  </r>
  <r>
    <s v="CA-2020-104220"/>
    <x v="178"/>
    <s v="BV-11245"/>
    <s v="Benjamin Venier"/>
    <s v="United States"/>
    <x v="3"/>
    <x v="1"/>
    <s v="DXL Angle-View Binders with Locking Rings by Samsill"/>
    <n v="111.71"/>
    <n v="1"/>
    <n v="3.4695"/>
    <n v="3.1058096857935729"/>
  </r>
  <r>
    <s v="US-2020-152569"/>
    <x v="403"/>
    <s v="JD-16015"/>
    <s v="Joy Daniels"/>
    <s v="United States"/>
    <x v="3"/>
    <x v="0"/>
    <s v="QVS USB Car Charger 2-Port 2.1Amp for iPod/iPhone/iPad/iPad 2/iPad 3"/>
    <n v="86.12"/>
    <n v="2"/>
    <n v="3.4750000000000001"/>
    <n v="4.0350673478866703"/>
  </r>
  <r>
    <s v="CA-2020-111332"/>
    <x v="145"/>
    <s v="NC-18340"/>
    <s v="Nat Carroll"/>
    <s v="United States"/>
    <x v="3"/>
    <x v="1"/>
    <s v="Staples"/>
    <n v="95.41"/>
    <n v="3"/>
    <n v="3.4826999999999999"/>
    <n v="3.6502463054187197"/>
  </r>
  <r>
    <s v="CA-2020-142776"/>
    <x v="33"/>
    <s v="RS-19870"/>
    <s v="Roy Skaria"/>
    <s v="United States"/>
    <x v="3"/>
    <x v="1"/>
    <s v="Pastel Pink Envelopes"/>
    <n v="252.28"/>
    <n v="1"/>
    <n v="3.4944000000000002"/>
    <n v="1.3851276359600444"/>
  </r>
  <r>
    <s v="CA-2020-161459"/>
    <x v="92"/>
    <s v="EB-13750"/>
    <s v="Edward Becker"/>
    <s v="United States"/>
    <x v="2"/>
    <x v="0"/>
    <s v="PayAnywhere Card Reader"/>
    <n v="146.96"/>
    <n v="5"/>
    <n v="3.4965000000000002"/>
    <n v="2.3792188350571584"/>
  </r>
  <r>
    <s v="CA-2019-107475"/>
    <x v="490"/>
    <s v="RS-19870"/>
    <s v="Roy Skaria"/>
    <s v="United States"/>
    <x v="0"/>
    <x v="1"/>
    <s v="Ideal Clamps"/>
    <n v="9.6479999999999997"/>
    <n v="6"/>
    <n v="3.4973999999999998"/>
    <n v="36.25"/>
  </r>
  <r>
    <s v="CA-2019-162110"/>
    <x v="241"/>
    <s v="NP-18670"/>
    <s v="Nora Paige"/>
    <s v="United States"/>
    <x v="2"/>
    <x v="0"/>
    <s v="iHome FM Clock Radio with Lightning Dock"/>
    <n v="55.991999999999997"/>
    <n v="1"/>
    <n v="3.4994999999999998"/>
    <n v="6.25"/>
  </r>
  <r>
    <s v="CA-2020-101959"/>
    <x v="533"/>
    <s v="DB-13660"/>
    <s v="Duane Benoit"/>
    <s v="United States"/>
    <x v="0"/>
    <x v="1"/>
    <s v="Southworth 100% Résumé Paper, 24lb."/>
    <n v="943.78"/>
    <n v="1"/>
    <n v="3.5009999999999999"/>
    <n v="0.37095509546716399"/>
  </r>
  <r>
    <s v="CA-2020-162250"/>
    <x v="225"/>
    <s v="PR-18880"/>
    <s v="Patrick Ryan"/>
    <s v="United States"/>
    <x v="2"/>
    <x v="1"/>
    <s v="Southworth 100% Résumé Paper, 24lb."/>
    <n v="105.78"/>
    <n v="1"/>
    <n v="3.5009999999999999"/>
    <n v="3.309699376063528"/>
  </r>
  <r>
    <s v="CA-2020-131233"/>
    <x v="249"/>
    <s v="CS-12355"/>
    <s v="Christine Sundaresam"/>
    <s v="United States"/>
    <x v="0"/>
    <x v="1"/>
    <s v="Avery Non-Stick Binders"/>
    <n v="110.776"/>
    <n v="3"/>
    <n v="3.5022000000000002"/>
    <n v="3.1615151296309674"/>
  </r>
  <r>
    <s v="CA-2020-112515"/>
    <x v="166"/>
    <s v="AS-10225"/>
    <s v="Alan Schoenberger"/>
    <s v="United States"/>
    <x v="2"/>
    <x v="1"/>
    <s v="Avery Non-Stick Binders"/>
    <n v="119.776"/>
    <n v="3"/>
    <n v="3.5022000000000002"/>
    <n v="2.9239580550360675"/>
  </r>
  <r>
    <s v="CA-2019-109176"/>
    <x v="119"/>
    <s v="JW-16075"/>
    <s v="Julia West"/>
    <s v="United States"/>
    <x v="0"/>
    <x v="1"/>
    <s v="Staple envelope"/>
    <n v="9.3439999999999994"/>
    <n v="1"/>
    <n v="3.504"/>
    <n v="37.5"/>
  </r>
  <r>
    <s v="CA-2019-167290"/>
    <x v="481"/>
    <s v="JF-15295"/>
    <s v="Jason Fortune-"/>
    <s v="United States"/>
    <x v="3"/>
    <x v="1"/>
    <s v="Newell 312"/>
    <n v="11.68"/>
    <n v="2"/>
    <n v="3.504"/>
    <n v="30"/>
  </r>
  <r>
    <s v="CA-2020-163265"/>
    <x v="363"/>
    <s v="JS-16030"/>
    <s v="Joy Smith"/>
    <s v="United States"/>
    <x v="3"/>
    <x v="1"/>
    <s v="Newell 312"/>
    <n v="134.03200000000001"/>
    <n v="6"/>
    <n v="3.504"/>
    <n v="2.6143010624328515"/>
  </r>
  <r>
    <s v="CA-2020-145233"/>
    <x v="265"/>
    <s v="DV-13465"/>
    <s v="Dianna Vittorini"/>
    <s v="United States"/>
    <x v="2"/>
    <x v="1"/>
    <s v="Fellowes Basic Home/Office Series Surge Protectors"/>
    <n v="112.152"/>
    <n v="3"/>
    <n v="3.5045999999999999"/>
    <n v="3.1248662529424354"/>
  </r>
  <r>
    <s v="CA-2020-160927"/>
    <x v="303"/>
    <s v="TM-21010"/>
    <s v="Tamara Manning"/>
    <s v="United States"/>
    <x v="3"/>
    <x v="1"/>
    <s v="Tenex Personal Project File with Scoop Front Design, Black"/>
    <n v="140.47999999999999"/>
    <n v="1"/>
    <n v="3.5047999999999999"/>
    <n v="2.4948747152619593"/>
  </r>
  <r>
    <s v="CA-2019-123414"/>
    <x v="43"/>
    <s v="SU-20665"/>
    <s v="Stephanie Ulpright"/>
    <s v="United States"/>
    <x v="1"/>
    <x v="1"/>
    <s v="Acme 10&quot; Easy Grip Assistive Scissors"/>
    <n v="28.047999999999998"/>
    <n v="2"/>
    <n v="3.5059999999999998"/>
    <n v="12.5"/>
  </r>
  <r>
    <s v="CA-2019-151512"/>
    <x v="386"/>
    <s v="SH-19975"/>
    <s v="Sally Hughsby"/>
    <s v="United States"/>
    <x v="2"/>
    <x v="1"/>
    <s v="Harmony HEPA Quiet Air Purifiers"/>
    <n v="18.72"/>
    <n v="2"/>
    <n v="3.51"/>
    <n v="18.75"/>
  </r>
  <r>
    <s v="CA-2020-162635"/>
    <x v="30"/>
    <s v="EB-14170"/>
    <s v="Evan Bailliet"/>
    <s v="United States"/>
    <x v="1"/>
    <x v="1"/>
    <s v="Avoid Verbal Orders Carbonless Minifold Book"/>
    <n v="111.816"/>
    <n v="4"/>
    <n v="3.5152000000000001"/>
    <n v="3.1437361379409028"/>
  </r>
  <r>
    <s v="CA-2020-103380"/>
    <x v="341"/>
    <s v="BF-11005"/>
    <s v="Barry Franz"/>
    <s v="United States"/>
    <x v="2"/>
    <x v="1"/>
    <s v="Advantus T-Pin Paper Clips"/>
    <n v="129.02000000000001"/>
    <n v="2"/>
    <n v="3.5177999999999998"/>
    <n v="2.7265540226321496"/>
  </r>
  <r>
    <s v="CA-2020-122644"/>
    <x v="151"/>
    <s v="SF-20965"/>
    <s v="Sylvia Foulston"/>
    <s v="United States"/>
    <x v="0"/>
    <x v="1"/>
    <s v="Strathmore Photo Mount Cards"/>
    <n v="146.84800000000001"/>
    <n v="2"/>
    <n v="3.5255999999999998"/>
    <n v="2.4008498583569402"/>
  </r>
  <r>
    <s v="CA-2019-122518"/>
    <x v="534"/>
    <s v="RF-19345"/>
    <s v="Randy Ferguson"/>
    <s v="United States"/>
    <x v="1"/>
    <x v="1"/>
    <s v="Avery 518"/>
    <n v="10.08"/>
    <n v="4"/>
    <n v="3.528"/>
    <n v="35"/>
  </r>
  <r>
    <s v="CA-2020-166856"/>
    <x v="406"/>
    <s v="TS-21505"/>
    <s v="Tony Sayre"/>
    <s v="United States"/>
    <x v="2"/>
    <x v="1"/>
    <s v="Wilson Jones Easy Flow II Sheet Lifters"/>
    <n v="108.08"/>
    <n v="7"/>
    <n v="3.528"/>
    <n v="3.2642487046632125"/>
  </r>
  <r>
    <s v="CA-2020-100615"/>
    <x v="202"/>
    <s v="SJ-20215"/>
    <s v="Sarah Jordon"/>
    <s v="United States"/>
    <x v="3"/>
    <x v="1"/>
    <s v="Lumber Crayons"/>
    <n v="93.76"/>
    <n v="2"/>
    <n v="3.5459999999999998"/>
    <n v="3.7819965870307164"/>
  </r>
  <r>
    <s v="CA-2020-152975"/>
    <x v="97"/>
    <s v="RB-19705"/>
    <s v="Roger Barcio"/>
    <s v="United States"/>
    <x v="0"/>
    <x v="1"/>
    <s v="Sensible Storage WireTech Storage Systems"/>
    <n v="102.98"/>
    <n v="1"/>
    <n v="3.5489999999999999"/>
    <n v="3.4463002524762087"/>
  </r>
  <r>
    <s v="US-2020-123862"/>
    <x v="413"/>
    <s v="JF-15190"/>
    <s v="Jamie Frazer"/>
    <s v="United States"/>
    <x v="2"/>
    <x v="1"/>
    <s v="Staples"/>
    <n v="107.89"/>
    <n v="1"/>
    <n v="3.5505"/>
    <n v="3.2908517934933728"/>
  </r>
  <r>
    <s v="CA-2019-151169"/>
    <x v="72"/>
    <s v="MY-18295"/>
    <s v="Muhammed Yedwab"/>
    <s v="United States"/>
    <x v="0"/>
    <x v="1"/>
    <s v="Avery Reinforcements for Hole-Punch Pages"/>
    <n v="7.92"/>
    <n v="4"/>
    <n v="3.5640000000000001"/>
    <n v="45"/>
  </r>
  <r>
    <s v="CA-2019-156685"/>
    <x v="336"/>
    <s v="SC-20230"/>
    <s v="Scot Coram"/>
    <s v="United States"/>
    <x v="3"/>
    <x v="1"/>
    <s v="Newell 345"/>
    <n v="47.616"/>
    <n v="3"/>
    <n v="3.5712000000000002"/>
    <n v="7.5"/>
  </r>
  <r>
    <s v="US-2019-165953"/>
    <x v="235"/>
    <s v="EP-13915"/>
    <s v="Emily Phan"/>
    <s v="United States"/>
    <x v="1"/>
    <x v="1"/>
    <s v="Newell 345"/>
    <n v="47.616"/>
    <n v="3"/>
    <n v="3.5712000000000002"/>
    <n v="7.5"/>
  </r>
  <r>
    <s v="US-2019-158708"/>
    <x v="454"/>
    <s v="AB-10255"/>
    <s v="Alejandro Ballentine"/>
    <s v="United States"/>
    <x v="3"/>
    <x v="0"/>
    <s v="Memorex Mini Travel Drive 4 GB USB 2.0 Flash Drive"/>
    <n v="13.616"/>
    <n v="2"/>
    <n v="3.5741999999999998"/>
    <n v="26.25"/>
  </r>
  <r>
    <s v="US-2019-162859"/>
    <x v="535"/>
    <s v="PG-18820"/>
    <s v="Patrick Gardner"/>
    <s v="United States"/>
    <x v="0"/>
    <x v="1"/>
    <s v="Advantus Push Pins"/>
    <n v="8.7200000000000006"/>
    <n v="4"/>
    <n v="3.5752000000000002"/>
    <n v="41"/>
  </r>
  <r>
    <s v="CA-2019-145625"/>
    <x v="106"/>
    <s v="KC-16540"/>
    <s v="Kelly Collister"/>
    <s v="United States"/>
    <x v="2"/>
    <x v="1"/>
    <s v="Wirebound Message Books, Two 4 1/4&quot; x 5&quot; Forms per Page"/>
    <n v="7.61"/>
    <n v="1"/>
    <n v="3.5767000000000002"/>
    <n v="47"/>
  </r>
  <r>
    <s v="CA-2020-161984"/>
    <x v="404"/>
    <s v="SJ-20125"/>
    <s v="Sanjit Jacobs"/>
    <s v="United States"/>
    <x v="0"/>
    <x v="1"/>
    <s v="Wirebound Message Books, Two 4 1/4&quot; x 5&quot; Forms per Page"/>
    <n v="96.61"/>
    <n v="1"/>
    <n v="3.5767000000000002"/>
    <n v="3.7022047407100716"/>
  </r>
  <r>
    <s v="CA-2020-161984"/>
    <x v="404"/>
    <s v="SJ-20125"/>
    <s v="Sanjit Jacobs"/>
    <s v="United States"/>
    <x v="0"/>
    <x v="1"/>
    <s v="OIC Binder Clips"/>
    <n v="106.16"/>
    <n v="2"/>
    <n v="3.58"/>
    <n v="3.3722682743029391"/>
  </r>
  <r>
    <s v="CA-2019-142902"/>
    <x v="460"/>
    <s v="BP-11185"/>
    <s v="Ben Peterman"/>
    <s v="United States"/>
    <x v="2"/>
    <x v="2"/>
    <s v="C-Line Cubicle Keepers Polyproplyene Holder With Velcro Backings"/>
    <n v="15.135999999999999"/>
    <n v="4"/>
    <n v="3.5948000000000002"/>
    <n v="23.75"/>
  </r>
  <r>
    <s v="CA-2019-108987"/>
    <x v="49"/>
    <s v="AG-10675"/>
    <s v="Anna Gayman"/>
    <s v="United States"/>
    <x v="3"/>
    <x v="1"/>
    <s v="Super Decoflex Portable Personal File"/>
    <n v="35.951999999999998"/>
    <n v="3"/>
    <n v="3.5952000000000002"/>
    <n v="10"/>
  </r>
  <r>
    <s v="US-2020-114356"/>
    <x v="536"/>
    <s v="TT-21460"/>
    <s v="Tonja Turnell"/>
    <s v="United States"/>
    <x v="1"/>
    <x v="0"/>
    <s v="Plantronics Encore H101 Dual Earpieces Headset"/>
    <n v="144.96"/>
    <n v="1"/>
    <n v="3.5960000000000001"/>
    <n v="2.4806843267108167"/>
  </r>
  <r>
    <s v="CA-2020-128965"/>
    <x v="2"/>
    <s v="PS-18760"/>
    <s v="Pamela Stobb"/>
    <s v="United States"/>
    <x v="2"/>
    <x v="1"/>
    <s v="Stockwell Push Pins"/>
    <n v="114.9"/>
    <n v="5"/>
    <n v="3.597"/>
    <n v="3.1305483028720626"/>
  </r>
  <r>
    <s v="CA-2019-106894"/>
    <x v="537"/>
    <s v="CA-12265"/>
    <s v="Christina Anderson"/>
    <s v="United States"/>
    <x v="1"/>
    <x v="1"/>
    <s v="Permanent Self-Adhesive File Folder Labels for Typewriters by Universal"/>
    <n v="7.83"/>
    <n v="3"/>
    <n v="3.6017999999999999"/>
    <n v="46"/>
  </r>
  <r>
    <s v="CA-2019-145898"/>
    <x v="66"/>
    <s v="CM-12445"/>
    <s v="Chuck Magee"/>
    <s v="United States"/>
    <x v="2"/>
    <x v="1"/>
    <s v="Avery 494"/>
    <n v="7.83"/>
    <n v="3"/>
    <n v="3.6017999999999999"/>
    <n v="46"/>
  </r>
  <r>
    <s v="CA-2020-164378"/>
    <x v="205"/>
    <s v="MM-18055"/>
    <s v="Michelle Moray"/>
    <s v="United States"/>
    <x v="0"/>
    <x v="1"/>
    <s v="Avery 509"/>
    <n v="93.83"/>
    <n v="3"/>
    <n v="3.6017999999999999"/>
    <n v="3.8386443568155175"/>
  </r>
  <r>
    <s v="CA-2019-139395"/>
    <x v="329"/>
    <s v="MG-17650"/>
    <s v="Matthew Grinstein"/>
    <s v="United States"/>
    <x v="3"/>
    <x v="1"/>
    <s v="Newell 333"/>
    <n v="13.9"/>
    <n v="5"/>
    <n v="3.6139999999999999"/>
    <n v="26"/>
  </r>
  <r>
    <s v="CA-2020-125290"/>
    <x v="174"/>
    <s v="CC-12430"/>
    <s v="Chuck Clark"/>
    <s v="United States"/>
    <x v="3"/>
    <x v="1"/>
    <s v="Newell 339"/>
    <n v="88.9"/>
    <n v="5"/>
    <n v="3.6139999999999999"/>
    <n v="4.0652418447694041"/>
  </r>
  <r>
    <s v="CA-2020-130841"/>
    <x v="538"/>
    <s v="MH-17620"/>
    <s v="Matt Hagelstein"/>
    <s v="United States"/>
    <x v="2"/>
    <x v="1"/>
    <s v="Zipper Ring Binder Pockets"/>
    <n v="132.98400000000001"/>
    <n v="4"/>
    <n v="3.6192000000000002"/>
    <n v="2.7215304096733441"/>
  </r>
  <r>
    <s v="US-2019-156986"/>
    <x v="306"/>
    <s v="ZC-21910"/>
    <s v="Zuschuss Carroll"/>
    <s v="United States"/>
    <x v="2"/>
    <x v="1"/>
    <s v="Xerox 1894"/>
    <n v="10.368"/>
    <n v="2"/>
    <n v="3.6288"/>
    <n v="35"/>
  </r>
  <r>
    <s v="CA-2019-106530"/>
    <x v="491"/>
    <s v="CL-12565"/>
    <s v="Clay Ludtke"/>
    <s v="United States"/>
    <x v="0"/>
    <x v="1"/>
    <s v="Xerox 222"/>
    <n v="10.368"/>
    <n v="2"/>
    <n v="3.6288"/>
    <n v="35"/>
  </r>
  <r>
    <s v="CA-2019-143714"/>
    <x v="282"/>
    <s v="CC-12370"/>
    <s v="Christopher Conant"/>
    <s v="United States"/>
    <x v="0"/>
    <x v="1"/>
    <s v="Xerox 224"/>
    <n v="10.368"/>
    <n v="2"/>
    <n v="3.6288"/>
    <n v="35"/>
  </r>
  <r>
    <s v="CA-2019-119186"/>
    <x v="154"/>
    <s v="MS-17710"/>
    <s v="Maurice Satty"/>
    <s v="United States"/>
    <x v="3"/>
    <x v="1"/>
    <s v="Xerox 212"/>
    <n v="10.368"/>
    <n v="2"/>
    <n v="3.6288"/>
    <n v="35"/>
  </r>
  <r>
    <s v="CA-2019-150483"/>
    <x v="227"/>
    <s v="BP-11290"/>
    <s v="Beth Paige"/>
    <s v="United States"/>
    <x v="3"/>
    <x v="1"/>
    <s v="Xerox 212"/>
    <n v="10.368"/>
    <n v="2"/>
    <n v="3.6288"/>
    <n v="35"/>
  </r>
  <r>
    <s v="CA-2019-108581"/>
    <x v="295"/>
    <s v="EA-14035"/>
    <s v="Erin Ashbrook"/>
    <s v="United States"/>
    <x v="3"/>
    <x v="1"/>
    <s v="Xerox 206"/>
    <n v="10.368"/>
    <n v="2"/>
    <n v="3.6288"/>
    <n v="35"/>
  </r>
  <r>
    <s v="US-2019-110156"/>
    <x v="319"/>
    <s v="EH-13945"/>
    <s v="Eric Hoffmann"/>
    <s v="United States"/>
    <x v="3"/>
    <x v="1"/>
    <s v="Xerox 1905"/>
    <n v="10.368"/>
    <n v="2"/>
    <n v="3.6288"/>
    <n v="35"/>
  </r>
  <r>
    <s v="CA-2019-162726"/>
    <x v="343"/>
    <s v="MT-17815"/>
    <s v="Meg Tillman"/>
    <s v="United States"/>
    <x v="3"/>
    <x v="1"/>
    <s v="Xerox 214"/>
    <n v="10.368"/>
    <n v="2"/>
    <n v="3.6288"/>
    <n v="35"/>
  </r>
  <r>
    <s v="CA-2020-125115"/>
    <x v="404"/>
    <s v="RD-19930"/>
    <s v="Russell D'Ascenzo"/>
    <s v="United States"/>
    <x v="3"/>
    <x v="1"/>
    <s v="Xerox 1894"/>
    <n v="118.36799999999999"/>
    <n v="2"/>
    <n v="3.6288"/>
    <n v="3.0656934306569341"/>
  </r>
  <r>
    <s v="US-2020-150847"/>
    <x v="105"/>
    <s v="JF-15490"/>
    <s v="Jeremy Farry"/>
    <s v="United States"/>
    <x v="0"/>
    <x v="1"/>
    <s v="Xerox 222"/>
    <n v="119.36799999999999"/>
    <n v="2"/>
    <n v="3.6288"/>
    <n v="3.0400107231418807"/>
  </r>
  <r>
    <s v="US-2020-117450"/>
    <x v="130"/>
    <s v="DO-13645"/>
    <s v="Doug O'Connell"/>
    <s v="United States"/>
    <x v="1"/>
    <x v="1"/>
    <s v="Xerox 213"/>
    <n v="133.36799999999999"/>
    <n v="2"/>
    <n v="3.6288"/>
    <n v="2.7208925679323377"/>
  </r>
  <r>
    <s v="CA-2020-160017"/>
    <x v="189"/>
    <s v="SP-20860"/>
    <s v="Sung Pak"/>
    <s v="United States"/>
    <x v="1"/>
    <x v="1"/>
    <s v="Xerox 220"/>
    <n v="108.36799999999999"/>
    <n v="2"/>
    <n v="3.6288"/>
    <n v="3.3485899896648457"/>
  </r>
  <r>
    <s v="CA-2020-143455"/>
    <x v="250"/>
    <s v="ML-17755"/>
    <s v="Max Ludwig"/>
    <s v="United States"/>
    <x v="0"/>
    <x v="1"/>
    <s v="Xerox 222"/>
    <n v="111.36799999999999"/>
    <n v="2"/>
    <n v="3.6288"/>
    <n v="3.2583866101573165"/>
  </r>
  <r>
    <s v="CA-2020-138618"/>
    <x v="265"/>
    <s v="MY-17380"/>
    <s v="Maribeth Yedwab"/>
    <s v="United States"/>
    <x v="3"/>
    <x v="1"/>
    <s v="Xerox 201"/>
    <n v="118.36799999999999"/>
    <n v="2"/>
    <n v="3.6288"/>
    <n v="3.0656934306569341"/>
  </r>
  <r>
    <s v="CA-2020-123071"/>
    <x v="299"/>
    <s v="CC-12550"/>
    <s v="Clay Cheatham"/>
    <s v="United States"/>
    <x v="3"/>
    <x v="1"/>
    <s v="Xerox 1998"/>
    <n v="117.36799999999999"/>
    <n v="2"/>
    <n v="3.6288"/>
    <n v="3.0918137822915961"/>
  </r>
  <r>
    <s v="CA-2020-143798"/>
    <x v="409"/>
    <s v="AW-10840"/>
    <s v="Anthony Witt"/>
    <s v="United States"/>
    <x v="0"/>
    <x v="1"/>
    <s v="Xerox 210"/>
    <n v="103.36799999999999"/>
    <n v="2"/>
    <n v="3.6288"/>
    <n v="3.5105641978175068"/>
  </r>
  <r>
    <s v="CA-2020-162565"/>
    <x v="33"/>
    <s v="RR-19315"/>
    <s v="Ralph Ritter"/>
    <s v="United States"/>
    <x v="3"/>
    <x v="1"/>
    <s v="Xerox 21"/>
    <n v="271.36799999999999"/>
    <n v="2"/>
    <n v="3.6288"/>
    <n v="1.3372247280445742"/>
  </r>
  <r>
    <s v="CA-2019-121034"/>
    <x v="441"/>
    <s v="JF-15565"/>
    <s v="Jill Fjeld"/>
    <s v="United States"/>
    <x v="3"/>
    <x v="1"/>
    <s v="OIC Bulk Pack Metal Binder Clips"/>
    <n v="11.167999999999999"/>
    <n v="4"/>
    <n v="3.6295999999999999"/>
    <n v="32.5"/>
  </r>
  <r>
    <s v="CA-2020-120936"/>
    <x v="93"/>
    <s v="CA-12310"/>
    <s v="Christine Abelman"/>
    <s v="United States"/>
    <x v="2"/>
    <x v="1"/>
    <s v="Fiskars Spring-Action Scissors"/>
    <n v="1150.98"/>
    <n v="1"/>
    <n v="3.6347999999999998"/>
    <n v="0.31580044831361098"/>
  </r>
  <r>
    <s v="US-2020-131961"/>
    <x v="136"/>
    <s v="MJ-17740"/>
    <s v="Max Jones"/>
    <s v="United States"/>
    <x v="0"/>
    <x v="1"/>
    <s v="BIC Brite Liner Highlighters"/>
    <n v="113.248"/>
    <n v="4"/>
    <n v="3.6432000000000002"/>
    <n v="3.2170104549307714"/>
  </r>
  <r>
    <s v="CA-2020-134404"/>
    <x v="233"/>
    <s v="DR-12880"/>
    <s v="Dan Reichenbach"/>
    <s v="United States"/>
    <x v="0"/>
    <x v="1"/>
    <s v="BIC Brite Liner Highlighters"/>
    <n v="1267.248"/>
    <n v="4"/>
    <n v="3.6432000000000002"/>
    <n v="0.28748911026097496"/>
  </r>
  <r>
    <s v="CA-2019-126004"/>
    <x v="430"/>
    <s v="BM-11140"/>
    <s v="Becky Martin"/>
    <s v="United States"/>
    <x v="0"/>
    <x v="1"/>
    <s v="Carina Media Storage Towers in Natural &amp; Black"/>
    <n v="182.94"/>
    <n v="3"/>
    <n v="3.6587999999999998"/>
    <n v="2"/>
  </r>
  <r>
    <s v="CA-2020-155824"/>
    <x v="94"/>
    <s v="KS-16300"/>
    <s v="Karen Seio"/>
    <s v="United States"/>
    <x v="1"/>
    <x v="1"/>
    <s v="Euro Pro Shark Stick Mini Vacuum"/>
    <n v="141.78399999999999"/>
    <n v="1"/>
    <n v="3.6587999999999998"/>
    <n v="2.5805450544490212"/>
  </r>
  <r>
    <s v="CA-2020-139661"/>
    <x v="177"/>
    <s v="JW-15220"/>
    <s v="Jane Waco"/>
    <s v="United States"/>
    <x v="2"/>
    <x v="2"/>
    <s v="Magna Visual Magnetic Picture Hangers"/>
    <n v="115.64"/>
    <n v="2"/>
    <n v="3.6631999999999998"/>
    <n v="3.1677620200622618"/>
  </r>
  <r>
    <s v="CA-2019-115756"/>
    <x v="100"/>
    <s v="PK-19075"/>
    <s v="Pete Kriz"/>
    <s v="United States"/>
    <x v="3"/>
    <x v="2"/>
    <s v="Aluminum Document Frame"/>
    <n v="12.22"/>
    <n v="1"/>
    <n v="3.6659999999999999"/>
    <n v="30"/>
  </r>
  <r>
    <s v="CA-2020-121412"/>
    <x v="71"/>
    <s v="BG-11695"/>
    <s v="Brooke Gillingham"/>
    <s v="United States"/>
    <x v="2"/>
    <x v="2"/>
    <s v="Aluminum Document Frame"/>
    <n v="133.328"/>
    <n v="3"/>
    <n v="3.6659999999999999"/>
    <n v="2.7496099843993758"/>
  </r>
  <r>
    <s v="CA-2019-128531"/>
    <x v="289"/>
    <s v="NS-18505"/>
    <s v="Neola Schneider"/>
    <s v="United States"/>
    <x v="3"/>
    <x v="1"/>
    <s v="Sterilite Officeware Hinged File Box"/>
    <n v="41.92"/>
    <n v="5"/>
    <n v="3.6680000000000001"/>
    <n v="8.75"/>
  </r>
  <r>
    <s v="CA-2020-118542"/>
    <x v="265"/>
    <s v="CC-12550"/>
    <s v="Clay Cheatham"/>
    <s v="United States"/>
    <x v="2"/>
    <x v="1"/>
    <s v="Cardinal HOLDit! Binder Insert Strips,Extra Strips"/>
    <n v="138.12799999999999"/>
    <n v="2"/>
    <n v="3.6714000000000002"/>
    <n v="2.6579694196687136"/>
  </r>
  <r>
    <s v="CA-2019-114405"/>
    <x v="474"/>
    <s v="AS-10240"/>
    <s v="Alan Shonely"/>
    <s v="United States"/>
    <x v="0"/>
    <x v="1"/>
    <s v="Eldon Jumbo ProFile Portable File Boxes Graphite/Black"/>
    <n v="36.744"/>
    <n v="3"/>
    <n v="3.6743999999999999"/>
    <n v="10"/>
  </r>
  <r>
    <s v="CA-2020-135860"/>
    <x v="265"/>
    <s v="JH-15985"/>
    <s v="Joseph Holt"/>
    <s v="United States"/>
    <x v="3"/>
    <x v="1"/>
    <s v="Gould Plastics 18-Pocket Panel Bin, 34w x 5-1/4d x 20-1/2h"/>
    <n v="103.99"/>
    <n v="1"/>
    <n v="3.6796000000000002"/>
    <n v="3.5384171554957211"/>
  </r>
  <r>
    <s v="CA-2019-101742"/>
    <x v="273"/>
    <s v="CR-12580"/>
    <s v="Clay Rozendal"/>
    <s v="United States"/>
    <x v="0"/>
    <x v="1"/>
    <s v="3-ring staple pack"/>
    <n v="10.528"/>
    <n v="7"/>
    <n v="3.6848000000000001"/>
    <n v="35"/>
  </r>
  <r>
    <s v="CA-2020-168837"/>
    <x v="223"/>
    <s v="JW-15955"/>
    <s v="Joni Wasserman"/>
    <s v="United States"/>
    <x v="2"/>
    <x v="2"/>
    <s v="C-Line Cubicle Keepers Polyproplyene Holder With Velcro Backings"/>
    <n v="102.46"/>
    <n v="2"/>
    <n v="3.6894"/>
    <n v="3.6008198321296119"/>
  </r>
  <r>
    <s v="CA-2019-110730"/>
    <x v="273"/>
    <s v="CM-11815"/>
    <s v="Candace McMahon"/>
    <s v="United States"/>
    <x v="2"/>
    <x v="1"/>
    <s v="Acme Design Stainless Steel Bent Scissors"/>
    <n v="13.68"/>
    <n v="2"/>
    <n v="3.6936"/>
    <n v="27"/>
  </r>
  <r>
    <s v="CA-2020-123491"/>
    <x v="177"/>
    <s v="JK-15205"/>
    <s v="Jamie Kunitz"/>
    <s v="United States"/>
    <x v="2"/>
    <x v="1"/>
    <s v="&quot;While you Were Out&quot; Message Book, One Form per Page"/>
    <n v="120.42"/>
    <n v="2"/>
    <n v="3.71"/>
    <n v="3.0808835741571166"/>
  </r>
  <r>
    <s v="CA-2020-148411"/>
    <x v="64"/>
    <s v="RO-19780"/>
    <s v="Rose O'Brian"/>
    <s v="United States"/>
    <x v="3"/>
    <x v="1"/>
    <s v="Wirebound Voice Message Log Book"/>
    <n v="113.42400000000001"/>
    <n v="3"/>
    <n v="3.7128000000000001"/>
    <n v="3.2733812949640284"/>
  </r>
  <r>
    <s v="US-2020-132675"/>
    <x v="64"/>
    <s v="KF-16285"/>
    <s v="Karen Ferguson"/>
    <s v="United States"/>
    <x v="1"/>
    <x v="1"/>
    <s v="Barrel Sharpener"/>
    <n v="103.28"/>
    <n v="4"/>
    <n v="3.7128000000000001"/>
    <n v="3.5948876839659181"/>
  </r>
  <r>
    <s v="CA-2020-102925"/>
    <x v="181"/>
    <s v="CD-12280"/>
    <s v="Christina DeMoss"/>
    <s v="United States"/>
    <x v="0"/>
    <x v="1"/>
    <s v="Avery Premier Heavy-Duty Binder with Round Locking Rings"/>
    <n v="114.42400000000001"/>
    <n v="1"/>
    <n v="3.7128000000000001"/>
    <n v="3.2447738236733552"/>
  </r>
  <r>
    <s v="CA-2019-103709"/>
    <x v="49"/>
    <s v="LP-17095"/>
    <s v="Liz Preis"/>
    <s v="United States"/>
    <x v="2"/>
    <x v="1"/>
    <s v="Eberhard Faber 3 1/2&quot; Golf Pencils"/>
    <n v="14.88"/>
    <n v="2"/>
    <n v="3.72"/>
    <n v="25"/>
  </r>
  <r>
    <s v="CA-2020-126438"/>
    <x v="8"/>
    <s v="AR-10345"/>
    <s v="Alex Russell"/>
    <s v="United States"/>
    <x v="0"/>
    <x v="1"/>
    <s v="Eberhard Faber 3 1/2&quot; Golf Pencils"/>
    <n v="145.88"/>
    <n v="2"/>
    <n v="3.72"/>
    <n v="2.5500411296956402"/>
  </r>
  <r>
    <s v="CA-2019-101189"/>
    <x v="539"/>
    <s v="JB-15400"/>
    <s v="Jennifer Braxton"/>
    <s v="United States"/>
    <x v="2"/>
    <x v="1"/>
    <s v="Safco Commercial Shelving"/>
    <n v="93.02"/>
    <n v="2"/>
    <n v="3.7208000000000001"/>
    <n v="4"/>
  </r>
  <r>
    <s v="CA-2019-157000"/>
    <x v="133"/>
    <s v="AM-10360"/>
    <s v="Alice McCarthy"/>
    <s v="United States"/>
    <x v="3"/>
    <x v="1"/>
    <s v="Personal Filing Tote with Lid, Black/Gray"/>
    <n v="37.223999999999997"/>
    <n v="3"/>
    <n v="3.7223999999999999"/>
    <n v="10"/>
  </r>
  <r>
    <s v="US-2019-164588"/>
    <x v="466"/>
    <s v="AP-10915"/>
    <s v="Arthur Prichep"/>
    <s v="United States"/>
    <x v="1"/>
    <x v="1"/>
    <s v="Newell 341"/>
    <n v="12.84"/>
    <n v="3"/>
    <n v="3.7235999999999998"/>
    <n v="28.999999999999996"/>
  </r>
  <r>
    <s v="CA-2020-165029"/>
    <x v="197"/>
    <s v="AH-10075"/>
    <s v="Adam Hart"/>
    <s v="United States"/>
    <x v="1"/>
    <x v="1"/>
    <s v="Newell 347"/>
    <n v="97.84"/>
    <n v="3"/>
    <n v="3.7235999999999998"/>
    <n v="3.8058053965658214"/>
  </r>
  <r>
    <s v="CA-2020-150266"/>
    <x v="92"/>
    <s v="RO-19780"/>
    <s v="Rose O'Brian"/>
    <s v="United States"/>
    <x v="3"/>
    <x v="1"/>
    <s v="Avery Hi-Liter Smear-Safe Highlighters"/>
    <n v="130.68799999999999"/>
    <n v="4"/>
    <n v="3.7376"/>
    <n v="2.8599412340842312"/>
  </r>
  <r>
    <s v="CA-2019-106530"/>
    <x v="491"/>
    <s v="CL-12565"/>
    <s v="Clay Ludtke"/>
    <s v="United States"/>
    <x v="0"/>
    <x v="1"/>
    <s v="Xerox 1898"/>
    <n v="10.688000000000001"/>
    <n v="2"/>
    <n v="3.7408000000000001"/>
    <n v="35"/>
  </r>
  <r>
    <s v="CA-2020-143294"/>
    <x v="421"/>
    <s v="JD-15790"/>
    <s v="John Dryer"/>
    <s v="United States"/>
    <x v="3"/>
    <x v="1"/>
    <s v="Xerox 1977"/>
    <n v="144.68799999999999"/>
    <n v="2"/>
    <n v="3.7408000000000001"/>
    <n v="2.5854251907552808"/>
  </r>
  <r>
    <s v="CA-2020-100622"/>
    <x v="368"/>
    <s v="DK-13090"/>
    <s v="Dave Kipp"/>
    <s v="United States"/>
    <x v="1"/>
    <x v="1"/>
    <s v="Xerox 1923"/>
    <n v="110.688"/>
    <n v="2"/>
    <n v="3.7408000000000001"/>
    <n v="3.3795894767273778"/>
  </r>
  <r>
    <s v="CA-2020-148992"/>
    <x v="254"/>
    <s v="CS-12250"/>
    <s v="Chris Selesnick"/>
    <s v="United States"/>
    <x v="3"/>
    <x v="1"/>
    <s v="Xerox 1959"/>
    <n v="116.688"/>
    <n v="2"/>
    <n v="3.7408000000000001"/>
    <n v="3.2058137940490878"/>
  </r>
  <r>
    <s v="CA-2020-118017"/>
    <x v="299"/>
    <s v="LC-16870"/>
    <s v="Lena Cacioppo"/>
    <s v="United States"/>
    <x v="2"/>
    <x v="1"/>
    <s v="Wirebound Four 2-3/4 x 5 Forms per Page, 400 Sets per Book"/>
    <n v="100.32"/>
    <n v="2"/>
    <n v="3.7410000000000001"/>
    <n v="3.7290669856459333"/>
  </r>
  <r>
    <s v="CA-2019-133613"/>
    <x v="80"/>
    <s v="CP-12340"/>
    <s v="Christine Phan"/>
    <s v="United States"/>
    <x v="0"/>
    <x v="1"/>
    <s v="Ibico Presentation Index for Binding Systems"/>
    <n v="7.96"/>
    <n v="2"/>
    <n v="3.7412000000000001"/>
    <n v="47"/>
  </r>
  <r>
    <s v="CA-2019-154767"/>
    <x v="507"/>
    <s v="BP-11155"/>
    <s v="Becky Pak"/>
    <s v="United States"/>
    <x v="0"/>
    <x v="1"/>
    <s v="Ibico Presentation Index for Binding Systems"/>
    <n v="7.96"/>
    <n v="2"/>
    <n v="3.7412000000000001"/>
    <n v="47"/>
  </r>
  <r>
    <s v="CA-2019-121671"/>
    <x v="395"/>
    <s v="AA-10480"/>
    <s v="Andrew Allen"/>
    <s v="United States"/>
    <x v="3"/>
    <x v="1"/>
    <s v="Rediform Wirebound &quot;Phone Memo&quot; Message Book, 11 x 5-3/4"/>
    <n v="7.64"/>
    <n v="1"/>
    <n v="3.7435999999999998"/>
    <n v="49"/>
  </r>
  <r>
    <s v="CA-2020-109757"/>
    <x v="130"/>
    <s v="MD-17350"/>
    <s v="Maribeth Dona"/>
    <s v="United States"/>
    <x v="0"/>
    <x v="1"/>
    <s v="Telephone Message Books with Fax/Mobile Section, 4 1/4&quot; x 6&quot;"/>
    <n v="107.52"/>
    <n v="4"/>
    <n v="3.7440000000000002"/>
    <n v="3.4821428571428572"/>
  </r>
  <r>
    <s v="CA-2019-164154"/>
    <x v="106"/>
    <s v="NZ-18565"/>
    <s v="Nick Zandusky"/>
    <s v="United States"/>
    <x v="0"/>
    <x v="1"/>
    <s v="Staple magnet"/>
    <n v="37.520000000000003"/>
    <n v="5"/>
    <n v="3.7519999999999998"/>
    <n v="10"/>
  </r>
  <r>
    <s v="US-2019-140172"/>
    <x v="277"/>
    <s v="SP-20650"/>
    <s v="Stephanie Phelps"/>
    <s v="United States"/>
    <x v="3"/>
    <x v="1"/>
    <s v="Prang Drawing Pencil Set"/>
    <n v="13.9"/>
    <n v="5"/>
    <n v="3.7530000000000001"/>
    <n v="27"/>
  </r>
  <r>
    <s v="CA-2020-143084"/>
    <x v="46"/>
    <s v="BP-11050"/>
    <s v="Barry Pond"/>
    <s v="United States"/>
    <x v="2"/>
    <x v="1"/>
    <s v="Prang Drawing Pencil Set"/>
    <n v="108.9"/>
    <n v="5"/>
    <n v="3.7530000000000001"/>
    <n v="3.446280991735537"/>
  </r>
  <r>
    <s v="CA-2019-149916"/>
    <x v="279"/>
    <s v="ED-13885"/>
    <s v="Emily Ducich"/>
    <s v="United States"/>
    <x v="2"/>
    <x v="0"/>
    <s v="Texas Instrument TI-15 Fraction Calculator"/>
    <n v="11.56"/>
    <n v="1"/>
    <n v="3.7570000000000001"/>
    <n v="32.5"/>
  </r>
  <r>
    <s v="CA-2019-149195"/>
    <x v="100"/>
    <s v="DM-13525"/>
    <s v="Don Miller"/>
    <s v="United States"/>
    <x v="3"/>
    <x v="1"/>
    <s v="Xerox 1930"/>
    <n v="10.368"/>
    <n v="2"/>
    <n v="3.7584"/>
    <n v="36.25"/>
  </r>
  <r>
    <s v="CA-2020-139717"/>
    <x v="483"/>
    <s v="DM-13015"/>
    <s v="Darrin Martin"/>
    <s v="United States"/>
    <x v="0"/>
    <x v="1"/>
    <s v="Xerox 1966"/>
    <n v="138.36799999999999"/>
    <n v="2"/>
    <n v="3.7584"/>
    <n v="2.7162349676225714"/>
  </r>
  <r>
    <s v="CA-2020-152933"/>
    <x v="169"/>
    <s v="MG-17650"/>
    <s v="Matthew Grinstein"/>
    <s v="United States"/>
    <x v="3"/>
    <x v="1"/>
    <s v="Xerox 1993"/>
    <n v="109.36799999999999"/>
    <n v="2"/>
    <n v="3.7584"/>
    <n v="3.4364713627386441"/>
  </r>
  <r>
    <s v="CA-2020-169999"/>
    <x v="156"/>
    <s v="JS-15685"/>
    <s v="Jim Sink"/>
    <s v="United States"/>
    <x v="0"/>
    <x v="1"/>
    <s v="Wilson Jones Turn Tabs Binder Tool for Ring Binders"/>
    <n v="137.56800000000001"/>
    <n v="3"/>
    <n v="3.7595999999999998"/>
    <n v="2.7329030006978363"/>
  </r>
  <r>
    <s v="CA-2020-157987"/>
    <x v="149"/>
    <s v="AC-10615"/>
    <s v="Ann Chong"/>
    <s v="United States"/>
    <x v="0"/>
    <x v="1"/>
    <s v="Fellowes Basic Home/Office Series Surge Protectors"/>
    <n v="110.98"/>
    <n v="1"/>
    <n v="3.7642000000000002"/>
    <n v="3.391782303117679"/>
  </r>
  <r>
    <s v="CA-2019-118101"/>
    <x v="454"/>
    <s v="SN-20560"/>
    <s v="Skye Norling"/>
    <s v="United States"/>
    <x v="3"/>
    <x v="1"/>
    <s v="Insertable Tab Post Binder Dividers"/>
    <n v="8.02"/>
    <n v="1"/>
    <n v="3.7694000000000001"/>
    <n v="47"/>
  </r>
  <r>
    <s v="CA-2020-152485"/>
    <x v="130"/>
    <s v="JD-15790"/>
    <s v="John Dryer"/>
    <s v="United States"/>
    <x v="3"/>
    <x v="1"/>
    <s v="Sanford Colorific Eraseable Coloring Pencils, 12 Count"/>
    <n v="105.12"/>
    <n v="5"/>
    <n v="3.7719999999999998"/>
    <n v="3.5882800608828003"/>
  </r>
  <r>
    <s v="CA-2019-160717"/>
    <x v="428"/>
    <s v="ME-17320"/>
    <s v="Maria Etezadi"/>
    <s v="United States"/>
    <x v="2"/>
    <x v="0"/>
    <s v="Rosewill 107 Normal Keys USB Wired Standard Keyboard"/>
    <n v="26.96"/>
    <n v="2"/>
    <n v="3.7744"/>
    <n v="13.999999999999998"/>
  </r>
  <r>
    <s v="CA-2019-145261"/>
    <x v="60"/>
    <s v="AH-10120"/>
    <s v="Adrian Hane"/>
    <s v="United States"/>
    <x v="2"/>
    <x v="1"/>
    <s v="Black Print Carbonless 8 1/2&quot; x 8 1/4&quot; Rapid Memo Book"/>
    <n v="11.648"/>
    <n v="2"/>
    <n v="3.7856000000000001"/>
    <n v="32.5"/>
  </r>
  <r>
    <s v="CA-2019-126543"/>
    <x v="540"/>
    <s v="MF-17665"/>
    <s v="Maureen Fritzler"/>
    <s v="United States"/>
    <x v="0"/>
    <x v="2"/>
    <s v="DAX Two-Tone Rosewood/Black Document Frame, Desktop, 5 x 7"/>
    <n v="15.167999999999999"/>
    <n v="2"/>
    <n v="3.7919999999999998"/>
    <n v="25"/>
  </r>
  <r>
    <s v="CA-2020-100783"/>
    <x v="130"/>
    <s v="JK-16120"/>
    <s v="Julie Kriz"/>
    <s v="United States"/>
    <x v="3"/>
    <x v="1"/>
    <s v="Hunt PowerHouse Electric Pencil Sharpener, Blue"/>
    <n v="108.384"/>
    <n v="1"/>
    <n v="3.798"/>
    <n v="3.504207263064659"/>
  </r>
  <r>
    <s v="CA-2019-138520"/>
    <x v="5"/>
    <s v="JL-15505"/>
    <s v="Jeremy Lonsdale"/>
    <s v="United States"/>
    <x v="0"/>
    <x v="1"/>
    <s v="#10 Gummed Flap White Envelopes, 100/Box"/>
    <n v="8.26"/>
    <n v="2"/>
    <n v="3.7995999999999999"/>
    <n v="46"/>
  </r>
  <r>
    <s v="US-2019-100405"/>
    <x v="261"/>
    <s v="TS-21430"/>
    <s v="Tom Stivers"/>
    <s v="United States"/>
    <x v="2"/>
    <x v="1"/>
    <s v="Newell Chalk Holder"/>
    <n v="8.26"/>
    <n v="2"/>
    <n v="3.7995999999999999"/>
    <n v="46"/>
  </r>
  <r>
    <s v="CA-2020-113705"/>
    <x v="182"/>
    <s v="LC-16870"/>
    <s v="Lena Cacioppo"/>
    <s v="United States"/>
    <x v="1"/>
    <x v="1"/>
    <s v="Avery 05222 Permanent Self-Adhesive File Folder Labels for Typewriters, on Rolls, White, 250/Roll"/>
    <n v="117.26"/>
    <n v="2"/>
    <n v="3.7995999999999999"/>
    <n v="3.2403206549548007"/>
  </r>
  <r>
    <s v="US-2019-131912"/>
    <x v="452"/>
    <s v="LH-17155"/>
    <s v="Logan Haushalter"/>
    <s v="United States"/>
    <x v="2"/>
    <x v="1"/>
    <s v="XtraLife ClearVue Slant-D Ring Binder, White, 3&quot;"/>
    <n v="11.744"/>
    <n v="1"/>
    <n v="3.8168000000000002"/>
    <n v="32.5"/>
  </r>
  <r>
    <s v="CA-2019-120250"/>
    <x v="204"/>
    <s v="AP-10720"/>
    <s v="Anne Pryor"/>
    <s v="United States"/>
    <x v="0"/>
    <x v="2"/>
    <s v="Nu-Dell Oak Frame"/>
    <n v="25.632000000000001"/>
    <n v="3"/>
    <n v="3.8448000000000002"/>
    <n v="15"/>
  </r>
  <r>
    <s v="CA-2019-101672"/>
    <x v="257"/>
    <s v="DB-12910"/>
    <s v="Daniel Byrd"/>
    <s v="United States"/>
    <x v="2"/>
    <x v="1"/>
    <s v="Xerox 1900"/>
    <n v="8.56"/>
    <n v="2"/>
    <n v="3.8519999999999999"/>
    <n v="44.999999999999993"/>
  </r>
  <r>
    <s v="CA-2020-166093"/>
    <x v="23"/>
    <s v="RW-19540"/>
    <s v="Rick Wilson"/>
    <s v="United States"/>
    <x v="2"/>
    <x v="1"/>
    <s v="Xerox 1962"/>
    <n v="119.56"/>
    <n v="2"/>
    <n v="3.8519999999999999"/>
    <n v="3.2218133154901305"/>
  </r>
  <r>
    <s v="CA-2020-108931"/>
    <x v="97"/>
    <s v="HZ-14950"/>
    <s v="Henia Zydlo"/>
    <s v="United States"/>
    <x v="0"/>
    <x v="1"/>
    <s v="Xerox 1980"/>
    <n v="90.56"/>
    <n v="2"/>
    <n v="3.8519999999999999"/>
    <n v="4.2535335689045928"/>
  </r>
  <r>
    <s v="CA-2020-121615"/>
    <x v="368"/>
    <s v="DL-12925"/>
    <s v="Daniel Lacy"/>
    <s v="United States"/>
    <x v="3"/>
    <x v="1"/>
    <s v="Xerox 1971"/>
    <n v="103.56"/>
    <n v="2"/>
    <n v="3.8519999999999999"/>
    <n v="3.7195828505214363"/>
  </r>
  <r>
    <s v="CA-2020-116715"/>
    <x v="18"/>
    <s v="VW-21775"/>
    <s v="Victoria Wilson"/>
    <s v="United States"/>
    <x v="2"/>
    <x v="1"/>
    <s v="Xerox 1962"/>
    <n v="84.56"/>
    <n v="2"/>
    <n v="3.8519999999999999"/>
    <n v="4.5553453169347202"/>
  </r>
  <r>
    <s v="CA-2019-131639"/>
    <x v="45"/>
    <s v="NS-18640"/>
    <s v="Noel Staavos"/>
    <s v="United States"/>
    <x v="2"/>
    <x v="1"/>
    <s v="GBC Laser Imprintable Binding System Covers, Desert Sand"/>
    <n v="11.416"/>
    <n v="1"/>
    <n v="3.8529"/>
    <n v="33.75"/>
  </r>
  <r>
    <s v="CA-2020-135937"/>
    <x v="89"/>
    <s v="KM-16375"/>
    <s v="Katherine Murray"/>
    <s v="United States"/>
    <x v="2"/>
    <x v="1"/>
    <s v="Letter or Legal Size Expandable Poly String Tie Envelopes"/>
    <n v="838.64"/>
    <n v="5"/>
    <n v="3.8570000000000002"/>
    <n v="0.45991128493751793"/>
  </r>
  <r>
    <s v="CA-2020-129581"/>
    <x v="33"/>
    <s v="KN-16390"/>
    <s v="Katherine Nockton"/>
    <s v="United States"/>
    <x v="0"/>
    <x v="0"/>
    <s v="Plantronics MX500i Earset"/>
    <n v="418.85"/>
    <n v="3"/>
    <n v="3.8654999999999999"/>
    <n v="0.92288408738211769"/>
  </r>
  <r>
    <s v="CA-2020-167752"/>
    <x v="200"/>
    <s v="RW-19690"/>
    <s v="Robert Waldorf"/>
    <s v="United States"/>
    <x v="0"/>
    <x v="1"/>
    <s v="Belkin F9M820V08 8 Outlet Surge"/>
    <n v="136.38399999999999"/>
    <n v="1"/>
    <n v="3.8681999999999999"/>
    <n v="2.8362564523697795"/>
  </r>
  <r>
    <s v="CA-2020-104731"/>
    <x v="102"/>
    <s v="AM-10705"/>
    <s v="Anne McFarland"/>
    <s v="United States"/>
    <x v="1"/>
    <x v="2"/>
    <s v="Regeneration Desk Collection"/>
    <n v="99.8"/>
    <n v="5"/>
    <n v="3.8719999999999999"/>
    <n v="3.8797595190380765"/>
  </r>
  <r>
    <s v="CA-2020-165155"/>
    <x v="362"/>
    <s v="BM-11575"/>
    <s v="Brendan Murry"/>
    <s v="United States"/>
    <x v="2"/>
    <x v="1"/>
    <s v="Tenex Personal Filing Tote With Secure Closure Lid, Black/Frost"/>
    <n v="146.51"/>
    <n v="1"/>
    <n v="3.8774999999999999"/>
    <n v="2.6465770254590133"/>
  </r>
  <r>
    <s v="US-2020-132675"/>
    <x v="64"/>
    <s v="KF-16285"/>
    <s v="Karen Ferguson"/>
    <s v="United States"/>
    <x v="1"/>
    <x v="1"/>
    <s v="Tenex Personal Filing Tote With Secure Closure Lid, Black/Frost"/>
    <n v="127.51"/>
    <n v="1"/>
    <n v="3.8774999999999999"/>
    <n v="3.0409379656497526"/>
  </r>
  <r>
    <s v="CA-2019-116540"/>
    <x v="110"/>
    <s v="SS-20590"/>
    <s v="Sonia Sunley"/>
    <s v="United States"/>
    <x v="3"/>
    <x v="1"/>
    <s v="ACCOHIDE 3-Ring Binder, Blue, 1&quot;"/>
    <n v="8.26"/>
    <n v="2"/>
    <n v="3.8822000000000001"/>
    <n v="47"/>
  </r>
  <r>
    <s v="CA-2019-131065"/>
    <x v="296"/>
    <s v="AA-10375"/>
    <s v="Allen Armold"/>
    <s v="United States"/>
    <x v="1"/>
    <x v="1"/>
    <s v="ACCOHIDE 3-Ring Binder, Blue, 1&quot;"/>
    <n v="8.26"/>
    <n v="2"/>
    <n v="3.8822000000000001"/>
    <n v="47"/>
  </r>
  <r>
    <s v="CA-2020-162481"/>
    <x v="222"/>
    <s v="CT-11995"/>
    <s v="Carol Triggs"/>
    <s v="United States"/>
    <x v="3"/>
    <x v="1"/>
    <s v="ACCOHIDE Binder by Acco"/>
    <n v="109.26"/>
    <n v="2"/>
    <n v="3.8822000000000001"/>
    <n v="3.5531759106717922"/>
  </r>
  <r>
    <s v="CA-2019-145009"/>
    <x v="444"/>
    <s v="RF-19345"/>
    <s v="Randy Ferguson"/>
    <s v="United States"/>
    <x v="3"/>
    <x v="1"/>
    <s v="Avery 483"/>
    <n v="11.952"/>
    <n v="3"/>
    <n v="3.8843999999999999"/>
    <n v="32.5"/>
  </r>
  <r>
    <s v="CA-2020-124597"/>
    <x v="105"/>
    <s v="AS-10630"/>
    <s v="Ann Steele"/>
    <s v="United States"/>
    <x v="1"/>
    <x v="1"/>
    <s v="Avery 499"/>
    <n v="119.952"/>
    <n v="3"/>
    <n v="3.8843999999999999"/>
    <n v="3.2382953181272511"/>
  </r>
  <r>
    <s v="CA-2020-169439"/>
    <x v="37"/>
    <s v="LC-17140"/>
    <s v="Logan Currie"/>
    <s v="United States"/>
    <x v="0"/>
    <x v="1"/>
    <s v="BIC Brite Liner Highlighters, Chisel Tip"/>
    <n v="104.92"/>
    <n v="5"/>
    <n v="3.8879999999999999"/>
    <n v="3.7056805184902779"/>
  </r>
  <r>
    <s v="CA-2019-101343"/>
    <x v="395"/>
    <s v="RA-19885"/>
    <s v="Ruben Ausman"/>
    <s v="United States"/>
    <x v="2"/>
    <x v="1"/>
    <s v="Eldon Base for stackable storage shelf, platinum"/>
    <n v="77.88"/>
    <n v="2"/>
    <n v="3.8940000000000001"/>
    <n v="5"/>
  </r>
  <r>
    <s v="CA-2020-158071"/>
    <x v="255"/>
    <s v="BD-11320"/>
    <s v="Bill Donatelli"/>
    <s v="United States"/>
    <x v="2"/>
    <x v="1"/>
    <s v="Personal File Boxes with Fold-Down Carry Handle"/>
    <n v="125.58"/>
    <n v="1"/>
    <n v="3.895"/>
    <n v="3.101608536391145"/>
  </r>
  <r>
    <s v="CA-2019-142615"/>
    <x v="165"/>
    <s v="BM-11575"/>
    <s v="Brendan Murry"/>
    <s v="United States"/>
    <x v="2"/>
    <x v="0"/>
    <s v="Sony Micro Vault Click 4 GB USB 2.0 Flash Drive"/>
    <n v="27.88"/>
    <n v="2"/>
    <n v="3.9032"/>
    <n v="14.000000000000002"/>
  </r>
  <r>
    <s v="CA-2020-126676"/>
    <x v="86"/>
    <s v="FH-14365"/>
    <s v="Fred Hopkins"/>
    <s v="United States"/>
    <x v="0"/>
    <x v="1"/>
    <s v="Letter or Legal Size Expandable Poly String Tie Envelopes"/>
    <n v="122.98"/>
    <n v="3"/>
    <n v="3.9102000000000001"/>
    <n v="3.1795413888437145"/>
  </r>
  <r>
    <s v="CA-2020-131254"/>
    <x v="4"/>
    <s v="NC-18415"/>
    <s v="Nathan Cano"/>
    <s v="United States"/>
    <x v="3"/>
    <x v="1"/>
    <s v="Avery Hi-Liter GlideStik Fluorescent Highlighter, Yellow Ink"/>
    <n v="112.04"/>
    <n v="5"/>
    <n v="3.9119999999999999"/>
    <n v="3.4916101392359873"/>
  </r>
  <r>
    <s v="CA-2020-121083"/>
    <x v="112"/>
    <s v="JF-15190"/>
    <s v="Jamie Frazer"/>
    <s v="United States"/>
    <x v="0"/>
    <x v="1"/>
    <s v="Tennsco Industrial Shelving"/>
    <n v="221.64"/>
    <n v="4"/>
    <n v="3.9127999999999998"/>
    <n v="1.7653853095109184"/>
  </r>
  <r>
    <s v="CA-2019-166618"/>
    <x v="296"/>
    <s v="DP-13000"/>
    <s v="Darren Powers"/>
    <s v="United States"/>
    <x v="0"/>
    <x v="0"/>
    <s v="SmartStand Mobile Device Holder, Assorted Colors"/>
    <n v="13.98"/>
    <n v="2"/>
    <n v="3.9144000000000001"/>
    <n v="27.999999999999996"/>
  </r>
  <r>
    <s v="CA-2020-100811"/>
    <x v="341"/>
    <s v="CC-12475"/>
    <s v="Cindy Chapman"/>
    <s v="United States"/>
    <x v="0"/>
    <x v="1"/>
    <s v="Recycled Eldon Regeneration Jumbo File"/>
    <n v="148.29599999999999"/>
    <n v="4"/>
    <n v="3.9296000000000002"/>
    <n v="2.6498354642067219"/>
  </r>
  <r>
    <s v="US-2019-119046"/>
    <x v="337"/>
    <s v="EH-13765"/>
    <s v="Edward Hooks"/>
    <s v="United States"/>
    <x v="2"/>
    <x v="1"/>
    <s v="Acco Translucent Poly Ring Binders"/>
    <n v="11.231999999999999"/>
    <n v="3"/>
    <n v="3.9312"/>
    <n v="35"/>
  </r>
  <r>
    <s v="US-2019-163258"/>
    <x v="268"/>
    <s v="PF-19225"/>
    <s v="Phillip Flathmann"/>
    <s v="United States"/>
    <x v="2"/>
    <x v="1"/>
    <s v="Acco Translucent Poly Ring Binders"/>
    <n v="11.231999999999999"/>
    <n v="3"/>
    <n v="3.9312"/>
    <n v="35"/>
  </r>
  <r>
    <s v="CA-2019-151372"/>
    <x v="100"/>
    <s v="JH-15985"/>
    <s v="Joseph Holt"/>
    <s v="United States"/>
    <x v="2"/>
    <x v="1"/>
    <s v="Angle-D Binders with Locking Rings, Label Holders"/>
    <n v="11.68"/>
    <n v="2"/>
    <n v="3.9420000000000002"/>
    <n v="33.75"/>
  </r>
  <r>
    <s v="CA-2019-120824"/>
    <x v="104"/>
    <s v="AW-10930"/>
    <s v="Arthur Wiediger"/>
    <s v="United States"/>
    <x v="3"/>
    <x v="1"/>
    <s v="Nontoxic Chalk"/>
    <n v="11.263999999999999"/>
    <n v="8"/>
    <n v="3.9424000000000001"/>
    <n v="35"/>
  </r>
  <r>
    <s v="CA-2020-102218"/>
    <x v="149"/>
    <s v="LW-17215"/>
    <s v="Luke Weiss"/>
    <s v="United States"/>
    <x v="2"/>
    <x v="1"/>
    <s v="Avery 519"/>
    <n v="126.696"/>
    <n v="2"/>
    <n v="3.9474"/>
    <n v="3.1156469028225042"/>
  </r>
  <r>
    <s v="CA-2020-108539"/>
    <x v="450"/>
    <s v="SC-20725"/>
    <s v="Steven Cartwright"/>
    <s v="United States"/>
    <x v="2"/>
    <x v="1"/>
    <s v="Avery Durable Plastic 1&quot; Binders"/>
    <n v="129.89599999999999"/>
    <n v="3"/>
    <n v="3.9498000000000002"/>
    <n v="3.0407402845353211"/>
  </r>
  <r>
    <s v="CA-2019-117912"/>
    <x v="539"/>
    <s v="TB-21520"/>
    <s v="Tracy Blumstein"/>
    <s v="United States"/>
    <x v="2"/>
    <x v="2"/>
    <s v="Nu-Dell Float Frame 11 x 14 1/2"/>
    <n v="14.368"/>
    <n v="2"/>
    <n v="3.9512"/>
    <n v="27.500000000000004"/>
  </r>
  <r>
    <s v="CA-2019-160129"/>
    <x v="509"/>
    <s v="LS-17200"/>
    <s v="Luke Schmidt"/>
    <s v="United States"/>
    <x v="0"/>
    <x v="2"/>
    <s v="Nu-Dell Float Frame 11 x 14 1/2"/>
    <n v="14.368"/>
    <n v="2"/>
    <n v="3.9512"/>
    <n v="27.500000000000004"/>
  </r>
  <r>
    <s v="CA-2019-162236"/>
    <x v="56"/>
    <s v="ER-13855"/>
    <s v="Elpida Rittenbach"/>
    <s v="United States"/>
    <x v="1"/>
    <x v="1"/>
    <s v="Eldon Portable Mobile Manager"/>
    <n v="45.247999999999998"/>
    <n v="2"/>
    <n v="3.9592000000000001"/>
    <n v="8.75"/>
  </r>
  <r>
    <s v="CA-2020-130036"/>
    <x v="53"/>
    <s v="BP-11185"/>
    <s v="Ben Peterman"/>
    <s v="United States"/>
    <x v="0"/>
    <x v="1"/>
    <s v="Xerox 1981"/>
    <n v="116.672"/>
    <n v="3"/>
    <n v="3.96"/>
    <n v="3.3941305540318156"/>
  </r>
  <r>
    <s v="CA-2020-147207"/>
    <x v="96"/>
    <s v="TS-21655"/>
    <s v="Trudy Schmidt"/>
    <s v="United States"/>
    <x v="3"/>
    <x v="1"/>
    <s v="Newell 319"/>
    <n v="119.744"/>
    <n v="2"/>
    <n v="3.968"/>
    <n v="3.3137359700694811"/>
  </r>
  <r>
    <s v="CA-2019-152730"/>
    <x v="323"/>
    <s v="EM-14140"/>
    <s v="Eugene Moren"/>
    <s v="United States"/>
    <x v="3"/>
    <x v="1"/>
    <s v="Newell 343"/>
    <n v="14.7"/>
    <n v="5"/>
    <n v="3.9689999999999999"/>
    <n v="27"/>
  </r>
  <r>
    <s v="CA-2019-158694"/>
    <x v="214"/>
    <s v="AI-10855"/>
    <s v="Arianne Irving"/>
    <s v="United States"/>
    <x v="2"/>
    <x v="1"/>
    <s v="Newell 338"/>
    <n v="14.7"/>
    <n v="5"/>
    <n v="3.9689999999999999"/>
    <n v="27"/>
  </r>
  <r>
    <s v="CA-2019-111913"/>
    <x v="376"/>
    <s v="LC-16930"/>
    <s v="Linda Cazamias"/>
    <s v="United States"/>
    <x v="2"/>
    <x v="1"/>
    <s v="Pressboard Covers with Storage Hooks, 9 1/2&quot; x 11&quot;, Light Blue"/>
    <n v="11.784000000000001"/>
    <n v="3"/>
    <n v="3.9771000000000001"/>
    <n v="33.75"/>
  </r>
  <r>
    <s v="CA-2020-100111"/>
    <x v="495"/>
    <s v="SV-20365"/>
    <s v="Seth Vernon"/>
    <s v="United States"/>
    <x v="0"/>
    <x v="1"/>
    <s v="Pressboard Covers with Storage Hooks, 9 1/2&quot; x 11&quot;, Light Blue"/>
    <n v="119.78400000000001"/>
    <n v="3"/>
    <n v="3.9771000000000001"/>
    <n v="3.3202264075335601"/>
  </r>
  <r>
    <s v="US-2019-114230"/>
    <x v="134"/>
    <s v="CM-12235"/>
    <s v="Chris McAfee"/>
    <s v="United States"/>
    <x v="2"/>
    <x v="1"/>
    <s v="Eldon Simplefile Box Office"/>
    <n v="39.808"/>
    <n v="4"/>
    <n v="3.9807999999999999"/>
    <n v="10"/>
  </r>
  <r>
    <s v="CA-2020-162789"/>
    <x v="10"/>
    <s v="LC-17140"/>
    <s v="Logan Currie"/>
    <s v="United States"/>
    <x v="0"/>
    <x v="2"/>
    <s v="Eldon 500 Class Desk Accessories"/>
    <n v="140.07"/>
    <n v="1"/>
    <n v="3.9830999999999999"/>
    <n v="2.8436496037695438"/>
  </r>
  <r>
    <s v="CA-2020-121580"/>
    <x v="201"/>
    <s v="ML-17410"/>
    <s v="Maris LaWare"/>
    <s v="United States"/>
    <x v="3"/>
    <x v="1"/>
    <s v="Adams Telephone Message Book w/Frequently-Called Numbers Space, 400 Messages per Book"/>
    <n v="120.98"/>
    <n v="1"/>
    <n v="3.99"/>
    <n v="3.2980657959993387"/>
  </r>
  <r>
    <s v="CA-2019-151141"/>
    <x v="541"/>
    <s v="DW-13480"/>
    <s v="Dianna Wilson"/>
    <s v="United States"/>
    <x v="3"/>
    <x v="0"/>
    <s v="SKILCRAFT Telephone Shoulder Rest, 2&quot; x 6.5&quot; x 2.5&quot;, Black"/>
    <n v="14.78"/>
    <n v="2"/>
    <n v="3.9906000000000001"/>
    <n v="27"/>
  </r>
  <r>
    <s v="CA-2020-102925"/>
    <x v="181"/>
    <s v="CD-12280"/>
    <s v="Christina DeMoss"/>
    <s v="United States"/>
    <x v="0"/>
    <x v="0"/>
    <s v="Anker Astro 15000mAh USB Portable Charger"/>
    <n v="124.98"/>
    <n v="2"/>
    <n v="3.9992000000000001"/>
    <n v="3.1998719795167228"/>
  </r>
  <r>
    <s v="CA-2020-116946"/>
    <x v="90"/>
    <s v="TS-21505"/>
    <s v="Tony Sayre"/>
    <s v="United States"/>
    <x v="2"/>
    <x v="2"/>
    <s v="OIC Stacking Trays"/>
    <n v="423.36"/>
    <n v="5"/>
    <n v="4.008"/>
    <n v="0.94671201814058958"/>
  </r>
  <r>
    <s v="CA-2020-164826"/>
    <x v="240"/>
    <s v="JF-15415"/>
    <s v="Jennifer Ferguson"/>
    <s v="United States"/>
    <x v="0"/>
    <x v="0"/>
    <s v="Cush Cases Heavy Duty Rugged Cover Case for Samsung Galaxy S5 - Purple"/>
    <n v="381.85"/>
    <n v="3"/>
    <n v="4.0095000000000001"/>
    <n v="1.0500196412203744"/>
  </r>
  <r>
    <s v="CA-2020-154501"/>
    <x v="105"/>
    <s v="EA-14035"/>
    <s v="Erin Ashbrook"/>
    <s v="United States"/>
    <x v="2"/>
    <x v="1"/>
    <s v="Faber Castell Col-Erase Pencils"/>
    <n v="117.78"/>
    <n v="2"/>
    <n v="4.0098000000000003"/>
    <n v="3.4044829342842586"/>
  </r>
  <r>
    <s v="CA-2019-158155"/>
    <x v="139"/>
    <s v="EH-13765"/>
    <s v="Edward Hooks"/>
    <s v="United States"/>
    <x v="0"/>
    <x v="2"/>
    <s v="Eldon 200 Class Desk Accessories"/>
    <n v="12.56"/>
    <n v="2"/>
    <n v="4.0191999999999997"/>
    <n v="31.999999999999996"/>
  </r>
  <r>
    <s v="CA-2020-108791"/>
    <x v="411"/>
    <s v="TM-21490"/>
    <s v="Tony Molinari"/>
    <s v="United States"/>
    <x v="0"/>
    <x v="2"/>
    <s v="Tensor Computer Mounted Lamp"/>
    <n v="112.89"/>
    <n v="1"/>
    <n v="4.0202999999999998"/>
    <n v="3.5612543183630079"/>
  </r>
  <r>
    <s v="CA-2019-124016"/>
    <x v="273"/>
    <s v="JS-15940"/>
    <s v="Joni Sundaresam"/>
    <s v="United States"/>
    <x v="0"/>
    <x v="1"/>
    <s v="Xerox 1970"/>
    <n v="11.952"/>
    <n v="3"/>
    <n v="4.0338000000000003"/>
    <n v="33.75"/>
  </r>
  <r>
    <s v="CA-2019-163776"/>
    <x v="469"/>
    <s v="JS-16030"/>
    <s v="Joy Smith"/>
    <s v="United States"/>
    <x v="1"/>
    <x v="1"/>
    <s v="Avery Printable Repositionable Plastic Tabs"/>
    <n v="8.6"/>
    <n v="1"/>
    <n v="4.0419999999999998"/>
    <n v="47"/>
  </r>
  <r>
    <s v="CA-2020-118136"/>
    <x v="35"/>
    <s v="BB-10990"/>
    <s v="Barry Blumstein"/>
    <s v="United States"/>
    <x v="2"/>
    <x v="1"/>
    <s v="Ampad Gold Fibre Wirebound Steno Books, 6&quot; x 9&quot;, Gregg Ruled"/>
    <n v="115.82"/>
    <n v="2"/>
    <n v="4.0571999999999999"/>
    <n v="3.5030219305819377"/>
  </r>
  <r>
    <s v="CA-2020-152583"/>
    <x v="177"/>
    <s v="RA-19945"/>
    <s v="Ryan Akin"/>
    <s v="United States"/>
    <x v="3"/>
    <x v="1"/>
    <s v="X-Rack File for Hanging Folders"/>
    <n v="157.19200000000001"/>
    <n v="6"/>
    <n v="4.0644"/>
    <n v="2.585627767316403"/>
  </r>
  <r>
    <s v="CA-2020-138975"/>
    <x v="234"/>
    <s v="SC-20380"/>
    <s v="Shahid Collister"/>
    <s v="United States"/>
    <x v="1"/>
    <x v="0"/>
    <s v="Kingston Digital DataTraveler 32GB USB 2.0"/>
    <n v="179.8"/>
    <n v="4"/>
    <n v="4.0679999999999996"/>
    <n v="2.262513904338153"/>
  </r>
  <r>
    <s v="CA-2019-112578"/>
    <x v="268"/>
    <s v="FO-14305"/>
    <s v="Frank Olsen"/>
    <s v="United States"/>
    <x v="2"/>
    <x v="1"/>
    <s v="Project Tote Personal File"/>
    <n v="14.03"/>
    <n v="1"/>
    <n v="4.0686999999999998"/>
    <n v="28.999999999999996"/>
  </r>
  <r>
    <s v="CA-2020-118437"/>
    <x v="245"/>
    <s v="PF-19165"/>
    <s v="Philip Fox"/>
    <s v="United States"/>
    <x v="2"/>
    <x v="1"/>
    <s v="Project Tote Personal File"/>
    <n v="124.03"/>
    <n v="1"/>
    <n v="4.0686999999999998"/>
    <n v="3.2804160283802308"/>
  </r>
  <r>
    <s v="CA-2019-101630"/>
    <x v="542"/>
    <s v="CK-12760"/>
    <s v="Cyma Kinney"/>
    <s v="United States"/>
    <x v="0"/>
    <x v="1"/>
    <s v="Staple-on labels"/>
    <n v="8.67"/>
    <n v="3"/>
    <n v="4.0749000000000004"/>
    <n v="47"/>
  </r>
  <r>
    <s v="CA-2020-164959"/>
    <x v="543"/>
    <s v="KN-16390"/>
    <s v="Katherine Nockton"/>
    <s v="United States"/>
    <x v="2"/>
    <x v="1"/>
    <s v="Avery 482"/>
    <n v="117.67"/>
    <n v="3"/>
    <n v="4.0749000000000004"/>
    <n v="3.462989717005184"/>
  </r>
  <r>
    <s v="CA-2020-132976"/>
    <x v="114"/>
    <s v="AG-10495"/>
    <s v="Andrew Gjertsen"/>
    <s v="United States"/>
    <x v="0"/>
    <x v="1"/>
    <s v="Post-it “Important Message” Note Pad, Neon Colors, 50 Sheets/Pad"/>
    <n v="101.648"/>
    <n v="2"/>
    <n v="4.0768000000000004"/>
    <n v="4.0107036045962543"/>
  </r>
  <r>
    <s v="US-2020-112613"/>
    <x v="185"/>
    <s v="JH-15910"/>
    <s v="Jonathan Howell"/>
    <s v="United States"/>
    <x v="3"/>
    <x v="0"/>
    <s v="Spigen Samsung Galaxy S5 Case Wallet"/>
    <n v="128.36799999999999"/>
    <n v="4"/>
    <n v="4.0776000000000003"/>
    <n v="3.1764925838215134"/>
  </r>
  <r>
    <s v="CA-2019-100041"/>
    <x v="165"/>
    <s v="BF-10975"/>
    <s v="Barbara Fisher"/>
    <s v="United States"/>
    <x v="3"/>
    <x v="1"/>
    <s v="Ampad Poly Cover Wirebound Steno Book, 6&quot; x 9&quot; Assorted Colors, Gregg Ruled"/>
    <n v="9.08"/>
    <n v="2"/>
    <n v="4.0860000000000003"/>
    <n v="45"/>
  </r>
  <r>
    <s v="CA-2020-128755"/>
    <x v="370"/>
    <s v="MK-18160"/>
    <s v="Mike Kennedy"/>
    <s v="United States"/>
    <x v="1"/>
    <x v="1"/>
    <s v="Black Print Carbonless Snap-Off Rapid Letter, 8 1/2&quot; x 7&quot;"/>
    <n v="97.11"/>
    <n v="1"/>
    <n v="4.0994999999999999"/>
    <n v="4.2215013901760887"/>
  </r>
  <r>
    <s v="CA-2019-107216"/>
    <x v="129"/>
    <s v="PV-18985"/>
    <s v="Paul Van Hugh"/>
    <s v="United States"/>
    <x v="2"/>
    <x v="2"/>
    <s v="GE General Purpose, Extra Long Life, Showcase &amp; Floodlight Incandescent Bulbs"/>
    <n v="8.73"/>
    <n v="3"/>
    <n v="4.1031000000000004"/>
    <n v="47"/>
  </r>
  <r>
    <s v="CA-2020-131807"/>
    <x v="188"/>
    <s v="GG-14650"/>
    <s v="Greg Guthrie"/>
    <s v="United States"/>
    <x v="2"/>
    <x v="1"/>
    <s v="Hoover Replacement Belts For Soft Guard &amp; Commercial Ltweight Upright Vacs, 2/Pk"/>
    <n v="88.8"/>
    <n v="4"/>
    <n v="4.1079999999999997"/>
    <n v="4.6261261261261257"/>
  </r>
  <r>
    <s v="CA-2020-101308"/>
    <x v="11"/>
    <s v="FG-14260"/>
    <s v="Frank Gastineau"/>
    <s v="United States"/>
    <x v="2"/>
    <x v="1"/>
    <s v="Staples"/>
    <n v="84.94"/>
    <n v="3"/>
    <n v="4.1124000000000001"/>
    <n v="4.8415352013185782"/>
  </r>
  <r>
    <s v="CA-2019-149783"/>
    <x v="478"/>
    <s v="DL-13315"/>
    <s v="Delfina Latchford"/>
    <s v="United States"/>
    <x v="1"/>
    <x v="1"/>
    <s v="RSVP Cards &amp; Envelopes, Blank White, 8-1/2&quot; X 11&quot;, 24 Cards/25 Envelopes/Set"/>
    <n v="12.192"/>
    <n v="3"/>
    <n v="4.1147999999999998"/>
    <n v="33.75"/>
  </r>
  <r>
    <s v="CA-2019-154711"/>
    <x v="358"/>
    <s v="TB-21355"/>
    <s v="Todd Boyes"/>
    <s v="United States"/>
    <x v="0"/>
    <x v="1"/>
    <s v="Acco Pressboard Covers with Storage Hooks, 9 1/2&quot; x 11&quot;, Executive Red"/>
    <n v="12.192"/>
    <n v="4"/>
    <n v="4.1147999999999998"/>
    <n v="33.75"/>
  </r>
  <r>
    <s v="CA-2020-114216"/>
    <x v="149"/>
    <s v="RK-19300"/>
    <s v="Ralph Kennedy"/>
    <s v="United States"/>
    <x v="0"/>
    <x v="1"/>
    <s v="RSVP Cards &amp; Envelopes, Blank White, 8-1/2&quot; X 11&quot;, 24 Cards/25 Envelopes/Set"/>
    <n v="112.19199999999999"/>
    <n v="3"/>
    <n v="4.1147999999999998"/>
    <n v="3.6676411865373648"/>
  </r>
  <r>
    <s v="CA-2020-137001"/>
    <x v="255"/>
    <s v="GZ-14545"/>
    <s v="George Zrebassa"/>
    <s v="United States"/>
    <x v="2"/>
    <x v="1"/>
    <s v="Sanford EarthWrite Recycled Pencils, Medium Soft, #2"/>
    <n v="113.7"/>
    <n v="7"/>
    <n v="4.1159999999999997"/>
    <n v="3.6200527704485488"/>
  </r>
  <r>
    <s v="CA-2020-137582"/>
    <x v="130"/>
    <s v="CV-12805"/>
    <s v="Cynthia Voltz"/>
    <s v="United States"/>
    <x v="2"/>
    <x v="1"/>
    <s v="Pressboard Hanging Data Binders for Unburst Sheets"/>
    <n v="124.80800000000001"/>
    <n v="3"/>
    <n v="4.1327999999999996"/>
    <n v="3.3113261970386505"/>
  </r>
  <r>
    <s v="CA-2019-149111"/>
    <x v="544"/>
    <s v="BF-11170"/>
    <s v="Ben Ferrer"/>
    <s v="United States"/>
    <x v="1"/>
    <x v="0"/>
    <s v="Motorola L804"/>
    <n v="36.792000000000002"/>
    <n v="1"/>
    <n v="4.1391"/>
    <n v="11.249999999999998"/>
  </r>
  <r>
    <s v="CA-2020-115805"/>
    <x v="192"/>
    <s v="KW-16435"/>
    <s v="Katrina Willman"/>
    <s v="United States"/>
    <x v="3"/>
    <x v="0"/>
    <s v="Motorola L804"/>
    <n v="159.792"/>
    <n v="1"/>
    <n v="4.1391"/>
    <n v="2.5903048963652751"/>
  </r>
  <r>
    <s v="CA-2020-158743"/>
    <x v="170"/>
    <s v="IG-15085"/>
    <s v="Ivan Gibson"/>
    <s v="United States"/>
    <x v="1"/>
    <x v="1"/>
    <s v="Eldon Spacemaker Box, Quick-Snap Lid, Clear"/>
    <n v="75.36"/>
    <n v="4"/>
    <n v="4.1416000000000004"/>
    <n v="5.4957537154989389"/>
  </r>
  <r>
    <s v="CA-2020-114552"/>
    <x v="149"/>
    <s v="Dl-13600"/>
    <s v="Dorris liebe"/>
    <s v="United States"/>
    <x v="0"/>
    <x v="2"/>
    <s v="Eldon 200 Class Desk Accessories, Burgundy"/>
    <n v="131.072"/>
    <n v="3"/>
    <n v="4.1448"/>
    <n v="3.1622314453125"/>
  </r>
  <r>
    <s v="CA-2020-134306"/>
    <x v="526"/>
    <s v="TD-20995"/>
    <s v="Tamara Dahlen"/>
    <s v="United States"/>
    <x v="0"/>
    <x v="1"/>
    <s v="BIC Brite Liner Highlighters, Chisel Tip"/>
    <n v="118.96"/>
    <n v="2"/>
    <n v="4.1471999999999998"/>
    <n v="3.4862138533960993"/>
  </r>
  <r>
    <s v="US-2019-139087"/>
    <x v="395"/>
    <s v="DK-13375"/>
    <s v="Dennis Kane"/>
    <s v="United States"/>
    <x v="2"/>
    <x v="1"/>
    <s v="Pressboard Data Binder, Crimson, 12&quot; X 8 1/2&quot;"/>
    <n v="12.816000000000001"/>
    <n v="3"/>
    <n v="4.1651999999999996"/>
    <n v="32.499999999999993"/>
  </r>
  <r>
    <s v="CA-2019-141957"/>
    <x v="364"/>
    <s v="JG-15310"/>
    <s v="Jason Gross"/>
    <s v="United States"/>
    <x v="0"/>
    <x v="1"/>
    <s v="Safco Steel Mobile File Cart"/>
    <n v="66.688000000000002"/>
    <n v="1"/>
    <n v="4.1680000000000001"/>
    <n v="6.25"/>
  </r>
  <r>
    <s v="CA-2019-156251"/>
    <x v="108"/>
    <s v="TS-21160"/>
    <s v="Theresa Swint"/>
    <s v="United States"/>
    <x v="3"/>
    <x v="1"/>
    <s v="Avery Round Ring Poly Binders"/>
    <n v="8.52"/>
    <n v="3"/>
    <n v="4.1748000000000003"/>
    <n v="49.000000000000007"/>
  </r>
  <r>
    <s v="CA-2020-141747"/>
    <x v="230"/>
    <s v="SC-20230"/>
    <s v="Scot Coram"/>
    <s v="United States"/>
    <x v="2"/>
    <x v="1"/>
    <s v="Letter/Legal File Tote with Clear Snap-On Lid, Black Granite"/>
    <n v="100.06"/>
    <n v="1"/>
    <n v="4.1756000000000002"/>
    <n v="4.1730961423146109"/>
  </r>
  <r>
    <s v="CA-2020-152079"/>
    <x v="477"/>
    <s v="ML-17410"/>
    <s v="Maris LaWare"/>
    <s v="United States"/>
    <x v="3"/>
    <x v="1"/>
    <s v="Avery File Folder Labels"/>
    <n v="115.52"/>
    <n v="5"/>
    <n v="4.1760000000000002"/>
    <n v="3.6149584487534629"/>
  </r>
  <r>
    <s v="CA-2020-119746"/>
    <x v="254"/>
    <s v="CM-12385"/>
    <s v="Christopher Martinez"/>
    <s v="United States"/>
    <x v="3"/>
    <x v="1"/>
    <s v="Avery File Folder Labels"/>
    <n v="146.52000000000001"/>
    <n v="5"/>
    <n v="4.1760000000000002"/>
    <n v="2.8501228501228502"/>
  </r>
  <r>
    <s v="CA-2020-134649"/>
    <x v="497"/>
    <s v="CA-11965"/>
    <s v="Carol Adams"/>
    <s v="United States"/>
    <x v="1"/>
    <x v="1"/>
    <s v="Newell 311"/>
    <n v="106.47"/>
    <n v="7"/>
    <n v="4.1768999999999998"/>
    <n v="3.9230769230769229"/>
  </r>
  <r>
    <s v="US-2019-114888"/>
    <x v="204"/>
    <s v="CC-12430"/>
    <s v="Chuck Clark"/>
    <s v="United States"/>
    <x v="2"/>
    <x v="1"/>
    <s v="Cardinal Holdit Business Card Pockets"/>
    <n v="11.952"/>
    <n v="3"/>
    <n v="4.1832000000000003"/>
    <n v="35"/>
  </r>
  <r>
    <s v="CA-2020-156776"/>
    <x v="278"/>
    <s v="JL-15505"/>
    <s v="Jeremy Lonsdale"/>
    <s v="United States"/>
    <x v="2"/>
    <x v="1"/>
    <s v="Cardinal Holdit Business Card Pockets"/>
    <n v="103.952"/>
    <n v="3"/>
    <n v="4.1832000000000003"/>
    <n v="4.0241649992304147"/>
  </r>
  <r>
    <s v="US-2019-117793"/>
    <x v="95"/>
    <s v="MA-17560"/>
    <s v="Matt Abelman"/>
    <s v="United States"/>
    <x v="3"/>
    <x v="1"/>
    <s v="Pizazz Global Quick File"/>
    <n v="14.97"/>
    <n v="1"/>
    <n v="4.1916000000000002"/>
    <n v="28.000000000000004"/>
  </r>
  <r>
    <s v="CA-2020-130841"/>
    <x v="538"/>
    <s v="MH-17620"/>
    <s v="Matt Hagelstein"/>
    <s v="United States"/>
    <x v="2"/>
    <x v="1"/>
    <s v="Super Decoflex Portable Personal File"/>
    <n v="134.97999999999999"/>
    <n v="1"/>
    <n v="4.1943999999999999"/>
    <n v="3.1074233219736258"/>
  </r>
  <r>
    <s v="CA-2020-164917"/>
    <x v="18"/>
    <s v="MK-17905"/>
    <s v="Michael Kennedy"/>
    <s v="United States"/>
    <x v="1"/>
    <x v="1"/>
    <s v="Bulldog Vacuum Base Pencil Sharpener"/>
    <n v="118.96"/>
    <n v="5"/>
    <n v="4.1965000000000003"/>
    <n v="3.5276563550773377"/>
  </r>
  <r>
    <s v="CA-2019-109827"/>
    <x v="36"/>
    <s v="LW-16825"/>
    <s v="Laurel Workman"/>
    <s v="United States"/>
    <x v="2"/>
    <x v="2"/>
    <s v="Global Stack Chair with Arms, Black"/>
    <n v="47.968000000000004"/>
    <n v="2"/>
    <n v="4.1971999999999996"/>
    <n v="8.7499999999999982"/>
  </r>
  <r>
    <s v="CA-2020-100622"/>
    <x v="368"/>
    <s v="DK-13090"/>
    <s v="Dave Kipp"/>
    <s v="United States"/>
    <x v="1"/>
    <x v="1"/>
    <s v="Hunt Boston Vacuum Mount KS Pencil Sharpener"/>
    <n v="152.98400000000001"/>
    <n v="2"/>
    <n v="4.1988000000000003"/>
    <n v="2.7446007425613135"/>
  </r>
  <r>
    <s v="CA-2020-167080"/>
    <x v="255"/>
    <s v="LC-16930"/>
    <s v="Linda Cazamias"/>
    <s v="United States"/>
    <x v="0"/>
    <x v="1"/>
    <s v="Prang Dustless Chalk Sticks"/>
    <n v="102.4"/>
    <n v="5"/>
    <n v="4.2"/>
    <n v="4.1015625"/>
  </r>
  <r>
    <s v="CA-2020-159604"/>
    <x v="249"/>
    <s v="CL-12700"/>
    <s v="Craig Leslie"/>
    <s v="United States"/>
    <x v="3"/>
    <x v="1"/>
    <s v="Acco 3-Hole Punch"/>
    <n v="96.76"/>
    <n v="2"/>
    <n v="4.2047999999999996"/>
    <n v="4.3455973542786266"/>
  </r>
  <r>
    <s v="CA-2020-100237"/>
    <x v="545"/>
    <s v="SV-20815"/>
    <s v="Stuart Van"/>
    <s v="United States"/>
    <x v="2"/>
    <x v="1"/>
    <s v="Avery Hi-Liter Smear-Safe Highlighters"/>
    <n v="123.68"/>
    <n v="2"/>
    <n v="4.2047999999999996"/>
    <n v="3.3997412677878391"/>
  </r>
  <r>
    <s v="CA-2019-121755"/>
    <x v="546"/>
    <s v="EH-13945"/>
    <s v="Eric Hoffmann"/>
    <s v="United States"/>
    <x v="2"/>
    <x v="1"/>
    <s v="Wilson Jones Active Use Binders"/>
    <n v="11.648"/>
    <n v="2"/>
    <n v="4.2224000000000004"/>
    <n v="36.250000000000007"/>
  </r>
  <r>
    <s v="US-2020-163790"/>
    <x v="88"/>
    <s v="NL-18310"/>
    <s v="Nancy Lomonaco"/>
    <s v="United States"/>
    <x v="2"/>
    <x v="1"/>
    <s v="Nontoxic Chalk"/>
    <n v="102.8"/>
    <n v="5"/>
    <n v="4.2240000000000002"/>
    <n v="4.108949416342413"/>
  </r>
  <r>
    <s v="CA-2019-161676"/>
    <x v="241"/>
    <s v="JP-15460"/>
    <s v="Jennifer Patt"/>
    <s v="United States"/>
    <x v="2"/>
    <x v="1"/>
    <s v="Elite 5&quot; Scissors"/>
    <n v="33.799999999999997"/>
    <n v="5"/>
    <n v="4.2249999999999996"/>
    <n v="12.5"/>
  </r>
  <r>
    <s v="CA-2020-135279"/>
    <x v="262"/>
    <s v="BS-11800"/>
    <s v="Bryan Spruell"/>
    <s v="United States"/>
    <x v="0"/>
    <x v="1"/>
    <s v="Avery File Folder Labels"/>
    <n v="96.64"/>
    <n v="3"/>
    <n v="4.2336"/>
    <n v="4.3807947019867548"/>
  </r>
  <r>
    <s v="CA-2020-122490"/>
    <x v="14"/>
    <s v="TT-21070"/>
    <s v="Ted Trevino"/>
    <s v="United States"/>
    <x v="2"/>
    <x v="1"/>
    <s v="Avery File Folder Labels"/>
    <n v="112.64"/>
    <n v="3"/>
    <n v="4.2336"/>
    <n v="3.7585227272727271"/>
  </r>
  <r>
    <s v="CA-2020-122770"/>
    <x v="547"/>
    <s v="EP-13915"/>
    <s v="Emily Phan"/>
    <s v="United States"/>
    <x v="2"/>
    <x v="1"/>
    <s v="Avery 49"/>
    <n v="505.64"/>
    <n v="3"/>
    <n v="4.2336"/>
    <n v="0.83727553199905069"/>
  </r>
  <r>
    <s v="CA-2019-123533"/>
    <x v="289"/>
    <s v="SC-20050"/>
    <s v="Sample Company A"/>
    <s v="United States"/>
    <x v="1"/>
    <x v="1"/>
    <s v="Fellowes Advanced Computer Series Surge Protectors"/>
    <n v="42.384"/>
    <n v="2"/>
    <n v="4.2384000000000004"/>
    <n v="10"/>
  </r>
  <r>
    <s v="CA-2020-155292"/>
    <x v="177"/>
    <s v="RD-19810"/>
    <s v="Ross DeVincentis"/>
    <s v="United States"/>
    <x v="1"/>
    <x v="1"/>
    <s v="Eldon Gobal File Keepers"/>
    <n v="118.98"/>
    <n v="7"/>
    <n v="4.2392000000000003"/>
    <n v="3.562951756597748"/>
  </r>
  <r>
    <s v="CA-2019-106915"/>
    <x v="127"/>
    <s v="GA-14515"/>
    <s v="George Ashbrook"/>
    <s v="United States"/>
    <x v="3"/>
    <x v="1"/>
    <s v="DIXON Ticonderoga Erasable Checking Pencils"/>
    <n v="17.856000000000002"/>
    <n v="4"/>
    <n v="4.2408000000000001"/>
    <n v="23.75"/>
  </r>
  <r>
    <s v="CA-2020-147228"/>
    <x v="37"/>
    <s v="SO-20335"/>
    <s v="Sean O'Donnell"/>
    <s v="United States"/>
    <x v="1"/>
    <x v="2"/>
    <s v="Eldon Wave Desk Accessories"/>
    <n v="151.136"/>
    <n v="3"/>
    <n v="4.2408000000000001"/>
    <n v="2.8059496082998097"/>
  </r>
  <r>
    <s v="CA-2020-121293"/>
    <x v="236"/>
    <s v="JC-15775"/>
    <s v="John Castell"/>
    <s v="United States"/>
    <x v="0"/>
    <x v="1"/>
    <s v="Acme Galleria Hot Forged Steel Scissors with Colored Handles"/>
    <n v="146.75200000000001"/>
    <n v="3"/>
    <n v="4.2470999999999997"/>
    <n v="2.8940661796772784"/>
  </r>
  <r>
    <s v="US-2020-110604"/>
    <x v="403"/>
    <s v="JF-15295"/>
    <s v="Jason Fortune-"/>
    <s v="United States"/>
    <x v="2"/>
    <x v="2"/>
    <s v="SAFCO Optional Arm Kit for Workspace Cribbage Stacking Chair"/>
    <n v="152.624"/>
    <n v="2"/>
    <n v="4.2624000000000004"/>
    <n v="2.7927455708145512"/>
  </r>
  <r>
    <s v="CA-2019-144540"/>
    <x v="100"/>
    <s v="GH-14410"/>
    <s v="Gary Hansen"/>
    <s v="United States"/>
    <x v="3"/>
    <x v="1"/>
    <s v="Advantus Map Pennant Flags and Round Head Tacks"/>
    <n v="28.44"/>
    <n v="9"/>
    <n v="4.266"/>
    <n v="15"/>
  </r>
  <r>
    <s v="CA-2020-108441"/>
    <x v="375"/>
    <s v="SB-20190"/>
    <s v="Sarah Bern"/>
    <s v="United States"/>
    <x v="0"/>
    <x v="1"/>
    <s v="Angle-D Ring Binders"/>
    <n v="124.128"/>
    <n v="3"/>
    <n v="4.2666000000000004"/>
    <n v="3.4372583139984538"/>
  </r>
  <r>
    <s v="CA-2020-117240"/>
    <x v="548"/>
    <s v="CP-12340"/>
    <s v="Christine Phan"/>
    <s v="United States"/>
    <x v="0"/>
    <x v="1"/>
    <s v="Angle-D Ring Binders"/>
    <n v="116.128"/>
    <n v="3"/>
    <n v="4.2666000000000004"/>
    <n v="3.6740493248828878"/>
  </r>
  <r>
    <s v="CA-2020-112515"/>
    <x v="166"/>
    <s v="AS-10225"/>
    <s v="Alan Schoenberger"/>
    <s v="United States"/>
    <x v="2"/>
    <x v="1"/>
    <s v="Acco Pressboard Covers with Storage Hooks, 14 7/8&quot; x 11&quot;, Light Blue"/>
    <n v="117.78400000000001"/>
    <n v="3"/>
    <n v="4.2717000000000001"/>
    <n v="3.6267234938531545"/>
  </r>
  <r>
    <s v="US-2019-147711"/>
    <x v="19"/>
    <s v="HF-14995"/>
    <s v="Herbert Flentye"/>
    <s v="United States"/>
    <x v="0"/>
    <x v="2"/>
    <s v="Eldon Expressions Wood Desk Accessories, Oak"/>
    <n v="14.76"/>
    <n v="2"/>
    <n v="4.2804000000000002"/>
    <n v="29.000000000000004"/>
  </r>
  <r>
    <s v="US-2019-116442"/>
    <x v="50"/>
    <s v="BP-11230"/>
    <s v="Benjamin Patterson"/>
    <s v="United States"/>
    <x v="2"/>
    <x v="2"/>
    <s v="Eldon Expressions Wood Desk Accessories, Oak"/>
    <n v="14.76"/>
    <n v="2"/>
    <n v="4.2804000000000002"/>
    <n v="29.000000000000004"/>
  </r>
  <r>
    <s v="US-2020-135503"/>
    <x v="409"/>
    <s v="JE-16165"/>
    <s v="Justin Ellison"/>
    <s v="United States"/>
    <x v="1"/>
    <x v="2"/>
    <s v="Eldon Expressions Wood Desk Accessories, Oak"/>
    <n v="372.76"/>
    <n v="2"/>
    <n v="4.2804000000000002"/>
    <n v="1.1482991737310873"/>
  </r>
  <r>
    <s v="CA-2020-106964"/>
    <x v="93"/>
    <s v="HR-14770"/>
    <s v="Hallie Redmond"/>
    <s v="United States"/>
    <x v="2"/>
    <x v="1"/>
    <s v="GBC Plastic Binding Combs"/>
    <n v="431.80799999999999"/>
    <n v="2"/>
    <n v="4.2804000000000002"/>
    <n v="0.99127389951089384"/>
  </r>
  <r>
    <s v="US-2019-135923"/>
    <x v="180"/>
    <s v="CM-11935"/>
    <s v="Carlos Meador"/>
    <s v="United States"/>
    <x v="1"/>
    <x v="2"/>
    <s v="Eldon Pizzaz Desk Accessories"/>
    <n v="14.272"/>
    <n v="8"/>
    <n v="4.2816000000000001"/>
    <n v="30"/>
  </r>
  <r>
    <s v="CA-2020-122077"/>
    <x v="234"/>
    <s v="JF-15295"/>
    <s v="Jason Fortune-"/>
    <s v="United States"/>
    <x v="3"/>
    <x v="1"/>
    <s v="Avery 491"/>
    <n v="92.215999999999994"/>
    <n v="4"/>
    <n v="4.2952000000000004"/>
    <n v="4.6577600416413647"/>
  </r>
  <r>
    <s v="CA-2019-112669"/>
    <x v="549"/>
    <s v="KT-16465"/>
    <s v="Kean Takahito"/>
    <s v="United States"/>
    <x v="2"/>
    <x v="1"/>
    <s v="Fellowes Personal Hanging Folder Files, Navy"/>
    <n v="42.975999999999999"/>
    <n v="4"/>
    <n v="4.2976000000000001"/>
    <n v="10"/>
  </r>
  <r>
    <s v="CA-2020-131492"/>
    <x v="6"/>
    <s v="HH-15010"/>
    <s v="Hilary Holden"/>
    <s v="United States"/>
    <x v="2"/>
    <x v="1"/>
    <s v="Ampad #10 Peel &amp; Seel Holiday Envelopes"/>
    <n v="112.96"/>
    <n v="2"/>
    <n v="4.3007999999999997"/>
    <n v="3.8073654390934846"/>
  </r>
  <r>
    <s v="CA-2020-141873"/>
    <x v="30"/>
    <s v="HG-14845"/>
    <s v="Harry Greene"/>
    <s v="United States"/>
    <x v="0"/>
    <x v="1"/>
    <s v="Pressboard Data Binders by Wilson Jones"/>
    <n v="125.816"/>
    <n v="3"/>
    <n v="4.3254000000000001"/>
    <n v="3.4378775354485915"/>
  </r>
  <r>
    <s v="CA-2020-138464"/>
    <x v="526"/>
    <s v="VF-21715"/>
    <s v="Vicky Freymann"/>
    <s v="United States"/>
    <x v="2"/>
    <x v="1"/>
    <s v="Crayola Colored Pencils"/>
    <n v="130.12"/>
    <n v="4"/>
    <n v="4.3296000000000001"/>
    <n v="3.3273901014448199"/>
  </r>
  <r>
    <s v="CA-2020-155873"/>
    <x v="360"/>
    <s v="AB-10255"/>
    <s v="Alejandro Ballentine"/>
    <s v="United States"/>
    <x v="2"/>
    <x v="1"/>
    <s v="Acme Elite Stainless Steel Scissors"/>
    <n v="135.68"/>
    <n v="2"/>
    <n v="4.3368000000000002"/>
    <n v="3.1963443396226414"/>
  </r>
  <r>
    <s v="CA-2020-169264"/>
    <x v="520"/>
    <s v="NP-18700"/>
    <s v="Nora Preis"/>
    <s v="United States"/>
    <x v="2"/>
    <x v="1"/>
    <s v="Newell 318"/>
    <n v="135.68"/>
    <n v="6"/>
    <n v="4.3368000000000002"/>
    <n v="3.1963443396226414"/>
  </r>
  <r>
    <s v="CA-2020-116680"/>
    <x v="130"/>
    <s v="PK-19075"/>
    <s v="Pete Kriz"/>
    <s v="United States"/>
    <x v="2"/>
    <x v="1"/>
    <s v="Acco Suede Grain Vinyl Round Ring Binder"/>
    <n v="119.34399999999999"/>
    <n v="6"/>
    <n v="4.3368000000000002"/>
    <n v="3.6338651293739108"/>
  </r>
  <r>
    <s v="CA-2020-125367"/>
    <x v="548"/>
    <s v="NM-18445"/>
    <s v="Nathan Mautz"/>
    <s v="United States"/>
    <x v="0"/>
    <x v="1"/>
    <s v="Wilson Jones “Snap” Scratch Pad Binder Tool for Ring Binders"/>
    <n v="120.92"/>
    <n v="3"/>
    <n v="4.3499999999999996"/>
    <n v="3.5974197816738336"/>
  </r>
  <r>
    <s v="CA-2019-102134"/>
    <x v="291"/>
    <s v="SP-20545"/>
    <s v="Sibella Parks"/>
    <s v="United States"/>
    <x v="3"/>
    <x v="2"/>
    <s v="Westinghouse Clip-On Gooseneck Lamps"/>
    <n v="16.739999999999998"/>
    <n v="2"/>
    <n v="4.3524000000000003"/>
    <n v="26.000000000000007"/>
  </r>
  <r>
    <s v="CA-2019-101525"/>
    <x v="116"/>
    <s v="CM-12235"/>
    <s v="Chris McAfee"/>
    <s v="United States"/>
    <x v="1"/>
    <x v="1"/>
    <s v="DIXON Ticonderoga Erasable Checking Pencils"/>
    <n v="11.16"/>
    <n v="2"/>
    <n v="4.3524000000000003"/>
    <n v="39"/>
  </r>
  <r>
    <s v="US-2019-150035"/>
    <x v="212"/>
    <s v="CL-11890"/>
    <s v="Carl Ludwig"/>
    <s v="United States"/>
    <x v="2"/>
    <x v="2"/>
    <s v="Westinghouse Clip-On Gooseneck Lamps"/>
    <n v="16.739999999999998"/>
    <n v="2"/>
    <n v="4.3524000000000003"/>
    <n v="26.000000000000007"/>
  </r>
  <r>
    <s v="CA-2020-132185"/>
    <x v="464"/>
    <s v="DB-13615"/>
    <s v="Doug Bickford"/>
    <s v="United States"/>
    <x v="1"/>
    <x v="1"/>
    <s v="Belkin 5 Outlet SurgeMaster Power Centers"/>
    <n v="144.584"/>
    <n v="1"/>
    <n v="4.3583999999999996"/>
    <n v="3.0144414319703423"/>
  </r>
  <r>
    <s v="US-2019-148901"/>
    <x v="220"/>
    <s v="MK-17905"/>
    <s v="Michael Kennedy"/>
    <s v="United States"/>
    <x v="1"/>
    <x v="0"/>
    <s v="LF Elite 3D Dazzle Designer Hard Case Cover, Lf Stylus Pen and Wiper For Apple Iphone 5c Mini Lite"/>
    <n v="43.6"/>
    <n v="5"/>
    <n v="4.3600000000000003"/>
    <n v="10"/>
  </r>
  <r>
    <s v="US-2019-100839"/>
    <x v="27"/>
    <s v="NC-18625"/>
    <s v="Noah Childs"/>
    <s v="United States"/>
    <x v="2"/>
    <x v="2"/>
    <s v="Executive Impressions 8-1/2&quot; Career Panel/Partition Cubicle Clock"/>
    <n v="24.96"/>
    <n v="3"/>
    <n v="4.3680000000000003"/>
    <n v="17.5"/>
  </r>
  <r>
    <s v="CA-2019-131639"/>
    <x v="45"/>
    <s v="NS-18640"/>
    <s v="Noel Staavos"/>
    <s v="United States"/>
    <x v="2"/>
    <x v="1"/>
    <s v="Ibico Plastic and Wire Spiral Binding Combs"/>
    <n v="13.488"/>
    <n v="2"/>
    <n v="4.3836000000000004"/>
    <n v="32.500000000000007"/>
  </r>
  <r>
    <s v="CA-2020-133095"/>
    <x v="318"/>
    <s v="EH-14005"/>
    <s v="Erica Hernandez"/>
    <s v="United States"/>
    <x v="1"/>
    <x v="1"/>
    <s v="Insertable Tab Indexes For Data Binders"/>
    <n v="115.54"/>
    <n v="3"/>
    <n v="4.3883999999999999"/>
    <n v="3.7981651376146788"/>
  </r>
  <r>
    <s v="CA-2020-164378"/>
    <x v="205"/>
    <s v="MM-18055"/>
    <s v="Michelle Moray"/>
    <s v="United States"/>
    <x v="0"/>
    <x v="1"/>
    <s v="Spiral Phone Message Books with Labels by Adams"/>
    <n v="93.96"/>
    <n v="2"/>
    <n v="4.3903999999999996"/>
    <n v="4.6726266496381434"/>
  </r>
  <r>
    <s v="CA-2020-141117"/>
    <x v="11"/>
    <s v="JK-16090"/>
    <s v="Juliana Krohn"/>
    <s v="United States"/>
    <x v="2"/>
    <x v="1"/>
    <s v="Acme Softgrip Scissors"/>
    <n v="136.072"/>
    <n v="6"/>
    <n v="4.3956"/>
    <n v="3.2303486389558467"/>
  </r>
  <r>
    <s v="CA-2020-159100"/>
    <x v="12"/>
    <s v="VP-21760"/>
    <s v="Victoria Pisteka"/>
    <s v="United States"/>
    <x v="1"/>
    <x v="0"/>
    <s v="Memorex Mini Travel Drive 8 GB USB 2.0 Flash Drive"/>
    <n v="124.52800000000001"/>
    <n v="2"/>
    <n v="4.4004000000000003"/>
    <n v="3.5336631119105748"/>
  </r>
  <r>
    <s v="CA-2019-100510"/>
    <x v="310"/>
    <s v="HM-14860"/>
    <s v="Harry Marie"/>
    <s v="United States"/>
    <x v="0"/>
    <x v="2"/>
    <s v="OIC Stacking Trays"/>
    <n v="10.02"/>
    <n v="3"/>
    <n v="4.4088000000000003"/>
    <n v="44.000000000000007"/>
  </r>
  <r>
    <s v="CA-2020-122175"/>
    <x v="198"/>
    <s v="CA-12775"/>
    <s v="Cynthia Arntzen"/>
    <s v="United States"/>
    <x v="0"/>
    <x v="1"/>
    <s v="Acme Titanium Bonded Scissors"/>
    <n v="118"/>
    <n v="2"/>
    <n v="4.42"/>
    <n v="3.7457627118644066"/>
  </r>
  <r>
    <s v="CA-2020-131618"/>
    <x v="245"/>
    <s v="LS-17200"/>
    <s v="Luke Schmidt"/>
    <s v="United States"/>
    <x v="3"/>
    <x v="1"/>
    <s v="Rediform Wirebound &quot;Phone Memo&quot; Message Book, 11 x 5-3/4"/>
    <n v="110.224"/>
    <n v="2"/>
    <n v="4.4311999999999996"/>
    <n v="4.0201770939178392"/>
  </r>
  <r>
    <s v="CA-2020-164168"/>
    <x v="151"/>
    <s v="LS-16975"/>
    <s v="Lindsay Shagiari"/>
    <s v="United States"/>
    <x v="3"/>
    <x v="1"/>
    <s v="#10- 4 1/8&quot; x 9 1/2&quot; Security-Tint Envelopes"/>
    <n v="110.224"/>
    <n v="2"/>
    <n v="4.4311999999999996"/>
    <n v="4.0201770939178392"/>
  </r>
  <r>
    <s v="CA-2019-157266"/>
    <x v="154"/>
    <s v="TB-21280"/>
    <s v="Toby Braunhardt"/>
    <s v="United States"/>
    <x v="0"/>
    <x v="1"/>
    <s v="Wilson Jones Turn Tabs Binder Tool for Ring Binders"/>
    <n v="9.64"/>
    <n v="2"/>
    <n v="4.4344000000000001"/>
    <n v="46"/>
  </r>
  <r>
    <s v="CA-2020-152912"/>
    <x v="407"/>
    <s v="BM-11650"/>
    <s v="Brian Moss"/>
    <s v="United States"/>
    <x v="0"/>
    <x v="1"/>
    <s v="Wilson Jones Turn Tabs Binder Tool for Ring Binders"/>
    <n v="101.64"/>
    <n v="2"/>
    <n v="4.4344000000000001"/>
    <n v="4.3628492719401812"/>
  </r>
  <r>
    <s v="CA-2020-101574"/>
    <x v="189"/>
    <s v="BD-11725"/>
    <s v="Bruce Degenhardt"/>
    <s v="United States"/>
    <x v="2"/>
    <x v="2"/>
    <s v="Longer-Life Soft White Bulbs"/>
    <n v="80.239999999999995"/>
    <n v="3"/>
    <n v="4.4352"/>
    <n v="5.5274177467597214"/>
  </r>
  <r>
    <s v="CA-2019-143441"/>
    <x v="77"/>
    <s v="EB-14170"/>
    <s v="Evan Bailliet"/>
    <s v="United States"/>
    <x v="3"/>
    <x v="1"/>
    <s v="Avery 490"/>
    <n v="11.84"/>
    <n v="1"/>
    <n v="4.4400000000000004"/>
    <n v="37.500000000000007"/>
  </r>
  <r>
    <s v="CA-2019-155446"/>
    <x v="367"/>
    <s v="TN-21040"/>
    <s v="Tanja Norvell"/>
    <s v="United States"/>
    <x v="2"/>
    <x v="0"/>
    <s v="Imation USB 2.0 Swivel Flash Drive USB flash drive - 4 GB - Pink"/>
    <n v="21.21"/>
    <n v="7"/>
    <n v="4.4541000000000004"/>
    <n v="21.000000000000004"/>
  </r>
  <r>
    <s v="CA-2019-165918"/>
    <x v="238"/>
    <s v="BD-11770"/>
    <s v="Bryan Davis"/>
    <s v="United States"/>
    <x v="2"/>
    <x v="1"/>
    <s v="Storex Dura Pro Binders"/>
    <n v="14.256"/>
    <n v="3"/>
    <n v="4.4550000000000001"/>
    <n v="31.25"/>
  </r>
  <r>
    <s v="CA-2019-159009"/>
    <x v="273"/>
    <s v="DP-13105"/>
    <s v="Dave Poirier"/>
    <s v="United States"/>
    <x v="2"/>
    <x v="1"/>
    <s v="ACCOHIDE 3-Ring Binder, Blue, 1&quot;"/>
    <n v="13.215999999999999"/>
    <n v="4"/>
    <n v="4.4603999999999999"/>
    <n v="33.75"/>
  </r>
  <r>
    <s v="CA-2019-163384"/>
    <x v="214"/>
    <s v="CC-12430"/>
    <s v="Chuck Clark"/>
    <s v="United States"/>
    <x v="2"/>
    <x v="1"/>
    <s v="ACCOHIDE 3-Ring Binder, Blue, 1&quot;"/>
    <n v="13.215999999999999"/>
    <n v="4"/>
    <n v="4.4603999999999999"/>
    <n v="33.75"/>
  </r>
  <r>
    <s v="CA-2019-152940"/>
    <x v="214"/>
    <s v="RO-19780"/>
    <s v="Rose O'Brian"/>
    <s v="United States"/>
    <x v="2"/>
    <x v="1"/>
    <s v="Acco Perma 2700 Stacking Storage Drawers"/>
    <n v="29.74"/>
    <n v="1"/>
    <n v="4.4610000000000003"/>
    <n v="15.000000000000002"/>
  </r>
  <r>
    <s v="CA-2019-113845"/>
    <x v="165"/>
    <s v="FA-14230"/>
    <s v="Frank Atkinson"/>
    <s v="United States"/>
    <x v="1"/>
    <x v="1"/>
    <s v="Akro-Mils 12-Gallon Tote"/>
    <n v="39.72"/>
    <n v="5"/>
    <n v="4.4684999999999997"/>
    <n v="11.249999999999998"/>
  </r>
  <r>
    <s v="US-2019-139087"/>
    <x v="395"/>
    <s v="DK-13375"/>
    <s v="Dennis Kane"/>
    <s v="United States"/>
    <x v="2"/>
    <x v="2"/>
    <s v="Eldon Image Series Black Desk Accessories"/>
    <n v="12.42"/>
    <n v="3"/>
    <n v="4.4711999999999996"/>
    <n v="36"/>
  </r>
  <r>
    <s v="CA-2020-157448"/>
    <x v="417"/>
    <s v="LC-16885"/>
    <s v="Lena Creighton"/>
    <s v="United States"/>
    <x v="2"/>
    <x v="2"/>
    <s v="Eldon Image Series Black Desk Accessories"/>
    <n v="94.42"/>
    <n v="3"/>
    <n v="4.4711999999999996"/>
    <n v="4.7354374073289556"/>
  </r>
  <r>
    <s v="US-2019-125402"/>
    <x v="81"/>
    <s v="DL-12865"/>
    <s v="Dan Lawera"/>
    <s v="United States"/>
    <x v="2"/>
    <x v="0"/>
    <s v="SmartStand Mobile Device Holder, Assorted Colors"/>
    <n v="44.735999999999997"/>
    <n v="8"/>
    <n v="4.4736000000000002"/>
    <n v="10"/>
  </r>
  <r>
    <s v="CA-2019-152408"/>
    <x v="389"/>
    <s v="TT-21220"/>
    <s v="Thomas Thornton"/>
    <s v="United States"/>
    <x v="0"/>
    <x v="1"/>
    <s v="Binder Posts"/>
    <n v="13.776"/>
    <n v="3"/>
    <n v="4.4771999999999998"/>
    <n v="32.5"/>
  </r>
  <r>
    <s v="US-2019-113649"/>
    <x v="366"/>
    <s v="HA-14920"/>
    <s v="Helen Andreada"/>
    <s v="United States"/>
    <x v="1"/>
    <x v="0"/>
    <s v="Apple EarPods with Remote and Mic"/>
    <n v="44.783999999999999"/>
    <n v="2"/>
    <n v="4.4783999999999997"/>
    <n v="10"/>
  </r>
  <r>
    <s v="CA-2020-153822"/>
    <x v="121"/>
    <s v="AB-10105"/>
    <s v="Adrian Barton"/>
    <s v="United States"/>
    <x v="2"/>
    <x v="0"/>
    <s v="Sony Micro Vault Click 16 GB USB 2.0 Flash Drive"/>
    <n v="113.584"/>
    <n v="2"/>
    <n v="4.4791999999999996"/>
    <n v="3.943513170869136"/>
  </r>
  <r>
    <s v="CA-2020-159464"/>
    <x v="352"/>
    <s v="TB-21355"/>
    <s v="Todd Boyes"/>
    <s v="United States"/>
    <x v="1"/>
    <x v="1"/>
    <s v="Acco Six-Outlet Power Strip, 4' Cord Length"/>
    <n v="103.24"/>
    <n v="2"/>
    <n v="4.4824000000000002"/>
    <n v="4.3417280123982955"/>
  </r>
  <r>
    <s v="US-2020-115252"/>
    <x v="170"/>
    <s v="MY-18295"/>
    <s v="Muhammed Yedwab"/>
    <s v="United States"/>
    <x v="1"/>
    <x v="1"/>
    <s v="Great White Multi-Use Recycled Paper (20Lb. and 84 Bright)"/>
    <n v="131.352"/>
    <n v="3"/>
    <n v="4.4850000000000003"/>
    <n v="3.4144893111638956"/>
  </r>
  <r>
    <s v="US-2020-117534"/>
    <x v="501"/>
    <s v="CV-12295"/>
    <s v="Christina VanderZanden"/>
    <s v="United States"/>
    <x v="2"/>
    <x v="1"/>
    <s v="Staples in misc. colors"/>
    <n v="117.02"/>
    <n v="9"/>
    <n v="4.4855999999999998"/>
    <n v="3.8331909075371735"/>
  </r>
  <r>
    <s v="CA-2019-146423"/>
    <x v="123"/>
    <s v="BT-11680"/>
    <s v="Brian Thompson"/>
    <s v="United States"/>
    <x v="0"/>
    <x v="1"/>
    <s v="Colorific Watercolor Pencils"/>
    <n v="15.48"/>
    <n v="3"/>
    <n v="4.4892000000000003"/>
    <n v="29.000000000000004"/>
  </r>
  <r>
    <s v="CA-2019-157714"/>
    <x v="66"/>
    <s v="CS-12175"/>
    <s v="Charles Sheldon"/>
    <s v="United States"/>
    <x v="3"/>
    <x v="1"/>
    <s v="Hammermill Color Copier Paper (28Lb. and 96 Bright)"/>
    <n v="9.99"/>
    <n v="1"/>
    <n v="4.4954999999999998"/>
    <n v="44.999999999999993"/>
  </r>
  <r>
    <s v="CA-2019-157217"/>
    <x v="469"/>
    <s v="TC-21535"/>
    <s v="Tracy Collins"/>
    <s v="United States"/>
    <x v="2"/>
    <x v="0"/>
    <s v="Griffin GC36547 PowerJolt SE Lightning Charger"/>
    <n v="35.984000000000002"/>
    <n v="2"/>
    <n v="4.4980000000000002"/>
    <n v="12.5"/>
  </r>
  <r>
    <s v="US-2020-136679"/>
    <x v="244"/>
    <s v="XP-21865"/>
    <s v="Xylona Preis"/>
    <s v="United States"/>
    <x v="3"/>
    <x v="1"/>
    <s v="Boston Electric Pencil Sharpener, Model 1818, Charcoal Black"/>
    <n v="159.04"/>
    <n v="2"/>
    <n v="4.5039999999999996"/>
    <n v="2.8319919517102612"/>
  </r>
  <r>
    <s v="CA-2020-151071"/>
    <x v="458"/>
    <s v="MB-18085"/>
    <s v="Mick Brown"/>
    <s v="United States"/>
    <x v="2"/>
    <x v="1"/>
    <s v="Cardinal Slant-D Ring Binder, Heavy Gauge Vinyl"/>
    <n v="104.904"/>
    <n v="2"/>
    <n v="4.5187999999999997"/>
    <n v="4.3075573858003509"/>
  </r>
  <r>
    <s v="CA-2020-118122"/>
    <x v="328"/>
    <s v="GG-14650"/>
    <s v="Greg Guthrie"/>
    <s v="United States"/>
    <x v="2"/>
    <x v="1"/>
    <s v="Cardinal Slant-D Ring Binder, Heavy Gauge Vinyl"/>
    <n v="77.903999999999996"/>
    <n v="2"/>
    <n v="4.5187999999999997"/>
    <n v="5.8004723762579582"/>
  </r>
  <r>
    <s v="CA-2020-115427"/>
    <x v="423"/>
    <s v="EB-13975"/>
    <s v="Erica Bern"/>
    <s v="United States"/>
    <x v="2"/>
    <x v="1"/>
    <s v="Cardinal Slant-D Ring Binder, Heavy Gauge Vinyl"/>
    <n v="295.904"/>
    <n v="2"/>
    <n v="4.5187999999999997"/>
    <n v="1.5271169027792797"/>
  </r>
  <r>
    <s v="US-2020-119438"/>
    <x v="46"/>
    <s v="CD-11980"/>
    <s v="Carol Darley"/>
    <s v="United States"/>
    <x v="3"/>
    <x v="0"/>
    <s v="Verbatim 25 GB 6x Blu-ray Single Layer Recordable Disc, 10/Pack"/>
    <n v="153.816"/>
    <n v="3"/>
    <n v="4.5201000000000002"/>
    <n v="2.9386409736308319"/>
  </r>
  <r>
    <s v="US-2020-149510"/>
    <x v="299"/>
    <s v="MC-17575"/>
    <s v="Matt Collins"/>
    <s v="United States"/>
    <x v="1"/>
    <x v="1"/>
    <s v="Belkin F9H710-06 7 Outlet SurgeMaster Surge Protector"/>
    <n v="177.21600000000001"/>
    <n v="3"/>
    <n v="4.5216000000000003"/>
    <n v="2.551462621885157"/>
  </r>
  <r>
    <s v="CA-2019-137127"/>
    <x v="414"/>
    <s v="JJ-15445"/>
    <s v="Jennifer Jackson"/>
    <s v="United States"/>
    <x v="0"/>
    <x v="1"/>
    <s v="Avery 518"/>
    <n v="9.4499999999999993"/>
    <n v="3"/>
    <n v="4.5359999999999996"/>
    <n v="48"/>
  </r>
  <r>
    <s v="US-2020-126053"/>
    <x v="372"/>
    <s v="CS-11950"/>
    <s v="Carlos Soltero"/>
    <s v="United States"/>
    <x v="0"/>
    <x v="1"/>
    <s v="Self-Adhesive Removable Labels"/>
    <n v="132.44999999999999"/>
    <n v="3"/>
    <n v="4.5359999999999996"/>
    <n v="3.4246885617214042"/>
  </r>
  <r>
    <s v="CA-2019-123337"/>
    <x v="338"/>
    <s v="KD-16495"/>
    <s v="Keith Dawkins"/>
    <s v="United States"/>
    <x v="2"/>
    <x v="1"/>
    <s v="Eureka Sanitaire  Multi-Pro Heavy-Duty Upright, Disposable Bags"/>
    <n v="17.48"/>
    <n v="4"/>
    <n v="4.5448000000000004"/>
    <n v="26"/>
  </r>
  <r>
    <s v="US-2020-123204"/>
    <x v="102"/>
    <s v="CS-11860"/>
    <s v="Cari Schnelling"/>
    <s v="United States"/>
    <x v="0"/>
    <x v="1"/>
    <s v="Eureka Sanitaire  Multi-Pro Heavy-Duty Upright, Disposable Bags"/>
    <n v="123.48"/>
    <n v="4"/>
    <n v="4.5448000000000004"/>
    <n v="3.6805960479429869"/>
  </r>
  <r>
    <s v="CA-2020-128755"/>
    <x v="370"/>
    <s v="MK-18160"/>
    <s v="Mike Kennedy"/>
    <s v="United States"/>
    <x v="1"/>
    <x v="1"/>
    <s v="Tenex Personal Self-Stacking Standard File Box, Black/Gray"/>
    <n v="123.91"/>
    <n v="1"/>
    <n v="4.5656999999999996"/>
    <n v="3.6846905011702042"/>
  </r>
  <r>
    <s v="CA-2020-164364"/>
    <x v="151"/>
    <s v="CS-12355"/>
    <s v="Christine Sundaresam"/>
    <s v="United States"/>
    <x v="2"/>
    <x v="1"/>
    <s v="Avery 483"/>
    <n v="119.96"/>
    <n v="2"/>
    <n v="4.5815999999999999"/>
    <n v="3.8192730910303436"/>
  </r>
  <r>
    <s v="CA-2019-123176"/>
    <x v="76"/>
    <s v="JG-15160"/>
    <s v="James Galang"/>
    <s v="United States"/>
    <x v="1"/>
    <x v="1"/>
    <s v="Binney &amp; Smith Crayola Metallic Colored Pencils, 8-Color Set"/>
    <n v="13.89"/>
    <n v="3"/>
    <n v="4.5837000000000003"/>
    <n v="33"/>
  </r>
  <r>
    <s v="CA-2019-109743"/>
    <x v="381"/>
    <s v="SH-19975"/>
    <s v="Sally Hughsby"/>
    <s v="United States"/>
    <x v="1"/>
    <x v="1"/>
    <s v="Berol Giant Pencil Sharpener"/>
    <n v="40.776000000000003"/>
    <n v="3"/>
    <n v="4.5872999999999999"/>
    <n v="11.249999999999998"/>
  </r>
  <r>
    <s v="CA-2020-152660"/>
    <x v="57"/>
    <s v="CB-12415"/>
    <s v="Christy Brittain"/>
    <s v="United States"/>
    <x v="3"/>
    <x v="1"/>
    <s v="Advantus Rolling Drawer Organizers"/>
    <n v="126.568"/>
    <n v="2"/>
    <n v="4.6176000000000004"/>
    <n v="3.6483155299917835"/>
  </r>
  <r>
    <s v="CA-2020-114804"/>
    <x v="517"/>
    <s v="BF-11020"/>
    <s v="Barry Französisch"/>
    <s v="United States"/>
    <x v="2"/>
    <x v="0"/>
    <s v="Panasonic KX-TG6844B Expandable Digital Cordless Telephone"/>
    <n v="158.792"/>
    <n v="1"/>
    <n v="4.6193"/>
    <n v="2.9090256436092496"/>
  </r>
  <r>
    <s v="CA-2020-160927"/>
    <x v="303"/>
    <s v="TM-21010"/>
    <s v="Tamara Manning"/>
    <s v="United States"/>
    <x v="3"/>
    <x v="2"/>
    <s v="DAX Value U-Channel Document Frames, Easel Back"/>
    <n v="127.91"/>
    <n v="3"/>
    <n v="4.6220999999999997"/>
    <n v="3.6135564068485651"/>
  </r>
  <r>
    <s v="CA-2019-142398"/>
    <x v="231"/>
    <s v="BP-11290"/>
    <s v="Beth Paige"/>
    <s v="United States"/>
    <x v="2"/>
    <x v="1"/>
    <s v="JM Magazine Binder"/>
    <n v="13.208"/>
    <n v="1"/>
    <n v="4.6227999999999998"/>
    <n v="35"/>
  </r>
  <r>
    <s v="CA-2019-129126"/>
    <x v="359"/>
    <s v="PK-19075"/>
    <s v="Pete Kriz"/>
    <s v="United States"/>
    <x v="0"/>
    <x v="1"/>
    <s v="Advantus Rolling Storage Box"/>
    <n v="17.149999999999999"/>
    <n v="1"/>
    <n v="4.6304999999999996"/>
    <n v="27"/>
  </r>
  <r>
    <s v="US-2020-155999"/>
    <x v="278"/>
    <s v="JK-15370"/>
    <s v="Jay Kimmel"/>
    <s v="United States"/>
    <x v="2"/>
    <x v="1"/>
    <s v="Avery Printable Repositionable Plastic Tabs"/>
    <n v="88.76"/>
    <n v="2"/>
    <n v="4.6440000000000001"/>
    <n v="5.2320865254619191"/>
  </r>
  <r>
    <s v="CA-2019-134334"/>
    <x v="211"/>
    <s v="DK-13090"/>
    <s v="Dave Kipp"/>
    <s v="United States"/>
    <x v="0"/>
    <x v="2"/>
    <s v="Regeneration Desk Collection"/>
    <n v="10.56"/>
    <n v="6"/>
    <n v="4.6463999999999999"/>
    <n v="43.999999999999993"/>
  </r>
  <r>
    <s v="CA-2020-117457"/>
    <x v="136"/>
    <s v="KH-16510"/>
    <s v="Keith Herrera"/>
    <s v="United States"/>
    <x v="2"/>
    <x v="1"/>
    <s v="Wirebound Service Call Books, 5 1/2&quot; x 4&quot;"/>
    <n v="128.68"/>
    <n v="1"/>
    <n v="4.6463999999999999"/>
    <n v="3.6108175318619833"/>
  </r>
  <r>
    <s v="US-2020-161935"/>
    <x v="38"/>
    <s v="JL-15835"/>
    <s v="John Lee"/>
    <s v="United States"/>
    <x v="0"/>
    <x v="1"/>
    <s v="Tenex File Box, Personal Filing Tote with Lid, Black"/>
    <n v="107.04"/>
    <n v="5"/>
    <n v="4.6529999999999996"/>
    <n v="4.3469730941704032"/>
  </r>
  <r>
    <s v="CA-2020-118017"/>
    <x v="299"/>
    <s v="LC-16870"/>
    <s v="Lena Cacioppo"/>
    <s v="United States"/>
    <x v="2"/>
    <x v="2"/>
    <s v="DAX Two-Tone Silver Metal Document Frame"/>
    <n v="118.19199999999999"/>
    <n v="1"/>
    <n v="4.6551999999999998"/>
    <n v="3.9386760525247055"/>
  </r>
  <r>
    <s v="CA-2019-161473"/>
    <x v="442"/>
    <s v="TB-21175"/>
    <s v="Thomas Boland"/>
    <s v="United States"/>
    <x v="0"/>
    <x v="1"/>
    <s v="Avery Hanging File Binders"/>
    <n v="14.352"/>
    <n v="3"/>
    <n v="4.6643999999999997"/>
    <n v="32.499999999999993"/>
  </r>
  <r>
    <s v="CA-2019-164511"/>
    <x v="319"/>
    <s v="DJ-13630"/>
    <s v="Doug Jacobs"/>
    <s v="United States"/>
    <x v="0"/>
    <x v="1"/>
    <s v="Avery Hanging File Binders"/>
    <n v="14.352"/>
    <n v="3"/>
    <n v="4.6643999999999997"/>
    <n v="32.499999999999993"/>
  </r>
  <r>
    <s v="CA-2020-104745"/>
    <x v="201"/>
    <s v="GT-14755"/>
    <s v="Guy Thornton"/>
    <s v="United States"/>
    <x v="3"/>
    <x v="1"/>
    <s v="File Shuttle I and Handi-File"/>
    <n v="132.42400000000001"/>
    <n v="3"/>
    <n v="4.6745999999999999"/>
    <n v="3.5300247689240614"/>
  </r>
  <r>
    <s v="CA-2020-169607"/>
    <x v="169"/>
    <s v="CA-12265"/>
    <s v="Christina Anderson"/>
    <s v="United States"/>
    <x v="0"/>
    <x v="1"/>
    <s v="Xerox 1952"/>
    <n v="122.96"/>
    <n v="2"/>
    <n v="4.6811999999999996"/>
    <n v="3.807091737150293"/>
  </r>
  <r>
    <s v="US-2019-103674"/>
    <x v="431"/>
    <s v="AP-10720"/>
    <s v="Anne Pryor"/>
    <s v="United States"/>
    <x v="2"/>
    <x v="1"/>
    <s v="Avery Durable Slant Ring Binders With Label Holder"/>
    <n v="13.375999999999999"/>
    <n v="4"/>
    <n v="4.6816000000000004"/>
    <n v="35"/>
  </r>
  <r>
    <s v="US-2019-156692"/>
    <x v="108"/>
    <s v="HG-15025"/>
    <s v="Hunter Glantz"/>
    <s v="United States"/>
    <x v="1"/>
    <x v="1"/>
    <s v="Staple holder"/>
    <n v="17.34"/>
    <n v="2"/>
    <n v="4.6818"/>
    <n v="27"/>
  </r>
  <r>
    <s v="CA-2020-148810"/>
    <x v="334"/>
    <s v="DR-12880"/>
    <s v="Dan Reichenbach"/>
    <s v="United States"/>
    <x v="1"/>
    <x v="1"/>
    <s v="Avery 512"/>
    <n v="106.872"/>
    <n v="6"/>
    <n v="4.6818"/>
    <n v="4.3807545474960703"/>
  </r>
  <r>
    <s v="CA-2019-156265"/>
    <x v="550"/>
    <s v="BF-11020"/>
    <s v="Barry Französisch"/>
    <s v="United States"/>
    <x v="2"/>
    <x v="1"/>
    <s v="XtraLife ClearVue Slant-D Ring Binders by Cardinal"/>
    <n v="12.544"/>
    <n v="2"/>
    <n v="4.7039999999999997"/>
    <n v="37.499999999999993"/>
  </r>
  <r>
    <s v="CA-2020-101959"/>
    <x v="533"/>
    <s v="DB-13660"/>
    <s v="Duane Benoit"/>
    <s v="United States"/>
    <x v="0"/>
    <x v="1"/>
    <s v="Pressboard Hanging Data Binders for Unburst Sheets"/>
    <n v="919.84"/>
    <n v="2"/>
    <n v="4.7232000000000003"/>
    <n v="0.51348060532266482"/>
  </r>
  <r>
    <s v="CA-2020-136826"/>
    <x v="360"/>
    <s v="CB-12535"/>
    <s v="Claudia Bergmann"/>
    <s v="United States"/>
    <x v="1"/>
    <x v="1"/>
    <s v="Quartet Omega Colored Chalk, 12/Pack"/>
    <n v="135.01599999999999"/>
    <n v="3"/>
    <n v="4.7304000000000004"/>
    <n v="3.5035847603247032"/>
  </r>
  <r>
    <s v="CA-2019-130078"/>
    <x v="441"/>
    <s v="CC-12145"/>
    <s v="Charles Crestani"/>
    <s v="United States"/>
    <x v="3"/>
    <x v="1"/>
    <s v="Xerox 1954"/>
    <n v="10.56"/>
    <n v="2"/>
    <n v="4.7519999999999998"/>
    <n v="44.999999999999993"/>
  </r>
  <r>
    <s v="US-2019-126452"/>
    <x v="43"/>
    <s v="SC-20230"/>
    <s v="Scot Coram"/>
    <s v="United States"/>
    <x v="2"/>
    <x v="1"/>
    <s v="Avery Durable Slant Ring Binders"/>
    <n v="12.672000000000001"/>
    <n v="2"/>
    <n v="4.7519999999999998"/>
    <n v="37.499999999999993"/>
  </r>
  <r>
    <s v="CA-2020-160514"/>
    <x v="151"/>
    <s v="DB-13120"/>
    <s v="David Bremer"/>
    <s v="United States"/>
    <x v="2"/>
    <x v="1"/>
    <s v="Xerox 4200 Series MultiUse Premium Copy Paper (20Lb. and 84 Bright)"/>
    <n v="114.56"/>
    <n v="2"/>
    <n v="4.7519999999999998"/>
    <n v="4.1480446927374297"/>
  </r>
  <r>
    <s v="CA-2020-143343"/>
    <x v="255"/>
    <s v="BW-11200"/>
    <s v="Ben Wallace"/>
    <s v="United States"/>
    <x v="2"/>
    <x v="1"/>
    <s v="Newell 351"/>
    <n v="122.4"/>
    <n v="5"/>
    <n v="4.7560000000000002"/>
    <n v="3.8856209150326797"/>
  </r>
  <r>
    <s v="CA-2020-148642"/>
    <x v="494"/>
    <s v="DW-13540"/>
    <s v="Don Weiss"/>
    <s v="United States"/>
    <x v="3"/>
    <x v="1"/>
    <s v="Newell 345"/>
    <n v="165.488"/>
    <n v="4"/>
    <n v="4.7615999999999996"/>
    <n v="2.8773083244706563"/>
  </r>
  <r>
    <s v="CA-2020-117632"/>
    <x v="198"/>
    <s v="CS-12175"/>
    <s v="Charles Sheldon"/>
    <s v="United States"/>
    <x v="2"/>
    <x v="1"/>
    <s v="Compact Automatic Electric Letter Opener"/>
    <n v="266.62"/>
    <n v="2"/>
    <n v="4.7724000000000002"/>
    <n v="1.7899632435676245"/>
  </r>
  <r>
    <s v="CA-2019-157161"/>
    <x v="133"/>
    <s v="JD-15895"/>
    <s v="Jonathan Doherty"/>
    <s v="United States"/>
    <x v="1"/>
    <x v="1"/>
    <s v="Poly String Tie Envelopes"/>
    <n v="10.199999999999999"/>
    <n v="5"/>
    <n v="4.7939999999999996"/>
    <n v="47"/>
  </r>
  <r>
    <s v="CA-2020-128363"/>
    <x v="7"/>
    <s v="DC-12850"/>
    <s v="Dan Campbell"/>
    <s v="United States"/>
    <x v="1"/>
    <x v="1"/>
    <s v="Colored Envelopes"/>
    <n v="104.76"/>
    <n v="5"/>
    <n v="4.7969999999999997"/>
    <n v="4.5790378006872849"/>
  </r>
  <r>
    <s v="CA-2020-169901"/>
    <x v="267"/>
    <s v="CC-12550"/>
    <s v="Clay Cheatham"/>
    <s v="United States"/>
    <x v="2"/>
    <x v="0"/>
    <s v="Anker 36W 4-Port USB Wall Charger Travel Power Adapter for iPhone 5s 5c 5"/>
    <n v="155.976"/>
    <n v="3"/>
    <n v="4.7976000000000001"/>
    <n v="3.0758578242806585"/>
  </r>
  <r>
    <s v="CA-2020-156237"/>
    <x v="97"/>
    <s v="PS-18760"/>
    <s v="Pamela Stobb"/>
    <s v="United States"/>
    <x v="0"/>
    <x v="2"/>
    <s v="Tensor Track Tree Floor Lamp"/>
    <n v="150.93600000000001"/>
    <n v="8"/>
    <n v="4.7976000000000001"/>
    <n v="3.1785657497217361"/>
  </r>
  <r>
    <s v="CA-2020-135937"/>
    <x v="89"/>
    <s v="KM-16375"/>
    <s v="Katherine Murray"/>
    <s v="United States"/>
    <x v="2"/>
    <x v="0"/>
    <s v="Microsoft Wireless Mobile Mouse 4000"/>
    <n v="131.99199999999999"/>
    <n v="1"/>
    <n v="4.7988"/>
    <n v="3.6356748893872357"/>
  </r>
  <r>
    <s v="CA-2020-161480"/>
    <x v="141"/>
    <s v="RA-19285"/>
    <s v="Ralph Arnett"/>
    <s v="United States"/>
    <x v="0"/>
    <x v="2"/>
    <s v="Bush Andora Bookcase, Maple/Graphite Gray Finish"/>
    <n v="408.98399999999998"/>
    <n v="2"/>
    <n v="4.7995999999999999"/>
    <n v="1.1735422412612719"/>
  </r>
  <r>
    <s v="CA-2019-149454"/>
    <x v="445"/>
    <s v="KM-16375"/>
    <s v="Katherine Murray"/>
    <s v="United States"/>
    <x v="1"/>
    <x v="1"/>
    <s v="Avery 3 1/2&quot; Diskette Storage Pages, 10/Pack"/>
    <n v="10.44"/>
    <n v="1"/>
    <n v="4.8023999999999996"/>
    <n v="46"/>
  </r>
  <r>
    <s v="CA-2019-110254"/>
    <x v="376"/>
    <s v="ML-17755"/>
    <s v="Max Ludwig"/>
    <s v="United States"/>
    <x v="1"/>
    <x v="1"/>
    <s v="Avery 478"/>
    <n v="9.82"/>
    <n v="2"/>
    <n v="4.8117999999999999"/>
    <n v="49"/>
  </r>
  <r>
    <s v="CA-2020-164707"/>
    <x v="551"/>
    <s v="CV-12805"/>
    <s v="Cynthia Voltz"/>
    <s v="United States"/>
    <x v="2"/>
    <x v="1"/>
    <s v="Avery 493"/>
    <n v="84.82"/>
    <n v="2"/>
    <n v="4.8117999999999999"/>
    <n v="5.6729544918651262"/>
  </r>
  <r>
    <s v="CA-2020-135279"/>
    <x v="262"/>
    <s v="BS-11800"/>
    <s v="Bryan Spruell"/>
    <s v="United States"/>
    <x v="0"/>
    <x v="1"/>
    <s v="Color-Coded Legal Exhibit Labels"/>
    <n v="127.82"/>
    <n v="2"/>
    <n v="4.8117999999999999"/>
    <n v="3.7645125958378967"/>
  </r>
  <r>
    <s v="CA-2020-101434"/>
    <x v="446"/>
    <s v="TR-21325"/>
    <s v="Toby Ritter"/>
    <s v="United States"/>
    <x v="0"/>
    <x v="1"/>
    <s v="Avery 508"/>
    <n v="108.82"/>
    <n v="2"/>
    <n v="4.8117999999999999"/>
    <n v="4.4217974637015249"/>
  </r>
  <r>
    <s v="CA-2019-169824"/>
    <x v="329"/>
    <s v="NS-18640"/>
    <s v="Noel Staavos"/>
    <s v="United States"/>
    <x v="0"/>
    <x v="1"/>
    <s v="Sanford Pocket Accent Highlighters"/>
    <n v="11.2"/>
    <n v="7"/>
    <n v="4.8159999999999998"/>
    <n v="43"/>
  </r>
  <r>
    <s v="CA-2019-128811"/>
    <x v="460"/>
    <s v="SF-20200"/>
    <s v="Sarah Foster"/>
    <s v="United States"/>
    <x v="2"/>
    <x v="1"/>
    <s v="OIC Bulk Pack Metal Binder Clips"/>
    <n v="10.47"/>
    <n v="3"/>
    <n v="4.8162000000000003"/>
    <n v="46"/>
  </r>
  <r>
    <s v="US-2020-169551"/>
    <x v="135"/>
    <s v="RL-19615"/>
    <s v="Rob Lucas"/>
    <s v="United States"/>
    <x v="0"/>
    <x v="0"/>
    <s v="AmazonBasics 3-Button USB Wired Mouse"/>
    <n v="114.776"/>
    <n v="3"/>
    <n v="4.8231000000000002"/>
    <n v="4.2021851258102743"/>
  </r>
  <r>
    <s v="CA-2019-139549"/>
    <x v="326"/>
    <s v="MY-18295"/>
    <s v="Muhammed Yedwab"/>
    <s v="United States"/>
    <x v="2"/>
    <x v="2"/>
    <s v="Hon Every-Day Chair Series Swivel Task Chairs"/>
    <n v="387.13600000000002"/>
    <n v="4"/>
    <n v="4.8391999999999999"/>
    <n v="1.25"/>
  </r>
  <r>
    <s v="CA-2019-167507"/>
    <x v="279"/>
    <s v="SA-20830"/>
    <s v="Sue Ann Reed"/>
    <s v="United States"/>
    <x v="2"/>
    <x v="2"/>
    <s v="Seth Thomas 14&quot; Day/Date Wall Clock"/>
    <n v="22.783999999999999"/>
    <n v="1"/>
    <n v="4.8415999999999997"/>
    <n v="21.25"/>
  </r>
  <r>
    <s v="CA-2020-169978"/>
    <x v="437"/>
    <s v="HG-15025"/>
    <s v="Hunter Glantz"/>
    <s v="United States"/>
    <x v="0"/>
    <x v="1"/>
    <s v="DXL Angle-View Binders with Locking Rings, Black"/>
    <n v="454.37599999999998"/>
    <n v="3"/>
    <n v="4.8518999999999997"/>
    <n v="1.0678160818353082"/>
  </r>
  <r>
    <s v="CA-2020-124597"/>
    <x v="105"/>
    <s v="AS-10630"/>
    <s v="Ann Steele"/>
    <s v="United States"/>
    <x v="1"/>
    <x v="1"/>
    <s v="Staples in misc. colors"/>
    <n v="108.52800000000001"/>
    <n v="3"/>
    <n v="4.8525"/>
    <n v="4.4711963732861566"/>
  </r>
  <r>
    <s v="CA-2020-102974"/>
    <x v="121"/>
    <s v="DP-13105"/>
    <s v="Dave Poirier"/>
    <s v="United States"/>
    <x v="2"/>
    <x v="1"/>
    <s v="Newell 33"/>
    <n v="100.74"/>
    <n v="3"/>
    <n v="4.8545999999999996"/>
    <n v="4.8189398451459198"/>
  </r>
  <r>
    <s v="CA-2019-121671"/>
    <x v="395"/>
    <s v="AA-10480"/>
    <s v="Andrew Allen"/>
    <s v="United States"/>
    <x v="3"/>
    <x v="1"/>
    <s v="Carina 42&quot;Hx23 3/4&quot;W Media Storage Unit"/>
    <n v="242.94"/>
    <n v="3"/>
    <n v="4.8587999999999996"/>
    <n v="1.9999999999999998"/>
  </r>
  <r>
    <s v="CA-2019-118689"/>
    <x v="226"/>
    <s v="TC-20980"/>
    <s v="Tamara Chand"/>
    <s v="United States"/>
    <x v="3"/>
    <x v="1"/>
    <s v="Acco Perma 4000 Stacking Storage Drawers"/>
    <n v="32.479999999999997"/>
    <n v="2"/>
    <n v="4.8719999999999999"/>
    <n v="15.000000000000002"/>
  </r>
  <r>
    <s v="CA-2020-140151"/>
    <x v="248"/>
    <s v="RB-19360"/>
    <s v="Raymond Buch"/>
    <s v="United States"/>
    <x v="2"/>
    <x v="1"/>
    <s v="Acco Perma 4000 Stacking Storage Drawers"/>
    <n v="139.47999999999999"/>
    <n v="2"/>
    <n v="4.8719999999999999"/>
    <n v="3.4929739030685405"/>
  </r>
  <r>
    <s v="CA-2020-166093"/>
    <x v="23"/>
    <s v="RW-19540"/>
    <s v="Rick Wilson"/>
    <s v="United States"/>
    <x v="2"/>
    <x v="1"/>
    <s v="Wilson Jones Clip &amp; Carry Folder Binder Tool for Ring Binders, Clear"/>
    <n v="104.92"/>
    <n v="3"/>
    <n v="4.8719999999999999"/>
    <n v="4.6435379336637439"/>
  </r>
  <r>
    <s v="CA-2020-108000"/>
    <x v="9"/>
    <s v="LS-16945"/>
    <s v="Linda Southworth"/>
    <s v="United States"/>
    <x v="2"/>
    <x v="1"/>
    <s v="Staple envelope"/>
    <n v="96.78"/>
    <n v="1"/>
    <n v="4.8899999999999997"/>
    <n v="5.0526968381897079"/>
  </r>
  <r>
    <s v="US-2020-128832"/>
    <x v="298"/>
    <s v="LS-16945"/>
    <s v="Linda Southworth"/>
    <s v="United States"/>
    <x v="0"/>
    <x v="0"/>
    <s v="V7 USB Numeric Keypad"/>
    <n v="100.98"/>
    <n v="2"/>
    <n v="4.8986000000000001"/>
    <n v="4.8510596157654984"/>
  </r>
  <r>
    <s v="US-2020-136707"/>
    <x v="151"/>
    <s v="JE-15610"/>
    <s v="Jim Epp"/>
    <s v="United States"/>
    <x v="2"/>
    <x v="1"/>
    <s v="Acco 3-Hole Punch"/>
    <n v="94.016000000000005"/>
    <n v="4"/>
    <n v="4.9055999999999997"/>
    <n v="5.2178352620830486"/>
  </r>
  <r>
    <s v="CA-2020-136672"/>
    <x v="552"/>
    <s v="MG-17890"/>
    <s v="Michael Granlund"/>
    <s v="United States"/>
    <x v="0"/>
    <x v="0"/>
    <s v="Logitech Desktop MK120 Mouse and keyboard Combo"/>
    <n v="134.08000000000001"/>
    <n v="3"/>
    <n v="4.9080000000000004"/>
    <n v="3.6605011933174225"/>
  </r>
  <r>
    <s v="US-2020-140907"/>
    <x v="409"/>
    <s v="BP-11185"/>
    <s v="Ben Peterman"/>
    <s v="United States"/>
    <x v="2"/>
    <x v="0"/>
    <s v="Logitech Desktop MK120 Mouse and keyboard Combo"/>
    <n v="447.08"/>
    <n v="3"/>
    <n v="4.9080000000000004"/>
    <n v="1.0977901046792522"/>
  </r>
  <r>
    <s v="CA-2019-105585"/>
    <x v="261"/>
    <s v="RF-19735"/>
    <s v="Roland Fjeld"/>
    <s v="United States"/>
    <x v="2"/>
    <x v="1"/>
    <s v="Advantus SlideClip Paper Clips"/>
    <n v="10.23"/>
    <n v="3"/>
    <n v="4.9104000000000001"/>
    <n v="48"/>
  </r>
  <r>
    <s v="CA-2020-138464"/>
    <x v="526"/>
    <s v="VF-21715"/>
    <s v="Vicky Freymann"/>
    <s v="United States"/>
    <x v="2"/>
    <x v="2"/>
    <s v="Master Big Foot Doorstop, Beige"/>
    <n v="91.84"/>
    <n v="3"/>
    <n v="4.9104000000000001"/>
    <n v="5.3466898954703828"/>
  </r>
  <r>
    <s v="CA-2020-152499"/>
    <x v="470"/>
    <s v="EH-13765"/>
    <s v="Edward Hooks"/>
    <s v="United States"/>
    <x v="3"/>
    <x v="1"/>
    <s v="Staples"/>
    <n v="103.12"/>
    <n v="5"/>
    <n v="4.9139999999999997"/>
    <n v="4.7653219550038779"/>
  </r>
  <r>
    <s v="CA-2020-122154"/>
    <x v="262"/>
    <s v="SA-20830"/>
    <s v="Sue Ann Reed"/>
    <s v="United States"/>
    <x v="1"/>
    <x v="1"/>
    <s v="Avery 48"/>
    <n v="126.12"/>
    <n v="3"/>
    <n v="4.9139999999999997"/>
    <n v="3.8962892483349187"/>
  </r>
  <r>
    <s v="CA-2019-154053"/>
    <x v="534"/>
    <s v="MG-17890"/>
    <s v="Michael Granlund"/>
    <s v="United States"/>
    <x v="2"/>
    <x v="1"/>
    <s v="Berol Giant Pencil Sharpener"/>
    <n v="16.989999999999998"/>
    <n v="1"/>
    <n v="4.9271000000000003"/>
    <n v="29.000000000000004"/>
  </r>
  <r>
    <s v="CA-2019-169194"/>
    <x v="295"/>
    <s v="LH-16900"/>
    <s v="Lena Hernandez"/>
    <s v="United States"/>
    <x v="0"/>
    <x v="0"/>
    <s v="Imation 8gb Micro Traveldrive Usb 2.0 Flash Drive"/>
    <n v="45"/>
    <n v="3"/>
    <n v="4.95"/>
    <n v="11"/>
  </r>
  <r>
    <s v="CA-2020-150091"/>
    <x v="169"/>
    <s v="NP-18670"/>
    <s v="Nora Paige"/>
    <s v="United States"/>
    <x v="0"/>
    <x v="0"/>
    <s v="Imation 8gb Micro Traveldrive Usb 2.0 Flash Drive"/>
    <n v="147"/>
    <n v="3"/>
    <n v="4.95"/>
    <n v="3.3673469387755102"/>
  </r>
  <r>
    <s v="US-2020-132675"/>
    <x v="64"/>
    <s v="KF-16285"/>
    <s v="Karen Ferguson"/>
    <s v="United States"/>
    <x v="1"/>
    <x v="1"/>
    <s v="BIC Brite Liner Grip Highlighters, Assorted, 5/Pack"/>
    <n v="98.72"/>
    <n v="3"/>
    <n v="4.9607999999999999"/>
    <n v="5.025121555915721"/>
  </r>
  <r>
    <s v="CA-2020-114370"/>
    <x v="553"/>
    <s v="BN-11470"/>
    <s v="Brad Norvell"/>
    <s v="United States"/>
    <x v="3"/>
    <x v="0"/>
    <s v="Seidio BD2-HK3IPH5-BK DILEX Case and Holster Combo for Apple iPhone 5/5s - Black"/>
    <n v="121.616"/>
    <n v="2"/>
    <n v="4.9615999999999998"/>
    <n v="4.0797263517958164"/>
  </r>
  <r>
    <s v="US-2020-112347"/>
    <x v="18"/>
    <s v="BS-11380"/>
    <s v="Bill Stewart"/>
    <s v="United States"/>
    <x v="2"/>
    <x v="0"/>
    <s v="Seidio BD2-HK3IPH5-BK DILEX Case and Holster Combo for Apple iPhone 5/5s - Black"/>
    <n v="137.61600000000001"/>
    <n v="2"/>
    <n v="4.9615999999999998"/>
    <n v="3.6053947215440059"/>
  </r>
  <r>
    <s v="US-2020-109253"/>
    <x v="500"/>
    <s v="PR-18880"/>
    <s v="Patrick Ryan"/>
    <s v="United States"/>
    <x v="2"/>
    <x v="1"/>
    <s v="Newell 336"/>
    <n v="107.12"/>
    <n v="4"/>
    <n v="4.9648000000000003"/>
    <n v="4.6348020911127712"/>
  </r>
  <r>
    <s v="CA-2019-129868"/>
    <x v="386"/>
    <s v="MC-18130"/>
    <s v="Mike Caudle"/>
    <s v="United States"/>
    <x v="2"/>
    <x v="1"/>
    <s v="Fiskars Home &amp; Office Scissors"/>
    <n v="17.760000000000002"/>
    <n v="2"/>
    <n v="4.9728000000000003"/>
    <n v="27.999999999999996"/>
  </r>
  <r>
    <s v="US-2020-110646"/>
    <x v="184"/>
    <s v="JF-15190"/>
    <s v="Jamie Frazer"/>
    <s v="United States"/>
    <x v="0"/>
    <x v="1"/>
    <s v="Avery 517"/>
    <n v="115.76"/>
    <n v="5"/>
    <n v="4.9814999999999996"/>
    <n v="4.303299930891499"/>
  </r>
  <r>
    <s v="CA-2019-152471"/>
    <x v="336"/>
    <s v="ZD-21925"/>
    <s v="Zuschuss Donatelli"/>
    <s v="United States"/>
    <x v="1"/>
    <x v="1"/>
    <s v="Xerox 1921"/>
    <n v="15.984"/>
    <n v="2"/>
    <n v="4.9950000000000001"/>
    <n v="31.25"/>
  </r>
  <r>
    <s v="CA-2020-109715"/>
    <x v="356"/>
    <s v="AH-10585"/>
    <s v="Angele Hood"/>
    <s v="United States"/>
    <x v="3"/>
    <x v="1"/>
    <s v="Xerox 1921"/>
    <n v="139.98400000000001"/>
    <n v="2"/>
    <n v="4.9950000000000001"/>
    <n v="3.5682649445650929"/>
  </r>
  <r>
    <s v="US-2019-143280"/>
    <x v="554"/>
    <s v="TZ-21580"/>
    <s v="Tracy Zic"/>
    <s v="United States"/>
    <x v="2"/>
    <x v="1"/>
    <s v="Acco Clips to Go Binder Clips, 24 Clips in Two Sizes"/>
    <n v="10.65"/>
    <n v="3"/>
    <n v="5.0054999999999996"/>
    <n v="47"/>
  </r>
  <r>
    <s v="CA-2019-113138"/>
    <x v="319"/>
    <s v="NP-18685"/>
    <s v="Nora Pelletier"/>
    <s v="United States"/>
    <x v="0"/>
    <x v="1"/>
    <s v="Newell 340"/>
    <n v="17.28"/>
    <n v="6"/>
    <n v="5.0111999999999997"/>
    <n v="28.999999999999996"/>
  </r>
  <r>
    <s v="CA-2019-115917"/>
    <x v="246"/>
    <s v="RB-19465"/>
    <s v="Rick Bensley"/>
    <s v="United States"/>
    <x v="2"/>
    <x v="1"/>
    <s v="Wilson Jones Turn Tabs Binder Tool for Ring Binders"/>
    <n v="15.423999999999999"/>
    <n v="4"/>
    <n v="5.0128000000000004"/>
    <n v="32.5"/>
  </r>
  <r>
    <s v="US-2020-108245"/>
    <x v="10"/>
    <s v="SH-19975"/>
    <s v="Sally Hughsby"/>
    <s v="United States"/>
    <x v="3"/>
    <x v="1"/>
    <s v="Staple envelope"/>
    <n v="102.392"/>
    <n v="3"/>
    <n v="5.0220000000000002"/>
    <n v="4.9046800531291517"/>
  </r>
  <r>
    <s v="CA-2020-134194"/>
    <x v="141"/>
    <s v="GA-14725"/>
    <s v="Guy Armstrong"/>
    <s v="United States"/>
    <x v="3"/>
    <x v="1"/>
    <s v="Staple remover"/>
    <n v="433.68799999999999"/>
    <n v="7"/>
    <n v="5.0274000000000001"/>
    <n v="1.159220453413514"/>
  </r>
  <r>
    <s v="CA-2020-144932"/>
    <x v="249"/>
    <s v="AB-10165"/>
    <s v="Alan Barnes"/>
    <s v="United States"/>
    <x v="0"/>
    <x v="1"/>
    <s v="Xerox 196"/>
    <n v="117.872"/>
    <n v="3"/>
    <n v="5.0286"/>
    <n v="4.2661531152436538"/>
  </r>
  <r>
    <s v="CA-2020-161340"/>
    <x v="185"/>
    <s v="AM-10360"/>
    <s v="Alice McCarthy"/>
    <s v="United States"/>
    <x v="0"/>
    <x v="1"/>
    <s v="HP Office Recycled Paper (20Lb. and 87 Bright)"/>
    <n v="101.872"/>
    <n v="3"/>
    <n v="5.0286"/>
    <n v="4.9361944400816711"/>
  </r>
  <r>
    <s v="CA-2019-116918"/>
    <x v="131"/>
    <s v="JK-15205"/>
    <s v="Jamie Kunitz"/>
    <s v="United States"/>
    <x v="1"/>
    <x v="1"/>
    <s v="Staples in misc. colors"/>
    <n v="30.975999999999999"/>
    <n v="8"/>
    <n v="5.0335999999999999"/>
    <n v="16.25"/>
  </r>
  <r>
    <s v="CA-2019-109365"/>
    <x v="65"/>
    <s v="XP-21865"/>
    <s v="Xylona Preis"/>
    <s v="United States"/>
    <x v="2"/>
    <x v="1"/>
    <s v="Stockwell Push Pins"/>
    <n v="15.26"/>
    <n v="7"/>
    <n v="5.0358000000000001"/>
    <n v="33"/>
  </r>
  <r>
    <s v="CA-2020-109701"/>
    <x v="18"/>
    <s v="AM-10360"/>
    <s v="Alice McCarthy"/>
    <s v="United States"/>
    <x v="2"/>
    <x v="1"/>
    <s v="Prang Dustless Chalk Sticks"/>
    <n v="121.08"/>
    <n v="6"/>
    <n v="5.04"/>
    <n v="4.1625371655104066"/>
  </r>
  <r>
    <s v="CA-2020-100230"/>
    <x v="33"/>
    <s v="AA-10375"/>
    <s v="Allen Armold"/>
    <s v="United States"/>
    <x v="0"/>
    <x v="1"/>
    <s v="Clear Mylar Reinforcing Strips"/>
    <n v="415.952"/>
    <n v="1"/>
    <n v="5.0462999999999996"/>
    <n v="1.213192868407893"/>
  </r>
  <r>
    <s v="CA-2019-137330"/>
    <x v="260"/>
    <s v="KB-16585"/>
    <s v="Ken Black"/>
    <s v="United States"/>
    <x v="3"/>
    <x v="1"/>
    <s v="Newell 318"/>
    <n v="19.46"/>
    <n v="7"/>
    <n v="5.0595999999999997"/>
    <n v="25.999999999999996"/>
  </r>
  <r>
    <s v="CA-2019-155033"/>
    <x v="472"/>
    <s v="CC-12475"/>
    <s v="Cindy Chapman"/>
    <s v="United States"/>
    <x v="2"/>
    <x v="1"/>
    <s v="Astroparche Fine Business Paper"/>
    <n v="10.56"/>
    <n v="2"/>
    <n v="5.0688000000000004"/>
    <n v="48.000000000000007"/>
  </r>
  <r>
    <s v="CA-2019-105732"/>
    <x v="443"/>
    <s v="AG-10270"/>
    <s v="Alejandro Grove"/>
    <s v="United States"/>
    <x v="3"/>
    <x v="1"/>
    <s v="Elite 5&quot; Scissors"/>
    <n v="16.899999999999999"/>
    <n v="2"/>
    <n v="5.07"/>
    <n v="30.000000000000004"/>
  </r>
  <r>
    <s v="CA-2020-117436"/>
    <x v="207"/>
    <s v="LW-17125"/>
    <s v="Liz Willingham"/>
    <s v="United States"/>
    <x v="0"/>
    <x v="1"/>
    <s v="Wilson Jones Impact Binders"/>
    <n v="96.36"/>
    <n v="2"/>
    <n v="5.0763999999999996"/>
    <n v="5.2681610626816102"/>
  </r>
  <r>
    <s v="CA-2019-140634"/>
    <x v="257"/>
    <s v="HL-15040"/>
    <s v="Hunter Lopez"/>
    <s v="United States"/>
    <x v="3"/>
    <x v="1"/>
    <s v="Staple envelope"/>
    <n v="15.648"/>
    <n v="2"/>
    <n v="5.0856000000000003"/>
    <n v="32.5"/>
  </r>
  <r>
    <s v="CA-2020-129833"/>
    <x v="356"/>
    <s v="HF-14995"/>
    <s v="Herbert Flentye"/>
    <s v="United States"/>
    <x v="3"/>
    <x v="1"/>
    <s v="Economy Binders"/>
    <n v="1021.4"/>
    <n v="5"/>
    <n v="5.0960000000000001"/>
    <n v="0.49892304679851185"/>
  </r>
  <r>
    <s v="CA-2019-109820"/>
    <x v="165"/>
    <s v="AG-10390"/>
    <s v="Allen Goldenen"/>
    <s v="United States"/>
    <x v="0"/>
    <x v="1"/>
    <s v="Southworth 25% Cotton Granite Paper &amp; Envelopes"/>
    <n v="15.696"/>
    <n v="3"/>
    <n v="5.1012000000000004"/>
    <n v="32.5"/>
  </r>
  <r>
    <s v="CA-2019-169663"/>
    <x v="293"/>
    <s v="RH-19510"/>
    <s v="Rick Huthwaite"/>
    <s v="United States"/>
    <x v="2"/>
    <x v="0"/>
    <s v="Kingston Digital DataTraveler 16GB USB 2.0"/>
    <n v="26.85"/>
    <n v="3"/>
    <n v="5.1014999999999997"/>
    <n v="18.999999999999996"/>
  </r>
  <r>
    <s v="US-2019-167472"/>
    <x v="428"/>
    <s v="CK-12595"/>
    <s v="Clytie Kelty"/>
    <s v="United States"/>
    <x v="1"/>
    <x v="0"/>
    <s v="Kingston Digital DataTraveler 16GB USB 2.0"/>
    <n v="26.85"/>
    <n v="3"/>
    <n v="5.1014999999999997"/>
    <n v="18.999999999999996"/>
  </r>
  <r>
    <s v="CA-2019-150343"/>
    <x v="555"/>
    <s v="PK-19075"/>
    <s v="Pete Kriz"/>
    <s v="United States"/>
    <x v="2"/>
    <x v="1"/>
    <s v="Convenience Packs of Business Envelopes"/>
    <n v="10.86"/>
    <n v="3"/>
    <n v="5.1041999999999996"/>
    <n v="47"/>
  </r>
  <r>
    <s v="CA-2020-106180"/>
    <x v="406"/>
    <s v="SH-19975"/>
    <s v="Sally Hughsby"/>
    <s v="United States"/>
    <x v="2"/>
    <x v="1"/>
    <s v="Convenience Packs of Business Envelopes"/>
    <n v="119.86"/>
    <n v="3"/>
    <n v="5.1041999999999996"/>
    <n v="4.2584682129150675"/>
  </r>
  <r>
    <s v="CA-2020-152695"/>
    <x v="409"/>
    <s v="CC-12220"/>
    <s v="Chris Cortes"/>
    <s v="United States"/>
    <x v="0"/>
    <x v="1"/>
    <s v="Convenience Packs of Business Envelopes"/>
    <n v="403.86"/>
    <n v="3"/>
    <n v="5.1041999999999996"/>
    <n v="1.2638538107264892"/>
  </r>
  <r>
    <s v="CA-2020-124436"/>
    <x v="120"/>
    <s v="SA-20830"/>
    <s v="Sue Ann Reed"/>
    <s v="United States"/>
    <x v="2"/>
    <x v="1"/>
    <s v="SpineVue Locking Slant-D Ring Binders by Cardinal"/>
    <n v="128.624"/>
    <n v="2"/>
    <n v="5.1184000000000003"/>
    <n v="3.9793506655056605"/>
  </r>
  <r>
    <s v="CA-2020-148691"/>
    <x v="299"/>
    <s v="CS-12460"/>
    <s v="Chuck Sachs"/>
    <s v="United States"/>
    <x v="0"/>
    <x v="1"/>
    <s v="SpineVue Locking Slant-D Ring Binders by Cardinal"/>
    <n v="110.624"/>
    <n v="2"/>
    <n v="5.1184000000000003"/>
    <n v="4.6268440844663008"/>
  </r>
  <r>
    <s v="US-2019-125402"/>
    <x v="81"/>
    <s v="DL-12865"/>
    <s v="Dan Lawera"/>
    <s v="United States"/>
    <x v="2"/>
    <x v="1"/>
    <s v="Ampad Evidence Wirebond Steno Books, 6&quot; x 9&quot;"/>
    <n v="10.9"/>
    <n v="5"/>
    <n v="5.1230000000000002"/>
    <n v="47"/>
  </r>
  <r>
    <s v="CA-2019-114713"/>
    <x v="270"/>
    <s v="SC-20695"/>
    <s v="Steve Chapman"/>
    <s v="United States"/>
    <x v="1"/>
    <x v="1"/>
    <s v="Acme Softgrip Scissors"/>
    <n v="45.584000000000003"/>
    <n v="7"/>
    <n v="5.1281999999999996"/>
    <n v="11.249999999999998"/>
  </r>
  <r>
    <s v="CA-2019-165848"/>
    <x v="41"/>
    <s v="EN-13780"/>
    <s v="Edward Nazzal"/>
    <s v="United States"/>
    <x v="0"/>
    <x v="2"/>
    <s v="Sauder Inglewood Library Bookcases"/>
    <n v="136.78399999999999"/>
    <n v="1"/>
    <n v="5.1294000000000004"/>
    <n v="3.7500000000000004"/>
  </r>
  <r>
    <s v="CA-2020-109393"/>
    <x v="54"/>
    <s v="JC-15775"/>
    <s v="John Castell"/>
    <s v="United States"/>
    <x v="2"/>
    <x v="2"/>
    <s v="Sauder Facets Collection Library, Sky Alder Finish"/>
    <n v="484.99900000000002"/>
    <n v="3"/>
    <n v="5.1294000000000004"/>
    <n v="1.0576104280627383"/>
  </r>
  <r>
    <s v="CA-2019-117282"/>
    <x v="475"/>
    <s v="DR-12880"/>
    <s v="Dan Reichenbach"/>
    <s v="United States"/>
    <x v="0"/>
    <x v="1"/>
    <s v="GBC Standard Plastic Binding Systems Combs"/>
    <n v="14.16"/>
    <n v="2"/>
    <n v="5.133"/>
    <n v="36.25"/>
  </r>
  <r>
    <s v="CA-2020-113558"/>
    <x v="168"/>
    <s v="PH-18790"/>
    <s v="Patricia Hirasaki"/>
    <s v="United States"/>
    <x v="1"/>
    <x v="2"/>
    <s v="Eldon Expressions Desk Accessory, Wood Photo Frame, Mahogany"/>
    <n v="167.696"/>
    <n v="3"/>
    <n v="5.1407999999999996"/>
    <n v="3.0655471806125369"/>
  </r>
  <r>
    <s v="CA-2020-133431"/>
    <x v="93"/>
    <s v="LC-17140"/>
    <s v="Logan Currie"/>
    <s v="United States"/>
    <x v="2"/>
    <x v="1"/>
    <s v="Acco Pressboard Covers with Storage Hooks, 9 1/2&quot; x 11&quot;, Executive Red"/>
    <n v="335.24"/>
    <n v="5"/>
    <n v="5.1435000000000004"/>
    <n v="1.5342739529889036"/>
  </r>
  <r>
    <s v="CA-2020-131807"/>
    <x v="188"/>
    <s v="GG-14650"/>
    <s v="Greg Guthrie"/>
    <s v="United States"/>
    <x v="2"/>
    <x v="2"/>
    <s v="KI Adjustable-Height Table"/>
    <n v="236.352"/>
    <n v="3"/>
    <n v="5.1588000000000003"/>
    <n v="2.1826766856214461"/>
  </r>
  <r>
    <s v="CA-2020-119011"/>
    <x v="536"/>
    <s v="LR-17035"/>
    <s v="Lisa Ryan"/>
    <s v="United States"/>
    <x v="2"/>
    <x v="1"/>
    <s v="Acme Kleencut Forged Steel Scissors"/>
    <n v="108.22"/>
    <n v="3"/>
    <n v="5.1660000000000004"/>
    <n v="4.7736093143596383"/>
  </r>
  <r>
    <s v="CA-2019-134474"/>
    <x v="456"/>
    <s v="AJ-10795"/>
    <s v="Anthony Johnson"/>
    <s v="United States"/>
    <x v="1"/>
    <x v="0"/>
    <s v="Logitech B530 USB Headset - headset - Full size, Binaural"/>
    <n v="59.183999999999997"/>
    <n v="2"/>
    <n v="5.1786000000000003"/>
    <n v="8.75"/>
  </r>
  <r>
    <s v="CA-2019-123722"/>
    <x v="81"/>
    <s v="NH-18610"/>
    <s v="Nicole Hansen"/>
    <s v="United States"/>
    <x v="3"/>
    <x v="1"/>
    <s v="Avery 499"/>
    <n v="15.936"/>
    <n v="4"/>
    <n v="5.1791999999999998"/>
    <n v="32.5"/>
  </r>
  <r>
    <s v="CA-2019-134362"/>
    <x v="479"/>
    <s v="LS-16945"/>
    <s v="Linda Southworth"/>
    <s v="United States"/>
    <x v="0"/>
    <x v="1"/>
    <s v="Avery 483"/>
    <n v="15.936"/>
    <n v="4"/>
    <n v="5.1791999999999998"/>
    <n v="32.5"/>
  </r>
  <r>
    <s v="CA-2019-145261"/>
    <x v="60"/>
    <s v="AH-10120"/>
    <s v="Adrian Hane"/>
    <s v="United States"/>
    <x v="2"/>
    <x v="1"/>
    <s v="Avery White Multi-Purpose Labels"/>
    <n v="15.936"/>
    <n v="4"/>
    <n v="5.1791999999999998"/>
    <n v="32.5"/>
  </r>
  <r>
    <s v="CA-2020-122539"/>
    <x v="265"/>
    <s v="SC-20305"/>
    <s v="Sean Christensen"/>
    <s v="United States"/>
    <x v="0"/>
    <x v="1"/>
    <s v="Avery 483"/>
    <n v="145.93600000000001"/>
    <n v="4"/>
    <n v="5.1791999999999998"/>
    <n v="3.5489529656835868"/>
  </r>
  <r>
    <s v="CA-2020-111808"/>
    <x v="505"/>
    <s v="AR-10510"/>
    <s v="Andrew Roberts"/>
    <s v="United States"/>
    <x v="3"/>
    <x v="1"/>
    <s v="Peel &amp; Stick Add-On Corner Pockets"/>
    <n v="530.79999999999995"/>
    <n v="5"/>
    <n v="5.1840000000000002"/>
    <n v="0.97663903541823671"/>
  </r>
  <r>
    <s v="CA-2019-136434"/>
    <x v="212"/>
    <s v="RD-19480"/>
    <s v="Rick Duston"/>
    <s v="United States"/>
    <x v="3"/>
    <x v="2"/>
    <s v="DAX Cubicle Frames - 8x10"/>
    <n v="17.309999999999999"/>
    <n v="3"/>
    <n v="5.1929999999999996"/>
    <n v="30"/>
  </r>
  <r>
    <s v="CA-2020-122945"/>
    <x v="417"/>
    <s v="MB-18085"/>
    <s v="Mick Brown"/>
    <s v="United States"/>
    <x v="2"/>
    <x v="2"/>
    <s v="DAX Cubicle Frames - 8x10"/>
    <n v="100.31"/>
    <n v="3"/>
    <n v="5.1929999999999996"/>
    <n v="5.1769514505034389"/>
  </r>
  <r>
    <s v="CA-2019-151148"/>
    <x v="460"/>
    <s v="PO-19180"/>
    <s v="Philisse Overcash"/>
    <s v="United States"/>
    <x v="2"/>
    <x v="2"/>
    <s v="Global Stack Chair without Arms, Black"/>
    <n v="83.135999999999996"/>
    <n v="4"/>
    <n v="5.1959999999999997"/>
    <n v="6.25"/>
  </r>
  <r>
    <s v="CA-2019-131205"/>
    <x v="478"/>
    <s v="AA-10645"/>
    <s v="Anna Andreadi"/>
    <s v="United States"/>
    <x v="1"/>
    <x v="1"/>
    <s v="Fellowes Neat Ideas Storage Cubes"/>
    <n v="129.91999999999999"/>
    <n v="4"/>
    <n v="5.1967999999999996"/>
    <n v="4"/>
  </r>
  <r>
    <s v="CA-2019-112676"/>
    <x v="415"/>
    <s v="PJ-18835"/>
    <s v="Patrick Jones"/>
    <s v="United States"/>
    <x v="1"/>
    <x v="1"/>
    <s v="Xerox 1965"/>
    <n v="14.352"/>
    <n v="3"/>
    <n v="5.2026000000000003"/>
    <n v="36.25"/>
  </r>
  <r>
    <s v="CA-2019-119186"/>
    <x v="154"/>
    <s v="MS-17710"/>
    <s v="Maurice Satty"/>
    <s v="United States"/>
    <x v="3"/>
    <x v="1"/>
    <s v="Universal Premium White Copier/Laser Paper (20Lb. and 87 Bright)"/>
    <n v="14.352"/>
    <n v="3"/>
    <n v="5.2026000000000003"/>
    <n v="36.25"/>
  </r>
  <r>
    <s v="CA-2020-138422"/>
    <x v="71"/>
    <s v="KN-16705"/>
    <s v="Kristina Nunn"/>
    <s v="United States"/>
    <x v="2"/>
    <x v="1"/>
    <s v="Wausau Papers Astrobrights Colored Envelopes"/>
    <n v="130.352"/>
    <n v="3"/>
    <n v="5.2026000000000003"/>
    <n v="3.9911930772063333"/>
  </r>
  <r>
    <s v="US-2020-125717"/>
    <x v="189"/>
    <s v="DS-13030"/>
    <s v="Darrin Sayre"/>
    <s v="United States"/>
    <x v="2"/>
    <x v="1"/>
    <s v="Xerox 1992"/>
    <n v="93.352000000000004"/>
    <n v="3"/>
    <n v="5.2026000000000003"/>
    <n v="5.5730996657811298"/>
  </r>
  <r>
    <s v="CA-2019-128811"/>
    <x v="460"/>
    <s v="SF-20200"/>
    <s v="Sarah Foster"/>
    <s v="United States"/>
    <x v="2"/>
    <x v="1"/>
    <s v="Avery 487"/>
    <n v="11.07"/>
    <n v="3"/>
    <n v="5.2028999999999996"/>
    <n v="47"/>
  </r>
  <r>
    <s v="CA-2020-103212"/>
    <x v="114"/>
    <s v="MH-18025"/>
    <s v="Michelle Huthwaite"/>
    <s v="United States"/>
    <x v="1"/>
    <x v="1"/>
    <s v="Avery 52"/>
    <n v="121.07"/>
    <n v="3"/>
    <n v="5.2028999999999996"/>
    <n v="4.2974312381267037"/>
  </r>
  <r>
    <s v="CA-2020-117128"/>
    <x v="372"/>
    <s v="BF-11080"/>
    <s v="Bart Folk"/>
    <s v="United States"/>
    <x v="0"/>
    <x v="1"/>
    <s v="Avery 52"/>
    <n v="108.07"/>
    <n v="3"/>
    <n v="5.2028999999999996"/>
    <n v="4.8143795687980013"/>
  </r>
  <r>
    <s v="CA-2020-167899"/>
    <x v="556"/>
    <s v="JG-15805"/>
    <s v="John Grady"/>
    <s v="United States"/>
    <x v="0"/>
    <x v="1"/>
    <s v="Bulldog Table or Wall-Mount Pencil Sharpener"/>
    <n v="94.97"/>
    <n v="3"/>
    <n v="5.2112999999999996"/>
    <n v="5.4873117826682103"/>
  </r>
  <r>
    <s v="CA-2020-159457"/>
    <x v="6"/>
    <s v="RD-19480"/>
    <s v="Rick Duston"/>
    <s v="United States"/>
    <x v="3"/>
    <x v="0"/>
    <s v="QVS USB Car Charger 2-Port 2.1Amp for iPod/iPhone/iPad/iPad 2/iPad 3"/>
    <n v="138.68"/>
    <n v="3"/>
    <n v="5.2125000000000004"/>
    <n v="3.7586530141332561"/>
  </r>
  <r>
    <s v="CA-2020-127285"/>
    <x v="177"/>
    <s v="MM-18055"/>
    <s v="Michelle Moray"/>
    <s v="United States"/>
    <x v="2"/>
    <x v="1"/>
    <s v="Cardinal Slant-D Ring Binders"/>
    <n v="126.904"/>
    <n v="2"/>
    <n v="5.2140000000000004"/>
    <n v="4.1086175376662677"/>
  </r>
  <r>
    <s v="CA-2019-123946"/>
    <x v="460"/>
    <s v="AJ-10795"/>
    <s v="Anthony Johnson"/>
    <s v="United States"/>
    <x v="1"/>
    <x v="1"/>
    <s v="Staples"/>
    <n v="11.34"/>
    <n v="3"/>
    <n v="5.2164000000000001"/>
    <n v="46"/>
  </r>
  <r>
    <s v="CA-2019-125815"/>
    <x v="256"/>
    <s v="DL-13330"/>
    <s v="Denise Leinenbach"/>
    <s v="United States"/>
    <x v="0"/>
    <x v="1"/>
    <s v="BIC Brite Liner Highlighters"/>
    <n v="12.42"/>
    <n v="3"/>
    <n v="5.2164000000000001"/>
    <n v="42.000000000000007"/>
  </r>
  <r>
    <s v="CA-2020-134418"/>
    <x v="301"/>
    <s v="GM-14500"/>
    <s v="Gene McClure"/>
    <s v="United States"/>
    <x v="2"/>
    <x v="1"/>
    <s v="BIC Brite Liner Highlighters"/>
    <n v="131.41999999999999"/>
    <n v="3"/>
    <n v="5.2164000000000001"/>
    <n v="3.9692588647085683"/>
  </r>
  <r>
    <s v="CA-2020-105921"/>
    <x v="520"/>
    <s v="JM-15250"/>
    <s v="Janet Martin"/>
    <s v="United States"/>
    <x v="2"/>
    <x v="2"/>
    <s v="Chromcraft Round Conference Tables"/>
    <n v="450.29599999999999"/>
    <n v="3"/>
    <n v="5.2286999999999999"/>
    <n v="1.1611695418124968"/>
  </r>
  <r>
    <s v="US-2020-142573"/>
    <x v="29"/>
    <s v="ML-17410"/>
    <s v="Maris LaWare"/>
    <s v="United States"/>
    <x v="2"/>
    <x v="1"/>
    <s v="Riverleaf Stik-Withit Designer Note Cubes"/>
    <n v="117.096"/>
    <n v="2"/>
    <n v="5.2312000000000003"/>
    <n v="4.4674455147912822"/>
  </r>
  <r>
    <s v="CA-2019-126732"/>
    <x v="110"/>
    <s v="LR-16915"/>
    <s v="Lena Radford"/>
    <s v="United States"/>
    <x v="2"/>
    <x v="1"/>
    <s v="Blackstonian Pencils"/>
    <n v="18.690000000000001"/>
    <n v="7"/>
    <n v="5.2332000000000001"/>
    <n v="27.999999999999996"/>
  </r>
  <r>
    <s v="US-2019-103674"/>
    <x v="431"/>
    <s v="AP-10720"/>
    <s v="Anne Pryor"/>
    <s v="United States"/>
    <x v="2"/>
    <x v="1"/>
    <s v="Blackstonian Pencils"/>
    <n v="18.690000000000001"/>
    <n v="7"/>
    <n v="5.2332000000000001"/>
    <n v="27.999999999999996"/>
  </r>
  <r>
    <s v="CA-2020-113278"/>
    <x v="325"/>
    <s v="HR-14770"/>
    <s v="Hallie Redmond"/>
    <s v="United States"/>
    <x v="3"/>
    <x v="1"/>
    <s v="Staple magnet"/>
    <n v="108.76"/>
    <n v="2"/>
    <n v="5.2527999999999997"/>
    <n v="4.8297168076498709"/>
  </r>
  <r>
    <s v="CA-2019-145982"/>
    <x v="351"/>
    <s v="TB-21055"/>
    <s v="Ted Butterfield"/>
    <s v="United States"/>
    <x v="0"/>
    <x v="1"/>
    <s v="Staples"/>
    <n v="11.68"/>
    <n v="4"/>
    <n v="5.2560000000000002"/>
    <n v="45"/>
  </r>
  <r>
    <s v="CA-2020-132213"/>
    <x v="458"/>
    <s v="PN-18775"/>
    <s v="Parhena Norris"/>
    <s v="United States"/>
    <x v="1"/>
    <x v="1"/>
    <s v="Newell 312"/>
    <n v="116.048"/>
    <n v="9"/>
    <n v="5.2560000000000002"/>
    <n v="4.5291603474424376"/>
  </r>
  <r>
    <s v="US-2020-118941"/>
    <x v="557"/>
    <s v="BB-11545"/>
    <s v="Brenda Bowman"/>
    <s v="United States"/>
    <x v="0"/>
    <x v="1"/>
    <s v="Newell 312"/>
    <n v="123.52"/>
    <n v="3"/>
    <n v="5.2560000000000002"/>
    <n v="4.2551813471502591"/>
  </r>
  <r>
    <s v="CA-2020-144365"/>
    <x v="161"/>
    <s v="CS-11950"/>
    <s v="Carlos Soltero"/>
    <s v="United States"/>
    <x v="1"/>
    <x v="1"/>
    <s v="Staples"/>
    <n v="137.68"/>
    <n v="4"/>
    <n v="5.2560000000000002"/>
    <n v="3.8175479372457874"/>
  </r>
  <r>
    <s v="CA-2019-143308"/>
    <x v="56"/>
    <s v="RC-19825"/>
    <s v="Roy Collins"/>
    <s v="United States"/>
    <x v="1"/>
    <x v="1"/>
    <s v="OIC Colored Binder Clips, Assorted Sizes"/>
    <n v="10.74"/>
    <n v="3"/>
    <n v="5.2625999999999999"/>
    <n v="49"/>
  </r>
  <r>
    <s v="CA-2020-120894"/>
    <x v="463"/>
    <s v="JL-15130"/>
    <s v="Jack Lebron"/>
    <s v="United States"/>
    <x v="1"/>
    <x v="1"/>
    <s v="Harmony HEPA Quiet Air Purifiers"/>
    <n v="116.08"/>
    <n v="3"/>
    <n v="5.2649999999999997"/>
    <n v="4.5356650585802889"/>
  </r>
  <r>
    <s v="CA-2020-119389"/>
    <x v="2"/>
    <s v="BG-11740"/>
    <s v="Bruce Geld"/>
    <s v="United States"/>
    <x v="0"/>
    <x v="2"/>
    <s v="Eldon Executive Woodline II Desk Accessories, Mahogany"/>
    <n v="109.312"/>
    <n v="3"/>
    <n v="5.2773000000000003"/>
    <n v="4.8277407786885256"/>
  </r>
  <r>
    <s v="CA-2020-158876"/>
    <x v="4"/>
    <s v="AB-10150"/>
    <s v="Aimee Bixby"/>
    <s v="United States"/>
    <x v="3"/>
    <x v="1"/>
    <s v="Xerox 1901"/>
    <n v="143.89599999999999"/>
    <n v="4"/>
    <n v="5.28"/>
    <n v="3.6693167287485409"/>
  </r>
  <r>
    <s v="CA-2020-130834"/>
    <x v="368"/>
    <s v="JM-16195"/>
    <s v="Justin MacKendrick"/>
    <s v="United States"/>
    <x v="1"/>
    <x v="1"/>
    <s v="Strathmore Photo Mount Cards"/>
    <n v="95.272000000000006"/>
    <n v="3"/>
    <n v="5.2884000000000002"/>
    <n v="5.5508438995717526"/>
  </r>
  <r>
    <s v="US-2020-140907"/>
    <x v="409"/>
    <s v="BP-11185"/>
    <s v="Ben Peterman"/>
    <s v="United States"/>
    <x v="2"/>
    <x v="1"/>
    <s v="Col-Erase Pencils with Erasers"/>
    <n v="397.24"/>
    <n v="3"/>
    <n v="5.2896000000000001"/>
    <n v="1.3315879569026281"/>
  </r>
  <r>
    <s v="CA-2019-163328"/>
    <x v="56"/>
    <s v="TP-21565"/>
    <s v="Tracy Poddar"/>
    <s v="United States"/>
    <x v="2"/>
    <x v="1"/>
    <s v="Xerox 1887"/>
    <n v="15.176"/>
    <n v="1"/>
    <n v="5.3116000000000003"/>
    <n v="35"/>
  </r>
  <r>
    <s v="CA-2020-109701"/>
    <x v="18"/>
    <s v="AM-10360"/>
    <s v="Alice McCarthy"/>
    <s v="United States"/>
    <x v="2"/>
    <x v="1"/>
    <s v="Wirebound Message Book, 4 per Page"/>
    <n v="115.86"/>
    <n v="2"/>
    <n v="5.3213999999999997"/>
    <n v="4.5929570170895904"/>
  </r>
  <r>
    <s v="CA-2019-107328"/>
    <x v="441"/>
    <s v="CA-12055"/>
    <s v="Cathy Armstrong"/>
    <s v="United States"/>
    <x v="2"/>
    <x v="1"/>
    <s v="Acco Hanging Data Binders"/>
    <n v="15.24"/>
    <n v="5"/>
    <n v="5.3339999999999996"/>
    <n v="35"/>
  </r>
  <r>
    <s v="CA-2019-149195"/>
    <x v="100"/>
    <s v="DM-13525"/>
    <s v="Don Miller"/>
    <s v="United States"/>
    <x v="3"/>
    <x v="1"/>
    <s v="Staples"/>
    <n v="15.808"/>
    <n v="8"/>
    <n v="5.3352000000000004"/>
    <n v="33.75"/>
  </r>
  <r>
    <s v="CA-2019-105207"/>
    <x v="379"/>
    <s v="BO-11350"/>
    <s v="Bill Overfelt"/>
    <s v="United States"/>
    <x v="3"/>
    <x v="1"/>
    <s v="Storex Dura Pro Binders"/>
    <n v="11.88"/>
    <n v="2"/>
    <n v="5.3460000000000001"/>
    <n v="44.999999999999993"/>
  </r>
  <r>
    <s v="CA-2020-125745"/>
    <x v="54"/>
    <s v="DV-13045"/>
    <s v="Darrin Van Huff"/>
    <s v="United States"/>
    <x v="1"/>
    <x v="2"/>
    <s v="Advantus Panel Wall Certificate Holder - 8.5x11"/>
    <n v="108.52"/>
    <n v="2"/>
    <n v="5.3680000000000003"/>
    <n v="4.9465536306671591"/>
  </r>
  <r>
    <s v="CA-2019-151974"/>
    <x v="381"/>
    <s v="RD-19660"/>
    <s v="Robert Dilbeck"/>
    <s v="United States"/>
    <x v="0"/>
    <x v="1"/>
    <s v="Avery 476"/>
    <n v="16.52"/>
    <n v="5"/>
    <n v="5.3689999999999998"/>
    <n v="32.5"/>
  </r>
  <r>
    <s v="CA-2020-163566"/>
    <x v="230"/>
    <s v="TB-21055"/>
    <s v="Ted Butterfield"/>
    <s v="United States"/>
    <x v="0"/>
    <x v="1"/>
    <s v="Avery 476"/>
    <n v="137.52000000000001"/>
    <n v="5"/>
    <n v="5.3689999999999998"/>
    <n v="3.9041593949970905"/>
  </r>
  <r>
    <s v="CA-2019-148684"/>
    <x v="36"/>
    <s v="TS-21655"/>
    <s v="Trudy Schmidt"/>
    <s v="United States"/>
    <x v="1"/>
    <x v="1"/>
    <s v="Newell 327"/>
    <n v="19.89"/>
    <n v="9"/>
    <n v="5.3703000000000003"/>
    <n v="27"/>
  </r>
  <r>
    <s v="CA-2020-134978"/>
    <x v="151"/>
    <s v="EB-13705"/>
    <s v="Ed Braxton"/>
    <s v="United States"/>
    <x v="0"/>
    <x v="1"/>
    <s v="Avery Durable Slant Ring Binders, No Labels"/>
    <n v="114.92"/>
    <n v="5"/>
    <n v="5.3730000000000002"/>
    <n v="4.67542638357118"/>
  </r>
  <r>
    <s v="CA-2020-101805"/>
    <x v="265"/>
    <s v="SH-19975"/>
    <s v="Sally Hughsby"/>
    <s v="United States"/>
    <x v="2"/>
    <x v="1"/>
    <s v="Ibico Presentation Index for Binding Systems"/>
    <n v="141.91999999999999"/>
    <n v="5"/>
    <n v="5.3730000000000002"/>
    <n v="3.7859357384441945"/>
  </r>
  <r>
    <s v="CA-2020-127432"/>
    <x v="470"/>
    <s v="AD-10180"/>
    <s v="Alan Dominguez"/>
    <s v="United States"/>
    <x v="2"/>
    <x v="1"/>
    <s v="Great White Multi-Use Recycled Paper (20Lb. and 84 Bright)"/>
    <n v="118.96"/>
    <n v="2"/>
    <n v="5.3819999999999997"/>
    <n v="4.5242098184263622"/>
  </r>
  <r>
    <s v="CA-2020-145772"/>
    <x v="132"/>
    <s v="SS-20140"/>
    <s v="Saphhira Shifley"/>
    <s v="United States"/>
    <x v="2"/>
    <x v="1"/>
    <s v="Xerox 1947"/>
    <n v="100.96"/>
    <n v="2"/>
    <n v="5.3819999999999997"/>
    <n v="5.3308240887480194"/>
  </r>
  <r>
    <s v="CA-2020-105333"/>
    <x v="21"/>
    <s v="VP-21730"/>
    <s v="Victor Preis"/>
    <s v="United States"/>
    <x v="0"/>
    <x v="1"/>
    <s v="Fellowes Officeware Wire Shelving"/>
    <n v="291.49"/>
    <n v="3"/>
    <n v="5.3898000000000001"/>
    <n v="1.8490514254348347"/>
  </r>
  <r>
    <s v="CA-2020-147032"/>
    <x v="192"/>
    <s v="LB-16795"/>
    <s v="Laurel Beltran"/>
    <s v="United States"/>
    <x v="0"/>
    <x v="1"/>
    <s v="Black Avery Memo-Size 3-Ring Binder, 5 1/2&quot; x 8 1/2&quot;"/>
    <n v="130.01"/>
    <n v="3"/>
    <n v="5.3948999999999998"/>
    <n v="4.1496038766248748"/>
  </r>
  <r>
    <s v="CA-2020-136623"/>
    <x v="543"/>
    <s v="TS-21430"/>
    <s v="Tom Stivers"/>
    <s v="United States"/>
    <x v="2"/>
    <x v="0"/>
    <s v="Belkin iPhone and iPad Lightning Cable"/>
    <n v="117.952"/>
    <n v="6"/>
    <n v="5.3963999999999999"/>
    <n v="4.5750813890396094"/>
  </r>
  <r>
    <s v="CA-2019-148698"/>
    <x v="139"/>
    <s v="BD-11770"/>
    <s v="Bryan Davis"/>
    <s v="United States"/>
    <x v="3"/>
    <x v="1"/>
    <s v="Panasonic KP-380BK Classic Electric Pencil Sharpener"/>
    <n v="86.352000000000004"/>
    <n v="3"/>
    <n v="5.3970000000000002"/>
    <n v="6.25"/>
  </r>
  <r>
    <s v="CA-2020-144456"/>
    <x v="25"/>
    <s v="FC-14245"/>
    <s v="Frank Carlisle"/>
    <s v="United States"/>
    <x v="1"/>
    <x v="1"/>
    <s v="Decoflex Hanging Personal Folder File, Blue"/>
    <n v="105.68"/>
    <n v="5"/>
    <n v="5.3970000000000002"/>
    <n v="5.106926570779712"/>
  </r>
  <r>
    <s v="CA-2020-160633"/>
    <x v="417"/>
    <s v="BS-11380"/>
    <s v="Bill Stewart"/>
    <s v="United States"/>
    <x v="0"/>
    <x v="1"/>
    <s v="Panasonic KP-380BK Classic Electric Pencil Sharpener"/>
    <n v="122.352"/>
    <n v="3"/>
    <n v="5.3970000000000002"/>
    <n v="4.4110435464888198"/>
  </r>
  <r>
    <s v="CA-2020-101805"/>
    <x v="265"/>
    <s v="SH-19975"/>
    <s v="Sally Hughsby"/>
    <s v="United States"/>
    <x v="2"/>
    <x v="1"/>
    <s v="Tennsco Stur-D-Stor Boltless Shelving, 5 Shelves, 24&quot; Deep, Sand"/>
    <n v="561.24"/>
    <n v="4"/>
    <n v="5.4123999999999999"/>
    <n v="0.96436462119592314"/>
  </r>
  <r>
    <s v="CA-2020-133256"/>
    <x v="334"/>
    <s v="TH-21550"/>
    <s v="Tracy Hopkins"/>
    <s v="United States"/>
    <x v="3"/>
    <x v="1"/>
    <s v="Fluorescent Highlighters by Dixon"/>
    <n v="116.92"/>
    <n v="4"/>
    <n v="5.4127999999999998"/>
    <n v="4.6294902497434141"/>
  </r>
  <r>
    <s v="CA-2019-155481"/>
    <x v="391"/>
    <s v="DK-13225"/>
    <s v="Dean Katz"/>
    <s v="United States"/>
    <x v="0"/>
    <x v="1"/>
    <s v="Staples"/>
    <n v="16.687999999999999"/>
    <n v="7"/>
    <n v="5.4236000000000004"/>
    <n v="32.500000000000007"/>
  </r>
  <r>
    <s v="US-2020-119039"/>
    <x v="494"/>
    <s v="BF-11170"/>
    <s v="Ben Ferrer"/>
    <s v="United States"/>
    <x v="2"/>
    <x v="1"/>
    <s v="Economy Binders"/>
    <n v="112.976"/>
    <n v="9"/>
    <n v="5.4287999999999998"/>
    <n v="4.8052683755841947"/>
  </r>
  <r>
    <s v="CA-2020-131212"/>
    <x v="372"/>
    <s v="AB-10165"/>
    <s v="Alan Barnes"/>
    <s v="United States"/>
    <x v="2"/>
    <x v="1"/>
    <s v="Zipper Ring Binder Pockets"/>
    <n v="119.976"/>
    <n v="6"/>
    <n v="5.4287999999999998"/>
    <n v="4.5249049809961992"/>
  </r>
  <r>
    <s v="CA-2020-158071"/>
    <x v="255"/>
    <s v="BD-11320"/>
    <s v="Bill Donatelli"/>
    <s v="United States"/>
    <x v="2"/>
    <x v="1"/>
    <s v="Avery 512"/>
    <n v="104.56"/>
    <n v="4"/>
    <n v="5.4332000000000003"/>
    <n v="5.1962509563886767"/>
  </r>
  <r>
    <s v="US-2020-145597"/>
    <x v="88"/>
    <s v="GG-14650"/>
    <s v="Greg Guthrie"/>
    <s v="United States"/>
    <x v="3"/>
    <x v="1"/>
    <s v="Stanley Bostitch Contemporary Electric Pencil Sharpeners"/>
    <n v="152.33600000000001"/>
    <n v="4"/>
    <n v="5.4336000000000002"/>
    <n v="3.5668522214053144"/>
  </r>
  <r>
    <s v="CA-2019-102162"/>
    <x v="106"/>
    <s v="JF-15565"/>
    <s v="Jill Fjeld"/>
    <s v="United States"/>
    <x v="1"/>
    <x v="1"/>
    <s v="#10 Self-Seal White Envelopes"/>
    <n v="11.09"/>
    <n v="1"/>
    <n v="5.4340999999999999"/>
    <n v="49"/>
  </r>
  <r>
    <s v="CA-2019-126529"/>
    <x v="357"/>
    <s v="DE-13255"/>
    <s v="Deanra Eno"/>
    <s v="United States"/>
    <x v="0"/>
    <x v="1"/>
    <s v="Xerox 2"/>
    <n v="15.552"/>
    <n v="3"/>
    <n v="5.4432"/>
    <n v="35"/>
  </r>
  <r>
    <s v="CA-2019-147970"/>
    <x v="558"/>
    <s v="AB-10150"/>
    <s v="Aimee Bixby"/>
    <s v="United States"/>
    <x v="3"/>
    <x v="1"/>
    <s v="Xerox 1994"/>
    <n v="15.552"/>
    <n v="3"/>
    <n v="5.4432"/>
    <n v="35"/>
  </r>
  <r>
    <s v="CA-2019-149279"/>
    <x v="412"/>
    <s v="CL-12700"/>
    <s v="Craig Leslie"/>
    <s v="United States"/>
    <x v="2"/>
    <x v="1"/>
    <s v="Xerox 226"/>
    <n v="15.552"/>
    <n v="3"/>
    <n v="5.4432"/>
    <n v="35"/>
  </r>
  <r>
    <s v="CA-2019-140081"/>
    <x v="295"/>
    <s v="CG-12040"/>
    <s v="Catherine Glotzbach"/>
    <s v="United States"/>
    <x v="0"/>
    <x v="1"/>
    <s v="Xerox 202"/>
    <n v="15.552"/>
    <n v="3"/>
    <n v="5.4432"/>
    <n v="35"/>
  </r>
  <r>
    <s v="CA-2019-119515"/>
    <x v="193"/>
    <s v="TR-21325"/>
    <s v="Toby Ritter"/>
    <s v="United States"/>
    <x v="1"/>
    <x v="1"/>
    <s v="Xerox 200"/>
    <n v="15.552"/>
    <n v="3"/>
    <n v="5.4432"/>
    <n v="35"/>
  </r>
  <r>
    <s v="CA-2019-158925"/>
    <x v="559"/>
    <s v="JP-15460"/>
    <s v="Jennifer Patt"/>
    <s v="United States"/>
    <x v="3"/>
    <x v="1"/>
    <s v="Eureka Recycled Copy Paper 8 1/2&quot; x 11&quot;, Ream"/>
    <n v="15.552"/>
    <n v="3"/>
    <n v="5.4432"/>
    <n v="35"/>
  </r>
  <r>
    <s v="CA-2020-114412"/>
    <x v="346"/>
    <s v="AA-10480"/>
    <s v="Andrew Allen"/>
    <s v="United States"/>
    <x v="1"/>
    <x v="1"/>
    <s v="Xerox 1967"/>
    <n v="114.55200000000001"/>
    <n v="3"/>
    <n v="5.4432"/>
    <n v="4.751728472658705"/>
  </r>
  <r>
    <s v="CA-2020-145765"/>
    <x v="185"/>
    <s v="CM-11815"/>
    <s v="Candace McMahon"/>
    <s v="United States"/>
    <x v="2"/>
    <x v="1"/>
    <s v="Xerox 230"/>
    <n v="130.55199999999999"/>
    <n v="3"/>
    <n v="5.4432"/>
    <n v="4.1693731233531466"/>
  </r>
  <r>
    <s v="CA-2020-140872"/>
    <x v="132"/>
    <s v="NR-18550"/>
    <s v="Nick Radford"/>
    <s v="United States"/>
    <x v="1"/>
    <x v="1"/>
    <s v="Xerox 206"/>
    <n v="101.55200000000001"/>
    <n v="3"/>
    <n v="5.4432"/>
    <n v="5.3600126043800218"/>
  </r>
  <r>
    <s v="US-2020-169551"/>
    <x v="135"/>
    <s v="RL-19615"/>
    <s v="Rob Lucas"/>
    <s v="United States"/>
    <x v="0"/>
    <x v="1"/>
    <s v="Xerox 216"/>
    <n v="138.55199999999999"/>
    <n v="3"/>
    <n v="5.4432"/>
    <n v="3.9286332929152956"/>
  </r>
  <r>
    <s v="CA-2020-102736"/>
    <x v="258"/>
    <s v="LP-17095"/>
    <s v="Liz Preis"/>
    <s v="United States"/>
    <x v="1"/>
    <x v="1"/>
    <s v="Xerox 220"/>
    <n v="144.55199999999999"/>
    <n v="3"/>
    <n v="5.4432"/>
    <n v="3.7655653328905867"/>
  </r>
  <r>
    <s v="CA-2020-100160"/>
    <x v="266"/>
    <s v="CB-12025"/>
    <s v="Cassandra Brandow"/>
    <s v="United States"/>
    <x v="0"/>
    <x v="1"/>
    <s v="Eureka Recycled Copy Paper 8 1/2&quot; x 11&quot;, Ream"/>
    <n v="93.552000000000007"/>
    <n v="3"/>
    <n v="5.4432"/>
    <n v="5.81836839404823"/>
  </r>
  <r>
    <s v="CA-2020-121300"/>
    <x v="86"/>
    <s v="MG-17680"/>
    <s v="Maureen Gastineau"/>
    <s v="United States"/>
    <x v="0"/>
    <x v="1"/>
    <s v="Xerox 227"/>
    <n v="85.552000000000007"/>
    <n v="3"/>
    <n v="5.4432"/>
    <n v="6.3624462315316999"/>
  </r>
  <r>
    <s v="CA-2020-149853"/>
    <x v="378"/>
    <s v="PO-18850"/>
    <s v="Patrick O'Brill"/>
    <s v="United States"/>
    <x v="1"/>
    <x v="1"/>
    <s v="Xerox 208"/>
    <n v="94.552000000000007"/>
    <n v="3"/>
    <n v="5.4432"/>
    <n v="5.7568322193078938"/>
  </r>
  <r>
    <s v="CA-2020-111262"/>
    <x v="259"/>
    <s v="KH-16510"/>
    <s v="Keith Herrera"/>
    <s v="United States"/>
    <x v="3"/>
    <x v="1"/>
    <s v="Xerox 21"/>
    <n v="88.552000000000007"/>
    <n v="3"/>
    <n v="5.4432"/>
    <n v="6.1468967386394429"/>
  </r>
  <r>
    <s v="US-2020-110576"/>
    <x v="24"/>
    <s v="RB-19795"/>
    <s v="Ross Baird"/>
    <s v="United States"/>
    <x v="0"/>
    <x v="1"/>
    <s v="Xerox 210"/>
    <n v="151.55199999999999"/>
    <n v="3"/>
    <n v="5.4432"/>
    <n v="3.5916385135135136"/>
  </r>
  <r>
    <s v="CA-2020-134285"/>
    <x v="3"/>
    <s v="DS-13180"/>
    <s v="David Smith"/>
    <s v="United States"/>
    <x v="3"/>
    <x v="1"/>
    <s v="Xerox 1995"/>
    <n v="128.55199999999999"/>
    <n v="3"/>
    <n v="5.4432"/>
    <n v="4.234239840687037"/>
  </r>
  <r>
    <s v="CA-2019-124590"/>
    <x v="300"/>
    <s v="SP-20920"/>
    <s v="Susan Pistek"/>
    <s v="United States"/>
    <x v="0"/>
    <x v="1"/>
    <s v="OIC Bulk Pack Metal Binder Clips"/>
    <n v="16.751999999999999"/>
    <n v="6"/>
    <n v="5.4443999999999999"/>
    <n v="32.5"/>
  </r>
  <r>
    <s v="CA-2020-145506"/>
    <x v="132"/>
    <s v="MO-17800"/>
    <s v="Meg O'Connel"/>
    <s v="United States"/>
    <x v="2"/>
    <x v="1"/>
    <s v="Eldon Gobal File Keepers"/>
    <n v="150.26"/>
    <n v="9"/>
    <n v="5.4504000000000001"/>
    <n v="3.6273126580593638"/>
  </r>
  <r>
    <s v="CA-2019-110023"/>
    <x v="344"/>
    <s v="TS-21610"/>
    <s v="Troy Staebel"/>
    <s v="United States"/>
    <x v="0"/>
    <x v="1"/>
    <s v="Cardinal EasyOpen D-Ring Binders"/>
    <n v="14.624000000000001"/>
    <n v="2"/>
    <n v="5.484"/>
    <n v="37.5"/>
  </r>
  <r>
    <s v="US-2020-169320"/>
    <x v="548"/>
    <s v="LH-16900"/>
    <s v="Lena Hernandez"/>
    <s v="United States"/>
    <x v="3"/>
    <x v="1"/>
    <s v="Quartet Omega Colored Chalk, 12/Pack"/>
    <n v="88.68"/>
    <n v="2"/>
    <n v="5.4896000000000003"/>
    <n v="6.1903473161930531"/>
  </r>
  <r>
    <s v="CA-2020-117023"/>
    <x v="278"/>
    <s v="JW-15955"/>
    <s v="Joni Wasserman"/>
    <s v="United States"/>
    <x v="0"/>
    <x v="1"/>
    <s v="Quartet Omega Colored Chalk, 12/Pack"/>
    <n v="129.68"/>
    <n v="2"/>
    <n v="5.4896000000000003"/>
    <n v="4.2331893892658856"/>
  </r>
  <r>
    <s v="CA-2019-128727"/>
    <x v="159"/>
    <s v="MO-17800"/>
    <s v="Meg O'Connel"/>
    <s v="United States"/>
    <x v="0"/>
    <x v="0"/>
    <s v="Samsung Replacement EH64AVFWE Premium Headset"/>
    <n v="22"/>
    <n v="4"/>
    <n v="5.5"/>
    <n v="25"/>
  </r>
  <r>
    <s v="CA-2020-133718"/>
    <x v="548"/>
    <s v="TB-21520"/>
    <s v="Tracy Blumstein"/>
    <s v="United States"/>
    <x v="2"/>
    <x v="1"/>
    <s v="Cardinal HOLDit! Binder Insert Strips,Extra Strips"/>
    <n v="99.191999999999993"/>
    <n v="3"/>
    <n v="5.5071000000000003"/>
    <n v="5.551959835470603"/>
  </r>
  <r>
    <s v="US-2020-126179"/>
    <x v="142"/>
    <s v="CS-12460"/>
    <s v="Chuck Sachs"/>
    <s v="United States"/>
    <x v="1"/>
    <x v="2"/>
    <s v="Westinghouse Floor Lamp with Metal Mesh Shade, Black"/>
    <n v="124.99"/>
    <n v="1"/>
    <n v="5.5176999999999996"/>
    <n v="4.4145131610528843"/>
  </r>
  <r>
    <s v="CA-2019-165673"/>
    <x v="389"/>
    <s v="MN-17935"/>
    <s v="Michael Nguyen"/>
    <s v="United States"/>
    <x v="0"/>
    <x v="1"/>
    <s v="TOPS Voice Message Log Book, Flash Format"/>
    <n v="15.231999999999999"/>
    <n v="4"/>
    <n v="5.5216000000000003"/>
    <n v="36.250000000000007"/>
  </r>
  <r>
    <s v="CA-2019-134110"/>
    <x v="532"/>
    <s v="BG-11035"/>
    <s v="Barry Gonzalez"/>
    <s v="United States"/>
    <x v="3"/>
    <x v="1"/>
    <s v="TOPS Voice Message Log Book, Flash Format"/>
    <n v="15.231999999999999"/>
    <n v="4"/>
    <n v="5.5216000000000003"/>
    <n v="36.250000000000007"/>
  </r>
  <r>
    <s v="CA-2019-161361"/>
    <x v="315"/>
    <s v="MV-17485"/>
    <s v="Mark Van Huff"/>
    <s v="United States"/>
    <x v="2"/>
    <x v="1"/>
    <s v="Wilson Jones Hanging View Binder, White, 1&quot;"/>
    <n v="17.04"/>
    <n v="3"/>
    <n v="5.5380000000000003"/>
    <n v="32.5"/>
  </r>
  <r>
    <s v="US-2020-106145"/>
    <x v="191"/>
    <s v="RA-19885"/>
    <s v="Ruben Ausman"/>
    <s v="United States"/>
    <x v="2"/>
    <x v="1"/>
    <s v="Wilson Jones Hanging View Binder, White, 1&quot;"/>
    <n v="90.04"/>
    <n v="3"/>
    <n v="5.5380000000000003"/>
    <n v="6.1505997334517986"/>
  </r>
  <r>
    <s v="CA-2020-147032"/>
    <x v="192"/>
    <s v="LB-16795"/>
    <s v="Laurel Beltran"/>
    <s v="United States"/>
    <x v="0"/>
    <x v="1"/>
    <s v="Avery Personal Creations Heavyweight Cards"/>
    <n v="123.54"/>
    <n v="1"/>
    <n v="5.5392000000000001"/>
    <n v="4.4837299660029135"/>
  </r>
  <r>
    <s v="CA-2020-127922"/>
    <x v="396"/>
    <s v="SH-19975"/>
    <s v="Sally Hughsby"/>
    <s v="United States"/>
    <x v="3"/>
    <x v="1"/>
    <s v="#6 3/4 Gummed Flap White Envelopes"/>
    <n v="87.84"/>
    <n v="2"/>
    <n v="5.5439999999999996"/>
    <n v="6.3114754098360653"/>
  </r>
  <r>
    <s v="CA-2020-140326"/>
    <x v="130"/>
    <s v="HW-14935"/>
    <s v="Helen Wasserman"/>
    <s v="United States"/>
    <x v="3"/>
    <x v="1"/>
    <s v="It's Hot Message Books with Stickers, 2 3/4&quot; x 5&quot;"/>
    <n v="150.76"/>
    <n v="3"/>
    <n v="5.55"/>
    <n v="3.6813478376227113"/>
  </r>
  <r>
    <s v="CA-2019-128258"/>
    <x v="560"/>
    <s v="CP-12085"/>
    <s v="Cathy Prescott"/>
    <s v="United States"/>
    <x v="0"/>
    <x v="1"/>
    <s v="Xerox 188"/>
    <n v="11.34"/>
    <n v="1"/>
    <n v="5.5566000000000004"/>
    <n v="49.000000000000007"/>
  </r>
  <r>
    <s v="CA-2019-152170"/>
    <x v="300"/>
    <s v="FH-14275"/>
    <s v="Frank Hawley"/>
    <s v="United States"/>
    <x v="3"/>
    <x v="1"/>
    <s v="Newell 332"/>
    <n v="20.58"/>
    <n v="7"/>
    <n v="5.5566000000000004"/>
    <n v="27"/>
  </r>
  <r>
    <s v="CA-2020-113278"/>
    <x v="325"/>
    <s v="HR-14770"/>
    <s v="Hallie Redmond"/>
    <s v="United States"/>
    <x v="3"/>
    <x v="1"/>
    <s v="Xerox 188"/>
    <n v="99.34"/>
    <n v="1"/>
    <n v="5.5566000000000004"/>
    <n v="5.5935172136098252"/>
  </r>
  <r>
    <s v="CA-2020-102729"/>
    <x v="184"/>
    <s v="BF-11215"/>
    <s v="Benjamin Farhat"/>
    <s v="United States"/>
    <x v="3"/>
    <x v="1"/>
    <s v="Multi-Use Personal File Cart and Caster Set, Three Stacking Bins"/>
    <n v="149.61600000000001"/>
    <n v="2"/>
    <n v="5.5616000000000003"/>
    <n v="3.7172494920329378"/>
  </r>
  <r>
    <s v="CA-2019-166485"/>
    <x v="561"/>
    <s v="AH-10210"/>
    <s v="Alan Hwang"/>
    <s v="United States"/>
    <x v="1"/>
    <x v="1"/>
    <s v="Speediset Carbonless Redi-Letter 7&quot; x 8 1/2&quot;"/>
    <n v="16.495999999999999"/>
    <n v="2"/>
    <n v="5.5674000000000001"/>
    <n v="33.75"/>
  </r>
  <r>
    <s v="CA-2019-157161"/>
    <x v="133"/>
    <s v="JD-15895"/>
    <s v="Jonathan Doherty"/>
    <s v="United States"/>
    <x v="1"/>
    <x v="1"/>
    <s v="Eberhard Faber 3 1/2&quot; Golf Pencils"/>
    <n v="22.32"/>
    <n v="3"/>
    <n v="5.58"/>
    <n v="25"/>
  </r>
  <r>
    <s v="CA-2020-154935"/>
    <x v="437"/>
    <s v="AR-10540"/>
    <s v="Andy Reiter"/>
    <s v="United States"/>
    <x v="0"/>
    <x v="1"/>
    <s v="Acco Four Pocket Poly Ring Binder with Label Holder, Smoke, 1&quot;"/>
    <n v="362.88"/>
    <n v="3"/>
    <n v="5.5875000000000004"/>
    <n v="1.5397652116402119"/>
  </r>
  <r>
    <s v="CA-2019-161746"/>
    <x v="72"/>
    <s v="CS-11950"/>
    <s v="Carlos Soltero"/>
    <s v="United States"/>
    <x v="2"/>
    <x v="2"/>
    <s v="Eldon Expressions Wood and Plastic Desk Accessories, Oak"/>
    <n v="19.96"/>
    <n v="2"/>
    <n v="5.5888"/>
    <n v="27.999999999999996"/>
  </r>
  <r>
    <s v="CA-2019-109743"/>
    <x v="381"/>
    <s v="SH-19975"/>
    <s v="Sally Hughsby"/>
    <s v="United States"/>
    <x v="1"/>
    <x v="0"/>
    <s v="PayAnywhere Card Reader"/>
    <n v="63.936"/>
    <n v="8"/>
    <n v="5.5944000000000003"/>
    <n v="8.75"/>
  </r>
  <r>
    <s v="CA-2020-144113"/>
    <x v="35"/>
    <s v="JF-15355"/>
    <s v="Jay Fein"/>
    <s v="United States"/>
    <x v="3"/>
    <x v="0"/>
    <s v="ClearSounds CSC500 Amplified Spirit Phone Corded phone"/>
    <n v="162.99199999999999"/>
    <n v="1"/>
    <n v="5.5991999999999997"/>
    <n v="3.4352606262884069"/>
  </r>
  <r>
    <s v="CA-2020-111220"/>
    <x v="149"/>
    <s v="JS-15595"/>
    <s v="Jill Stevenson"/>
    <s v="United States"/>
    <x v="3"/>
    <x v="1"/>
    <s v="Advantus Plastic Paper Clips"/>
    <n v="112"/>
    <n v="4"/>
    <n v="5.6"/>
    <n v="5"/>
  </r>
  <r>
    <s v="US-2019-167472"/>
    <x v="428"/>
    <s v="CK-12595"/>
    <s v="Clytie Kelty"/>
    <s v="United States"/>
    <x v="1"/>
    <x v="1"/>
    <s v="Avery Binder Labels"/>
    <n v="11.67"/>
    <n v="3"/>
    <n v="5.6016000000000004"/>
    <n v="48.000000000000007"/>
  </r>
  <r>
    <s v="CA-2020-136238"/>
    <x v="408"/>
    <s v="KB-16240"/>
    <s v="Karen Bern"/>
    <s v="United States"/>
    <x v="3"/>
    <x v="1"/>
    <s v="Xerox 1959"/>
    <n v="324.03199999999998"/>
    <n v="3"/>
    <n v="5.6112000000000002"/>
    <n v="1.7316808216472448"/>
  </r>
  <r>
    <s v="US-2019-144211"/>
    <x v="199"/>
    <s v="CS-12130"/>
    <s v="Chad Sievert"/>
    <s v="United States"/>
    <x v="2"/>
    <x v="1"/>
    <s v="Wirebound Four 2-3/4 x 5 Forms per Page, 400 Sets per Book"/>
    <n v="15.48"/>
    <n v="3"/>
    <n v="5.6115000000000004"/>
    <n v="36.25"/>
  </r>
  <r>
    <s v="CA-2019-144015"/>
    <x v="454"/>
    <s v="AH-10075"/>
    <s v="Adam Hart"/>
    <s v="United States"/>
    <x v="2"/>
    <x v="1"/>
    <s v="Ampad Phone Message Book, Recycled, 400 Message Capacity, 5 ¾” x 11”"/>
    <n v="12.48"/>
    <n v="2"/>
    <n v="5.6159999999999997"/>
    <n v="44.999999999999993"/>
  </r>
  <r>
    <s v="CA-2020-100426"/>
    <x v="318"/>
    <s v="DC-12850"/>
    <s v="Dan Campbell"/>
    <s v="United States"/>
    <x v="1"/>
    <x v="1"/>
    <s v="Ampad Phone Message Book, Recycled, 400 Message Capacity, 5 ¾” x 11”"/>
    <n v="125.48"/>
    <n v="2"/>
    <n v="5.6159999999999997"/>
    <n v="4.4756136436085425"/>
  </r>
  <r>
    <s v="CA-2019-120824"/>
    <x v="104"/>
    <s v="AW-10930"/>
    <s v="Arthur Wiediger"/>
    <s v="United States"/>
    <x v="3"/>
    <x v="1"/>
    <s v="Xerox 1975"/>
    <n v="15.552"/>
    <n v="3"/>
    <n v="5.6375999999999999"/>
    <n v="36.25"/>
  </r>
  <r>
    <s v="CA-2020-157966"/>
    <x v="52"/>
    <s v="SU-20665"/>
    <s v="Stephanie Ulpright"/>
    <s v="United States"/>
    <x v="3"/>
    <x v="1"/>
    <s v="Xerox 1993"/>
    <n v="122.55200000000001"/>
    <n v="3"/>
    <n v="5.6375999999999999"/>
    <n v="4.6001697238723152"/>
  </r>
  <r>
    <s v="CA-2020-102414"/>
    <x v="403"/>
    <s v="JA-15970"/>
    <s v="Joseph Airdo"/>
    <s v="United States"/>
    <x v="2"/>
    <x v="1"/>
    <s v="Universal Ultra Bright White Copier/Laser Paper, 8 1/2&quot; x 11&quot;, Ream"/>
    <n v="108.55200000000001"/>
    <n v="3"/>
    <n v="5.6375999999999999"/>
    <n v="5.1934556710148128"/>
  </r>
  <r>
    <s v="CA-2020-100223"/>
    <x v="42"/>
    <s v="LS-16945"/>
    <s v="Linda Southworth"/>
    <s v="United States"/>
    <x v="3"/>
    <x v="1"/>
    <s v="Xerox 1975"/>
    <n v="96.552000000000007"/>
    <n v="3"/>
    <n v="5.6375999999999999"/>
    <n v="5.8389261744966436"/>
  </r>
  <r>
    <s v="CA-2020-167640"/>
    <x v="494"/>
    <s v="FC-14245"/>
    <s v="Frank Carlisle"/>
    <s v="United States"/>
    <x v="2"/>
    <x v="1"/>
    <s v="Avery 49"/>
    <n v="127.52"/>
    <n v="4"/>
    <n v="5.6448"/>
    <n v="4.4265997490589717"/>
  </r>
  <r>
    <s v="CA-2019-141397"/>
    <x v="295"/>
    <s v="RC-19825"/>
    <s v="Roy Collins"/>
    <s v="United States"/>
    <x v="2"/>
    <x v="1"/>
    <s v="Belkin 6 Outlet Metallic Surge Strip"/>
    <n v="21.78"/>
    <n v="2"/>
    <n v="5.6627999999999998"/>
    <n v="25.999999999999996"/>
  </r>
  <r>
    <s v="US-2019-113985"/>
    <x v="118"/>
    <s v="KD-16495"/>
    <s v="Keith Dawkins"/>
    <s v="United States"/>
    <x v="2"/>
    <x v="2"/>
    <s v="Eldon Regeneration Recycled Desk Accessories, Black"/>
    <n v="14.52"/>
    <n v="3"/>
    <n v="5.6627999999999998"/>
    <n v="39"/>
  </r>
  <r>
    <s v="CA-2019-114601"/>
    <x v="261"/>
    <s v="AA-10480"/>
    <s v="Andrew Allen"/>
    <s v="United States"/>
    <x v="3"/>
    <x v="1"/>
    <s v="Xerox 1950"/>
    <n v="11.56"/>
    <n v="2"/>
    <n v="5.6643999999999997"/>
    <n v="48.999999999999993"/>
  </r>
  <r>
    <s v="CA-2019-124485"/>
    <x v="289"/>
    <s v="NC-18340"/>
    <s v="Nat Carroll"/>
    <s v="United States"/>
    <x v="0"/>
    <x v="1"/>
    <s v="Xerox 196"/>
    <n v="11.56"/>
    <n v="2"/>
    <n v="5.6643999999999997"/>
    <n v="48.999999999999993"/>
  </r>
  <r>
    <s v="CA-2020-108931"/>
    <x v="97"/>
    <s v="HZ-14950"/>
    <s v="Henia Zydlo"/>
    <s v="United States"/>
    <x v="0"/>
    <x v="1"/>
    <s v="Xerox 1987"/>
    <n v="119.56"/>
    <n v="2"/>
    <n v="5.6643999999999997"/>
    <n v="4.7377049180327866"/>
  </r>
  <r>
    <s v="CA-2020-139913"/>
    <x v="122"/>
    <s v="JC-16105"/>
    <s v="Julie Creighton"/>
    <s v="United States"/>
    <x v="0"/>
    <x v="1"/>
    <s v="Xerox 1969"/>
    <n v="88.56"/>
    <n v="2"/>
    <n v="5.6643999999999997"/>
    <n v="6.3961156278229447"/>
  </r>
  <r>
    <s v="US-2020-125808"/>
    <x v="151"/>
    <s v="EP-13915"/>
    <s v="Emily Phan"/>
    <s v="United States"/>
    <x v="2"/>
    <x v="1"/>
    <s v="Xerox 1899"/>
    <n v="108.56"/>
    <n v="2"/>
    <n v="5.6643999999999997"/>
    <n v="5.2177597641857032"/>
  </r>
  <r>
    <s v="CA-2020-150469"/>
    <x v="497"/>
    <s v="CJ-12010"/>
    <s v="Caroline Jumper"/>
    <s v="United States"/>
    <x v="2"/>
    <x v="1"/>
    <s v="Binder Clips by OIC"/>
    <n v="96.84"/>
    <n v="8"/>
    <n v="5.6832000000000003"/>
    <n v="5.8686493184634445"/>
  </r>
  <r>
    <s v="CA-2019-161816"/>
    <x v="252"/>
    <s v="NB-18655"/>
    <s v="Nona Balk"/>
    <s v="United States"/>
    <x v="3"/>
    <x v="1"/>
    <s v="Avery 493"/>
    <n v="15.712"/>
    <n v="4"/>
    <n v="5.6955999999999998"/>
    <n v="36.25"/>
  </r>
  <r>
    <s v="CA-2019-103037"/>
    <x v="445"/>
    <s v="KH-16630"/>
    <s v="Ken Heidel"/>
    <s v="United States"/>
    <x v="3"/>
    <x v="1"/>
    <s v="Avery 493"/>
    <n v="15.712"/>
    <n v="4"/>
    <n v="5.6955999999999998"/>
    <n v="36.25"/>
  </r>
  <r>
    <s v="US-2019-157308"/>
    <x v="562"/>
    <s v="NM-18520"/>
    <s v="Neoma Murray"/>
    <s v="United States"/>
    <x v="2"/>
    <x v="1"/>
    <s v="Acco Pressboard Covers with Storage Hooks, 14 7/8&quot; x 11&quot;, Light Blue"/>
    <n v="15.712"/>
    <n v="4"/>
    <n v="5.6955999999999998"/>
    <n v="36.25"/>
  </r>
  <r>
    <s v="CA-2019-161746"/>
    <x v="72"/>
    <s v="CS-11950"/>
    <s v="Carlos Soltero"/>
    <s v="United States"/>
    <x v="2"/>
    <x v="1"/>
    <s v="Newell Chalk Holder"/>
    <n v="12.39"/>
    <n v="3"/>
    <n v="5.6993999999999998"/>
    <n v="46"/>
  </r>
  <r>
    <s v="CA-2020-168228"/>
    <x v="224"/>
    <s v="AP-10915"/>
    <s v="Arthur Prichep"/>
    <s v="United States"/>
    <x v="2"/>
    <x v="1"/>
    <s v="Newell Chalk Holder"/>
    <n v="87.39"/>
    <n v="3"/>
    <n v="5.6993999999999998"/>
    <n v="6.5217988328183996"/>
  </r>
  <r>
    <s v="CA-2020-126046"/>
    <x v="368"/>
    <s v="JC-16105"/>
    <s v="Julie Creighton"/>
    <s v="United States"/>
    <x v="1"/>
    <x v="1"/>
    <s v="Avery 476"/>
    <n v="132.38999999999999"/>
    <n v="3"/>
    <n v="5.6993999999999998"/>
    <n v="4.3050079311126224"/>
  </r>
  <r>
    <s v="CA-2020-104731"/>
    <x v="102"/>
    <s v="AM-10705"/>
    <s v="Anne McFarland"/>
    <s v="United States"/>
    <x v="1"/>
    <x v="1"/>
    <s v="Newell 35"/>
    <n v="124.68"/>
    <n v="6"/>
    <n v="5.7072000000000003"/>
    <n v="4.5774783445620786"/>
  </r>
  <r>
    <s v="CA-2020-158967"/>
    <x v="409"/>
    <s v="BT-11680"/>
    <s v="Brian Thompson"/>
    <s v="United States"/>
    <x v="1"/>
    <x v="2"/>
    <s v="Staple-based wall hangings"/>
    <n v="396.10399999999998"/>
    <n v="3"/>
    <n v="5.7312000000000003"/>
    <n v="1.4468927352412499"/>
  </r>
  <r>
    <s v="CA-2020-112725"/>
    <x v="178"/>
    <s v="EH-14125"/>
    <s v="Eugene Hildebrand"/>
    <s v="United States"/>
    <x v="2"/>
    <x v="1"/>
    <s v="Crayola Anti Dust Chalk, 12/Pack"/>
    <n v="107.74"/>
    <n v="7"/>
    <n v="5.7329999999999997"/>
    <n v="5.3211434935956934"/>
  </r>
  <r>
    <s v="CA-2019-103982"/>
    <x v="17"/>
    <s v="AA-10315"/>
    <s v="Alex Avila"/>
    <s v="United States"/>
    <x v="3"/>
    <x v="0"/>
    <s v="Verbatim 25 GB 6x Blu-ray Single Layer Recordable Disc, 1/Pack"/>
    <n v="41.72"/>
    <n v="7"/>
    <n v="5.7365000000000004"/>
    <n v="13.750000000000002"/>
  </r>
  <r>
    <s v="CA-2019-124583"/>
    <x v="391"/>
    <s v="LB-16795"/>
    <s v="Laurel Beltran"/>
    <s v="United States"/>
    <x v="2"/>
    <x v="1"/>
    <s v="Globe Weis Peel &amp; Seel First Class Envelopes"/>
    <n v="12.78"/>
    <n v="1"/>
    <n v="5.7510000000000003"/>
    <n v="45.000000000000007"/>
  </r>
  <r>
    <s v="CA-2020-133207"/>
    <x v="464"/>
    <s v="DO-13645"/>
    <s v="Doug O'Connell"/>
    <s v="United States"/>
    <x v="2"/>
    <x v="0"/>
    <s v="Griffin GC17055 Auxiliary Audio Cable"/>
    <n v="169.56800000000001"/>
    <n v="4"/>
    <n v="5.7568000000000001"/>
    <n v="3.3949801849405548"/>
  </r>
  <r>
    <s v="CA-2020-132647"/>
    <x v="58"/>
    <s v="GH-14410"/>
    <s v="Gary Hansen"/>
    <s v="United States"/>
    <x v="0"/>
    <x v="1"/>
    <s v="Adams Telephone Message Book W/Dividers/Space For Phone Numbers, 5 1/4&quot;X8 1/2&quot;, 300/Messages"/>
    <n v="128.76"/>
    <n v="2"/>
    <n v="5.7624000000000004"/>
    <n v="4.4753028890959934"/>
  </r>
  <r>
    <s v="CA-2020-147452"/>
    <x v="317"/>
    <s v="CS-11845"/>
    <s v="Cari Sayre"/>
    <s v="United States"/>
    <x v="2"/>
    <x v="1"/>
    <s v="Adams Telephone Message Book W/Dividers/Space For Phone Numbers, 5 1/4&quot;X8 1/2&quot;, 300/Messages"/>
    <n v="100.76"/>
    <n v="2"/>
    <n v="5.7624000000000004"/>
    <n v="5.7189360857483127"/>
  </r>
  <r>
    <s v="CA-2020-167227"/>
    <x v="88"/>
    <s v="NP-18670"/>
    <s v="Nora Paige"/>
    <s v="United States"/>
    <x v="3"/>
    <x v="1"/>
    <s v="Adams Telephone Message Book W/Dividers/Space For Phone Numbers, 5 1/4&quot;X8 1/2&quot;, 300/Messages"/>
    <n v="102.76"/>
    <n v="2"/>
    <n v="5.7624000000000004"/>
    <n v="5.607629427792916"/>
  </r>
  <r>
    <s v="CA-2020-153227"/>
    <x v="57"/>
    <s v="CS-12250"/>
    <s v="Chris Selesnick"/>
    <s v="United States"/>
    <x v="2"/>
    <x v="1"/>
    <s v="Adams Telephone Message Book W/Dividers/Space For Phone Numbers, 5 1/4&quot;X8 1/2&quot;, 300/Messages"/>
    <n v="121.76"/>
    <n v="2"/>
    <n v="5.7624000000000004"/>
    <n v="4.732588699080158"/>
  </r>
  <r>
    <s v="CA-2020-147039"/>
    <x v="146"/>
    <s v="AA-10315"/>
    <s v="Alex Avila"/>
    <s v="United States"/>
    <x v="3"/>
    <x v="1"/>
    <s v="Avery Binding System Hidden Tab Executive Style Index Sets"/>
    <n v="111.54"/>
    <n v="2"/>
    <n v="5.77"/>
    <n v="5.1730320961090186"/>
  </r>
  <r>
    <s v="US-2020-127292"/>
    <x v="150"/>
    <s v="RM-19375"/>
    <s v="Raymond Messe"/>
    <s v="United States"/>
    <x v="0"/>
    <x v="1"/>
    <s v="Xerox 1881"/>
    <n v="116.28"/>
    <n v="1"/>
    <n v="5.7716000000000003"/>
    <n v="4.9635362917096666"/>
  </r>
  <r>
    <s v="CA-2020-161774"/>
    <x v="215"/>
    <s v="GT-14710"/>
    <s v="Greg Tran"/>
    <s v="United States"/>
    <x v="3"/>
    <x v="1"/>
    <s v="Newell 309"/>
    <n v="133.19999999999999"/>
    <n v="5"/>
    <n v="5.7750000000000004"/>
    <n v="4.3355855855855863"/>
  </r>
  <r>
    <s v="CA-2020-105620"/>
    <x v="141"/>
    <s v="JH-15430"/>
    <s v="Jennifer Halladay"/>
    <s v="United States"/>
    <x v="1"/>
    <x v="2"/>
    <s v="Eldon 400 Class Desk Accessories, Black Carbon"/>
    <n v="421"/>
    <n v="3"/>
    <n v="5.7750000000000004"/>
    <n v="1.3717339667458432"/>
  </r>
  <r>
    <s v="CA-2020-151484"/>
    <x v="202"/>
    <s v="CV-12805"/>
    <s v="Cynthia Voltz"/>
    <s v="United States"/>
    <x v="0"/>
    <x v="1"/>
    <s v="Sortfiler Multipurpose Personal File Organizer, Black"/>
    <n v="133.33600000000001"/>
    <n v="3"/>
    <n v="5.7752999999999997"/>
    <n v="4.3313883722325546"/>
  </r>
  <r>
    <s v="US-2019-153815"/>
    <x v="264"/>
    <s v="KL-16555"/>
    <s v="Kelly Lampkin"/>
    <s v="United States"/>
    <x v="1"/>
    <x v="2"/>
    <s v="Executive Impressions 14&quot; Contract Wall Clock"/>
    <n v="35.567999999999998"/>
    <n v="2"/>
    <n v="5.7797999999999998"/>
    <n v="16.25"/>
  </r>
  <r>
    <s v="CA-2019-116232"/>
    <x v="381"/>
    <s v="AC-10450"/>
    <s v="Amy Cox"/>
    <s v="United States"/>
    <x v="1"/>
    <x v="1"/>
    <s v="Avery Address/Shipping Labels for Typewriters, 4&quot; x 2&quot;"/>
    <n v="16.559999999999999"/>
    <n v="2"/>
    <n v="5.7960000000000003"/>
    <n v="35"/>
  </r>
  <r>
    <s v="US-2020-134642"/>
    <x v="292"/>
    <s v="SW-20245"/>
    <s v="Scot Wooten"/>
    <s v="United States"/>
    <x v="1"/>
    <x v="2"/>
    <s v="Bush Westfield Collection Bookcases, Medium Cherry Finish"/>
    <n v="245.92"/>
    <n v="5"/>
    <n v="5.798"/>
    <n v="2.3576772934287575"/>
  </r>
  <r>
    <s v="CA-2020-118668"/>
    <x v="96"/>
    <s v="FW-14395"/>
    <s v="Fred Wasserman"/>
    <s v="United States"/>
    <x v="2"/>
    <x v="0"/>
    <s v="Kensington K72356US Mouse-in-a-Box USB Desktop Mouse"/>
    <n v="115.59"/>
    <n v="1"/>
    <n v="5.8064999999999998"/>
    <n v="5.0233584220088234"/>
  </r>
  <r>
    <s v="US-2020-124303"/>
    <x v="333"/>
    <s v="FH-14365"/>
    <s v="Fred Hopkins"/>
    <s v="United States"/>
    <x v="0"/>
    <x v="1"/>
    <s v="Wirebound Message Books, 5-1/2 x 4 Forms, 2 or 4 Forms per Page"/>
    <n v="111.056"/>
    <n v="3"/>
    <n v="5.8202999999999996"/>
    <n v="5.2408694712577431"/>
  </r>
  <r>
    <s v="CA-2020-130386"/>
    <x v="151"/>
    <s v="NG-18430"/>
    <s v="Nathan Gelder"/>
    <s v="United States"/>
    <x v="3"/>
    <x v="1"/>
    <s v="Wirebound Message Books, 5-1/2 x 4 Forms, 2 or 4 Forms per Page"/>
    <n v="113.056"/>
    <n v="3"/>
    <n v="5.8202999999999996"/>
    <n v="5.1481566657231808"/>
  </r>
  <r>
    <s v="CA-2019-105277"/>
    <x v="430"/>
    <s v="LM-17065"/>
    <s v="Liz MacKendrick"/>
    <s v="United States"/>
    <x v="0"/>
    <x v="1"/>
    <s v="GBC Instant Report Kit"/>
    <n v="15.528"/>
    <n v="3"/>
    <n v="5.8230000000000004"/>
    <n v="37.5"/>
  </r>
  <r>
    <s v="CA-2019-132997"/>
    <x v="316"/>
    <s v="LW-17215"/>
    <s v="Luke Weiss"/>
    <s v="United States"/>
    <x v="0"/>
    <x v="1"/>
    <s v="Eldon Base for stackable storage shelf, platinum"/>
    <n v="116.82"/>
    <n v="3"/>
    <n v="5.8410000000000002"/>
    <n v="5"/>
  </r>
  <r>
    <s v="CA-2019-157266"/>
    <x v="154"/>
    <s v="TB-21280"/>
    <s v="Toby Braunhardt"/>
    <s v="United States"/>
    <x v="0"/>
    <x v="1"/>
    <s v="Telephone Message Books with Fax/Mobile Section, 5 1/2&quot; x 3 3/16&quot;"/>
    <n v="12.7"/>
    <n v="2"/>
    <n v="5.8419999999999996"/>
    <n v="46"/>
  </r>
  <r>
    <s v="CA-2020-152961"/>
    <x v="200"/>
    <s v="SC-20095"/>
    <s v="Sanjit Chand"/>
    <s v="United States"/>
    <x v="0"/>
    <x v="1"/>
    <s v="Telephone Message Books with Fax/Mobile Section, 5 1/2&quot; x 3 3/16&quot;"/>
    <n v="134.69999999999999"/>
    <n v="2"/>
    <n v="5.8419999999999996"/>
    <n v="4.3370452858203414"/>
  </r>
  <r>
    <s v="US-2019-132423"/>
    <x v="113"/>
    <s v="MY-18295"/>
    <s v="Muhammed Yedwab"/>
    <s v="United States"/>
    <x v="3"/>
    <x v="1"/>
    <s v="Dixon Ticonderoga Erasable Colored Pencil Set, 12-Color"/>
    <n v="33.488"/>
    <n v="7"/>
    <n v="5.8604000000000003"/>
    <n v="17.5"/>
  </r>
  <r>
    <s v="CA-2019-161543"/>
    <x v="125"/>
    <s v="RD-19720"/>
    <s v="Roger Demir"/>
    <s v="United States"/>
    <x v="2"/>
    <x v="1"/>
    <s v="Xerox 1965"/>
    <n v="11.96"/>
    <n v="2"/>
    <n v="5.8604000000000003"/>
    <n v="49"/>
  </r>
  <r>
    <s v="CA-2019-121958"/>
    <x v="394"/>
    <s v="CS-12505"/>
    <s v="Cindy Stewart"/>
    <s v="United States"/>
    <x v="1"/>
    <x v="1"/>
    <s v="Acme Forged Steel Scissors with Black Enamel Handles"/>
    <n v="52.136000000000003"/>
    <n v="7"/>
    <n v="5.8653000000000004"/>
    <n v="11.25"/>
  </r>
  <r>
    <s v="US-2019-147711"/>
    <x v="19"/>
    <s v="HF-14995"/>
    <s v="Herbert Flentye"/>
    <s v="United States"/>
    <x v="0"/>
    <x v="1"/>
    <s v="Acco Expandable Hanging Binders"/>
    <n v="12.76"/>
    <n v="2"/>
    <n v="5.8696000000000002"/>
    <n v="46"/>
  </r>
  <r>
    <s v="CA-2019-109869"/>
    <x v="16"/>
    <s v="TN-21040"/>
    <s v="Tanja Norvell"/>
    <s v="United States"/>
    <x v="2"/>
    <x v="1"/>
    <s v="Fellowes Premier Superior Surge Suppressor, 10-Outlet, With Phone and Remote"/>
    <n v="78.272000000000006"/>
    <n v="2"/>
    <n v="5.8704000000000001"/>
    <n v="7.5"/>
  </r>
  <r>
    <s v="CA-2020-115546"/>
    <x v="215"/>
    <s v="AH-10465"/>
    <s v="Amy Hunt"/>
    <s v="United States"/>
    <x v="0"/>
    <x v="1"/>
    <s v="X-Rack File for Hanging Folders"/>
    <n v="143.58000000000001"/>
    <n v="2"/>
    <n v="5.8708"/>
    <n v="4.0888703162000271"/>
  </r>
  <r>
    <s v="CA-2020-134607"/>
    <x v="378"/>
    <s v="HL-15040"/>
    <s v="Hunter Lopez"/>
    <s v="United States"/>
    <x v="0"/>
    <x v="1"/>
    <s v="X-Rack File for Hanging Folders"/>
    <n v="116.58"/>
    <n v="2"/>
    <n v="5.8708"/>
    <n v="5.035855206724996"/>
  </r>
  <r>
    <s v="CA-2020-140480"/>
    <x v="526"/>
    <s v="HE-14800"/>
    <s v="Harold Engle"/>
    <s v="United States"/>
    <x v="0"/>
    <x v="2"/>
    <s v="36X48 HARDFLOOR CHAIRMAT"/>
    <n v="108.92"/>
    <n v="4"/>
    <n v="5.8743999999999996"/>
    <n v="5.3933161953727504"/>
  </r>
  <r>
    <s v="CA-2020-135860"/>
    <x v="265"/>
    <s v="JH-15985"/>
    <s v="Joseph Holt"/>
    <s v="United States"/>
    <x v="3"/>
    <x v="1"/>
    <s v="Tennsco Lockers, Gray"/>
    <n v="131.91999999999999"/>
    <n v="4"/>
    <n v="5.8743999999999996"/>
    <n v="4.453001819284415"/>
  </r>
  <r>
    <s v="CA-2020-163125"/>
    <x v="30"/>
    <s v="MB-17305"/>
    <s v="Maria Bertelson"/>
    <s v="United States"/>
    <x v="3"/>
    <x v="1"/>
    <s v="Bulldog Vacuum Base Pencil Sharpener"/>
    <n v="181.14400000000001"/>
    <n v="7"/>
    <n v="5.8750999999999998"/>
    <n v="3.2433312723579029"/>
  </r>
  <r>
    <s v="US-2020-169502"/>
    <x v="488"/>
    <s v="MG-17650"/>
    <s v="Matthew Grinstein"/>
    <s v="United States"/>
    <x v="3"/>
    <x v="1"/>
    <s v="Acme Stainless Steel Office Snips"/>
    <n v="109.81"/>
    <n v="3"/>
    <n v="5.8887"/>
    <n v="5.3626263546125124"/>
  </r>
  <r>
    <s v="US-2020-158526"/>
    <x v="218"/>
    <s v="KH-16360"/>
    <s v="Katherine Hughes"/>
    <s v="United States"/>
    <x v="1"/>
    <x v="1"/>
    <s v="GBC ProClick Spines for 32-Hole Punch"/>
    <n v="408.53"/>
    <n v="1"/>
    <n v="5.8891"/>
    <n v="1.4415342814481191"/>
  </r>
  <r>
    <s v="CA-2019-164483"/>
    <x v="26"/>
    <s v="JF-15490"/>
    <s v="Jeremy Farry"/>
    <s v="United States"/>
    <x v="2"/>
    <x v="1"/>
    <s v="Heavy-Duty E-Z-D Binders"/>
    <n v="17.456"/>
    <n v="2"/>
    <n v="5.8914"/>
    <n v="33.75"/>
  </r>
  <r>
    <s v="CA-2020-129567"/>
    <x v="294"/>
    <s v="CL-12565"/>
    <s v="Clay Ludtke"/>
    <s v="United States"/>
    <x v="2"/>
    <x v="1"/>
    <s v="Heavy-Duty E-Z-D Binders"/>
    <n v="124.456"/>
    <n v="2"/>
    <n v="5.8914"/>
    <n v="4.7337211544642281"/>
  </r>
  <r>
    <s v="CA-2019-147431"/>
    <x v="164"/>
    <s v="AB-10105"/>
    <s v="Adrian Barton"/>
    <s v="United States"/>
    <x v="0"/>
    <x v="1"/>
    <s v="Belkin 19&quot; Center-Weighted Shelf, Gray"/>
    <n v="117.96"/>
    <n v="2"/>
    <n v="5.8979999999999997"/>
    <n v="5"/>
  </r>
  <r>
    <s v="CA-2020-132976"/>
    <x v="114"/>
    <s v="AG-10495"/>
    <s v="Andrew Gjertsen"/>
    <s v="United States"/>
    <x v="0"/>
    <x v="1"/>
    <s v="Adams Write n' Stick Phone Message Book, 11&quot; X 5 1/4&quot;, 200 Messages"/>
    <n v="121.176"/>
    <n v="4"/>
    <n v="5.9071999999999996"/>
    <n v="4.8748927180299724"/>
  </r>
  <r>
    <s v="US-2019-148957"/>
    <x v="186"/>
    <s v="CC-12430"/>
    <s v="Chuck Clark"/>
    <s v="United States"/>
    <x v="2"/>
    <x v="1"/>
    <s v="Avery 481"/>
    <n v="12.32"/>
    <n v="4"/>
    <n v="5.9135999999999997"/>
    <n v="48"/>
  </r>
  <r>
    <s v="CA-2020-118017"/>
    <x v="299"/>
    <s v="LC-16870"/>
    <s v="Lena Cacioppo"/>
    <s v="United States"/>
    <x v="2"/>
    <x v="1"/>
    <s v="Elite 5&quot; Scissors"/>
    <n v="137.32"/>
    <n v="7"/>
    <n v="5.915"/>
    <n v="4.3074570346635594"/>
  </r>
  <r>
    <s v="CA-2020-148404"/>
    <x v="232"/>
    <s v="Dp-13240"/>
    <s v="Dean percer"/>
    <s v="United States"/>
    <x v="1"/>
    <x v="1"/>
    <s v="Staples"/>
    <n v="140.93600000000001"/>
    <n v="3"/>
    <n v="5.9175000000000004"/>
    <n v="4.1987143100414377"/>
  </r>
  <r>
    <s v="CA-2019-149762"/>
    <x v="107"/>
    <s v="RD-19720"/>
    <s v="Roger Demir"/>
    <s v="United States"/>
    <x v="2"/>
    <x v="1"/>
    <s v="Rogers Handheld Barrel Pencil Sharpener"/>
    <n v="21.92"/>
    <n v="8"/>
    <n v="5.9184000000000001"/>
    <n v="26.999999999999996"/>
  </r>
  <r>
    <s v="US-2019-162677"/>
    <x v="315"/>
    <s v="DB-13210"/>
    <s v="Dean Braden"/>
    <s v="United States"/>
    <x v="1"/>
    <x v="1"/>
    <s v="Tenex Personal Self-Stacking Standard File Box, Black/Gray"/>
    <n v="67.64"/>
    <n v="5"/>
    <n v="5.9184999999999999"/>
    <n v="8.75"/>
  </r>
  <r>
    <s v="CA-2020-167542"/>
    <x v="7"/>
    <s v="KD-16495"/>
    <s v="Keith Dawkins"/>
    <s v="United States"/>
    <x v="0"/>
    <x v="1"/>
    <s v="Avery 486"/>
    <n v="129.54400000000001"/>
    <n v="3"/>
    <n v="5.9211"/>
    <n v="4.5707250046316306"/>
  </r>
  <r>
    <s v="US-2020-162558"/>
    <x v="11"/>
    <s v="Dp-13240"/>
    <s v="Dean percer"/>
    <s v="United States"/>
    <x v="1"/>
    <x v="2"/>
    <s v="Eldon Image Series Desk Accessories, Ebony"/>
    <n v="115.76"/>
    <n v="2"/>
    <n v="5.9279999999999999"/>
    <n v="5.1209398756046989"/>
  </r>
  <r>
    <s v="US-2020-123463"/>
    <x v="172"/>
    <s v="GZ-14470"/>
    <s v="Gary Zandusky"/>
    <s v="United States"/>
    <x v="2"/>
    <x v="1"/>
    <s v="Binney &amp; Smith Crayola Metallic Crayons, 16-Color Pack"/>
    <n v="457.48"/>
    <n v="4"/>
    <n v="5.9311999999999996"/>
    <n v="1.2964938357961002"/>
  </r>
  <r>
    <s v="CA-2020-137414"/>
    <x v="11"/>
    <s v="CM-12115"/>
    <s v="Chad McGuire"/>
    <s v="United States"/>
    <x v="2"/>
    <x v="2"/>
    <s v="Dax Clear Box Frame"/>
    <n v="139.46"/>
    <n v="2"/>
    <n v="5.9363999999999999"/>
    <n v="4.2567044313781732"/>
  </r>
  <r>
    <s v="CA-2020-147144"/>
    <x v="74"/>
    <s v="MZ-17335"/>
    <s v="Maria Zettner"/>
    <s v="United States"/>
    <x v="2"/>
    <x v="1"/>
    <s v="Boston 1827 Commercial Additional Cutter, Drive Gear &amp; Gear Rack for 1606"/>
    <n v="103.83"/>
    <n v="1"/>
    <n v="5.9489999999999998"/>
    <n v="5.7295579312337477"/>
  </r>
  <r>
    <s v="US-2019-137295"/>
    <x v="281"/>
    <s v="VS-21820"/>
    <s v="Vivek Sundaresam"/>
    <s v="United States"/>
    <x v="1"/>
    <x v="1"/>
    <s v="Newell 319"/>
    <n v="47.616"/>
    <n v="3"/>
    <n v="5.952"/>
    <n v="12.5"/>
  </r>
  <r>
    <s v="CA-2019-156503"/>
    <x v="487"/>
    <s v="NC-18415"/>
    <s v="Nathan Cano"/>
    <s v="United States"/>
    <x v="1"/>
    <x v="0"/>
    <s v="Maxell 4.7GB DVD-R"/>
    <n v="22.704000000000001"/>
    <n v="1"/>
    <n v="5.9598000000000004"/>
    <n v="26.25"/>
  </r>
  <r>
    <s v="US-2020-168802"/>
    <x v="368"/>
    <s v="JO-15145"/>
    <s v="Jack O'Briant"/>
    <s v="United States"/>
    <x v="2"/>
    <x v="1"/>
    <s v="Binder Posts"/>
    <n v="131.36799999999999"/>
    <n v="4"/>
    <n v="5.9695999999999998"/>
    <n v="4.5441812313501009"/>
  </r>
  <r>
    <s v="CA-2020-124716"/>
    <x v="182"/>
    <s v="BD-11560"/>
    <s v="Brendan Dodson"/>
    <s v="United States"/>
    <x v="2"/>
    <x v="1"/>
    <s v="Unpadded Memo Slips"/>
    <n v="111.94"/>
    <n v="3"/>
    <n v="5.97"/>
    <n v="5.3332142219045924"/>
  </r>
  <r>
    <s v="CA-2020-132976"/>
    <x v="114"/>
    <s v="AG-10495"/>
    <s v="Andrew Gjertsen"/>
    <s v="United States"/>
    <x v="0"/>
    <x v="1"/>
    <s v="Eldon Simplefile Box Office"/>
    <n v="137.71199999999999"/>
    <n v="6"/>
    <n v="5.9711999999999996"/>
    <n v="4.3360055768560475"/>
  </r>
  <r>
    <s v="CA-2020-152198"/>
    <x v="37"/>
    <s v="JD-16015"/>
    <s v="Joy Daniels"/>
    <s v="United States"/>
    <x v="0"/>
    <x v="1"/>
    <s v="Avery 501"/>
    <n v="140.71199999999999"/>
    <n v="6"/>
    <n v="5.9778000000000002"/>
    <n v="4.2482517482517492"/>
  </r>
  <r>
    <s v="US-2019-128909"/>
    <x v="280"/>
    <s v="SP-20545"/>
    <s v="Sibella Parks"/>
    <s v="United States"/>
    <x v="0"/>
    <x v="1"/>
    <s v="Xerox 1947"/>
    <n v="19.135999999999999"/>
    <n v="4"/>
    <n v="5.98"/>
    <n v="31.250000000000007"/>
  </r>
  <r>
    <s v="US-2020-118598"/>
    <x v="417"/>
    <s v="CM-12190"/>
    <s v="Charlotte Melton"/>
    <s v="United States"/>
    <x v="0"/>
    <x v="0"/>
    <s v="iOttie HLCRIO102 Car Mount"/>
    <n v="160.94"/>
    <n v="6"/>
    <n v="5.9969999999999999"/>
    <n v="3.7262333788989688"/>
  </r>
  <r>
    <s v="CA-2020-102337"/>
    <x v="155"/>
    <s v="SD-20485"/>
    <s v="Shirley Daniels"/>
    <s v="United States"/>
    <x v="3"/>
    <x v="0"/>
    <s v="OtterBox Defender Series Case - Samsung Galaxy S4"/>
    <n v="142.98400000000001"/>
    <n v="2"/>
    <n v="5.9980000000000002"/>
    <n v="4.1948749510434729"/>
  </r>
  <r>
    <s v="CA-2019-159142"/>
    <x v="563"/>
    <s v="ME-17320"/>
    <s v="Maria Etezadi"/>
    <s v="United States"/>
    <x v="1"/>
    <x v="0"/>
    <s v="Anker Astro 15000mAh USB Portable Charger"/>
    <n v="149.97"/>
    <n v="3"/>
    <n v="5.9988000000000001"/>
    <n v="4"/>
  </r>
  <r>
    <s v="CA-2019-114489"/>
    <x v="444"/>
    <s v="JE-16165"/>
    <s v="Justin Ellison"/>
    <s v="United States"/>
    <x v="3"/>
    <x v="0"/>
    <s v="Anker Astro 15000mAh USB Portable Charger"/>
    <n v="149.97"/>
    <n v="3"/>
    <n v="5.9988000000000001"/>
    <n v="4"/>
  </r>
  <r>
    <s v="CA-2020-135034"/>
    <x v="61"/>
    <s v="AT-10735"/>
    <s v="Annie Thurman"/>
    <s v="United States"/>
    <x v="3"/>
    <x v="0"/>
    <s v="JBL Micro Wireless Portable Bluetooth Speaker"/>
    <n v="113.98399999999999"/>
    <n v="2"/>
    <n v="5.9989999999999997"/>
    <n v="5.2630193711398094"/>
  </r>
  <r>
    <s v="CA-2020-164819"/>
    <x v="545"/>
    <s v="RS-19420"/>
    <s v="Ricardo Sperren"/>
    <s v="United States"/>
    <x v="0"/>
    <x v="1"/>
    <s v="Permanent Self-Adhesive File Folder Labels for Typewriters by Universal"/>
    <n v="138.05000000000001"/>
    <n v="5"/>
    <n v="6.0030000000000001"/>
    <n v="4.3484244838826509"/>
  </r>
  <r>
    <s v="CA-2019-157364"/>
    <x v="319"/>
    <s v="LT-17110"/>
    <s v="Liz Thompson"/>
    <s v="United States"/>
    <x v="1"/>
    <x v="1"/>
    <s v="Deluxe Chalkboard Eraser Cleaner"/>
    <n v="18.48"/>
    <n v="2"/>
    <n v="6.0060000000000002"/>
    <n v="32.5"/>
  </r>
  <r>
    <s v="CA-2019-158155"/>
    <x v="139"/>
    <s v="EH-13765"/>
    <s v="Edward Hooks"/>
    <s v="United States"/>
    <x v="0"/>
    <x v="1"/>
    <s v="Southworth Parchment Paper &amp; Envelopes"/>
    <n v="13.08"/>
    <n v="2"/>
    <n v="6.0167999999999999"/>
    <n v="46"/>
  </r>
  <r>
    <s v="CA-2019-145905"/>
    <x v="99"/>
    <s v="AM-10705"/>
    <s v="Anne McFarland"/>
    <s v="United States"/>
    <x v="1"/>
    <x v="1"/>
    <s v="Southworth Parchment Paper &amp; Envelopes"/>
    <n v="13.08"/>
    <n v="2"/>
    <n v="6.0167999999999999"/>
    <n v="46"/>
  </r>
  <r>
    <s v="CA-2019-124485"/>
    <x v="289"/>
    <s v="NC-18340"/>
    <s v="Nat Carroll"/>
    <s v="United States"/>
    <x v="0"/>
    <x v="1"/>
    <s v="Acco PRESSTEX Data Binder with Storage Hooks, Light Blue, 9 1/2&quot; X 11&quot;"/>
    <n v="17.216000000000001"/>
    <n v="4"/>
    <n v="6.0255999999999998"/>
    <n v="35"/>
  </r>
  <r>
    <s v="CA-2019-123358"/>
    <x v="377"/>
    <s v="BT-11680"/>
    <s v="Brian Thompson"/>
    <s v="United States"/>
    <x v="2"/>
    <x v="1"/>
    <s v="Rogers Profile Extra Capacity Storage Tub"/>
    <n v="150.66"/>
    <n v="9"/>
    <n v="6.0263999999999998"/>
    <n v="4"/>
  </r>
  <r>
    <s v="CA-2019-147067"/>
    <x v="60"/>
    <s v="JD-16150"/>
    <s v="Justin Deggeller"/>
    <s v="United States"/>
    <x v="3"/>
    <x v="2"/>
    <s v="Eldon 200 Class Desk Accessories"/>
    <n v="18.84"/>
    <n v="3"/>
    <n v="6.0288000000000004"/>
    <n v="32"/>
  </r>
  <r>
    <s v="CA-2020-120168"/>
    <x v="347"/>
    <s v="TB-21625"/>
    <s v="Trudy Brown"/>
    <s v="United States"/>
    <x v="0"/>
    <x v="2"/>
    <s v="Eldon 200 Class Desk Accessories"/>
    <n v="142.84"/>
    <n v="3"/>
    <n v="6.0288000000000004"/>
    <n v="4.2206664799775968"/>
  </r>
  <r>
    <s v="CA-2020-107125"/>
    <x v="464"/>
    <s v="BD-11320"/>
    <s v="Bill Donatelli"/>
    <s v="United States"/>
    <x v="2"/>
    <x v="2"/>
    <s v="Eldon 200 Class Desk Accessories"/>
    <n v="155.84"/>
    <n v="3"/>
    <n v="6.0288000000000004"/>
    <n v="3.868583162217659"/>
  </r>
  <r>
    <s v="CA-2019-155474"/>
    <x v="336"/>
    <s v="CC-12220"/>
    <s v="Chris Cortes"/>
    <s v="United States"/>
    <x v="2"/>
    <x v="1"/>
    <s v="Fellowes Twister Kit, Gray/Clear, 3/pkg"/>
    <n v="19.295999999999999"/>
    <n v="3"/>
    <n v="6.03"/>
    <n v="31.25"/>
  </r>
  <r>
    <s v="CA-2019-168921"/>
    <x v="326"/>
    <s v="AG-10495"/>
    <s v="Andrew Gjertsen"/>
    <s v="United States"/>
    <x v="2"/>
    <x v="1"/>
    <s v="Fellowes Twister Kit, Gray/Clear, 3/pkg"/>
    <n v="19.295999999999999"/>
    <n v="3"/>
    <n v="6.03"/>
    <n v="31.25"/>
  </r>
  <r>
    <s v="CA-2020-112774"/>
    <x v="183"/>
    <s v="RC-19960"/>
    <s v="Ryan Crowe"/>
    <s v="United States"/>
    <x v="1"/>
    <x v="2"/>
    <s v="Howard Miller 11-1/2&quot; Diameter Grantwood Wall Clock"/>
    <n v="111.504"/>
    <n v="1"/>
    <n v="6.0381999999999998"/>
    <n v="5.4152317405653605"/>
  </r>
  <r>
    <s v="CA-2020-103065"/>
    <x v="170"/>
    <s v="PT-19090"/>
    <s v="Pete Takahito"/>
    <s v="United States"/>
    <x v="1"/>
    <x v="2"/>
    <s v="DAX Wood Document Frame."/>
    <n v="137.93600000000001"/>
    <n v="4"/>
    <n v="6.0411999999999999"/>
    <n v="4.3797123303561065"/>
  </r>
  <r>
    <s v="CA-2019-165330"/>
    <x v="111"/>
    <s v="WB-21850"/>
    <s v="William Brown"/>
    <s v="United States"/>
    <x v="2"/>
    <x v="1"/>
    <s v="Boston 16765 Mini Stand Up Battery Pencil Sharpener"/>
    <n v="23.32"/>
    <n v="2"/>
    <n v="6.0632000000000001"/>
    <n v="26"/>
  </r>
  <r>
    <s v="CA-2020-102974"/>
    <x v="121"/>
    <s v="DP-13105"/>
    <s v="Dave Poirier"/>
    <s v="United States"/>
    <x v="2"/>
    <x v="1"/>
    <s v="Boston 16765 Mini Stand Up Battery Pencil Sharpener"/>
    <n v="146.32"/>
    <n v="2"/>
    <n v="6.0632000000000001"/>
    <n v="4.1437944231820669"/>
  </r>
  <r>
    <s v="CA-2019-160745"/>
    <x v="111"/>
    <s v="AR-10825"/>
    <s v="Anthony Rawles"/>
    <s v="United States"/>
    <x v="2"/>
    <x v="2"/>
    <s v="3M Hangers With Command Adhesive"/>
    <n v="14.8"/>
    <n v="4"/>
    <n v="6.0679999999999996"/>
    <n v="41"/>
  </r>
  <r>
    <s v="CA-2020-105235"/>
    <x v="372"/>
    <s v="SM-20950"/>
    <s v="Suzanne McNair"/>
    <s v="United States"/>
    <x v="0"/>
    <x v="2"/>
    <s v="Eldon Expressions Wood and Plastic Desk Accessories, Cherry Wood"/>
    <n v="129.94"/>
    <n v="3"/>
    <n v="6.0726000000000004"/>
    <n v="4.6733877174080352"/>
  </r>
  <r>
    <s v="CA-2020-108091"/>
    <x v="417"/>
    <s v="EK-13795"/>
    <s v="Eileen Kiefer"/>
    <s v="United States"/>
    <x v="2"/>
    <x v="1"/>
    <s v="Newell 328"/>
    <n v="129.36000000000001"/>
    <n v="4"/>
    <n v="6.0735999999999999"/>
    <n v="4.6951144094001229"/>
  </r>
  <r>
    <s v="US-2020-117450"/>
    <x v="130"/>
    <s v="DO-13645"/>
    <s v="Doug O'Connell"/>
    <s v="United States"/>
    <x v="1"/>
    <x v="2"/>
    <s v="Global Value Steno Chair, Gray"/>
    <n v="112.184"/>
    <n v="2"/>
    <n v="6.0739999999999998"/>
    <n v="5.4143193325251371"/>
  </r>
  <r>
    <s v="CA-2020-137428"/>
    <x v="505"/>
    <s v="AY-10555"/>
    <s v="Andy Yotov"/>
    <s v="United States"/>
    <x v="2"/>
    <x v="2"/>
    <s v="Global Value Steno Chair, Gray"/>
    <n v="386.18400000000003"/>
    <n v="2"/>
    <n v="6.0739999999999998"/>
    <n v="1.5728253889337722"/>
  </r>
  <r>
    <s v="CA-2020-133431"/>
    <x v="93"/>
    <s v="LC-17140"/>
    <s v="Logan Currie"/>
    <s v="United States"/>
    <x v="2"/>
    <x v="1"/>
    <s v="Ampad Gold Fibre Wirebound Steno Books, 6&quot; x 9&quot;, Gregg Ruled"/>
    <n v="541.23"/>
    <n v="3"/>
    <n v="6.0857999999999999"/>
    <n v="1.1244387783382295"/>
  </r>
  <r>
    <s v="CA-2019-163167"/>
    <x v="173"/>
    <s v="RF-19345"/>
    <s v="Randy Ferguson"/>
    <s v="United States"/>
    <x v="1"/>
    <x v="0"/>
    <s v="Kingston Digital DataTraveler 32GB USB 2.0"/>
    <n v="101.7"/>
    <n v="6"/>
    <n v="6.1020000000000003"/>
    <n v="6.0000000000000009"/>
  </r>
  <r>
    <s v="CA-2019-169194"/>
    <x v="295"/>
    <s v="LH-16900"/>
    <s v="Lena Hernandez"/>
    <s v="United States"/>
    <x v="0"/>
    <x v="0"/>
    <s v="LF Elite 3D Dazzle Designer Hard Case Cover, Lf Stylus Pen and Wiper For Apple Iphone 5c Mini Lite"/>
    <n v="21.8"/>
    <n v="2"/>
    <n v="6.1040000000000001"/>
    <n v="27.999999999999996"/>
  </r>
  <r>
    <s v="CA-2019-159212"/>
    <x v="564"/>
    <s v="KM-16375"/>
    <s v="Katherine Murray"/>
    <s v="United States"/>
    <x v="1"/>
    <x v="0"/>
    <s v="LF Elite 3D Dazzle Designer Hard Case Cover, Lf Stylus Pen and Wiper For Apple Iphone 5c Mini Lite"/>
    <n v="21.8"/>
    <n v="2"/>
    <n v="6.1040000000000001"/>
    <n v="27.999999999999996"/>
  </r>
  <r>
    <s v="CA-2019-166226"/>
    <x v="313"/>
    <s v="TC-21535"/>
    <s v="Tracy Collins"/>
    <s v="United States"/>
    <x v="2"/>
    <x v="0"/>
    <s v="Grandstream GXP2100 Mainstream Business Phone"/>
    <n v="61.192"/>
    <n v="1"/>
    <n v="6.1192000000000002"/>
    <n v="10"/>
  </r>
  <r>
    <s v="CA-2020-163139"/>
    <x v="265"/>
    <s v="CC-12670"/>
    <s v="Craig Carreira"/>
    <s v="United States"/>
    <x v="0"/>
    <x v="1"/>
    <s v="Acco 3-Hole Punch"/>
    <n v="118.52"/>
    <n v="5"/>
    <n v="6.1319999999999997"/>
    <n v="5.1738103273709077"/>
  </r>
  <r>
    <s v="CA-2019-140130"/>
    <x v="330"/>
    <s v="HW-14935"/>
    <s v="Helen Wasserman"/>
    <s v="United States"/>
    <x v="3"/>
    <x v="1"/>
    <s v="Fiskars Softgrip Scissors"/>
    <n v="21.96"/>
    <n v="2"/>
    <n v="6.1487999999999996"/>
    <n v="27.999999999999996"/>
  </r>
  <r>
    <s v="CA-2020-117009"/>
    <x v="10"/>
    <s v="BK-11260"/>
    <s v="Berenike Kampe"/>
    <s v="United States"/>
    <x v="2"/>
    <x v="1"/>
    <s v="Fiskars Softgrip Scissors"/>
    <n v="123.96"/>
    <n v="2"/>
    <n v="6.1487999999999996"/>
    <n v="4.9603097773475318"/>
  </r>
  <r>
    <s v="CA-2019-166618"/>
    <x v="296"/>
    <s v="DP-13000"/>
    <s v="Darren Powers"/>
    <s v="United States"/>
    <x v="0"/>
    <x v="1"/>
    <s v="Boston Home &amp; Office Model 2000 Electric Pencil Sharpeners"/>
    <n v="23.65"/>
    <n v="1"/>
    <n v="6.149"/>
    <n v="26"/>
  </r>
  <r>
    <s v="CA-2020-148355"/>
    <x v="437"/>
    <s v="NC-18535"/>
    <s v="Nick Crebassa"/>
    <s v="United States"/>
    <x v="0"/>
    <x v="1"/>
    <s v="Avery Triangle Shaped Sheet Lifters, Black, 2/Pack"/>
    <n v="264.3"/>
    <n v="5"/>
    <n v="6.15"/>
    <n v="2.3269012485811578"/>
  </r>
  <r>
    <s v="CA-2019-136994"/>
    <x v="242"/>
    <s v="LS-17245"/>
    <s v="Lynn Smith"/>
    <s v="United States"/>
    <x v="2"/>
    <x v="1"/>
    <s v="Wirebound Message Books, Four 2 3/4 x 5 White Forms per Page"/>
    <n v="13.38"/>
    <n v="2"/>
    <n v="6.1547999999999998"/>
    <n v="46"/>
  </r>
  <r>
    <s v="CA-2020-141873"/>
    <x v="30"/>
    <s v="HG-14845"/>
    <s v="Harry Greene"/>
    <s v="United States"/>
    <x v="0"/>
    <x v="1"/>
    <s v="Durable Pressboard Binders"/>
    <n v="144.24"/>
    <n v="6"/>
    <n v="6.1559999999999997"/>
    <n v="4.2678868552412634"/>
  </r>
  <r>
    <s v="CA-2019-108868"/>
    <x v="49"/>
    <s v="KB-16585"/>
    <s v="Ken Black"/>
    <s v="United States"/>
    <x v="3"/>
    <x v="1"/>
    <s v="Boston 1645 Deluxe Heavier-Duty Electric Pencil Sharpener"/>
    <n v="70.367999999999995"/>
    <n v="2"/>
    <n v="6.1571999999999996"/>
    <n v="8.75"/>
  </r>
  <r>
    <s v="US-2019-126431"/>
    <x v="471"/>
    <s v="SU-20665"/>
    <s v="Stephanie Ulpright"/>
    <s v="United States"/>
    <x v="0"/>
    <x v="0"/>
    <s v="KeyTronic KT400U2 - Keyboard - Black"/>
    <n v="30.84"/>
    <n v="3"/>
    <n v="6.1680000000000001"/>
    <n v="20"/>
  </r>
  <r>
    <s v="CA-2020-113873"/>
    <x v="14"/>
    <s v="KE-16420"/>
    <s v="Katrina Edelman"/>
    <s v="United States"/>
    <x v="3"/>
    <x v="1"/>
    <s v="Eldon ProFile File 'N Store Portable File Tub Letter/Legal Size Black"/>
    <n v="101.792"/>
    <n v="4"/>
    <n v="6.1791999999999998"/>
    <n v="6.0704181075133601"/>
  </r>
  <r>
    <s v="CA-2020-163265"/>
    <x v="363"/>
    <s v="JS-16030"/>
    <s v="Joy Smith"/>
    <s v="United States"/>
    <x v="3"/>
    <x v="1"/>
    <s v="Vinyl Coated Wire Paper Clips in Organizer Box, 800/Box"/>
    <n v="94.367999999999995"/>
    <n v="2"/>
    <n v="6.1992000000000003"/>
    <n v="6.5691759918616492"/>
  </r>
  <r>
    <s v="CA-2020-138464"/>
    <x v="526"/>
    <s v="VF-21715"/>
    <s v="Vicky Freymann"/>
    <s v="United States"/>
    <x v="2"/>
    <x v="1"/>
    <s v="Zebra Zazzle Fluorescent Highlighters"/>
    <n v="117.24"/>
    <n v="3"/>
    <n v="6.2016"/>
    <n v="5.2896622313203689"/>
  </r>
  <r>
    <s v="US-2019-152835"/>
    <x v="427"/>
    <s v="RP-19855"/>
    <s v="Roy Phan"/>
    <s v="United States"/>
    <x v="3"/>
    <x v="1"/>
    <s v="Newell 341"/>
    <n v="21.4"/>
    <n v="5"/>
    <n v="6.2060000000000004"/>
    <n v="29.000000000000004"/>
  </r>
  <r>
    <s v="CA-2020-160934"/>
    <x v="200"/>
    <s v="TT-21460"/>
    <s v="Tonja Turnell"/>
    <s v="United States"/>
    <x v="2"/>
    <x v="1"/>
    <s v="Newell 347"/>
    <n v="108.4"/>
    <n v="5"/>
    <n v="6.2060000000000004"/>
    <n v="5.7250922509225095"/>
  </r>
  <r>
    <s v="US-2019-146710"/>
    <x v="351"/>
    <s v="SS-20875"/>
    <s v="Sung Shariari"/>
    <s v="United States"/>
    <x v="3"/>
    <x v="1"/>
    <s v="Fiskars 8&quot; Scissors, 2/Pack"/>
    <n v="55.167999999999999"/>
    <n v="4"/>
    <n v="6.2064000000000004"/>
    <n v="11.25"/>
  </r>
  <r>
    <s v="CA-2020-135783"/>
    <x v="432"/>
    <s v="GM-14440"/>
    <s v="Gary McGarr"/>
    <s v="United States"/>
    <x v="2"/>
    <x v="2"/>
    <s v="Eldon Stackable Tray, Side-Load, Legal, Smoke"/>
    <n v="109.28"/>
    <n v="2"/>
    <n v="6.2152000000000003"/>
    <n v="5.6874084919472914"/>
  </r>
  <r>
    <s v="CA-2020-143686"/>
    <x v="215"/>
    <s v="PJ-19015"/>
    <s v="Pauline Johnson"/>
    <s v="United States"/>
    <x v="2"/>
    <x v="2"/>
    <s v="Eldon Stackable Tray, Side-Load, Legal, Smoke"/>
    <n v="98.28"/>
    <n v="2"/>
    <n v="6.2152000000000003"/>
    <n v="6.323972323972324"/>
  </r>
  <r>
    <s v="CA-2020-108322"/>
    <x v="105"/>
    <s v="SS-20140"/>
    <s v="Saphhira Shifley"/>
    <s v="United States"/>
    <x v="1"/>
    <x v="2"/>
    <s v="3M Hangers With Command Adhesive"/>
    <n v="103.68"/>
    <n v="8"/>
    <n v="6.2160000000000002"/>
    <n v="5.9953703703703702"/>
  </r>
  <r>
    <s v="CA-2019-146318"/>
    <x v="180"/>
    <s v="MC-17275"/>
    <s v="Marc Crier"/>
    <s v="United States"/>
    <x v="2"/>
    <x v="1"/>
    <s v="Xerox 218"/>
    <n v="12.96"/>
    <n v="2"/>
    <n v="6.2207999999999997"/>
    <n v="47.999999999999993"/>
  </r>
  <r>
    <s v="CA-2019-115504"/>
    <x v="565"/>
    <s v="MC-18130"/>
    <s v="Mike Caudle"/>
    <s v="United States"/>
    <x v="1"/>
    <x v="1"/>
    <s v="Xerox 218"/>
    <n v="12.96"/>
    <n v="2"/>
    <n v="6.2207999999999997"/>
    <n v="47.999999999999993"/>
  </r>
  <r>
    <s v="CA-2019-130477"/>
    <x v="5"/>
    <s v="LC-17140"/>
    <s v="Logan Currie"/>
    <s v="United States"/>
    <x v="2"/>
    <x v="1"/>
    <s v="Xerox 1931"/>
    <n v="12.96"/>
    <n v="2"/>
    <n v="6.2207999999999997"/>
    <n v="47.999999999999993"/>
  </r>
  <r>
    <s v="CA-2019-124814"/>
    <x v="377"/>
    <s v="FM-14215"/>
    <s v="Filia McAdams"/>
    <s v="United States"/>
    <x v="2"/>
    <x v="1"/>
    <s v="Xerox 227"/>
    <n v="12.96"/>
    <n v="2"/>
    <n v="6.2207999999999997"/>
    <n v="47.999999999999993"/>
  </r>
  <r>
    <s v="US-2019-167472"/>
    <x v="428"/>
    <s v="CK-12595"/>
    <s v="Clytie Kelty"/>
    <s v="United States"/>
    <x v="1"/>
    <x v="1"/>
    <s v="Xerox 230"/>
    <n v="12.96"/>
    <n v="2"/>
    <n v="6.2207999999999997"/>
    <n v="47.999999999999993"/>
  </r>
  <r>
    <s v="CA-2019-104633"/>
    <x v="104"/>
    <s v="EA-14035"/>
    <s v="Erin Ashbrook"/>
    <s v="United States"/>
    <x v="2"/>
    <x v="1"/>
    <s v="Xerox 228"/>
    <n v="12.96"/>
    <n v="2"/>
    <n v="6.2207999999999997"/>
    <n v="47.999999999999993"/>
  </r>
  <r>
    <s v="CA-2019-152163"/>
    <x v="471"/>
    <s v="JF-15355"/>
    <s v="Jay Fein"/>
    <s v="United States"/>
    <x v="1"/>
    <x v="1"/>
    <s v="Xerox 210"/>
    <n v="12.96"/>
    <n v="2"/>
    <n v="6.2207999999999997"/>
    <n v="47.999999999999993"/>
  </r>
  <r>
    <s v="CA-2019-130029"/>
    <x v="438"/>
    <s v="GT-14755"/>
    <s v="Guy Thornton"/>
    <s v="United States"/>
    <x v="2"/>
    <x v="1"/>
    <s v="Xerox 200"/>
    <n v="12.96"/>
    <n v="2"/>
    <n v="6.2207999999999997"/>
    <n v="47.999999999999993"/>
  </r>
  <r>
    <s v="CA-2019-106397"/>
    <x v="270"/>
    <s v="MJ-17740"/>
    <s v="Max Jones"/>
    <s v="United States"/>
    <x v="2"/>
    <x v="1"/>
    <s v="Xerox 226"/>
    <n v="12.96"/>
    <n v="2"/>
    <n v="6.2207999999999997"/>
    <n v="47.999999999999993"/>
  </r>
  <r>
    <s v="CA-2019-152520"/>
    <x v="336"/>
    <s v="TH-21115"/>
    <s v="Thea Hudgings"/>
    <s v="United States"/>
    <x v="0"/>
    <x v="1"/>
    <s v="Xerox 213"/>
    <n v="12.96"/>
    <n v="2"/>
    <n v="6.2207999999999997"/>
    <n v="47.999999999999993"/>
  </r>
  <r>
    <s v="US-2019-126452"/>
    <x v="43"/>
    <s v="SC-20230"/>
    <s v="Scot Coram"/>
    <s v="United States"/>
    <x v="2"/>
    <x v="1"/>
    <s v="Xerox 1997"/>
    <n v="12.96"/>
    <n v="2"/>
    <n v="6.2207999999999997"/>
    <n v="47.999999999999993"/>
  </r>
  <r>
    <s v="CA-2019-165820"/>
    <x v="66"/>
    <s v="DW-13585"/>
    <s v="Dorothy Wardle"/>
    <s v="United States"/>
    <x v="2"/>
    <x v="1"/>
    <s v="Xerox 1905"/>
    <n v="12.96"/>
    <n v="2"/>
    <n v="6.2207999999999997"/>
    <n v="47.999999999999993"/>
  </r>
  <r>
    <s v="CA-2019-124352"/>
    <x v="486"/>
    <s v="CD-12790"/>
    <s v="Cynthia Delaney"/>
    <s v="United States"/>
    <x v="3"/>
    <x v="1"/>
    <s v="Xerox 1999"/>
    <n v="12.96"/>
    <n v="2"/>
    <n v="6.2207999999999997"/>
    <n v="47.999999999999993"/>
  </r>
  <r>
    <s v="CA-2019-132997"/>
    <x v="316"/>
    <s v="LW-17215"/>
    <s v="Luke Weiss"/>
    <s v="United States"/>
    <x v="0"/>
    <x v="1"/>
    <s v="Xerox 23"/>
    <n v="12.96"/>
    <n v="2"/>
    <n v="6.2207999999999997"/>
    <n v="47.999999999999993"/>
  </r>
  <r>
    <s v="CA-2020-160927"/>
    <x v="303"/>
    <s v="TM-21010"/>
    <s v="Tamara Manning"/>
    <s v="United States"/>
    <x v="3"/>
    <x v="1"/>
    <s v="Xerox 1997"/>
    <n v="111.96"/>
    <n v="2"/>
    <n v="6.2207999999999997"/>
    <n v="5.5562700964630221"/>
  </r>
  <r>
    <s v="CA-2020-135279"/>
    <x v="262"/>
    <s v="BS-11800"/>
    <s v="Bryan Spruell"/>
    <s v="United States"/>
    <x v="0"/>
    <x v="1"/>
    <s v="Xerox 212"/>
    <n v="144.96"/>
    <n v="2"/>
    <n v="6.2207999999999997"/>
    <n v="4.2913907284768209"/>
  </r>
  <r>
    <s v="CA-2020-107853"/>
    <x v="465"/>
    <s v="CD-11920"/>
    <s v="Carlos Daly"/>
    <s v="United States"/>
    <x v="2"/>
    <x v="1"/>
    <s v="Xerox 201"/>
    <n v="77.959999999999994"/>
    <n v="2"/>
    <n v="6.2207999999999997"/>
    <n v="7.9794766546947153"/>
  </r>
  <r>
    <s v="US-2020-128951"/>
    <x v="205"/>
    <s v="RS-19420"/>
    <s v="Ricardo Sperren"/>
    <s v="United States"/>
    <x v="1"/>
    <x v="1"/>
    <s v="Xerox 1999"/>
    <n v="120.96"/>
    <n v="2"/>
    <n v="6.2207999999999997"/>
    <n v="5.1428571428571423"/>
  </r>
  <r>
    <s v="CA-2020-133046"/>
    <x v="411"/>
    <s v="DK-13375"/>
    <s v="Dennis Kane"/>
    <s v="United States"/>
    <x v="2"/>
    <x v="1"/>
    <s v="Xerox 227"/>
    <n v="124.96"/>
    <n v="2"/>
    <n v="6.2207999999999997"/>
    <n v="4.9782330345710628"/>
  </r>
  <r>
    <s v="CA-2020-101182"/>
    <x v="130"/>
    <s v="KB-16405"/>
    <s v="Katrina Bavinger"/>
    <s v="United States"/>
    <x v="2"/>
    <x v="1"/>
    <s v="Xerox 220"/>
    <n v="100.96"/>
    <n v="2"/>
    <n v="6.2207999999999997"/>
    <n v="6.1616481774960379"/>
  </r>
  <r>
    <s v="CA-2020-149559"/>
    <x v="183"/>
    <s v="KF-16285"/>
    <s v="Karen Ferguson"/>
    <s v="United States"/>
    <x v="2"/>
    <x v="1"/>
    <s v="Xerox 1996"/>
    <n v="115.96"/>
    <n v="2"/>
    <n v="6.2207999999999997"/>
    <n v="5.3646084856847187"/>
  </r>
  <r>
    <s v="CA-2020-161970"/>
    <x v="10"/>
    <s v="PB-19105"/>
    <s v="Peter Bühler"/>
    <s v="United States"/>
    <x v="1"/>
    <x v="1"/>
    <s v="Xerox 219"/>
    <n v="114.96"/>
    <n v="2"/>
    <n v="6.2207999999999997"/>
    <n v="5.4112734864300629"/>
  </r>
  <r>
    <s v="CA-2020-102309"/>
    <x v="71"/>
    <s v="DO-13645"/>
    <s v="Doug O'Connell"/>
    <s v="United States"/>
    <x v="1"/>
    <x v="1"/>
    <s v="Xerox 225"/>
    <n v="115.96"/>
    <n v="2"/>
    <n v="6.2207999999999997"/>
    <n v="5.3646084856847187"/>
  </r>
  <r>
    <s v="CA-2020-165603"/>
    <x v="517"/>
    <s v="SS-20140"/>
    <s v="Saphhira Shifley"/>
    <s v="United States"/>
    <x v="0"/>
    <x v="1"/>
    <s v="Xerox 1958"/>
    <n v="115.96"/>
    <n v="2"/>
    <n v="6.2207999999999997"/>
    <n v="5.3646084856847187"/>
  </r>
  <r>
    <s v="CA-2020-157196"/>
    <x v="181"/>
    <s v="AA-10645"/>
    <s v="Anna Andreadi"/>
    <s v="United States"/>
    <x v="2"/>
    <x v="1"/>
    <s v="Xerox 1996"/>
    <n v="88.96"/>
    <n v="2"/>
    <n v="6.2207999999999997"/>
    <n v="6.9928057553956844"/>
  </r>
  <r>
    <s v="CA-2020-102925"/>
    <x v="181"/>
    <s v="CD-12280"/>
    <s v="Christina DeMoss"/>
    <s v="United States"/>
    <x v="0"/>
    <x v="1"/>
    <s v="Xerox 202"/>
    <n v="100.96"/>
    <n v="2"/>
    <n v="6.2207999999999997"/>
    <n v="6.1616481774960379"/>
  </r>
  <r>
    <s v="CA-2020-168641"/>
    <x v="225"/>
    <s v="KA-16525"/>
    <s v="Kelly Andreada"/>
    <s v="United States"/>
    <x v="0"/>
    <x v="1"/>
    <s v="Xerox 214"/>
    <n v="111.96"/>
    <n v="2"/>
    <n v="6.2207999999999997"/>
    <n v="5.5562700964630221"/>
  </r>
  <r>
    <s v="CA-2020-139199"/>
    <x v="356"/>
    <s v="DK-12835"/>
    <s v="Damala Kotsonis"/>
    <s v="United States"/>
    <x v="3"/>
    <x v="1"/>
    <s v="Xerox 1946"/>
    <n v="118.96"/>
    <n v="2"/>
    <n v="6.2207999999999997"/>
    <n v="5.2293207800941497"/>
  </r>
  <r>
    <s v="CA-2020-107748"/>
    <x v="409"/>
    <s v="AG-10330"/>
    <s v="Alex Grayson"/>
    <s v="United States"/>
    <x v="2"/>
    <x v="1"/>
    <s v="Xerox 225"/>
    <n v="385.96"/>
    <n v="2"/>
    <n v="6.2207999999999997"/>
    <n v="1.6117732407503367"/>
  </r>
  <r>
    <s v="CA-2020-102099"/>
    <x v="339"/>
    <s v="EP-13915"/>
    <s v="Emily Phan"/>
    <s v="United States"/>
    <x v="2"/>
    <x v="1"/>
    <s v="Xerox 1996"/>
    <n v="267.95999999999998"/>
    <n v="2"/>
    <n v="6.2207999999999997"/>
    <n v="2.3215405284370805"/>
  </r>
  <r>
    <s v="US-2019-152415"/>
    <x v="186"/>
    <s v="PO-18865"/>
    <s v="Patrick O'Donnell"/>
    <s v="United States"/>
    <x v="0"/>
    <x v="2"/>
    <s v="C-Line Magnetic Cubicle Keepers, Clear Polypropylene"/>
    <n v="14.82"/>
    <n v="3"/>
    <n v="6.2244000000000002"/>
    <n v="42"/>
  </r>
  <r>
    <s v="CA-2019-147585"/>
    <x v="316"/>
    <s v="CB-12535"/>
    <s v="Claudia Bergmann"/>
    <s v="United States"/>
    <x v="2"/>
    <x v="2"/>
    <s v="C-Line Magnetic Cubicle Keepers, Clear Polypropylene"/>
    <n v="14.82"/>
    <n v="3"/>
    <n v="6.2244000000000002"/>
    <n v="42"/>
  </r>
  <r>
    <s v="CA-2019-102596"/>
    <x v="343"/>
    <s v="RD-19810"/>
    <s v="Ross DeVincentis"/>
    <s v="United States"/>
    <x v="0"/>
    <x v="1"/>
    <s v="OIC Colored Binder Clips, Assorted Sizes"/>
    <n v="17.184000000000001"/>
    <n v="6"/>
    <n v="6.2291999999999996"/>
    <n v="36.249999999999993"/>
  </r>
  <r>
    <s v="CA-2020-102155"/>
    <x v="371"/>
    <s v="RR-19525"/>
    <s v="Rick Reed"/>
    <s v="United States"/>
    <x v="3"/>
    <x v="1"/>
    <s v="Strathmore Photo Mount Cards"/>
    <n v="87.56"/>
    <n v="2"/>
    <n v="6.2375999999999996"/>
    <n v="7.1238008222932843"/>
  </r>
  <r>
    <s v="CA-2019-139269"/>
    <x v="566"/>
    <s v="JB-16045"/>
    <s v="Julia Barnett"/>
    <s v="United States"/>
    <x v="1"/>
    <x v="2"/>
    <s v="Eldon Expressions Mahogany Wood Desk Collection"/>
    <n v="24.96"/>
    <n v="4"/>
    <n v="6.24"/>
    <n v="25"/>
  </r>
  <r>
    <s v="CA-2019-110772"/>
    <x v="165"/>
    <s v="NZ-18565"/>
    <s v="Nick Zandusky"/>
    <s v="United States"/>
    <x v="0"/>
    <x v="1"/>
    <s v="Avery 512"/>
    <n v="18.495999999999999"/>
    <n v="8"/>
    <n v="6.2423999999999999"/>
    <n v="33.75"/>
  </r>
  <r>
    <s v="CA-2019-157000"/>
    <x v="133"/>
    <s v="AM-10360"/>
    <s v="Alice McCarthy"/>
    <s v="United States"/>
    <x v="3"/>
    <x v="1"/>
    <s v="Southworth 25% Cotton Antique Laid Paper &amp; Envelopes"/>
    <n v="20.015999999999998"/>
    <n v="3"/>
    <n v="6.2549999999999999"/>
    <n v="31.25"/>
  </r>
  <r>
    <s v="CA-2019-105816"/>
    <x v="111"/>
    <s v="JM-15265"/>
    <s v="Janet Molinari"/>
    <s v="United States"/>
    <x v="0"/>
    <x v="1"/>
    <s v="Advantus Push Pins"/>
    <n v="15.26"/>
    <n v="7"/>
    <n v="6.2565999999999997"/>
    <n v="41"/>
  </r>
  <r>
    <s v="CA-2020-117863"/>
    <x v="352"/>
    <s v="TS-21340"/>
    <s v="Toby Swindell"/>
    <s v="United States"/>
    <x v="0"/>
    <x v="2"/>
    <s v="Master Caster Door Stop, Large Neon Orange"/>
    <n v="112.56"/>
    <n v="2"/>
    <n v="6.2607999999999997"/>
    <n v="5.5621890547263675"/>
  </r>
  <r>
    <s v="CA-2019-149111"/>
    <x v="544"/>
    <s v="BF-11170"/>
    <s v="Ben Ferrer"/>
    <s v="United States"/>
    <x v="1"/>
    <x v="2"/>
    <s v="GE General Purpose, Extra Long Life, Showcase &amp; Floodlight Incandescent Bulbs"/>
    <n v="18.623999999999999"/>
    <n v="8"/>
    <n v="6.2855999999999996"/>
    <n v="33.75"/>
  </r>
  <r>
    <s v="US-2019-154361"/>
    <x v="291"/>
    <s v="HZ-14950"/>
    <s v="Henia Zydlo"/>
    <s v="United States"/>
    <x v="0"/>
    <x v="2"/>
    <s v="Advantus Panel Wall Acrylic Frame"/>
    <n v="21.88"/>
    <n v="5"/>
    <n v="6.2904999999999998"/>
    <n v="28.749999999999996"/>
  </r>
  <r>
    <s v="CA-2019-124149"/>
    <x v="567"/>
    <s v="MJ-17740"/>
    <s v="Max Jones"/>
    <s v="United States"/>
    <x v="0"/>
    <x v="1"/>
    <s v="Eldon Fold 'N Roll Cart System"/>
    <n v="55.92"/>
    <n v="5"/>
    <n v="6.2910000000000004"/>
    <n v="11.25"/>
  </r>
  <r>
    <s v="US-2020-158505"/>
    <x v="102"/>
    <s v="SF-20200"/>
    <s v="Sarah Foster"/>
    <s v="United States"/>
    <x v="2"/>
    <x v="0"/>
    <s v="PayAnywhere Card Reader"/>
    <n v="114.928"/>
    <n v="9"/>
    <n v="6.2937000000000003"/>
    <n v="5.4762111930948079"/>
  </r>
  <r>
    <s v="CA-2019-164896"/>
    <x v="316"/>
    <s v="PS-19045"/>
    <s v="Penelope Sewall"/>
    <s v="United States"/>
    <x v="2"/>
    <x v="1"/>
    <s v="Wirebound Four 2-3/4 x 5 Forms per Page, 400 Sets per Book"/>
    <n v="12.9"/>
    <n v="2"/>
    <n v="6.3209999999999997"/>
    <n v="49"/>
  </r>
  <r>
    <s v="CA-2019-156748"/>
    <x v="515"/>
    <s v="BS-11755"/>
    <s v="Bruce Stewart"/>
    <s v="United States"/>
    <x v="3"/>
    <x v="1"/>
    <s v="Adams Phone Message Book, 200 Message Capacity, 8 1/16” x 11”"/>
    <n v="13.76"/>
    <n v="2"/>
    <n v="6.3296000000000001"/>
    <n v="46"/>
  </r>
  <r>
    <s v="CA-2020-117695"/>
    <x v="568"/>
    <s v="PW-19030"/>
    <s v="Pauline Webber"/>
    <s v="United States"/>
    <x v="1"/>
    <x v="1"/>
    <s v="Adams Phone Message Book, 200 Message Capacity, 8 1/16” x 11”"/>
    <n v="123.76"/>
    <n v="2"/>
    <n v="6.3296000000000001"/>
    <n v="5.1144149967679384"/>
  </r>
  <r>
    <s v="CA-2020-100111"/>
    <x v="495"/>
    <s v="SV-20365"/>
    <s v="Seth Vernon"/>
    <s v="United States"/>
    <x v="0"/>
    <x v="1"/>
    <s v="Adams Phone Message Book, 200 Message Capacity, 8 1/16” x 11”"/>
    <n v="122.76"/>
    <n v="2"/>
    <n v="6.3296000000000001"/>
    <n v="5.1560768980123814"/>
  </r>
  <r>
    <s v="CA-2020-105053"/>
    <x v="135"/>
    <s v="CS-12355"/>
    <s v="Christine Sundaresam"/>
    <s v="United States"/>
    <x v="0"/>
    <x v="1"/>
    <s v="Wilson Jones Active Use Binders"/>
    <n v="129.47200000000001"/>
    <n v="3"/>
    <n v="6.3335999999999997"/>
    <n v="4.8918685121107259"/>
  </r>
  <r>
    <s v="CA-2019-137337"/>
    <x v="277"/>
    <s v="GB-14575"/>
    <s v="Giulietta Baptist"/>
    <s v="United States"/>
    <x v="0"/>
    <x v="1"/>
    <s v="Xerox 1993"/>
    <n v="12.96"/>
    <n v="2"/>
    <n v="6.3503999999999996"/>
    <n v="48.999999999999993"/>
  </r>
  <r>
    <s v="US-2019-134369"/>
    <x v="338"/>
    <s v="BC-11125"/>
    <s v="Becky Castell"/>
    <s v="United States"/>
    <x v="2"/>
    <x v="1"/>
    <s v="Xerox 1966"/>
    <n v="12.96"/>
    <n v="2"/>
    <n v="6.3503999999999996"/>
    <n v="48.999999999999993"/>
  </r>
  <r>
    <s v="CA-2019-114895"/>
    <x v="284"/>
    <s v="MV-18190"/>
    <s v="Mike Vittorini"/>
    <s v="United States"/>
    <x v="0"/>
    <x v="1"/>
    <s v="Xerox 1975"/>
    <n v="12.96"/>
    <n v="2"/>
    <n v="6.3503999999999996"/>
    <n v="48.999999999999993"/>
  </r>
  <r>
    <s v="US-2020-147886"/>
    <x v="208"/>
    <s v="DH-13075"/>
    <s v="Dave Hallsten"/>
    <s v="United States"/>
    <x v="2"/>
    <x v="1"/>
    <s v="Xerox 1975"/>
    <n v="90.96"/>
    <n v="2"/>
    <n v="6.3503999999999996"/>
    <n v="6.9815303430079165"/>
  </r>
  <r>
    <s v="CA-2020-137470"/>
    <x v="166"/>
    <s v="TP-21415"/>
    <s v="Tom Prescott"/>
    <s v="United States"/>
    <x v="2"/>
    <x v="1"/>
    <s v="Xerox 1984"/>
    <n v="135.96"/>
    <n v="2"/>
    <n v="6.3503999999999996"/>
    <n v="4.6707855251544572"/>
  </r>
  <r>
    <s v="CA-2020-122770"/>
    <x v="547"/>
    <s v="EP-13915"/>
    <s v="Emily Phan"/>
    <s v="United States"/>
    <x v="2"/>
    <x v="1"/>
    <s v="Xerox 1975"/>
    <n v="323.95999999999998"/>
    <n v="2"/>
    <n v="6.3503999999999996"/>
    <n v="1.9602420051858254"/>
  </r>
  <r>
    <s v="CA-2020-167941"/>
    <x v="174"/>
    <s v="JF-15565"/>
    <s v="Jill Fjeld"/>
    <s v="United States"/>
    <x v="1"/>
    <x v="2"/>
    <s v="Executive Impressions 12&quot; Wall Clock"/>
    <n v="107.27200000000001"/>
    <n v="2"/>
    <n v="6.3612000000000002"/>
    <n v="5.9299724065925865"/>
  </r>
  <r>
    <s v="CA-2020-144113"/>
    <x v="35"/>
    <s v="JF-15355"/>
    <s v="Jay Fein"/>
    <s v="United States"/>
    <x v="3"/>
    <x v="1"/>
    <s v="Manila Recycled Extra-Heavyweight Clasp Envelopes, 6&quot; x 9&quot;"/>
    <n v="107.568"/>
    <n v="2"/>
    <n v="6.3684000000000003"/>
    <n v="5.9203480589022766"/>
  </r>
  <r>
    <s v="US-2019-155404"/>
    <x v="381"/>
    <s v="AS-10630"/>
    <s v="Ann Steele"/>
    <s v="United States"/>
    <x v="1"/>
    <x v="2"/>
    <s v="G.E. Longer-Life Indoor Recessed Floodlight Bulbs"/>
    <n v="13.28"/>
    <n v="2"/>
    <n v="6.3743999999999996"/>
    <n v="48"/>
  </r>
  <r>
    <s v="CA-2020-113670"/>
    <x v="545"/>
    <s v="RS-19765"/>
    <s v="Roland Schwarz"/>
    <s v="United States"/>
    <x v="2"/>
    <x v="2"/>
    <s v="Bush Advantage Collection Round Conference Table"/>
    <n v="560.24"/>
    <n v="3"/>
    <n v="6.3780000000000001"/>
    <n v="1.1384406682850208"/>
  </r>
  <r>
    <s v="CA-2020-153045"/>
    <x v="150"/>
    <s v="NS-18505"/>
    <s v="Neola Schneider"/>
    <s v="United States"/>
    <x v="0"/>
    <x v="2"/>
    <s v="12-1/2 Diameter Round Wall Clock"/>
    <n v="124.968"/>
    <n v="2"/>
    <n v="6.3936000000000002"/>
    <n v="5.1161897445746112"/>
  </r>
  <r>
    <s v="CA-2019-145135"/>
    <x v="127"/>
    <s v="CD-12790"/>
    <s v="Cynthia Delaney"/>
    <s v="United States"/>
    <x v="0"/>
    <x v="1"/>
    <s v="Xerox 1959"/>
    <n v="13.36"/>
    <n v="2"/>
    <n v="6.4127999999999998"/>
    <n v="48"/>
  </r>
  <r>
    <s v="US-2019-103674"/>
    <x v="431"/>
    <s v="AP-10720"/>
    <s v="Anne Pryor"/>
    <s v="United States"/>
    <x v="2"/>
    <x v="1"/>
    <s v="Xerox 1977"/>
    <n v="13.36"/>
    <n v="2"/>
    <n v="6.4127999999999998"/>
    <n v="48"/>
  </r>
  <r>
    <s v="US-2020-108343"/>
    <x v="384"/>
    <s v="AR-10825"/>
    <s v="Anthony Rawles"/>
    <s v="United States"/>
    <x v="0"/>
    <x v="1"/>
    <s v="Xerox 1977"/>
    <n v="105.36"/>
    <n v="2"/>
    <n v="6.4127999999999998"/>
    <n v="6.0865603644646926"/>
  </r>
  <r>
    <s v="CA-2020-162929"/>
    <x v="4"/>
    <s v="AS-10135"/>
    <s v="Adrian Shami"/>
    <s v="United States"/>
    <x v="0"/>
    <x v="1"/>
    <s v="Xerox 1898"/>
    <n v="103.36"/>
    <n v="2"/>
    <n v="6.4127999999999998"/>
    <n v="6.2043343653250771"/>
  </r>
  <r>
    <s v="CA-2020-161578"/>
    <x v="505"/>
    <s v="RB-19465"/>
    <s v="Rick Bensley"/>
    <s v="United States"/>
    <x v="2"/>
    <x v="1"/>
    <s v="Xerox 1898"/>
    <n v="302.36"/>
    <n v="2"/>
    <n v="6.4127999999999998"/>
    <n v="2.1209154650085988"/>
  </r>
  <r>
    <s v="CA-2020-135069"/>
    <x v="404"/>
    <s v="BS-11755"/>
    <s v="Bruce Stewart"/>
    <s v="United States"/>
    <x v="0"/>
    <x v="2"/>
    <s v="Linden 10&quot; Round Wall Clock, Black"/>
    <n v="133.672"/>
    <n v="3"/>
    <n v="6.4176000000000002"/>
    <n v="4.8010054461667364"/>
  </r>
  <r>
    <s v="CA-2020-117044"/>
    <x v="183"/>
    <s v="HA-14920"/>
    <s v="Helen Andreada"/>
    <s v="United States"/>
    <x v="3"/>
    <x v="1"/>
    <s v="Xerox 1927"/>
    <n v="107.544"/>
    <n v="6"/>
    <n v="6.42"/>
    <n v="5.969649631778621"/>
  </r>
  <r>
    <s v="CA-2020-112984"/>
    <x v="35"/>
    <s v="EH-14185"/>
    <s v="Evan Henry"/>
    <s v="United States"/>
    <x v="0"/>
    <x v="1"/>
    <s v="Xerox 1927"/>
    <n v="142.54400000000001"/>
    <n v="6"/>
    <n v="6.42"/>
    <n v="4.5038724884947801"/>
  </r>
  <r>
    <s v="CA-2019-141397"/>
    <x v="295"/>
    <s v="RC-19825"/>
    <s v="Roy Collins"/>
    <s v="United States"/>
    <x v="2"/>
    <x v="1"/>
    <s v="GBC Plastic Binding Combs"/>
    <n v="17.712"/>
    <n v="3"/>
    <n v="6.4206000000000003"/>
    <n v="36.250000000000007"/>
  </r>
  <r>
    <s v="CA-2019-114951"/>
    <x v="454"/>
    <s v="DN-13690"/>
    <s v="Duane Noonan"/>
    <s v="United States"/>
    <x v="2"/>
    <x v="2"/>
    <s v="Eldon Expressions Wood Desk Accessories, Oak"/>
    <n v="22.14"/>
    <n v="3"/>
    <n v="6.4206000000000003"/>
    <n v="28.999999999999996"/>
  </r>
  <r>
    <s v="CA-2019-113138"/>
    <x v="319"/>
    <s v="NP-18685"/>
    <s v="Nora Pelletier"/>
    <s v="United States"/>
    <x v="0"/>
    <x v="1"/>
    <s v="GBC Plastic Binding Combs"/>
    <n v="17.712"/>
    <n v="3"/>
    <n v="6.4206000000000003"/>
    <n v="36.250000000000007"/>
  </r>
  <r>
    <s v="CA-2020-111591"/>
    <x v="450"/>
    <s v="PS-18970"/>
    <s v="Paul Stevenson"/>
    <s v="United States"/>
    <x v="2"/>
    <x v="2"/>
    <s v="Eldon Expressions Wood Desk Accessories, Oak"/>
    <n v="119.14"/>
    <n v="3"/>
    <n v="6.4206000000000003"/>
    <n v="5.3891220412959546"/>
  </r>
  <r>
    <s v="CA-2020-164826"/>
    <x v="240"/>
    <s v="JF-15415"/>
    <s v="Jennifer Ferguson"/>
    <s v="United States"/>
    <x v="0"/>
    <x v="1"/>
    <s v="OIC Bulk Pack Metal Binder Clips"/>
    <n v="138.96"/>
    <n v="4"/>
    <n v="6.4215999999999998"/>
    <n v="4.6211859527921701"/>
  </r>
  <r>
    <s v="CA-2019-146374"/>
    <x v="444"/>
    <s v="HE-14800"/>
    <s v="Harold Engle"/>
    <s v="United States"/>
    <x v="0"/>
    <x v="2"/>
    <s v="Electrix 20W Halogen Replacement Bulb for Zoom-In Desk Lamp"/>
    <n v="13.4"/>
    <n v="1"/>
    <n v="6.4320000000000004"/>
    <n v="48.000000000000007"/>
  </r>
  <r>
    <s v="CA-2020-161970"/>
    <x v="10"/>
    <s v="PB-19105"/>
    <s v="Peter Bühler"/>
    <s v="United States"/>
    <x v="1"/>
    <x v="1"/>
    <s v="Stride Job 150 Highlighters, Chisel Tip, Assorted Colors"/>
    <n v="111.94"/>
    <n v="3"/>
    <n v="6.4584000000000001"/>
    <n v="5.7695193853850277"/>
  </r>
  <r>
    <s v="CA-2020-164329"/>
    <x v="178"/>
    <s v="MM-17920"/>
    <s v="Michael Moore"/>
    <s v="United States"/>
    <x v="2"/>
    <x v="1"/>
    <s v="Space Solutions Commercial Steel Shelving"/>
    <n v="147.30000000000001"/>
    <n v="2"/>
    <n v="6.4649999999999999"/>
    <n v="4.3890020366598774"/>
  </r>
  <r>
    <s v="CA-2020-169999"/>
    <x v="156"/>
    <s v="JS-15685"/>
    <s v="Jim Sink"/>
    <s v="United States"/>
    <x v="0"/>
    <x v="1"/>
    <s v="Space Solutions Commercial Steel Shelving"/>
    <n v="179.3"/>
    <n v="2"/>
    <n v="6.4649999999999999"/>
    <n v="3.6056887897378695"/>
  </r>
  <r>
    <s v="CA-2020-157987"/>
    <x v="149"/>
    <s v="AC-10615"/>
    <s v="Ann Chong"/>
    <s v="United States"/>
    <x v="0"/>
    <x v="1"/>
    <s v="Newell 324"/>
    <n v="144.1"/>
    <n v="2"/>
    <n v="6.468"/>
    <n v="4.4885496183206106"/>
  </r>
  <r>
    <s v="CA-2020-117632"/>
    <x v="198"/>
    <s v="CS-12175"/>
    <s v="Charles Sheldon"/>
    <s v="United States"/>
    <x v="2"/>
    <x v="1"/>
    <s v="DXL Angle-View Binders with Locking Rings, Black"/>
    <n v="119.16800000000001"/>
    <n v="4"/>
    <n v="6.4691999999999998"/>
    <n v="5.4286385606874319"/>
  </r>
  <r>
    <s v="CA-2020-115427"/>
    <x v="423"/>
    <s v="EB-13975"/>
    <s v="Erica Bern"/>
    <s v="United States"/>
    <x v="2"/>
    <x v="1"/>
    <s v="GBC Binding covers"/>
    <n v="496.72"/>
    <n v="2"/>
    <n v="6.4749999999999996"/>
    <n v="1.3035512965050731"/>
  </r>
  <r>
    <s v="CA-2019-145548"/>
    <x v="373"/>
    <s v="EB-13750"/>
    <s v="Edward Becker"/>
    <s v="United States"/>
    <x v="0"/>
    <x v="0"/>
    <s v="KeyTronic E03601U1 - Keyboard - Beige"/>
    <n v="36"/>
    <n v="2"/>
    <n v="6.48"/>
    <n v="18.000000000000004"/>
  </r>
  <r>
    <s v="CA-2020-105487"/>
    <x v="451"/>
    <s v="CS-12250"/>
    <s v="Chris Selesnick"/>
    <s v="United States"/>
    <x v="2"/>
    <x v="0"/>
    <s v="KeyTronic E03601U1 - Keyboard - Beige"/>
    <n v="126"/>
    <n v="2"/>
    <n v="6.48"/>
    <n v="5.1428571428571432"/>
  </r>
  <r>
    <s v="US-2019-135923"/>
    <x v="180"/>
    <s v="CM-11935"/>
    <s v="Carlos Meador"/>
    <s v="United States"/>
    <x v="1"/>
    <x v="1"/>
    <s v="Fellowes Mighty 8 Compact Surge Protector"/>
    <n v="64.864000000000004"/>
    <n v="4"/>
    <n v="6.4863999999999997"/>
    <n v="10"/>
  </r>
  <r>
    <s v="CA-2019-139010"/>
    <x v="272"/>
    <s v="MC-17635"/>
    <s v="Matthew Clasen"/>
    <s v="United States"/>
    <x v="2"/>
    <x v="1"/>
    <s v="Wilson Jones Clip &amp; Carry Folder Binder Tool for Ring Binders, Clear"/>
    <n v="18.559999999999999"/>
    <n v="4"/>
    <n v="6.4960000000000004"/>
    <n v="35"/>
  </r>
  <r>
    <s v="CA-2020-151176"/>
    <x v="496"/>
    <s v="SV-20785"/>
    <s v="Stewart Visinsky"/>
    <s v="United States"/>
    <x v="0"/>
    <x v="1"/>
    <s v="Acme Elite Stainless Steel Scissors"/>
    <n v="144.02000000000001"/>
    <n v="3"/>
    <n v="6.5052000000000003"/>
    <n v="4.5168726565754751"/>
  </r>
  <r>
    <s v="CA-2020-121888"/>
    <x v="301"/>
    <s v="CL-11890"/>
    <s v="Carl Ludwig"/>
    <s v="United States"/>
    <x v="0"/>
    <x v="1"/>
    <s v="Avery Hi-Liter EverBold Pen Style Fluorescent Highlighters, 4/Pack"/>
    <n v="140.28"/>
    <n v="2"/>
    <n v="6.5119999999999996"/>
    <n v="4.6421442828628452"/>
  </r>
  <r>
    <s v="CA-2019-165316"/>
    <x v="138"/>
    <s v="JB-15400"/>
    <s v="Jennifer Braxton"/>
    <s v="United States"/>
    <x v="1"/>
    <x v="1"/>
    <s v="Holmes Replacement Filter for HEPA Air Cleaner, Large Room"/>
    <n v="23.696000000000002"/>
    <n v="2"/>
    <n v="6.5164"/>
    <n v="27.499999999999996"/>
  </r>
  <r>
    <s v="US-2020-123281"/>
    <x v="523"/>
    <s v="JF-15190"/>
    <s v="Jamie Frazer"/>
    <s v="United States"/>
    <x v="2"/>
    <x v="2"/>
    <s v="Westinghouse Clip-On Gooseneck Lamps"/>
    <n v="147.11000000000001"/>
    <n v="3"/>
    <n v="6.5286"/>
    <n v="4.4379036095438789"/>
  </r>
  <r>
    <s v="CA-2019-152163"/>
    <x v="471"/>
    <s v="JF-15355"/>
    <s v="Jay Fein"/>
    <s v="United States"/>
    <x v="1"/>
    <x v="1"/>
    <s v="Wilson Jones Hanging View Binder, White, 1&quot;"/>
    <n v="14.2"/>
    <n v="2"/>
    <n v="6.532"/>
    <n v="46"/>
  </r>
  <r>
    <s v="CA-2019-132409"/>
    <x v="154"/>
    <s v="TH-21235"/>
    <s v="Tiffany House"/>
    <s v="United States"/>
    <x v="0"/>
    <x v="1"/>
    <s v="Holmes HEPA Air Purifier"/>
    <n v="34.847999999999999"/>
    <n v="2"/>
    <n v="6.5339999999999998"/>
    <n v="18.75"/>
  </r>
  <r>
    <s v="CA-2020-101483"/>
    <x v="449"/>
    <s v="AG-10675"/>
    <s v="Anna Gayman"/>
    <s v="United States"/>
    <x v="1"/>
    <x v="1"/>
    <s v="Holmes HEPA Air Purifier"/>
    <n v="129.84800000000001"/>
    <n v="2"/>
    <n v="6.5339999999999998"/>
    <n v="5.0320374591830443"/>
  </r>
  <r>
    <s v="CA-2019-108959"/>
    <x v="293"/>
    <s v="MH-17785"/>
    <s v="Maya Herman"/>
    <s v="United States"/>
    <x v="2"/>
    <x v="1"/>
    <s v="Mini 13-1/2 Capacity Data Binder Rack, Pearl"/>
    <n v="104.696"/>
    <n v="1"/>
    <n v="6.5434999999999999"/>
    <n v="6.25"/>
  </r>
  <r>
    <s v="CA-2019-101168"/>
    <x v="36"/>
    <s v="SS-20140"/>
    <s v="Saphhira Shifley"/>
    <s v="United States"/>
    <x v="0"/>
    <x v="2"/>
    <s v="Master Big Foot Doorstop, Beige"/>
    <n v="21.12"/>
    <n v="4"/>
    <n v="6.5472000000000001"/>
    <n v="31"/>
  </r>
  <r>
    <s v="CA-2020-150602"/>
    <x v="34"/>
    <s v="ML-17395"/>
    <s v="Marina Lichtenstein"/>
    <s v="United States"/>
    <x v="2"/>
    <x v="2"/>
    <s v="Master Big Foot Doorstop, Beige"/>
    <n v="96.12"/>
    <n v="4"/>
    <n v="6.5472000000000001"/>
    <n v="6.8114856429463178"/>
  </r>
  <r>
    <s v="CA-2019-117681"/>
    <x v="511"/>
    <s v="HF-14995"/>
    <s v="Herbert Flentye"/>
    <s v="United States"/>
    <x v="2"/>
    <x v="2"/>
    <s v="Bush Somerset Collection Bookcase"/>
    <n v="556.66499999999996"/>
    <n v="5"/>
    <n v="6.5490000000000004"/>
    <n v="1.1764705882352944"/>
  </r>
  <r>
    <s v="CA-2020-130764"/>
    <x v="396"/>
    <s v="JO-15145"/>
    <s v="Jack O'Briant"/>
    <s v="United States"/>
    <x v="2"/>
    <x v="2"/>
    <s v="O'Sullivan Elevations Bookcase, Cherry Finish"/>
    <n v="569.66499999999996"/>
    <n v="5"/>
    <n v="6.5490000000000004"/>
    <n v="1.1496230240579992"/>
  </r>
  <r>
    <s v="CA-2020-131954"/>
    <x v="263"/>
    <s v="DS-13030"/>
    <s v="Darrin Sayre"/>
    <s v="United States"/>
    <x v="2"/>
    <x v="1"/>
    <s v="Acco Translucent Poly Ring Binders"/>
    <n v="132.72"/>
    <n v="5"/>
    <n v="6.5519999999999996"/>
    <n v="4.9367088607594933"/>
  </r>
  <r>
    <s v="US-2020-163657"/>
    <x v="149"/>
    <s v="JL-15235"/>
    <s v="Janet Lee"/>
    <s v="United States"/>
    <x v="2"/>
    <x v="1"/>
    <s v="Acco Translucent Poly Ring Binders"/>
    <n v="111.72"/>
    <n v="5"/>
    <n v="6.5519999999999996"/>
    <n v="5.8646616541353378"/>
  </r>
  <r>
    <s v="CA-2020-160087"/>
    <x v="46"/>
    <s v="EN-13780"/>
    <s v="Edward Nazzal"/>
    <s v="United States"/>
    <x v="3"/>
    <x v="1"/>
    <s v="Peel-Off China Markers"/>
    <n v="119.83199999999999"/>
    <n v="3"/>
    <n v="6.5537999999999998"/>
    <n v="5.4691568195473668"/>
  </r>
  <r>
    <s v="CA-2020-143378"/>
    <x v="121"/>
    <s v="JR-16210"/>
    <s v="Justin Ritter"/>
    <s v="United States"/>
    <x v="2"/>
    <x v="1"/>
    <s v="Peel-Off China Markers"/>
    <n v="131.83199999999999"/>
    <n v="3"/>
    <n v="6.5537999999999998"/>
    <n v="4.9713271436373567"/>
  </r>
  <r>
    <s v="CA-2019-126270"/>
    <x v="567"/>
    <s v="AF-10870"/>
    <s v="Art Ferguson"/>
    <s v="United States"/>
    <x v="2"/>
    <x v="1"/>
    <s v="Recycled Pressboard Report Cover with Reinforced Top Hinge"/>
    <n v="18.088000000000001"/>
    <n v="7"/>
    <n v="6.5568999999999997"/>
    <n v="36.25"/>
  </r>
  <r>
    <s v="CA-2020-123491"/>
    <x v="177"/>
    <s v="JK-15205"/>
    <s v="Jamie Kunitz"/>
    <s v="United States"/>
    <x v="2"/>
    <x v="1"/>
    <s v="4009 Highlighters by Sanford"/>
    <n v="89.9"/>
    <n v="5"/>
    <n v="6.5670000000000002"/>
    <n v="7.3047830923248052"/>
  </r>
  <r>
    <s v="CA-2019-142545"/>
    <x v="256"/>
    <s v="JD-15895"/>
    <s v="Jonathan Doherty"/>
    <s v="United States"/>
    <x v="0"/>
    <x v="1"/>
    <s v="Avery Premier Heavy-Duty Binder with Round Locking Rings"/>
    <n v="14.28"/>
    <n v="1"/>
    <n v="6.5688000000000004"/>
    <n v="46.000000000000007"/>
  </r>
  <r>
    <s v="US-2019-117541"/>
    <x v="296"/>
    <s v="JM-16195"/>
    <s v="Justin MacKendrick"/>
    <s v="United States"/>
    <x v="0"/>
    <x v="2"/>
    <s v="Stacking Trays by OIC"/>
    <n v="19.920000000000002"/>
    <n v="4"/>
    <n v="6.5735999999999999"/>
    <n v="32.999999999999993"/>
  </r>
  <r>
    <s v="CA-2020-110905"/>
    <x v="8"/>
    <s v="RW-19690"/>
    <s v="Robert Waldorf"/>
    <s v="United States"/>
    <x v="3"/>
    <x v="1"/>
    <s v="Newell 3-Hole Punched Plastic Slotted Magazine Holders for Binders"/>
    <n v="110.71"/>
    <n v="3"/>
    <n v="6.5808"/>
    <n v="5.9441784843284262"/>
  </r>
  <r>
    <s v="CA-2019-141586"/>
    <x v="569"/>
    <s v="NK-18490"/>
    <s v="Neil Knudson"/>
    <s v="United States"/>
    <x v="2"/>
    <x v="1"/>
    <s v="Avery Durable Plastic 1&quot; Binders"/>
    <n v="18.16"/>
    <n v="5"/>
    <n v="6.5830000000000002"/>
    <n v="36.25"/>
  </r>
  <r>
    <s v="CA-2019-123120"/>
    <x v="478"/>
    <s v="CV-12295"/>
    <s v="Christina VanderZanden"/>
    <s v="United States"/>
    <x v="0"/>
    <x v="1"/>
    <s v="Acme Preferred Stainless Steel Scissors"/>
    <n v="22.72"/>
    <n v="4"/>
    <n v="6.5888"/>
    <n v="29.000000000000004"/>
  </r>
  <r>
    <s v="CA-2020-153871"/>
    <x v="33"/>
    <s v="RB-19435"/>
    <s v="Richard Bierner"/>
    <s v="United States"/>
    <x v="0"/>
    <x v="1"/>
    <s v="Bravo II Megaboss 12-Amp Hard Body Upright, Replacement Belts, 2 Belts per Pack"/>
    <n v="303.75"/>
    <n v="7"/>
    <n v="6.5975000000000001"/>
    <n v="2.1720164609053501"/>
  </r>
  <r>
    <s v="US-2020-120418"/>
    <x v="206"/>
    <s v="BC-11125"/>
    <s v="Becky Castell"/>
    <s v="United States"/>
    <x v="2"/>
    <x v="1"/>
    <s v="Boston 16801 Nautilus Battery Pencil Sharpener"/>
    <n v="123.04"/>
    <n v="5"/>
    <n v="6.6029999999999998"/>
    <n v="5.3665474642392716"/>
  </r>
  <r>
    <s v="CA-2019-100790"/>
    <x v="454"/>
    <s v="JG-15805"/>
    <s v="John Grady"/>
    <s v="United States"/>
    <x v="0"/>
    <x v="1"/>
    <s v="Prang Colored Pencils"/>
    <n v="14.7"/>
    <n v="5"/>
    <n v="6.6150000000000002"/>
    <n v="45"/>
  </r>
  <r>
    <s v="US-2020-133361"/>
    <x v="215"/>
    <s v="AJ-10780"/>
    <s v="Anthony Jacobs"/>
    <s v="United States"/>
    <x v="0"/>
    <x v="1"/>
    <s v="Prang Colored Pencils"/>
    <n v="112.7"/>
    <n v="5"/>
    <n v="6.6150000000000002"/>
    <n v="5.8695652173913047"/>
  </r>
  <r>
    <s v="CA-2020-158120"/>
    <x v="328"/>
    <s v="KH-16330"/>
    <s v="Katharine Harms"/>
    <s v="United States"/>
    <x v="2"/>
    <x v="1"/>
    <s v="Wirebound Message Forms, Four 2 3/4 x 5 Forms per Page, Pink Paper"/>
    <n v="133.608"/>
    <n v="3"/>
    <n v="6.6177000000000001"/>
    <n v="4.9530716723549491"/>
  </r>
  <r>
    <s v="CA-2020-134565"/>
    <x v="206"/>
    <s v="TB-21400"/>
    <s v="Tom Boeckenhauer"/>
    <s v="United States"/>
    <x v="2"/>
    <x v="1"/>
    <s v="Acco Pressboard Covers with Storage Hooks, 14 7/8&quot; x 11&quot;, Dark Blue"/>
    <n v="147.28800000000001"/>
    <n v="6"/>
    <n v="6.6294000000000004"/>
    <n v="4.5009776763891152"/>
  </r>
  <r>
    <s v="CA-2020-167976"/>
    <x v="250"/>
    <s v="JL-15505"/>
    <s v="Jeremy Lonsdale"/>
    <s v="United States"/>
    <x v="3"/>
    <x v="1"/>
    <s v="Acme Titanium Bonded Scissors"/>
    <n v="107.5"/>
    <n v="3"/>
    <n v="6.63"/>
    <n v="6.1674418604651162"/>
  </r>
  <r>
    <s v="CA-2019-144337"/>
    <x v="529"/>
    <s v="SG-20890"/>
    <s v="Susan Gilcrest"/>
    <s v="United States"/>
    <x v="3"/>
    <x v="1"/>
    <s v="Easy-staple paper"/>
    <n v="19.648"/>
    <n v="2"/>
    <n v="6.6311999999999998"/>
    <n v="33.75"/>
  </r>
  <r>
    <s v="CA-2019-119963"/>
    <x v="313"/>
    <s v="SN-20710"/>
    <s v="Steve Nguyen"/>
    <s v="United States"/>
    <x v="3"/>
    <x v="1"/>
    <s v="Xerox 1881"/>
    <n v="19.648"/>
    <n v="2"/>
    <n v="6.6311999999999998"/>
    <n v="33.75"/>
  </r>
  <r>
    <s v="CA-2019-109806"/>
    <x v="186"/>
    <s v="JS-15685"/>
    <s v="Jim Sink"/>
    <s v="United States"/>
    <x v="2"/>
    <x v="1"/>
    <s v="Turquoise Lead Holder with Pocket Clip"/>
    <n v="20.100000000000001"/>
    <n v="3"/>
    <n v="6.633"/>
    <n v="32.999999999999993"/>
  </r>
  <r>
    <s v="CA-2019-116911"/>
    <x v="498"/>
    <s v="JD-16150"/>
    <s v="Justin Deggeller"/>
    <s v="United States"/>
    <x v="2"/>
    <x v="1"/>
    <s v="Avery Heavy-Duty EZD View Binder with Locking Rings"/>
    <n v="20.416"/>
    <n v="4"/>
    <n v="6.6352000000000002"/>
    <n v="32.5"/>
  </r>
  <r>
    <s v="CA-2020-163139"/>
    <x v="265"/>
    <s v="CC-12670"/>
    <s v="Craig Carreira"/>
    <s v="United States"/>
    <x v="0"/>
    <x v="1"/>
    <s v="Safco Industrial Shelving"/>
    <n v="238.55"/>
    <n v="3"/>
    <n v="6.6464999999999996"/>
    <n v="2.7862083420666526"/>
  </r>
  <r>
    <s v="CA-2020-127306"/>
    <x v="325"/>
    <s v="BH-11710"/>
    <s v="Brosina Hoffman"/>
    <s v="United States"/>
    <x v="1"/>
    <x v="1"/>
    <s v="#10- 4 1/8&quot; x 9 1/2&quot; Security-Tint Envelopes"/>
    <n v="136.33600000000001"/>
    <n v="3"/>
    <n v="6.6467999999999998"/>
    <n v="4.8753080624339864"/>
  </r>
  <r>
    <s v="CA-2020-163209"/>
    <x v="137"/>
    <s v="MK-18160"/>
    <s v="Mike Kennedy"/>
    <s v="United States"/>
    <x v="2"/>
    <x v="1"/>
    <s v="Newell 350"/>
    <n v="149.96"/>
    <n v="7"/>
    <n v="6.6584000000000003"/>
    <n v="4.4401173646305683"/>
  </r>
  <r>
    <s v="CA-2020-146458"/>
    <x v="4"/>
    <s v="RB-19435"/>
    <s v="Richard Bierner"/>
    <s v="United States"/>
    <x v="1"/>
    <x v="1"/>
    <s v="Newell 349"/>
    <n v="120.96"/>
    <n v="7"/>
    <n v="6.6584000000000003"/>
    <n v="5.5046296296296298"/>
  </r>
  <r>
    <s v="CA-2019-116561"/>
    <x v="106"/>
    <s v="EB-14110"/>
    <s v="Eugene Barchas"/>
    <s v="United States"/>
    <x v="2"/>
    <x v="1"/>
    <s v="Stur-D-Stor Shelving, Vertical 5-Shelf: 72&quot;H x 36&quot;W x 18 1/2&quot;D"/>
    <n v="332.94"/>
    <n v="3"/>
    <n v="6.6588000000000003"/>
    <n v="2"/>
  </r>
  <r>
    <s v="CA-2020-127726"/>
    <x v="183"/>
    <s v="SS-20410"/>
    <s v="Shahid Shariari"/>
    <s v="United States"/>
    <x v="1"/>
    <x v="1"/>
    <s v="Acco Clips to Go Binder Clips, 24 Clips in Two Sizes"/>
    <n v="124.2"/>
    <n v="4"/>
    <n v="6.6740000000000004"/>
    <n v="5.3735909822866352"/>
  </r>
  <r>
    <s v="CA-2019-110772"/>
    <x v="165"/>
    <s v="NZ-18565"/>
    <s v="Nick Zandusky"/>
    <s v="United States"/>
    <x v="0"/>
    <x v="1"/>
    <s v="Advantus SlideClip Paper Clips"/>
    <n v="19.096"/>
    <n v="7"/>
    <n v="6.6836000000000002"/>
    <n v="35"/>
  </r>
  <r>
    <s v="CA-2019-101630"/>
    <x v="542"/>
    <s v="CK-12760"/>
    <s v="Cyma Kinney"/>
    <s v="United States"/>
    <x v="0"/>
    <x v="1"/>
    <s v="Acme Office Executive Series Stainless Steel Trimmers"/>
    <n v="25.71"/>
    <n v="3"/>
    <n v="6.6845999999999997"/>
    <n v="25.999999999999996"/>
  </r>
  <r>
    <s v="CA-2020-151799"/>
    <x v="55"/>
    <s v="BF-11170"/>
    <s v="Ben Ferrer"/>
    <s v="United States"/>
    <x v="0"/>
    <x v="1"/>
    <s v="Acme Office Executive Series Stainless Steel Trimmers"/>
    <n v="332.71"/>
    <n v="3"/>
    <n v="6.6845999999999997"/>
    <n v="2.0091370863514775"/>
  </r>
  <r>
    <s v="CA-2020-105410"/>
    <x v="120"/>
    <s v="ND-18370"/>
    <s v="Natalie DeCherney"/>
    <s v="United States"/>
    <x v="2"/>
    <x v="1"/>
    <s v="ACCOHIDE 3-Ring Binder, Blue, 1&quot;"/>
    <n v="97.823999999999998"/>
    <n v="6"/>
    <n v="6.6905999999999999"/>
    <n v="6.8394259077526982"/>
  </r>
  <r>
    <s v="CA-2019-139934"/>
    <x v="60"/>
    <s v="AY-10555"/>
    <s v="Andy Yotov"/>
    <s v="United States"/>
    <x v="2"/>
    <x v="0"/>
    <s v="I Need's 3d Hello Kitty Hybrid Silicone Case Cover for HTC One X 4g with 3d Hello Kitty Stylus Pen Green/pink"/>
    <n v="66.975999999999999"/>
    <n v="7"/>
    <n v="6.6976000000000004"/>
    <n v="10"/>
  </r>
  <r>
    <s v="CA-2020-119284"/>
    <x v="267"/>
    <s v="TS-21205"/>
    <s v="Thomas Seio"/>
    <s v="United States"/>
    <x v="1"/>
    <x v="1"/>
    <s v="Staple holder"/>
    <n v="126.608"/>
    <n v="8"/>
    <n v="6.7031999999999998"/>
    <n v="5.2944521673195997"/>
  </r>
  <r>
    <s v="CA-2020-115931"/>
    <x v="67"/>
    <s v="JM-15655"/>
    <s v="Jim Mitchum"/>
    <s v="United States"/>
    <x v="2"/>
    <x v="0"/>
    <s v="iKross Bluetooth Portable Keyboard + Cell Phone Stand Holder + Brush for Apple iPhone 5S 5C 5, 4S 4"/>
    <n v="299.04000000000002"/>
    <n v="4"/>
    <n v="6.7039999999999997"/>
    <n v="2.2418405564472978"/>
  </r>
  <r>
    <s v="CA-2019-150483"/>
    <x v="227"/>
    <s v="BP-11290"/>
    <s v="Beth Paige"/>
    <s v="United States"/>
    <x v="3"/>
    <x v="1"/>
    <s v="Xerox 1899"/>
    <n v="18.495999999999999"/>
    <n v="4"/>
    <n v="6.7047999999999996"/>
    <n v="36.25"/>
  </r>
  <r>
    <s v="CA-2019-102561"/>
    <x v="241"/>
    <s v="NK-18490"/>
    <s v="Neil Knudson"/>
    <s v="United States"/>
    <x v="0"/>
    <x v="1"/>
    <s v="Xerox 196"/>
    <n v="18.495999999999999"/>
    <n v="4"/>
    <n v="6.7047999999999996"/>
    <n v="36.25"/>
  </r>
  <r>
    <s v="CA-2019-139395"/>
    <x v="329"/>
    <s v="MG-17650"/>
    <s v="Matthew Grinstein"/>
    <s v="United States"/>
    <x v="3"/>
    <x v="1"/>
    <s v="Fellowes Desktop Hanging File Manager"/>
    <n v="26.86"/>
    <n v="2"/>
    <n v="6.7149999999999999"/>
    <n v="25"/>
  </r>
  <r>
    <s v="CA-2019-134110"/>
    <x v="532"/>
    <s v="BG-11035"/>
    <s v="Barry Gonzalez"/>
    <s v="United States"/>
    <x v="3"/>
    <x v="0"/>
    <s v="Apple EarPods with Remote and Mic"/>
    <n v="67.176000000000002"/>
    <n v="3"/>
    <n v="6.7176"/>
    <n v="10"/>
  </r>
  <r>
    <s v="CA-2019-149762"/>
    <x v="107"/>
    <s v="RD-19720"/>
    <s v="Roger Demir"/>
    <s v="United States"/>
    <x v="2"/>
    <x v="2"/>
    <s v="Hon 4060 Series Tables"/>
    <n v="268.70400000000001"/>
    <n v="3"/>
    <n v="6.7176"/>
    <n v="2.5"/>
  </r>
  <r>
    <s v="CA-2020-104619"/>
    <x v="439"/>
    <s v="KD-16495"/>
    <s v="Keith Dawkins"/>
    <s v="United States"/>
    <x v="2"/>
    <x v="1"/>
    <s v="Acco Six-Outlet Power Strip, 4' Cord Length"/>
    <n v="131.86000000000001"/>
    <n v="3"/>
    <n v="6.7236000000000002"/>
    <n v="5.0990444410738665"/>
  </r>
  <r>
    <s v="CA-2019-129126"/>
    <x v="359"/>
    <s v="PK-19075"/>
    <s v="Pete Kriz"/>
    <s v="United States"/>
    <x v="0"/>
    <x v="1"/>
    <s v="Strathmore Photo Frame Cards"/>
    <n v="14.62"/>
    <n v="2"/>
    <n v="6.7252000000000001"/>
    <n v="46"/>
  </r>
  <r>
    <s v="CA-2019-167556"/>
    <x v="98"/>
    <s v="JM-15250"/>
    <s v="Janet Martin"/>
    <s v="United States"/>
    <x v="0"/>
    <x v="1"/>
    <s v="Memo Book, 100 Message Capacity, 5 3/8” x 11”"/>
    <n v="13.48"/>
    <n v="2"/>
    <n v="6.74"/>
    <n v="50"/>
  </r>
  <r>
    <s v="CA-2020-167094"/>
    <x v="168"/>
    <s v="DK-12835"/>
    <s v="Damala Kotsonis"/>
    <s v="United States"/>
    <x v="2"/>
    <x v="0"/>
    <s v="Memorex Froggy Flash Drive 8 GB"/>
    <n v="134.4"/>
    <n v="2"/>
    <n v="6.7450000000000001"/>
    <n v="5.0186011904761907"/>
  </r>
  <r>
    <s v="CA-2019-120824"/>
    <x v="104"/>
    <s v="AW-10930"/>
    <s v="Arthur Wiediger"/>
    <s v="United States"/>
    <x v="3"/>
    <x v="1"/>
    <s v="Staple magnet"/>
    <n v="67.536000000000001"/>
    <n v="9"/>
    <n v="6.7535999999999996"/>
    <n v="10"/>
  </r>
  <r>
    <s v="CA-2019-127138"/>
    <x v="565"/>
    <s v="DK-13225"/>
    <s v="Dean Katz"/>
    <s v="United States"/>
    <x v="2"/>
    <x v="1"/>
    <s v="Tennsco Stur-D-Stor Boltless Shelving, 5 Shelves, 24&quot; Deep, Sand"/>
    <n v="676.55"/>
    <n v="5"/>
    <n v="6.7655000000000003"/>
    <n v="1.0000000000000002"/>
  </r>
  <r>
    <s v="CA-2020-110905"/>
    <x v="8"/>
    <s v="RW-19690"/>
    <s v="Robert Waldorf"/>
    <s v="United States"/>
    <x v="3"/>
    <x v="0"/>
    <s v="Imation Clip USB flash drive - 8 GB"/>
    <n v="138.80000000000001"/>
    <n v="6"/>
    <n v="6.7679999999999998"/>
    <n v="4.8760806916426507"/>
  </r>
  <r>
    <s v="CA-2020-132213"/>
    <x v="458"/>
    <s v="PN-18775"/>
    <s v="Parhena Norris"/>
    <s v="United States"/>
    <x v="1"/>
    <x v="1"/>
    <s v="Stanley Bostitch Contemporary Electric Pencil Sharpeners"/>
    <n v="174.92"/>
    <n v="5"/>
    <n v="6.7919999999999998"/>
    <n v="3.8829179053281502"/>
  </r>
  <r>
    <s v="CA-2020-105074"/>
    <x v="47"/>
    <s v="MB-17305"/>
    <s v="Maria Bertelson"/>
    <s v="United States"/>
    <x v="0"/>
    <x v="1"/>
    <s v="Southworth 25% Cotton Linen-Finish Paper &amp; Envelopes"/>
    <n v="103.744"/>
    <n v="3"/>
    <n v="6.7949999999999999"/>
    <n v="6.5497763726095002"/>
  </r>
  <r>
    <s v="CA-2020-107909"/>
    <x v="524"/>
    <s v="SS-20875"/>
    <s v="Sung Shariari"/>
    <s v="United States"/>
    <x v="2"/>
    <x v="0"/>
    <s v="Logitech LS21 Speaker System - PC Multimedia - 2.1-CH - Wired"/>
    <n v="89.99"/>
    <n v="1"/>
    <n v="6.7965999999999998"/>
    <n v="7.5526169574397155"/>
  </r>
  <r>
    <s v="CA-2020-155558"/>
    <x v="184"/>
    <s v="PG-18895"/>
    <s v="Paul Gonzalez"/>
    <s v="United States"/>
    <x v="3"/>
    <x v="0"/>
    <s v="Logitech LS21 Speaker System - PC Multimedia - 2.1-CH - Wired"/>
    <n v="95.99"/>
    <n v="1"/>
    <n v="6.7965999999999998"/>
    <n v="7.0805292217939364"/>
  </r>
  <r>
    <s v="CA-2019-136231"/>
    <x v="100"/>
    <s v="DM-13015"/>
    <s v="Darrin Martin"/>
    <s v="United States"/>
    <x v="1"/>
    <x v="0"/>
    <s v="Nortel Networks T7316 E Nt8 B27"/>
    <n v="108.78400000000001"/>
    <n v="2"/>
    <n v="6.7990000000000004"/>
    <n v="6.25"/>
  </r>
  <r>
    <s v="CA-2020-169411"/>
    <x v="437"/>
    <s v="AC-10615"/>
    <s v="Ann Chong"/>
    <s v="United States"/>
    <x v="0"/>
    <x v="2"/>
    <s v="Eldon Delta Triangular Chair Mat, 52&quot; x 58&quot;, Clear"/>
    <n v="322.93"/>
    <n v="1"/>
    <n v="6.8273999999999999"/>
    <n v="2.1142043167249867"/>
  </r>
  <r>
    <s v="CA-2020-117667"/>
    <x v="57"/>
    <s v="MS-17980"/>
    <s v="Michael Stewart"/>
    <s v="United States"/>
    <x v="0"/>
    <x v="2"/>
    <s v="Hand-Finished Solid Wood Document Frame"/>
    <n v="168.768"/>
    <n v="2"/>
    <n v="6.8460000000000001"/>
    <n v="4.0564562002275313"/>
  </r>
  <r>
    <s v="CA-2020-131807"/>
    <x v="188"/>
    <s v="GG-14650"/>
    <s v="Greg Guthrie"/>
    <s v="United States"/>
    <x v="2"/>
    <x v="1"/>
    <s v="Staples"/>
    <n v="107.9"/>
    <n v="5"/>
    <n v="6.8540000000000001"/>
    <n v="6.3521779425393889"/>
  </r>
  <r>
    <s v="CA-2019-158435"/>
    <x v="297"/>
    <s v="AG-10900"/>
    <s v="Arthur Gainer"/>
    <s v="United States"/>
    <x v="0"/>
    <x v="1"/>
    <s v="Avery 519"/>
    <n v="14.62"/>
    <n v="2"/>
    <n v="6.8714000000000004"/>
    <n v="47"/>
  </r>
  <r>
    <s v="CA-2019-142405"/>
    <x v="335"/>
    <s v="SE-20110"/>
    <s v="Sanjit Engle"/>
    <s v="United States"/>
    <x v="2"/>
    <x v="1"/>
    <s v="Avery 486"/>
    <n v="14.62"/>
    <n v="2"/>
    <n v="6.8714000000000004"/>
    <n v="47"/>
  </r>
  <r>
    <s v="CA-2019-138688"/>
    <x v="104"/>
    <s v="DV-13045"/>
    <s v="Darrin Van Huff"/>
    <s v="United States"/>
    <x v="2"/>
    <x v="1"/>
    <s v="Self-Adhesive Address Labels for Typewriters by Universal"/>
    <n v="14.62"/>
    <n v="2"/>
    <n v="6.8714000000000004"/>
    <n v="47"/>
  </r>
  <r>
    <s v="CA-2019-161669"/>
    <x v="316"/>
    <s v="EM-14095"/>
    <s v="Eudokia Martin"/>
    <s v="United States"/>
    <x v="2"/>
    <x v="1"/>
    <s v="Avery 486"/>
    <n v="14.62"/>
    <n v="2"/>
    <n v="6.8714000000000004"/>
    <n v="47"/>
  </r>
  <r>
    <s v="CA-2019-114104"/>
    <x v="165"/>
    <s v="NP-18670"/>
    <s v="Nora Paige"/>
    <s v="United States"/>
    <x v="3"/>
    <x v="1"/>
    <s v="Avery 519"/>
    <n v="14.62"/>
    <n v="2"/>
    <n v="6.8714000000000004"/>
    <n v="47"/>
  </r>
  <r>
    <s v="CA-2020-122035"/>
    <x v="384"/>
    <s v="EM-13825"/>
    <s v="Elizabeth Moffitt"/>
    <s v="United States"/>
    <x v="3"/>
    <x v="1"/>
    <s v="Avery 486"/>
    <n v="151.62"/>
    <n v="2"/>
    <n v="6.8714000000000004"/>
    <n v="4.5319878643978369"/>
  </r>
  <r>
    <s v="CA-2019-165169"/>
    <x v="288"/>
    <s v="JL-15235"/>
    <s v="Janet Lee"/>
    <s v="United States"/>
    <x v="0"/>
    <x v="1"/>
    <s v="Avery White Multi-Purpose Labels"/>
    <n v="14.94"/>
    <n v="3"/>
    <n v="6.8723999999999998"/>
    <n v="46"/>
  </r>
  <r>
    <s v="US-2019-113677"/>
    <x v="394"/>
    <s v="CM-12655"/>
    <s v="Corinna Mitchell"/>
    <s v="United States"/>
    <x v="0"/>
    <x v="1"/>
    <s v="Avery 499"/>
    <n v="14.94"/>
    <n v="3"/>
    <n v="6.8723999999999998"/>
    <n v="46"/>
  </r>
  <r>
    <s v="CA-2020-145275"/>
    <x v="523"/>
    <s v="AH-10465"/>
    <s v="Amy Hunt"/>
    <s v="United States"/>
    <x v="1"/>
    <x v="1"/>
    <s v="Avery 499"/>
    <n v="90.94"/>
    <n v="3"/>
    <n v="6.8723999999999998"/>
    <n v="7.5570705959973603"/>
  </r>
  <r>
    <s v="CA-2020-121615"/>
    <x v="368"/>
    <s v="DL-12925"/>
    <s v="Daniel Lacy"/>
    <s v="United States"/>
    <x v="3"/>
    <x v="1"/>
    <s v="Avery 513"/>
    <n v="83.94"/>
    <n v="3"/>
    <n v="6.8723999999999998"/>
    <n v="8.1872766261615446"/>
  </r>
  <r>
    <s v="CA-2020-139080"/>
    <x v="402"/>
    <s v="CS-12250"/>
    <s v="Chris Selesnick"/>
    <s v="United States"/>
    <x v="2"/>
    <x v="1"/>
    <s v="Pressboard Hanging Data Binders for Unburst Sheets"/>
    <n v="140.68"/>
    <n v="5"/>
    <n v="6.8879999999999999"/>
    <n v="4.8962183679272107"/>
  </r>
  <r>
    <s v="CA-2020-129294"/>
    <x v="160"/>
    <s v="KD-16615"/>
    <s v="Ken Dana"/>
    <s v="United States"/>
    <x v="2"/>
    <x v="1"/>
    <s v="Pressboard Hanging Data Binders for Unburst Sheets"/>
    <n v="85.68"/>
    <n v="5"/>
    <n v="6.8879999999999999"/>
    <n v="8.0392156862745097"/>
  </r>
  <r>
    <s v="CA-2019-136371"/>
    <x v="144"/>
    <s v="SV-20935"/>
    <s v="Susan Vittorini"/>
    <s v="United States"/>
    <x v="0"/>
    <x v="2"/>
    <s v="GE 4 Foot Flourescent Tube, 40 Watt"/>
    <n v="14.98"/>
    <n v="1"/>
    <n v="6.8907999999999996"/>
    <n v="46"/>
  </r>
  <r>
    <s v="CA-2019-137050"/>
    <x v="475"/>
    <s v="SW-20755"/>
    <s v="Steven Ward"/>
    <s v="United States"/>
    <x v="0"/>
    <x v="1"/>
    <s v="Ideal Clamps"/>
    <n v="14.07"/>
    <n v="7"/>
    <n v="6.8943000000000003"/>
    <n v="49"/>
  </r>
  <r>
    <s v="US-2020-147886"/>
    <x v="208"/>
    <s v="DH-13075"/>
    <s v="Dave Hallsten"/>
    <s v="United States"/>
    <x v="2"/>
    <x v="2"/>
    <s v="Stackable Trays"/>
    <n v="127.56"/>
    <n v="7"/>
    <n v="6.8992000000000004"/>
    <n v="5.4085920351207273"/>
  </r>
  <r>
    <s v="CA-2019-136371"/>
    <x v="144"/>
    <s v="SV-20935"/>
    <s v="Susan Vittorini"/>
    <s v="United States"/>
    <x v="0"/>
    <x v="2"/>
    <s v="Master Caster Door Stop, Brown"/>
    <n v="20.32"/>
    <n v="4"/>
    <n v="6.9088000000000003"/>
    <n v="34"/>
  </r>
  <r>
    <s v="CA-2020-164756"/>
    <x v="406"/>
    <s v="SS-20140"/>
    <s v="Saphhira Shifley"/>
    <s v="United States"/>
    <x v="1"/>
    <x v="2"/>
    <s v="Master Caster Door Stop, Gray"/>
    <n v="146.32"/>
    <n v="4"/>
    <n v="6.9088000000000003"/>
    <n v="4.7217058501913618"/>
  </r>
  <r>
    <s v="CA-2019-104689"/>
    <x v="212"/>
    <s v="FH-14365"/>
    <s v="Fred Hopkins"/>
    <s v="United States"/>
    <x v="2"/>
    <x v="1"/>
    <s v="Sanford Colorific Colored Pencils, 12/Box"/>
    <n v="23.04"/>
    <n v="8"/>
    <n v="6.9119999999999999"/>
    <n v="30"/>
  </r>
  <r>
    <s v="CA-2020-152968"/>
    <x v="465"/>
    <s v="BM-11785"/>
    <s v="Bryan Mills"/>
    <s v="United States"/>
    <x v="1"/>
    <x v="0"/>
    <s v="Verbatim Slim CD and DVD Storage Cases, 50/Pack"/>
    <n v="130.08000000000001"/>
    <n v="2"/>
    <n v="6.9240000000000004"/>
    <n v="5.3228782287822876"/>
  </r>
  <r>
    <s v="CA-2020-163139"/>
    <x v="265"/>
    <s v="CC-12670"/>
    <s v="Craig Carreira"/>
    <s v="United States"/>
    <x v="0"/>
    <x v="0"/>
    <s v="Sabrent 4-Port USB 2.0 Hub"/>
    <n v="127.37"/>
    <n v="3"/>
    <n v="6.9257999999999997"/>
    <n v="5.4375441626756693"/>
  </r>
  <r>
    <s v="CA-2020-143651"/>
    <x v="501"/>
    <s v="FM-14215"/>
    <s v="Filia McAdams"/>
    <s v="United States"/>
    <x v="2"/>
    <x v="1"/>
    <s v="Newell 309"/>
    <n v="102.1"/>
    <n v="2"/>
    <n v="6.93"/>
    <n v="6.787463271302645"/>
  </r>
  <r>
    <s v="US-2019-114174"/>
    <x v="49"/>
    <s v="AP-10720"/>
    <s v="Anne Pryor"/>
    <s v="United States"/>
    <x v="0"/>
    <x v="1"/>
    <s v="Avery 52"/>
    <n v="14.76"/>
    <n v="4"/>
    <n v="6.9371999999999998"/>
    <n v="47"/>
  </r>
  <r>
    <s v="CA-2019-151155"/>
    <x v="570"/>
    <s v="AB-10255"/>
    <s v="Alejandro Ballentine"/>
    <s v="United States"/>
    <x v="1"/>
    <x v="1"/>
    <s v="DXL Angle-View Binders with Locking Rings by Samsill"/>
    <n v="15.42"/>
    <n v="2"/>
    <n v="6.9390000000000001"/>
    <n v="45"/>
  </r>
  <r>
    <s v="CA-2019-101385"/>
    <x v="81"/>
    <s v="JW-16075"/>
    <s v="Julia West"/>
    <s v="United States"/>
    <x v="2"/>
    <x v="1"/>
    <s v="BIC Brite Liner Highlighters"/>
    <n v="16.559999999999999"/>
    <n v="4"/>
    <n v="6.9551999999999996"/>
    <n v="42"/>
  </r>
  <r>
    <s v="US-2020-166394"/>
    <x v="130"/>
    <s v="VM-21835"/>
    <s v="Vivian Mathis"/>
    <s v="United States"/>
    <x v="0"/>
    <x v="1"/>
    <s v="Staples"/>
    <n v="141.82"/>
    <n v="6"/>
    <n v="6.9653999999999998"/>
    <n v="4.9114370328585535"/>
  </r>
  <r>
    <s v="CA-2019-101336"/>
    <x v="394"/>
    <s v="CK-12760"/>
    <s v="Cyma Kinney"/>
    <s v="United States"/>
    <x v="0"/>
    <x v="1"/>
    <s v="Eldon Simplefile Box Office"/>
    <n v="24.88"/>
    <n v="2"/>
    <n v="6.9664000000000001"/>
    <n v="28.000000000000004"/>
  </r>
  <r>
    <s v="CA-2019-100993"/>
    <x v="251"/>
    <s v="AZ-10750"/>
    <s v="Annie Zypern"/>
    <s v="United States"/>
    <x v="2"/>
    <x v="2"/>
    <s v="Chromcraft Round Conference Tables"/>
    <n v="557.72799999999995"/>
    <n v="4"/>
    <n v="6.9715999999999996"/>
    <n v="1.25"/>
  </r>
  <r>
    <s v="US-2020-164147"/>
    <x v="345"/>
    <s v="DW-13585"/>
    <s v="Dorothy Wardle"/>
    <s v="United States"/>
    <x v="0"/>
    <x v="1"/>
    <s v="Staples"/>
    <n v="110.456"/>
    <n v="9"/>
    <n v="6.9732000000000003"/>
    <n v="6.3131020496849422"/>
  </r>
  <r>
    <s v="US-2020-120908"/>
    <x v="317"/>
    <s v="BF-10975"/>
    <s v="Barbara Fisher"/>
    <s v="United States"/>
    <x v="0"/>
    <x v="1"/>
    <s v="Self-Adhesive Address Labels for Typewriters with Dispenser Box"/>
    <n v="152.66399999999999"/>
    <n v="7"/>
    <n v="6.9741"/>
    <n v="4.5682675679924545"/>
  </r>
  <r>
    <s v="CA-2019-169334"/>
    <x v="72"/>
    <s v="GW-14605"/>
    <s v="Giulietta Weimer"/>
    <s v="United States"/>
    <x v="1"/>
    <x v="1"/>
    <s v="Tenex Personal Filing Tote With Secure Closure Lid, Black/Frost"/>
    <n v="111.672"/>
    <n v="9"/>
    <n v="6.9794999999999998"/>
    <n v="6.25"/>
  </r>
  <r>
    <s v="CA-2019-100671"/>
    <x v="564"/>
    <s v="CS-12490"/>
    <s v="Cindy Schnelling"/>
    <s v="United States"/>
    <x v="3"/>
    <x v="1"/>
    <s v="Tenex Personal Filing Tote With Secure Closure Lid, Black/Frost"/>
    <n v="111.672"/>
    <n v="9"/>
    <n v="6.9794999999999998"/>
    <n v="6.25"/>
  </r>
  <r>
    <s v="CA-2019-138520"/>
    <x v="5"/>
    <s v="JL-15505"/>
    <s v="Jeremy Lonsdale"/>
    <s v="United States"/>
    <x v="0"/>
    <x v="1"/>
    <s v="Dixon Prang Watercolor Pencils, 10-Color Set with Brush"/>
    <n v="17.04"/>
    <n v="4"/>
    <n v="6.9863999999999997"/>
    <n v="41"/>
  </r>
  <r>
    <s v="CA-2019-111682"/>
    <x v="80"/>
    <s v="TB-21055"/>
    <s v="Ted Butterfield"/>
    <s v="United States"/>
    <x v="0"/>
    <x v="1"/>
    <s v="Array Parchment Paper, Assorted Colors"/>
    <n v="14.56"/>
    <n v="2"/>
    <n v="6.9888000000000003"/>
    <n v="48"/>
  </r>
  <r>
    <s v="CA-2020-144491"/>
    <x v="182"/>
    <s v="CJ-12010"/>
    <s v="Caroline Jumper"/>
    <s v="United States"/>
    <x v="3"/>
    <x v="0"/>
    <s v="Kensington SlimBlade Notebook Wireless Mouse with Nano Receiver"/>
    <n v="139.99199999999999"/>
    <n v="1"/>
    <n v="6.9985999999999997"/>
    <n v="4.9992856734670559"/>
  </r>
  <r>
    <s v="CA-2020-127306"/>
    <x v="325"/>
    <s v="BH-11710"/>
    <s v="Brosina Hoffman"/>
    <s v="United States"/>
    <x v="1"/>
    <x v="0"/>
    <s v="iHome FM Clock Radio with Lightning Dock"/>
    <n v="129.98400000000001"/>
    <n v="2"/>
    <n v="6.9989999999999997"/>
    <n v="5.3845088626292466"/>
  </r>
  <r>
    <s v="CA-2019-110982"/>
    <x v="288"/>
    <s v="CK-12205"/>
    <s v="Chloris Kastensmidt"/>
    <s v="United States"/>
    <x v="2"/>
    <x v="1"/>
    <s v="Avery Non-Stick Binders"/>
    <n v="21.552"/>
    <n v="6"/>
    <n v="7.0044000000000004"/>
    <n v="32.5"/>
  </r>
  <r>
    <s v="CA-2020-137456"/>
    <x v="493"/>
    <s v="RB-19465"/>
    <s v="Rick Bensley"/>
    <s v="United States"/>
    <x v="3"/>
    <x v="2"/>
    <s v="Staple-based wall hangings"/>
    <n v="348.92"/>
    <n v="2"/>
    <n v="7.0048000000000004"/>
    <n v="2.007566204287516"/>
  </r>
  <r>
    <s v="CA-2020-101700"/>
    <x v="327"/>
    <s v="SO-20335"/>
    <s v="Sean O'Donnell"/>
    <s v="United States"/>
    <x v="2"/>
    <x v="1"/>
    <s v="Staple envelope"/>
    <n v="131.68799999999999"/>
    <n v="2"/>
    <n v="7.008"/>
    <n v="5.3216694004009479"/>
  </r>
  <r>
    <s v="CA-2020-118017"/>
    <x v="299"/>
    <s v="LC-16870"/>
    <s v="Lena Cacioppo"/>
    <s v="United States"/>
    <x v="2"/>
    <x v="2"/>
    <s v="Staple-based wall hangings"/>
    <n v="117.376"/>
    <n v="3"/>
    <n v="7.0128000000000004"/>
    <n v="5.9746455834242091"/>
  </r>
  <r>
    <s v="CA-2020-110478"/>
    <x v="163"/>
    <s v="SP-20860"/>
    <s v="Sung Pak"/>
    <s v="United States"/>
    <x v="2"/>
    <x v="1"/>
    <s v="White Envelopes, White Envelopes with Clear Poly Window"/>
    <n v="93.25"/>
    <n v="1"/>
    <n v="7.0149999999999997"/>
    <n v="7.5227882037533513"/>
  </r>
  <r>
    <s v="CA-2019-169971"/>
    <x v="478"/>
    <s v="IL-15100"/>
    <s v="Ivan Liston"/>
    <s v="United States"/>
    <x v="3"/>
    <x v="1"/>
    <s v="BOSTON Ranger #55 Pencil Sharpener, Black"/>
    <n v="62.375999999999998"/>
    <n v="3"/>
    <n v="7.0172999999999996"/>
    <n v="11.25"/>
  </r>
  <r>
    <s v="CA-2019-165848"/>
    <x v="41"/>
    <s v="EN-13780"/>
    <s v="Edward Nazzal"/>
    <s v="United States"/>
    <x v="0"/>
    <x v="1"/>
    <s v="Easy-staple paper"/>
    <n v="14.94"/>
    <n v="3"/>
    <n v="7.0217999999999998"/>
    <n v="47"/>
  </r>
  <r>
    <s v="CA-2020-109960"/>
    <x v="356"/>
    <s v="DB-13210"/>
    <s v="Dean Braden"/>
    <s v="United States"/>
    <x v="3"/>
    <x v="1"/>
    <s v="Easy-staple paper"/>
    <n v="130.94"/>
    <n v="3"/>
    <n v="7.0217999999999998"/>
    <n v="5.362608828471056"/>
  </r>
  <r>
    <s v="CA-2019-118332"/>
    <x v="367"/>
    <s v="PK-19075"/>
    <s v="Pete Kriz"/>
    <s v="United States"/>
    <x v="2"/>
    <x v="2"/>
    <s v="Office Star - Contemporary Swivel Chair with Padded Adjustable Arms and Flex Back"/>
    <n v="563.91999999999996"/>
    <n v="5"/>
    <n v="7.0490000000000004"/>
    <n v="1.2500000000000002"/>
  </r>
  <r>
    <s v="CA-2020-153045"/>
    <x v="150"/>
    <s v="NS-18505"/>
    <s v="Neola Schneider"/>
    <s v="United States"/>
    <x v="0"/>
    <x v="1"/>
    <s v="Strathmore Photo Mount Cards"/>
    <n v="117.696"/>
    <n v="4"/>
    <n v="7.0511999999999997"/>
    <n v="5.9910277324632952"/>
  </r>
  <r>
    <s v="CA-2019-105732"/>
    <x v="443"/>
    <s v="AG-10270"/>
    <s v="Alejandro Grove"/>
    <s v="United States"/>
    <x v="3"/>
    <x v="1"/>
    <s v="Avery 49"/>
    <n v="14.4"/>
    <n v="5"/>
    <n v="7.056"/>
    <n v="49"/>
  </r>
  <r>
    <s v="CA-2020-127026"/>
    <x v="263"/>
    <s v="MH-18115"/>
    <s v="Mick Hernandez"/>
    <s v="United States"/>
    <x v="3"/>
    <x v="1"/>
    <s v="Avery Durable Binders"/>
    <n v="87.4"/>
    <n v="5"/>
    <n v="7.056"/>
    <n v="8.0732265446224254"/>
  </r>
  <r>
    <s v="CA-2020-112515"/>
    <x v="166"/>
    <s v="AS-10225"/>
    <s v="Alan Schoenberger"/>
    <s v="United States"/>
    <x v="2"/>
    <x v="1"/>
    <s v="Avery 514"/>
    <n v="123.4"/>
    <n v="5"/>
    <n v="7.056"/>
    <n v="5.7179902755267422"/>
  </r>
  <r>
    <s v="CA-2020-147844"/>
    <x v="571"/>
    <s v="DD-13570"/>
    <s v="Dorothy Dickinson"/>
    <s v="United States"/>
    <x v="2"/>
    <x v="1"/>
    <s v="Adams &quot;While You Were Out&quot; Message Pads"/>
    <n v="95.7"/>
    <n v="5"/>
    <n v="7.0650000000000004"/>
    <n v="7.3824451410658316"/>
  </r>
  <r>
    <s v="CA-2019-128307"/>
    <x v="445"/>
    <s v="BE-11335"/>
    <s v="Bill Eplett"/>
    <s v="United States"/>
    <x v="3"/>
    <x v="1"/>
    <s v="Quality Park Security Envelopes"/>
    <n v="20.936"/>
    <n v="1"/>
    <n v="7.0659000000000001"/>
    <n v="33.75"/>
  </r>
  <r>
    <s v="CA-2019-109869"/>
    <x v="16"/>
    <s v="TN-21040"/>
    <s v="Tanja Norvell"/>
    <s v="United States"/>
    <x v="2"/>
    <x v="2"/>
    <s v="Eldon Wave Desk Accessories"/>
    <n v="23.56"/>
    <n v="5"/>
    <n v="7.0679999999999996"/>
    <n v="30"/>
  </r>
  <r>
    <s v="CA-2019-111913"/>
    <x v="376"/>
    <s v="LC-16930"/>
    <s v="Linda Cazamias"/>
    <s v="United States"/>
    <x v="2"/>
    <x v="1"/>
    <s v="Wilson Jones Leather-Like Binders with DublLock Round Rings"/>
    <n v="20.952000000000002"/>
    <n v="3"/>
    <n v="7.0712999999999999"/>
    <n v="33.75"/>
  </r>
  <r>
    <s v="CA-2020-111332"/>
    <x v="145"/>
    <s v="NC-18340"/>
    <s v="Nat Carroll"/>
    <s v="United States"/>
    <x v="3"/>
    <x v="1"/>
    <s v="Binney &amp; Smith inkTank Desk Highlighter, Chisel Tip, Yellow, 12/Box"/>
    <n v="148.5"/>
    <n v="10"/>
    <n v="7.0949999999999998"/>
    <n v="4.7777777777777777"/>
  </r>
  <r>
    <s v="CA-2019-111682"/>
    <x v="80"/>
    <s v="TB-21055"/>
    <s v="Ted Butterfield"/>
    <s v="United States"/>
    <x v="0"/>
    <x v="2"/>
    <s v="Novimex Turbo Task Chair"/>
    <n v="319.41000000000003"/>
    <n v="5"/>
    <n v="7.0979999999999999"/>
    <n v="2.2222222222222219"/>
  </r>
  <r>
    <s v="CA-2019-158841"/>
    <x v="164"/>
    <s v="SE-20110"/>
    <s v="Sanjit Engle"/>
    <s v="United States"/>
    <x v="1"/>
    <x v="2"/>
    <s v="Acrylic Self-Standing Desk Frames"/>
    <n v="18.690000000000001"/>
    <n v="7"/>
    <n v="7.1021999999999998"/>
    <n v="37.999999999999993"/>
  </r>
  <r>
    <s v="CA-2020-126242"/>
    <x v="4"/>
    <s v="MC-18100"/>
    <s v="Mick Crebagga"/>
    <s v="United States"/>
    <x v="2"/>
    <x v="2"/>
    <s v="Executive Impressions 13-1/2&quot; Indoor/Outdoor Wall Clock"/>
    <n v="130.69999999999999"/>
    <n v="1"/>
    <n v="7.1059999999999999"/>
    <n v="5.4368783473603672"/>
  </r>
  <r>
    <s v="CA-2020-117646"/>
    <x v="500"/>
    <s v="SC-20845"/>
    <s v="Sung Chung"/>
    <s v="United States"/>
    <x v="2"/>
    <x v="2"/>
    <s v="DAX Charcoal/Nickel-Tone Document Frame, 5 x 7"/>
    <n v="121.752"/>
    <n v="3"/>
    <n v="7.11"/>
    <n v="5.8397397989355415"/>
  </r>
  <r>
    <s v="CA-2020-154074"/>
    <x v="461"/>
    <s v="BW-11110"/>
    <s v="Bart Watters"/>
    <s v="United States"/>
    <x v="2"/>
    <x v="2"/>
    <s v="Hon 4700 Series Mobuis Mid-Back Task Chairs with Adjustable Arms"/>
    <n v="599.56799999999998"/>
    <n v="2"/>
    <n v="7.1196000000000002"/>
    <n v="1.1874549675766553"/>
  </r>
  <r>
    <s v="CA-2020-128769"/>
    <x v="266"/>
    <s v="DM-12955"/>
    <s v="Dario Medina"/>
    <s v="United States"/>
    <x v="1"/>
    <x v="1"/>
    <s v="Eureka The Boss Cordless Rechargeable Stick Vac"/>
    <n v="102.568"/>
    <n v="2"/>
    <n v="7.1372"/>
    <n v="6.9585055767880819"/>
  </r>
  <r>
    <s v="CA-2019-159016"/>
    <x v="293"/>
    <s v="KF-16285"/>
    <s v="Karen Ferguson"/>
    <s v="United States"/>
    <x v="2"/>
    <x v="1"/>
    <s v="Rediform Voice Mail Log Books"/>
    <n v="14.9"/>
    <n v="5"/>
    <n v="7.1520000000000001"/>
    <n v="48"/>
  </r>
  <r>
    <s v="US-2019-108504"/>
    <x v="251"/>
    <s v="PP-18955"/>
    <s v="Paul Prost"/>
    <s v="United States"/>
    <x v="1"/>
    <x v="2"/>
    <s v="Eldon 200 Class Desk Accessories, Black"/>
    <n v="18.84"/>
    <n v="3"/>
    <n v="7.1592000000000002"/>
    <n v="38"/>
  </r>
  <r>
    <s v="CA-2020-104731"/>
    <x v="102"/>
    <s v="AM-10705"/>
    <s v="Anne McFarland"/>
    <s v="United States"/>
    <x v="1"/>
    <x v="1"/>
    <s v="Cardinal Holdit Business Card Pockets"/>
    <n v="138.94"/>
    <n v="3"/>
    <n v="7.1711999999999998"/>
    <n v="5.1613646178206425"/>
  </r>
  <r>
    <s v="CA-2019-103891"/>
    <x v="572"/>
    <s v="KH-16690"/>
    <s v="Kristen Hastings"/>
    <s v="United States"/>
    <x v="2"/>
    <x v="0"/>
    <s v="Cisco SPA525G2 IP Phone - Wireless"/>
    <n v="95.76"/>
    <n v="6"/>
    <n v="7.1820000000000004"/>
    <n v="7.5"/>
  </r>
  <r>
    <s v="CA-2020-111591"/>
    <x v="450"/>
    <s v="PS-18970"/>
    <s v="Paul Stevenson"/>
    <s v="United States"/>
    <x v="2"/>
    <x v="1"/>
    <s v="Fellowes Officeware Wire Shelving"/>
    <n v="397.32"/>
    <n v="4"/>
    <n v="7.1863999999999999"/>
    <n v="1.8087184133695762"/>
  </r>
  <r>
    <s v="CA-2020-102736"/>
    <x v="258"/>
    <s v="LP-17095"/>
    <s v="Liz Preis"/>
    <s v="United States"/>
    <x v="1"/>
    <x v="1"/>
    <s v="Model L Table or Wall-Mount Pencil Sharpener"/>
    <n v="115.96"/>
    <n v="5"/>
    <n v="7.1959999999999997"/>
    <n v="6.2055881338392549"/>
  </r>
  <r>
    <s v="CA-2020-151225"/>
    <x v="396"/>
    <s v="JM-15655"/>
    <s v="Jim Mitchum"/>
    <s v="United States"/>
    <x v="2"/>
    <x v="0"/>
    <s v="Griffin GC17055 Auxiliary Audio Cable"/>
    <n v="155.96"/>
    <n v="5"/>
    <n v="7.1959999999999997"/>
    <n v="4.6140035906642725"/>
  </r>
  <r>
    <s v="CA-2019-166163"/>
    <x v="332"/>
    <s v="CY-12745"/>
    <s v="Craig Yedwab"/>
    <s v="United States"/>
    <x v="2"/>
    <x v="0"/>
    <s v="Nokia Lumia 521 (T-Mobile)"/>
    <n v="71.975999999999999"/>
    <n v="3"/>
    <n v="7.1976000000000004"/>
    <n v="10"/>
  </r>
  <r>
    <s v="CA-2020-128699"/>
    <x v="299"/>
    <s v="ND-18370"/>
    <s v="Natalie DeCherney"/>
    <s v="United States"/>
    <x v="1"/>
    <x v="0"/>
    <s v="Kensington Orbit Wireless Mobile Trackball for PC and Mac"/>
    <n v="137.99199999999999"/>
    <n v="1"/>
    <n v="7.1988000000000003"/>
    <n v="5.216824163719636"/>
  </r>
  <r>
    <s v="CA-2020-135377"/>
    <x v="547"/>
    <s v="BP-11095"/>
    <s v="Bart Pistole"/>
    <s v="United States"/>
    <x v="0"/>
    <x v="2"/>
    <s v="Bush Andora Bookcase, Maple/Graphite Gray Finish"/>
    <n v="241.976"/>
    <n v="3"/>
    <n v="7.1993999999999998"/>
    <n v="2.9752537441729756"/>
  </r>
  <r>
    <s v="CA-2020-144848"/>
    <x v="499"/>
    <s v="DS-13030"/>
    <s v="Darrin Sayre"/>
    <s v="United States"/>
    <x v="0"/>
    <x v="1"/>
    <s v="Premier Automatic Letter Opener"/>
    <n v="254.37"/>
    <n v="1"/>
    <n v="7.2111000000000001"/>
    <n v="2.8348861894091284"/>
  </r>
  <r>
    <s v="CA-2020-103156"/>
    <x v="254"/>
    <s v="TD-20995"/>
    <s v="Tamara Dahlen"/>
    <s v="United States"/>
    <x v="0"/>
    <x v="2"/>
    <s v="OIC Stacking Trays"/>
    <n v="138.048"/>
    <n v="9"/>
    <n v="7.2144000000000004"/>
    <n v="5.2260083449235051"/>
  </r>
  <r>
    <s v="CA-2019-100993"/>
    <x v="251"/>
    <s v="AZ-10750"/>
    <s v="Annie Zypern"/>
    <s v="United States"/>
    <x v="2"/>
    <x v="1"/>
    <s v="Avery 508"/>
    <n v="14.73"/>
    <n v="3"/>
    <n v="7.2176999999999998"/>
    <n v="49"/>
  </r>
  <r>
    <s v="CA-2019-159653"/>
    <x v="308"/>
    <s v="JF-15490"/>
    <s v="Jeremy Farry"/>
    <s v="United States"/>
    <x v="1"/>
    <x v="1"/>
    <s v="Avery 493"/>
    <n v="14.73"/>
    <n v="3"/>
    <n v="7.2176999999999998"/>
    <n v="49"/>
  </r>
  <r>
    <s v="CA-2020-154949"/>
    <x v="545"/>
    <s v="MC-17275"/>
    <s v="Marc Crier"/>
    <s v="United States"/>
    <x v="2"/>
    <x v="1"/>
    <s v="Avery 478"/>
    <n v="108.73"/>
    <n v="3"/>
    <n v="7.2176999999999998"/>
    <n v="6.6381863331187336"/>
  </r>
  <r>
    <s v="CA-2020-167661"/>
    <x v="188"/>
    <s v="MP-18175"/>
    <s v="Mike Pelletier"/>
    <s v="United States"/>
    <x v="2"/>
    <x v="1"/>
    <s v="Avery Hole Reinforcements"/>
    <n v="113.93600000000001"/>
    <n v="4"/>
    <n v="7.2267999999999999"/>
    <n v="6.3428591489959274"/>
  </r>
  <r>
    <s v="CA-2020-167150"/>
    <x v="409"/>
    <s v="BP-11185"/>
    <s v="Ben Peterman"/>
    <s v="United States"/>
    <x v="2"/>
    <x v="1"/>
    <s v="Avery Hole Reinforcements"/>
    <n v="429.93599999999998"/>
    <n v="4"/>
    <n v="7.2267999999999999"/>
    <n v="1.6809013434557702"/>
  </r>
  <r>
    <s v="CA-2019-147683"/>
    <x v="394"/>
    <s v="PO-19180"/>
    <s v="Philisse Overcash"/>
    <s v="United States"/>
    <x v="2"/>
    <x v="2"/>
    <s v="DAX Solid Wood Frames"/>
    <n v="19.54"/>
    <n v="2"/>
    <n v="7.2298"/>
    <n v="37"/>
  </r>
  <r>
    <s v="CA-2019-101378"/>
    <x v="475"/>
    <s v="RH-19600"/>
    <s v="Rob Haberlin"/>
    <s v="United States"/>
    <x v="1"/>
    <x v="0"/>
    <s v="HP Standard 104 key PS/2 Keyboard"/>
    <n v="29"/>
    <n v="2"/>
    <n v="7.25"/>
    <n v="25"/>
  </r>
  <r>
    <s v="CA-2020-110905"/>
    <x v="8"/>
    <s v="RW-19690"/>
    <s v="Robert Waldorf"/>
    <s v="United States"/>
    <x v="3"/>
    <x v="1"/>
    <s v="Acco 6 Outlet Guardian Standard Surge Suppressor"/>
    <n v="104.18"/>
    <n v="2"/>
    <n v="7.2539999999999996"/>
    <n v="6.9629487425609513"/>
  </r>
  <r>
    <s v="US-2019-156986"/>
    <x v="306"/>
    <s v="ZC-21910"/>
    <s v="Zuschuss Carroll"/>
    <s v="United States"/>
    <x v="2"/>
    <x v="1"/>
    <s v="Xerox 225"/>
    <n v="20.736000000000001"/>
    <n v="4"/>
    <n v="7.2576000000000001"/>
    <n v="35"/>
  </r>
  <r>
    <s v="CA-2019-143476"/>
    <x v="106"/>
    <s v="LC-16930"/>
    <s v="Linda Cazamias"/>
    <s v="United States"/>
    <x v="2"/>
    <x v="1"/>
    <s v="Xerox 1976"/>
    <n v="20.736000000000001"/>
    <n v="4"/>
    <n v="7.2576000000000001"/>
    <n v="35"/>
  </r>
  <r>
    <s v="US-2020-141698"/>
    <x v="346"/>
    <s v="SD-20485"/>
    <s v="Shirley Daniels"/>
    <s v="United States"/>
    <x v="3"/>
    <x v="1"/>
    <s v="Xerox 207"/>
    <n v="97.736000000000004"/>
    <n v="4"/>
    <n v="7.2576000000000001"/>
    <n v="7.4257182614389778"/>
  </r>
  <r>
    <s v="CA-2020-134845"/>
    <x v="2"/>
    <s v="SR-20425"/>
    <s v="Sharelle Roach"/>
    <s v="United States"/>
    <x v="2"/>
    <x v="1"/>
    <s v="Xerox 225"/>
    <n v="131.73599999999999"/>
    <n v="4"/>
    <n v="7.2576000000000001"/>
    <n v="5.509200218619057"/>
  </r>
  <r>
    <s v="CA-2020-140802"/>
    <x v="69"/>
    <s v="KN-16390"/>
    <s v="Katherine Nockton"/>
    <s v="United States"/>
    <x v="3"/>
    <x v="1"/>
    <s v="Xerox 230"/>
    <n v="91.736000000000004"/>
    <n v="4"/>
    <n v="7.2576000000000001"/>
    <n v="7.9113979244789396"/>
  </r>
  <r>
    <s v="CA-2020-141614"/>
    <x v="573"/>
    <s v="NS-18640"/>
    <s v="Noel Staavos"/>
    <s v="United States"/>
    <x v="1"/>
    <x v="1"/>
    <s v="Xerox 227"/>
    <n v="118.736"/>
    <n v="4"/>
    <n v="7.2576000000000001"/>
    <n v="6.112383775771459"/>
  </r>
  <r>
    <s v="CA-2020-121293"/>
    <x v="236"/>
    <s v="JC-15775"/>
    <s v="John Castell"/>
    <s v="United States"/>
    <x v="0"/>
    <x v="1"/>
    <s v="Xerox 216"/>
    <n v="130.73599999999999"/>
    <n v="4"/>
    <n v="7.2576000000000001"/>
    <n v="5.5513401052502758"/>
  </r>
  <r>
    <s v="CA-2020-106537"/>
    <x v="557"/>
    <s v="RH-19495"/>
    <s v="Rick Hansen"/>
    <s v="United States"/>
    <x v="1"/>
    <x v="1"/>
    <s v="Xerox 2000"/>
    <n v="150.73599999999999"/>
    <n v="4"/>
    <n v="7.2576000000000001"/>
    <n v="4.8147755015391152"/>
  </r>
  <r>
    <s v="US-2020-124779"/>
    <x v="25"/>
    <s v="BF-11020"/>
    <s v="Barry Französisch"/>
    <s v="United States"/>
    <x v="3"/>
    <x v="1"/>
    <s v="Xerox 205"/>
    <n v="115.736"/>
    <n v="4"/>
    <n v="7.2576000000000001"/>
    <n v="6.2708232529204393"/>
  </r>
  <r>
    <s v="CA-2020-134173"/>
    <x v="35"/>
    <s v="AB-10060"/>
    <s v="Adam Bellavance"/>
    <s v="United States"/>
    <x v="0"/>
    <x v="1"/>
    <s v="Xerox 231"/>
    <n v="109.736"/>
    <n v="4"/>
    <n v="7.2576000000000001"/>
    <n v="6.6136910403149365"/>
  </r>
  <r>
    <s v="US-2020-125647"/>
    <x v="71"/>
    <s v="LC-16870"/>
    <s v="Lena Cacioppo"/>
    <s v="United States"/>
    <x v="3"/>
    <x v="1"/>
    <s v="Xerox 217"/>
    <n v="123.736"/>
    <n v="4"/>
    <n v="7.2576000000000001"/>
    <n v="5.8653908320941355"/>
  </r>
  <r>
    <s v="US-2020-162558"/>
    <x v="11"/>
    <s v="Dp-13240"/>
    <s v="Dean percer"/>
    <s v="United States"/>
    <x v="1"/>
    <x v="1"/>
    <s v="Xerox 1996"/>
    <n v="146.73599999999999"/>
    <n v="4"/>
    <n v="7.2576000000000001"/>
    <n v="4.9460255152109918"/>
  </r>
  <r>
    <s v="CA-2020-152807"/>
    <x v="177"/>
    <s v="MC-18100"/>
    <s v="Mick Crebagga"/>
    <s v="United States"/>
    <x v="0"/>
    <x v="1"/>
    <s v="Xerox 231"/>
    <n v="104.736"/>
    <n v="4"/>
    <n v="7.2576000000000001"/>
    <n v="6.9294225481209892"/>
  </r>
  <r>
    <s v="CA-2020-104864"/>
    <x v="276"/>
    <s v="JS-15685"/>
    <s v="Jim Sink"/>
    <s v="United States"/>
    <x v="1"/>
    <x v="1"/>
    <s v="Xerox 221"/>
    <n v="147.73599999999999"/>
    <n v="4"/>
    <n v="7.2576000000000001"/>
    <n v="4.9125467049331251"/>
  </r>
  <r>
    <s v="CA-2019-106530"/>
    <x v="491"/>
    <s v="CL-12565"/>
    <s v="Clay Ludtke"/>
    <s v="United States"/>
    <x v="0"/>
    <x v="0"/>
    <s v="SanDisk Cruzer 64 GB USB Flash Drive"/>
    <n v="58.112000000000002"/>
    <n v="2"/>
    <n v="7.2640000000000002"/>
    <n v="12.5"/>
  </r>
  <r>
    <s v="CA-2019-112578"/>
    <x v="268"/>
    <s v="FO-14305"/>
    <s v="Frank Olsen"/>
    <s v="United States"/>
    <x v="2"/>
    <x v="1"/>
    <s v="Fiskars Spring-Action Scissors"/>
    <n v="27.96"/>
    <n v="2"/>
    <n v="7.2695999999999996"/>
    <n v="25.999999999999996"/>
  </r>
  <r>
    <s v="CA-2020-128944"/>
    <x v="156"/>
    <s v="KH-16330"/>
    <s v="Katharine Harms"/>
    <s v="United States"/>
    <x v="0"/>
    <x v="2"/>
    <s v="Contemporary Wood/Metal Frame"/>
    <n v="143.78399999999999"/>
    <n v="3"/>
    <n v="7.2720000000000002"/>
    <n v="5.0575863795693543"/>
  </r>
  <r>
    <s v="US-2020-130687"/>
    <x v="266"/>
    <s v="PF-19225"/>
    <s v="Phillip Flathmann"/>
    <s v="United States"/>
    <x v="2"/>
    <x v="1"/>
    <s v="Boston 1799 Powerhouse Electric Pencil Sharpener"/>
    <n v="138.97999999999999"/>
    <n v="1"/>
    <n v="7.2744"/>
    <n v="5.2341344078284644"/>
  </r>
  <r>
    <s v="CA-2020-132199"/>
    <x v="137"/>
    <s v="BO-11350"/>
    <s v="Bill Overfelt"/>
    <s v="United States"/>
    <x v="0"/>
    <x v="2"/>
    <s v="Career Cubicle Clock, 8 1/4&quot;, Black"/>
    <n v="149.44800000000001"/>
    <n v="2"/>
    <n v="7.3007999999999997"/>
    <n v="4.8851774530271399"/>
  </r>
  <r>
    <s v="CA-2019-149762"/>
    <x v="107"/>
    <s v="RD-19720"/>
    <s v="Roger Demir"/>
    <s v="United States"/>
    <x v="2"/>
    <x v="1"/>
    <s v="Acco Perma 4000 Stacking Storage Drawers"/>
    <n v="48.72"/>
    <n v="3"/>
    <n v="7.3079999999999998"/>
    <n v="15"/>
  </r>
  <r>
    <s v="CA-2020-149048"/>
    <x v="124"/>
    <s v="BM-11650"/>
    <s v="Brian Moss"/>
    <s v="United States"/>
    <x v="3"/>
    <x v="1"/>
    <s v="Hammermill CopyPlus Copy Paper (20Lb. and 84 Bright)"/>
    <n v="88.94"/>
    <n v="3"/>
    <n v="7.3205999999999998"/>
    <n v="8.2309422082302675"/>
  </r>
  <r>
    <s v="CA-2020-105809"/>
    <x v="89"/>
    <s v="HW-14935"/>
    <s v="Helen Wasserman"/>
    <s v="United States"/>
    <x v="2"/>
    <x v="2"/>
    <s v="Executive Impressions 14&quot; Contract Wall Clock"/>
    <n v="115.23"/>
    <n v="1"/>
    <n v="7.3358999999999996"/>
    <n v="6.3663108565477726"/>
  </r>
  <r>
    <s v="CA-2020-138779"/>
    <x v="325"/>
    <s v="RB-19570"/>
    <s v="Rob Beeghly"/>
    <s v="United States"/>
    <x v="1"/>
    <x v="1"/>
    <s v="Tyvek  Top-Opening Peel &amp; Seel Envelopes, Plain White"/>
    <n v="114.744"/>
    <n v="1"/>
    <n v="7.3385999999999996"/>
    <n v="6.3956285295963182"/>
  </r>
  <r>
    <s v="CA-2020-120019"/>
    <x v="363"/>
    <s v="NG-18355"/>
    <s v="Nat Gilpin"/>
    <s v="United States"/>
    <x v="0"/>
    <x v="0"/>
    <s v="Belkin SportFit Armband For iPhone 5s/5c, Fuchsia"/>
    <n v="850.99"/>
    <n v="1"/>
    <n v="7.3451000000000004"/>
    <n v="0.86312412601793209"/>
  </r>
  <r>
    <s v="CA-2019-136301"/>
    <x v="22"/>
    <s v="EH-13765"/>
    <s v="Edward Hooks"/>
    <s v="United States"/>
    <x v="2"/>
    <x v="2"/>
    <s v="Westinghouse Mesh Shade Clip-On Gooseneck Lamp, Black"/>
    <n v="28.28"/>
    <n v="2"/>
    <n v="7.3528000000000002"/>
    <n v="26"/>
  </r>
  <r>
    <s v="CA-2020-168641"/>
    <x v="225"/>
    <s v="KA-16525"/>
    <s v="Kelly Andreada"/>
    <s v="United States"/>
    <x v="0"/>
    <x v="1"/>
    <s v="Crayola Anti Dust Chalk, 12/Pack"/>
    <n v="128.38"/>
    <n v="9"/>
    <n v="7.3710000000000004"/>
    <n v="5.7415485278080709"/>
  </r>
  <r>
    <s v="CA-2019-151155"/>
    <x v="570"/>
    <s v="AB-10255"/>
    <s v="Alejandro Ballentine"/>
    <s v="United States"/>
    <x v="1"/>
    <x v="2"/>
    <s v="C-Line Cubicle Keepers Polyproplyene Holder With Velcro Backings"/>
    <n v="18.920000000000002"/>
    <n v="4"/>
    <n v="7.3788"/>
    <n v="38.999999999999993"/>
  </r>
  <r>
    <s v="CA-2019-125164"/>
    <x v="214"/>
    <s v="SH-19975"/>
    <s v="Sally Hughsby"/>
    <s v="United States"/>
    <x v="0"/>
    <x v="1"/>
    <s v="Canvas Sectional Post Binders"/>
    <n v="20.367999999999999"/>
    <n v="1"/>
    <n v="7.3834"/>
    <n v="36.250000000000007"/>
  </r>
  <r>
    <s v="CA-2019-134803"/>
    <x v="283"/>
    <s v="CL-12565"/>
    <s v="Clay Ludtke"/>
    <s v="United States"/>
    <x v="2"/>
    <x v="1"/>
    <s v="Wilson Jones Hanging View Binder, White, 1&quot;"/>
    <n v="22.72"/>
    <n v="4"/>
    <n v="7.3840000000000003"/>
    <n v="32.5"/>
  </r>
  <r>
    <s v="CA-2020-161200"/>
    <x v="574"/>
    <s v="SV-20365"/>
    <s v="Seth Vernon"/>
    <s v="United States"/>
    <x v="1"/>
    <x v="2"/>
    <s v="Longer-Life Soft White Bulbs"/>
    <n v="120.4"/>
    <n v="5"/>
    <n v="7.3920000000000003"/>
    <n v="6.1395348837209305"/>
  </r>
  <r>
    <s v="CA-2019-162726"/>
    <x v="343"/>
    <s v="MT-17815"/>
    <s v="Meg Tillman"/>
    <s v="United States"/>
    <x v="3"/>
    <x v="1"/>
    <s v="It's Hot Message Books with Stickers, 2 3/4&quot; x 5&quot;"/>
    <n v="23.68"/>
    <n v="4"/>
    <n v="7.4"/>
    <n v="31.25"/>
  </r>
  <r>
    <s v="CA-2020-125199"/>
    <x v="6"/>
    <s v="HM-14860"/>
    <s v="Harry Marie"/>
    <s v="United States"/>
    <x v="0"/>
    <x v="1"/>
    <s v="It's Hot Message Books with Stickers, 2 3/4&quot; x 5&quot;"/>
    <n v="135.68"/>
    <n v="4"/>
    <n v="7.4"/>
    <n v="5.4540094339622636"/>
  </r>
  <r>
    <s v="CA-2019-155166"/>
    <x v="386"/>
    <s v="BB-11545"/>
    <s v="Brenda Bowman"/>
    <s v="United States"/>
    <x v="0"/>
    <x v="1"/>
    <s v="Fellowes Advanced Computer Series Surge Protectors"/>
    <n v="26.49"/>
    <n v="1"/>
    <n v="7.4172000000000002"/>
    <n v="28.000000000000004"/>
  </r>
  <r>
    <s v="CA-2020-105991"/>
    <x v="109"/>
    <s v="LH-17020"/>
    <s v="Lisa Hazard"/>
    <s v="United States"/>
    <x v="2"/>
    <x v="1"/>
    <s v="Redi-Strip #10 Envelopes, 4 1/8 x 9 1/2"/>
    <n v="147.24"/>
    <n v="9"/>
    <n v="7.4340000000000002"/>
    <n v="5.0488997555012221"/>
  </r>
  <r>
    <s v="CA-2020-121300"/>
    <x v="86"/>
    <s v="MG-17680"/>
    <s v="Maureen Gastineau"/>
    <s v="United States"/>
    <x v="0"/>
    <x v="2"/>
    <s v="G.E. Longer-Life Indoor Recessed Floodlight Bulbs"/>
    <n v="111.248"/>
    <n v="4"/>
    <n v="7.4367999999999999"/>
    <n v="6.6848842226377103"/>
  </r>
  <r>
    <s v="CA-2019-123050"/>
    <x v="563"/>
    <s v="BC-11125"/>
    <s v="Becky Castell"/>
    <s v="United States"/>
    <x v="0"/>
    <x v="2"/>
    <s v="Deflect-o EconoMat Studded, No Bevel Mat for Low Pile Carpeting"/>
    <n v="82.64"/>
    <n v="2"/>
    <n v="7.4375999999999998"/>
    <n v="9"/>
  </r>
  <r>
    <s v="US-2019-148803"/>
    <x v="111"/>
    <s v="LR-16915"/>
    <s v="Lena Radford"/>
    <s v="United States"/>
    <x v="1"/>
    <x v="1"/>
    <s v="Steel Personal Filing/Posting Tote"/>
    <n v="85.224000000000004"/>
    <n v="3"/>
    <n v="7.4570999999999996"/>
    <n v="8.75"/>
  </r>
  <r>
    <s v="CA-2020-141733"/>
    <x v="575"/>
    <s v="RW-19540"/>
    <s v="Rick Wilson"/>
    <s v="United States"/>
    <x v="3"/>
    <x v="2"/>
    <s v="SAFCO Optional Arm Kit for Workspace Cribbage Stacking Chair"/>
    <n v="131.63999999999999"/>
    <n v="1"/>
    <n v="7.4592000000000001"/>
    <n v="5.6663628076572481"/>
  </r>
  <r>
    <s v="CA-2020-140781"/>
    <x v="230"/>
    <s v="AB-10105"/>
    <s v="Adrian Barton"/>
    <s v="United States"/>
    <x v="3"/>
    <x v="0"/>
    <s v="Kensington K72356US Mouse-in-a-Box USB Desktop Mouse"/>
    <n v="141.816"/>
    <n v="3"/>
    <n v="7.4654999999999996"/>
    <n v="5.2642156033169742"/>
  </r>
  <r>
    <s v="CA-2019-160500"/>
    <x v="415"/>
    <s v="DM-13015"/>
    <s v="Darrin Martin"/>
    <s v="United States"/>
    <x v="2"/>
    <x v="2"/>
    <s v="Bevis 36 x 72 Conference Tables"/>
    <n v="298.77600000000001"/>
    <n v="3"/>
    <n v="7.4694000000000003"/>
    <n v="2.5"/>
  </r>
  <r>
    <s v="CA-2019-110492"/>
    <x v="576"/>
    <s v="JS-15880"/>
    <s v="John Stevenson"/>
    <s v="United States"/>
    <x v="1"/>
    <x v="1"/>
    <s v="Avery Durable Slant Ring Binders, No Labels"/>
    <n v="15.92"/>
    <n v="4"/>
    <n v="7.4824000000000002"/>
    <n v="47"/>
  </r>
  <r>
    <s v="CA-2020-135860"/>
    <x v="265"/>
    <s v="JH-15985"/>
    <s v="Joseph Holt"/>
    <s v="United States"/>
    <x v="3"/>
    <x v="1"/>
    <s v="Avery Durable Slant Ring Binders, No Labels"/>
    <n v="134.91999999999999"/>
    <n v="4"/>
    <n v="7.4824000000000002"/>
    <n v="5.5458049214349252"/>
  </r>
  <r>
    <s v="US-2020-167920"/>
    <x v="356"/>
    <s v="JL-15835"/>
    <s v="John Lee"/>
    <s v="United States"/>
    <x v="1"/>
    <x v="1"/>
    <s v="Avery Durable Slant Ring Binders, No Labels"/>
    <n v="135.91999999999999"/>
    <n v="4"/>
    <n v="7.4824000000000002"/>
    <n v="5.5050029429075931"/>
  </r>
  <r>
    <s v="CA-2020-126956"/>
    <x v="500"/>
    <s v="GT-14710"/>
    <s v="Greg Tran"/>
    <s v="United States"/>
    <x v="3"/>
    <x v="1"/>
    <s v="Security-Tint Envelopes"/>
    <n v="91.28"/>
    <n v="2"/>
    <n v="7.4871999999999996"/>
    <n v="8.2024539877300615"/>
  </r>
  <r>
    <s v="CA-2020-100013"/>
    <x v="174"/>
    <s v="ZC-21910"/>
    <s v="Zuschuss Carroll"/>
    <s v="United States"/>
    <x v="2"/>
    <x v="1"/>
    <s v="#10- 4 1/8&quot; x 9 1/2&quot; Security-Tint Envelopes"/>
    <n v="116.28"/>
    <n v="2"/>
    <n v="7.4871999999999996"/>
    <n v="6.4389404884760912"/>
  </r>
  <r>
    <s v="US-2020-118157"/>
    <x v="244"/>
    <s v="AW-10930"/>
    <s v="Arthur Wiediger"/>
    <s v="United States"/>
    <x v="3"/>
    <x v="1"/>
    <s v="Security-Tint Envelopes"/>
    <n v="127.28"/>
    <n v="2"/>
    <n v="7.4871999999999996"/>
    <n v="5.8824638592080447"/>
  </r>
  <r>
    <s v="CA-2019-154711"/>
    <x v="358"/>
    <s v="TB-21355"/>
    <s v="Todd Boyes"/>
    <s v="United States"/>
    <x v="0"/>
    <x v="1"/>
    <s v="BIC Liqua Brite Liner"/>
    <n v="20.82"/>
    <n v="3"/>
    <n v="7.4951999999999996"/>
    <n v="36"/>
  </r>
  <r>
    <s v="CA-2020-118864"/>
    <x v="267"/>
    <s v="KH-16690"/>
    <s v="Kristen Hastings"/>
    <s v="United States"/>
    <x v="2"/>
    <x v="0"/>
    <s v="Panasonic KX T7736-B Digital phone"/>
    <n v="143.96"/>
    <n v="1"/>
    <n v="7.4974999999999996"/>
    <n v="5.2080439010836335"/>
  </r>
  <r>
    <s v="US-2019-122182"/>
    <x v="293"/>
    <s v="BD-11770"/>
    <s v="Bryan Davis"/>
    <s v="United States"/>
    <x v="0"/>
    <x v="0"/>
    <s v="Plantronics Audio 478 Stereo USB Headset"/>
    <n v="39.991999999999997"/>
    <n v="1"/>
    <n v="7.4984999999999999"/>
    <n v="18.75"/>
  </r>
  <r>
    <s v="CA-2019-108875"/>
    <x v="20"/>
    <s v="CL-12700"/>
    <s v="Craig Leslie"/>
    <s v="United States"/>
    <x v="2"/>
    <x v="2"/>
    <s v="Electrix 20W Halogen Replacement Bulb for Zoom-In Desk Lamp"/>
    <n v="21.44"/>
    <n v="2"/>
    <n v="7.5039999999999996"/>
    <n v="35"/>
  </r>
  <r>
    <s v="CA-2019-145177"/>
    <x v="214"/>
    <s v="PP-18955"/>
    <s v="Paul Prost"/>
    <s v="United States"/>
    <x v="0"/>
    <x v="1"/>
    <s v="Wirebound Message Books, Four 2 3/4&quot; x 5&quot; Forms per Page, 600 Sets per Book"/>
    <n v="22.248000000000001"/>
    <n v="3"/>
    <n v="7.5087000000000002"/>
    <n v="33.75"/>
  </r>
  <r>
    <s v="CA-2020-117702"/>
    <x v="24"/>
    <s v="LS-16975"/>
    <s v="Lindsay Shagiari"/>
    <s v="United States"/>
    <x v="0"/>
    <x v="2"/>
    <s v="Eldon Image Series Desk Accessories, Burgundy"/>
    <n v="116.9"/>
    <n v="5"/>
    <n v="7.524"/>
    <n v="6.4362703165098374"/>
  </r>
  <r>
    <s v="US-2020-158505"/>
    <x v="102"/>
    <s v="SF-20200"/>
    <s v="Sarah Foster"/>
    <s v="United States"/>
    <x v="2"/>
    <x v="1"/>
    <s v="BOSTON Ranger #55 Pencil Sharpener, Black"/>
    <n v="142.99"/>
    <n v="1"/>
    <n v="7.5370999999999997"/>
    <n v="5.271067906846632"/>
  </r>
  <r>
    <s v="CA-2020-154676"/>
    <x v="568"/>
    <s v="NZ-18565"/>
    <s v="Nick Zandusky"/>
    <s v="United States"/>
    <x v="3"/>
    <x v="1"/>
    <s v="Tennsco Lockers, Sand"/>
    <n v="200.05600000000001"/>
    <n v="9"/>
    <n v="7.5528000000000004"/>
    <n v="3.7753429039868838"/>
  </r>
  <r>
    <s v="CA-2020-150609"/>
    <x v="105"/>
    <s v="NZ-18565"/>
    <s v="Nick Zandusky"/>
    <s v="United States"/>
    <x v="2"/>
    <x v="1"/>
    <s v="Fellowes Black Plastic Comb Bindings"/>
    <n v="116.24"/>
    <n v="5"/>
    <n v="7.5529999999999999"/>
    <n v="6.4977632484514798"/>
  </r>
  <r>
    <s v="US-2020-132675"/>
    <x v="64"/>
    <s v="KF-16285"/>
    <s v="Karen Ferguson"/>
    <s v="United States"/>
    <x v="1"/>
    <x v="1"/>
    <s v="Self-Adhesive Removable Labels"/>
    <n v="97.75"/>
    <n v="5"/>
    <n v="7.56"/>
    <n v="7.7340153452685412"/>
  </r>
  <r>
    <s v="US-2019-117541"/>
    <x v="296"/>
    <s v="JM-16195"/>
    <s v="Justin MacKendrick"/>
    <s v="United States"/>
    <x v="0"/>
    <x v="1"/>
    <s v="Tops Wirebound Message Log Books"/>
    <n v="16.45"/>
    <n v="5"/>
    <n v="7.5670000000000002"/>
    <n v="46"/>
  </r>
  <r>
    <s v="CA-2019-119641"/>
    <x v="381"/>
    <s v="CS-12250"/>
    <s v="Chris Selesnick"/>
    <s v="United States"/>
    <x v="3"/>
    <x v="2"/>
    <s v="DAX Two-Tone Rosewood/Black Document Frame, Desktop, 5 x 7"/>
    <n v="18.96"/>
    <n v="2"/>
    <n v="7.5839999999999996"/>
    <n v="40"/>
  </r>
  <r>
    <s v="CA-2020-137428"/>
    <x v="505"/>
    <s v="AY-10555"/>
    <s v="Andy Yotov"/>
    <s v="United States"/>
    <x v="2"/>
    <x v="2"/>
    <s v="DAX Two-Tone Rosewood/Black Document Frame, Desktop, 5 x 7"/>
    <n v="286.95999999999998"/>
    <n v="2"/>
    <n v="7.5839999999999996"/>
    <n v="2.6428770560356845"/>
  </r>
  <r>
    <s v="US-2020-146416"/>
    <x v="170"/>
    <s v="JE-16165"/>
    <s v="Justin Ellison"/>
    <s v="United States"/>
    <x v="2"/>
    <x v="1"/>
    <s v="Wilson Jones Four-Pocket Poly Binders"/>
    <n v="127.928"/>
    <n v="4"/>
    <n v="7.5864000000000003"/>
    <n v="5.9302107435432436"/>
  </r>
  <r>
    <s v="CA-2019-137848"/>
    <x v="322"/>
    <s v="WB-21850"/>
    <s v="William Brown"/>
    <s v="United States"/>
    <x v="0"/>
    <x v="1"/>
    <s v="#10 Gummed Flap White Envelopes, 100/Box"/>
    <n v="16.52"/>
    <n v="4"/>
    <n v="7.5991999999999997"/>
    <n v="46"/>
  </r>
  <r>
    <s v="CA-2019-120005"/>
    <x v="17"/>
    <s v="TS-21160"/>
    <s v="Theresa Swint"/>
    <s v="United States"/>
    <x v="2"/>
    <x v="1"/>
    <s v="Elite 5&quot; Scissors"/>
    <n v="25.35"/>
    <n v="3"/>
    <n v="7.6050000000000004"/>
    <n v="30"/>
  </r>
  <r>
    <s v="CA-2019-165561"/>
    <x v="289"/>
    <s v="CR-12580"/>
    <s v="Clay Rozendal"/>
    <s v="United States"/>
    <x v="2"/>
    <x v="1"/>
    <s v="Elite 5&quot; Scissors"/>
    <n v="25.35"/>
    <n v="3"/>
    <n v="7.6050000000000004"/>
    <n v="30"/>
  </r>
  <r>
    <s v="CA-2019-136021"/>
    <x v="193"/>
    <s v="JM-15580"/>
    <s v="Jill Matthias"/>
    <s v="United States"/>
    <x v="2"/>
    <x v="1"/>
    <s v="Array Memo Cubes"/>
    <n v="15.54"/>
    <n v="3"/>
    <n v="7.6146000000000003"/>
    <n v="49.000000000000007"/>
  </r>
  <r>
    <s v="CA-2020-150910"/>
    <x v="67"/>
    <s v="JL-15130"/>
    <s v="Jack Lebron"/>
    <s v="United States"/>
    <x v="1"/>
    <x v="0"/>
    <s v="Logitech ClearChat Comfort/USB Headset H390"/>
    <n v="159.864"/>
    <n v="2"/>
    <n v="7.6154000000000002"/>
    <n v="4.7636741230045541"/>
  </r>
  <r>
    <s v="CA-2020-152737"/>
    <x v="117"/>
    <s v="TS-21505"/>
    <s v="Tony Sayre"/>
    <s v="United States"/>
    <x v="2"/>
    <x v="1"/>
    <s v="Avery Self-Adhesive Photo Pockets for Polaroid Photos"/>
    <n v="144.792"/>
    <n v="4"/>
    <n v="7.6272000000000002"/>
    <n v="5.2676943477540199"/>
  </r>
  <r>
    <s v="CA-2019-136231"/>
    <x v="100"/>
    <s v="DM-13015"/>
    <s v="Darrin Martin"/>
    <s v="United States"/>
    <x v="1"/>
    <x v="1"/>
    <s v="Staple envelope"/>
    <n v="23.472000000000001"/>
    <n v="3"/>
    <n v="7.6284000000000001"/>
    <n v="32.5"/>
  </r>
  <r>
    <s v="CA-2020-131156"/>
    <x v="502"/>
    <s v="KH-16360"/>
    <s v="Katherine Hughes"/>
    <s v="United States"/>
    <x v="0"/>
    <x v="2"/>
    <s v="Staple-based wall hangings"/>
    <n v="112.47199999999999"/>
    <n v="4"/>
    <n v="7.6416000000000004"/>
    <n v="6.7942243402802482"/>
  </r>
  <r>
    <s v="CA-2020-162936"/>
    <x v="243"/>
    <s v="CM-12160"/>
    <s v="Charles McCrossin"/>
    <s v="United States"/>
    <x v="0"/>
    <x v="0"/>
    <s v="Verbatim 25 GB 6x Blu-ray Single Layer Recordable Disc, 10/Pack"/>
    <n v="142.18"/>
    <n v="2"/>
    <n v="7.6494"/>
    <n v="5.3800815867210572"/>
  </r>
  <r>
    <s v="CA-2019-168354"/>
    <x v="204"/>
    <s v="RH-19510"/>
    <s v="Rick Huthwaite"/>
    <s v="United States"/>
    <x v="0"/>
    <x v="1"/>
    <s v="Adams Telephone Message Book W/Dividers/Space For Phone Numbers, 5 1/4&quot;X8 1/2&quot;, 200/Messages"/>
    <n v="17.04"/>
    <n v="3"/>
    <n v="7.6680000000000001"/>
    <n v="45"/>
  </r>
  <r>
    <s v="US-2020-136868"/>
    <x v="482"/>
    <s v="CR-12820"/>
    <s v="Cyra Reiten"/>
    <s v="United States"/>
    <x v="0"/>
    <x v="1"/>
    <s v="Adams Telephone Message Book W/Dividers/Space For Phone Numbers, 5 1/4&quot;X8 1/2&quot;, 200/Messages"/>
    <n v="119.04"/>
    <n v="3"/>
    <n v="7.6680000000000001"/>
    <n v="6.4415322580645151"/>
  </r>
  <r>
    <s v="CA-2020-145429"/>
    <x v="102"/>
    <s v="SW-20455"/>
    <s v="Shaun Weien"/>
    <s v="United States"/>
    <x v="2"/>
    <x v="1"/>
    <s v="Wirebound Message Forms, Four 2 3/4 x 5 Forms per Page, Pink Paper"/>
    <n v="88.34"/>
    <n v="2"/>
    <n v="7.6798000000000002"/>
    <n v="8.6934570975775411"/>
  </r>
  <r>
    <s v="CA-2020-161172"/>
    <x v="160"/>
    <s v="SP-20920"/>
    <s v="Susan Pistek"/>
    <s v="United States"/>
    <x v="0"/>
    <x v="2"/>
    <s v="Nu-Dell Oak Frame"/>
    <n v="168.26400000000001"/>
    <n v="6"/>
    <n v="7.6896000000000004"/>
    <n v="4.5699614890885751"/>
  </r>
  <r>
    <s v="CA-2019-159940"/>
    <x v="270"/>
    <s v="BF-11020"/>
    <s v="Barry Französisch"/>
    <s v="United States"/>
    <x v="3"/>
    <x v="1"/>
    <s v="Tops Wirebound Message Log Books"/>
    <n v="23.687999999999999"/>
    <n v="9"/>
    <n v="7.6985999999999999"/>
    <n v="32.5"/>
  </r>
  <r>
    <s v="CA-2019-124016"/>
    <x v="273"/>
    <s v="JS-15940"/>
    <s v="Joni Sundaresam"/>
    <s v="United States"/>
    <x v="0"/>
    <x v="2"/>
    <s v="Eldon 400 Class Desk Accessories, Black Carbon"/>
    <n v="28"/>
    <n v="4"/>
    <n v="7.7"/>
    <n v="27.500000000000004"/>
  </r>
  <r>
    <s v="US-2020-120418"/>
    <x v="206"/>
    <s v="BC-11125"/>
    <s v="Becky Castell"/>
    <s v="United States"/>
    <x v="2"/>
    <x v="1"/>
    <s v="Sortfiler Multipurpose Personal File Organizer, Black"/>
    <n v="102.44799999999999"/>
    <n v="4"/>
    <n v="7.7004000000000001"/>
    <n v="7.5163985631735128"/>
  </r>
  <r>
    <s v="CA-2019-163937"/>
    <x v="577"/>
    <s v="JB-16000"/>
    <s v="Joy Bell-"/>
    <s v="United States"/>
    <x v="2"/>
    <x v="2"/>
    <s v="DAX Value U-Channel Document Frames, Easel Back"/>
    <n v="24.85"/>
    <n v="5"/>
    <n v="7.7035"/>
    <n v="31"/>
  </r>
  <r>
    <s v="CA-2020-157987"/>
    <x v="149"/>
    <s v="AC-10615"/>
    <s v="Ann Chong"/>
    <s v="United States"/>
    <x v="0"/>
    <x v="1"/>
    <s v="Xerox 1962"/>
    <n v="90.12"/>
    <n v="4"/>
    <n v="7.7039999999999997"/>
    <n v="8.5486018641810908"/>
  </r>
  <r>
    <s v="CA-2020-123043"/>
    <x v="483"/>
    <s v="AH-10195"/>
    <s v="Alan Haines"/>
    <s v="United States"/>
    <x v="0"/>
    <x v="1"/>
    <s v="DXL Angle-View Binders with Locking Rings by Samsill"/>
    <n v="121.672"/>
    <n v="4"/>
    <n v="7.71"/>
    <n v="6.3367085278453557"/>
  </r>
  <r>
    <s v="CA-2020-116204"/>
    <x v="401"/>
    <s v="VW-21775"/>
    <s v="Victoria Wilson"/>
    <s v="United States"/>
    <x v="2"/>
    <x v="1"/>
    <s v="Acco Pressboard Covers with Storage Hooks, 14 7/8&quot; x 11&quot;, Dark Blue"/>
    <n v="840.33600000000001"/>
    <n v="7"/>
    <n v="7.7343000000000002"/>
    <n v="0.92038184726109562"/>
  </r>
  <r>
    <s v="CA-2019-100083"/>
    <x v="289"/>
    <s v="CD-11980"/>
    <s v="Carol Darley"/>
    <s v="United States"/>
    <x v="2"/>
    <x v="1"/>
    <s v="IBM Multi-Purpose Copy Paper, 8 1/2 x 11&quot;, Case"/>
    <n v="24.783999999999999"/>
    <n v="1"/>
    <n v="7.7450000000000001"/>
    <n v="31.25"/>
  </r>
  <r>
    <s v="US-2020-154872"/>
    <x v="215"/>
    <s v="DP-13000"/>
    <s v="Darren Powers"/>
    <s v="United States"/>
    <x v="0"/>
    <x v="1"/>
    <s v="Xerox 19"/>
    <n v="149.78399999999999"/>
    <n v="1"/>
    <n v="7.7450000000000001"/>
    <n v="5.1707792554611975"/>
  </r>
  <r>
    <s v="CA-2019-128811"/>
    <x v="460"/>
    <s v="SF-20200"/>
    <s v="Sarah Foster"/>
    <s v="United States"/>
    <x v="2"/>
    <x v="1"/>
    <s v="GBC Instant Report Kit"/>
    <n v="20.704000000000001"/>
    <n v="4"/>
    <n v="7.7640000000000002"/>
    <n v="37.5"/>
  </r>
  <r>
    <s v="CA-2020-131828"/>
    <x v="401"/>
    <s v="CS-11845"/>
    <s v="Cari Sayre"/>
    <s v="United States"/>
    <x v="2"/>
    <x v="0"/>
    <s v="Logitech B530 USB Headset - headset - Full size, Binaural"/>
    <n v="126.776"/>
    <n v="3"/>
    <n v="7.7679"/>
    <n v="6.1272638354262634"/>
  </r>
  <r>
    <s v="CA-2020-158071"/>
    <x v="255"/>
    <s v="BD-11320"/>
    <s v="Bill Donatelli"/>
    <s v="United States"/>
    <x v="2"/>
    <x v="0"/>
    <s v="Logitech B530 USB Headset - headset - Full size, Binaural"/>
    <n v="126.776"/>
    <n v="3"/>
    <n v="7.7679"/>
    <n v="6.1272638354262634"/>
  </r>
  <r>
    <s v="US-2019-166660"/>
    <x v="26"/>
    <s v="TB-21250"/>
    <s v="Tim Brockman"/>
    <s v="United States"/>
    <x v="2"/>
    <x v="2"/>
    <s v="O'Sullivan 2-Shelf Heavy-Duty Bookcases"/>
    <n v="48.58"/>
    <n v="1"/>
    <n v="7.7728000000000002"/>
    <n v="16"/>
  </r>
  <r>
    <s v="US-2020-158946"/>
    <x v="276"/>
    <s v="JW-15220"/>
    <s v="Jane Waco"/>
    <s v="United States"/>
    <x v="0"/>
    <x v="1"/>
    <s v="BIC Liqua Brite Liner"/>
    <n v="170.864"/>
    <n v="7"/>
    <n v="7.7728000000000002"/>
    <n v="4.54911508568218"/>
  </r>
  <r>
    <s v="US-2020-169488"/>
    <x v="266"/>
    <s v="AA-10375"/>
    <s v="Allen Armold"/>
    <s v="United States"/>
    <x v="0"/>
    <x v="1"/>
    <s v="Avoid Verbal Orders Carbonless Minifold Book"/>
    <n v="118.9"/>
    <n v="5"/>
    <n v="7.774"/>
    <n v="6.5382674516400323"/>
  </r>
  <r>
    <s v="CA-2019-108616"/>
    <x v="479"/>
    <s v="JK-15730"/>
    <s v="Joe Kamberova"/>
    <s v="United States"/>
    <x v="1"/>
    <x v="1"/>
    <s v="Sanford Colorific Colored Pencils, 12/Box"/>
    <n v="25.92"/>
    <n v="9"/>
    <n v="7.7759999999999998"/>
    <n v="30"/>
  </r>
  <r>
    <s v="CA-2020-110905"/>
    <x v="8"/>
    <s v="RW-19690"/>
    <s v="Robert Waldorf"/>
    <s v="United States"/>
    <x v="3"/>
    <x v="1"/>
    <s v="3M Organizer Strips"/>
    <n v="113.2"/>
    <n v="3"/>
    <n v="7.7759999999999998"/>
    <n v="6.8692579505300344"/>
  </r>
  <r>
    <s v="CA-2019-142524"/>
    <x v="478"/>
    <s v="MB-18085"/>
    <s v="Mick Brown"/>
    <s v="United States"/>
    <x v="3"/>
    <x v="1"/>
    <s v="Staple envelope"/>
    <n v="16.559999999999999"/>
    <n v="2"/>
    <n v="7.7831999999999999"/>
    <n v="47"/>
  </r>
  <r>
    <s v="CA-2020-146164"/>
    <x v="67"/>
    <s v="CM-12190"/>
    <s v="Charlotte Melton"/>
    <s v="United States"/>
    <x v="3"/>
    <x v="1"/>
    <s v="Personal File Boxes with Fold-Down Carry Handle"/>
    <n v="132.16"/>
    <n v="2"/>
    <n v="7.79"/>
    <n v="5.8943704600484264"/>
  </r>
  <r>
    <s v="CA-2019-129126"/>
    <x v="359"/>
    <s v="PK-19075"/>
    <s v="Pete Kriz"/>
    <s v="United States"/>
    <x v="0"/>
    <x v="1"/>
    <s v="Acco Recycled 2&quot; Capacity Laser Printer Hanging Data Binders"/>
    <n v="23.12"/>
    <n v="2"/>
    <n v="7.8029999999999999"/>
    <n v="33.75"/>
  </r>
  <r>
    <s v="CA-2020-156776"/>
    <x v="278"/>
    <s v="JL-15505"/>
    <s v="Jeremy Lonsdale"/>
    <s v="United States"/>
    <x v="2"/>
    <x v="0"/>
    <s v="Sony Micro Vault Click 4 GB USB 2.0 Flash Drive"/>
    <n v="150.76"/>
    <n v="4"/>
    <n v="7.8064"/>
    <n v="5.1780313080392677"/>
  </r>
  <r>
    <s v="CA-2019-168046"/>
    <x v="143"/>
    <s v="JD-15895"/>
    <s v="Jonathan Doherty"/>
    <s v="United States"/>
    <x v="0"/>
    <x v="2"/>
    <s v="Tenex B1-RE Series Chair Mats for Low Pile Carpets"/>
    <n v="45.98"/>
    <n v="1"/>
    <n v="7.8166000000000002"/>
    <n v="17"/>
  </r>
  <r>
    <s v="CA-2020-108560"/>
    <x v="526"/>
    <s v="JC-15385"/>
    <s v="Jenna Caffey"/>
    <s v="United States"/>
    <x v="2"/>
    <x v="1"/>
    <s v="GBC White Gloss Covers, Plain Front"/>
    <n v="135.16800000000001"/>
    <n v="2"/>
    <n v="7.8192000000000004"/>
    <n v="5.7848011363636358"/>
  </r>
  <r>
    <s v="CA-2019-156811"/>
    <x v="484"/>
    <s v="BP-11095"/>
    <s v="Bart Pistole"/>
    <s v="United States"/>
    <x v="2"/>
    <x v="1"/>
    <s v="Acco Data Flex Cable Posts For Top &amp; Bottom Load Binders, 6&quot; Capacity"/>
    <n v="25.032"/>
    <n v="3"/>
    <n v="7.8224999999999998"/>
    <n v="31.25"/>
  </r>
  <r>
    <s v="CA-2019-162901"/>
    <x v="468"/>
    <s v="AS-10045"/>
    <s v="Aaron Smayling"/>
    <s v="United States"/>
    <x v="1"/>
    <x v="1"/>
    <s v="Hanging Personal Folder File"/>
    <n v="31.4"/>
    <n v="2"/>
    <n v="7.85"/>
    <n v="25"/>
  </r>
  <r>
    <s v="CA-2020-123967"/>
    <x v="578"/>
    <s v="SF-20200"/>
    <s v="Sarah Foster"/>
    <s v="United States"/>
    <x v="2"/>
    <x v="1"/>
    <s v="GBC Standard Plastic Binding Systems' Combs"/>
    <n v="138.12"/>
    <n v="5"/>
    <n v="7.85"/>
    <n v="5.6834636547929334"/>
  </r>
  <r>
    <s v="CA-2020-134152"/>
    <x v="355"/>
    <s v="RP-19855"/>
    <s v="Roy Phan"/>
    <s v="United States"/>
    <x v="2"/>
    <x v="1"/>
    <s v="Staples in misc. colors"/>
    <n v="136.44"/>
    <n v="3"/>
    <n v="7.86"/>
    <n v="5.7607739665787161"/>
  </r>
  <r>
    <s v="CA-2019-145548"/>
    <x v="373"/>
    <s v="EB-13750"/>
    <s v="Edward Becker"/>
    <s v="United States"/>
    <x v="0"/>
    <x v="1"/>
    <s v="Staple magnet"/>
    <n v="28.14"/>
    <n v="3"/>
    <n v="7.8792"/>
    <n v="27.999999999999996"/>
  </r>
  <r>
    <s v="CA-2020-101798"/>
    <x v="33"/>
    <s v="MV-18190"/>
    <s v="Mike Vittorini"/>
    <s v="United States"/>
    <x v="0"/>
    <x v="1"/>
    <s v="Angle-D Binders with Locking Rings, Label Holders"/>
    <n v="398.36"/>
    <n v="4"/>
    <n v="7.8840000000000003"/>
    <n v="1.9791143689125414"/>
  </r>
  <r>
    <s v="CA-2019-133697"/>
    <x v="326"/>
    <s v="CM-12445"/>
    <s v="Chuck Magee"/>
    <s v="United States"/>
    <x v="3"/>
    <x v="1"/>
    <s v="Staples"/>
    <n v="25.248000000000001"/>
    <n v="4"/>
    <n v="7.89"/>
    <n v="31.25"/>
  </r>
  <r>
    <s v="CA-2019-134803"/>
    <x v="283"/>
    <s v="CL-12565"/>
    <s v="Clay Ludtke"/>
    <s v="United States"/>
    <x v="2"/>
    <x v="0"/>
    <s v="Imation Clip USB flash drive - 8 GB"/>
    <n v="131.6"/>
    <n v="7"/>
    <n v="7.8959999999999999"/>
    <n v="6.0000000000000009"/>
  </r>
  <r>
    <s v="CA-2020-128629"/>
    <x v="579"/>
    <s v="BP-11155"/>
    <s v="Becky Pak"/>
    <s v="United States"/>
    <x v="1"/>
    <x v="2"/>
    <s v="Eldon 200 Class Desk Accessories, Smoke"/>
    <n v="101.84"/>
    <n v="3"/>
    <n v="7.9127999999999998"/>
    <n v="7.7698350353495673"/>
  </r>
  <r>
    <s v="CA-2020-121048"/>
    <x v="38"/>
    <s v="TC-21295"/>
    <s v="Toby Carlisle"/>
    <s v="United States"/>
    <x v="2"/>
    <x v="2"/>
    <s v="Eldon 200 Class Desk Accessories, Burgundy"/>
    <n v="117.84"/>
    <n v="3"/>
    <n v="7.9127999999999998"/>
    <n v="6.7148676171079433"/>
  </r>
  <r>
    <s v="CA-2019-159730"/>
    <x v="186"/>
    <s v="SJ-20125"/>
    <s v="Sanjit Jacobs"/>
    <s v="United States"/>
    <x v="2"/>
    <x v="0"/>
    <s v="Clarity 53712"/>
    <n v="105.584"/>
    <n v="2"/>
    <n v="7.9188000000000001"/>
    <n v="7.5"/>
  </r>
  <r>
    <s v="CA-2020-140760"/>
    <x v="421"/>
    <s v="DO-13435"/>
    <s v="Denny Ordway"/>
    <s v="United States"/>
    <x v="2"/>
    <x v="1"/>
    <s v="Xerox 4200 Series MultiUse Premium Copy Paper (20Lb. and 84 Bright)"/>
    <n v="120.34399999999999"/>
    <n v="6"/>
    <n v="7.92"/>
    <n v="6.5811340822974147"/>
  </r>
  <r>
    <s v="CA-2020-146920"/>
    <x v="488"/>
    <s v="SC-20305"/>
    <s v="Sean Christensen"/>
    <s v="United States"/>
    <x v="3"/>
    <x v="1"/>
    <s v="Xerox 4200 Series MultiUse Premium Copy Paper (20Lb. and 84 Bright)"/>
    <n v="137.34399999999999"/>
    <n v="6"/>
    <n v="7.92"/>
    <n v="5.766542404473439"/>
  </r>
  <r>
    <s v="US-2020-110576"/>
    <x v="24"/>
    <s v="RB-19795"/>
    <s v="Ross Baird"/>
    <s v="United States"/>
    <x v="0"/>
    <x v="1"/>
    <s v="Xerox 4200 Series MultiUse Premium Copy Paper (20Lb. and 84 Bright)"/>
    <n v="102.34399999999999"/>
    <n v="6"/>
    <n v="7.92"/>
    <n v="7.7386070507308684"/>
  </r>
  <r>
    <s v="CA-2019-158001"/>
    <x v="95"/>
    <s v="JP-15460"/>
    <s v="Jennifer Patt"/>
    <s v="United States"/>
    <x v="0"/>
    <x v="1"/>
    <s v="Newell 331"/>
    <n v="29.34"/>
    <n v="6"/>
    <n v="7.9218000000000002"/>
    <n v="27"/>
  </r>
  <r>
    <s v="CA-2019-166674"/>
    <x v="442"/>
    <s v="RB-19360"/>
    <s v="Raymond Buch"/>
    <s v="United States"/>
    <x v="0"/>
    <x v="1"/>
    <s v="50 Colored Long Pencils"/>
    <n v="30.48"/>
    <n v="3"/>
    <n v="7.9248000000000003"/>
    <n v="26"/>
  </r>
  <r>
    <s v="CA-2020-161578"/>
    <x v="505"/>
    <s v="RB-19465"/>
    <s v="Rick Bensley"/>
    <s v="United States"/>
    <x v="2"/>
    <x v="1"/>
    <s v="Safco Wire Cube Shelving System, For Use as 4 or 5 14&quot; Cubes, Black"/>
    <n v="485.9"/>
    <n v="5"/>
    <n v="7.9450000000000003"/>
    <n v="1.6351101049598682"/>
  </r>
  <r>
    <s v="US-2020-147886"/>
    <x v="208"/>
    <s v="DH-13075"/>
    <s v="Dave Hallsten"/>
    <s v="United States"/>
    <x v="2"/>
    <x v="1"/>
    <s v="SAFCO Boltless Steel Shelving"/>
    <n v="830.48"/>
    <n v="7"/>
    <n v="7.9547999999999996"/>
    <n v="0.95785569790964253"/>
  </r>
  <r>
    <s v="CA-2020-136651"/>
    <x v="327"/>
    <s v="JF-15355"/>
    <s v="Jay Fein"/>
    <s v="United States"/>
    <x v="2"/>
    <x v="2"/>
    <s v="Eldon 500 Class Desk Accessories"/>
    <n v="149.13999999999999"/>
    <n v="2"/>
    <n v="7.9661999999999997"/>
    <n v="5.3414241652138932"/>
  </r>
  <r>
    <s v="CA-2019-121993"/>
    <x v="79"/>
    <s v="JB-16000"/>
    <s v="Joy Bell-"/>
    <s v="United States"/>
    <x v="0"/>
    <x v="1"/>
    <s v="Avery 487"/>
    <n v="23.616"/>
    <n v="8"/>
    <n v="7.9703999999999997"/>
    <n v="33.75"/>
  </r>
  <r>
    <s v="CA-2020-143574"/>
    <x v="146"/>
    <s v="DR-12880"/>
    <s v="Dan Reichenbach"/>
    <s v="United States"/>
    <x v="0"/>
    <x v="1"/>
    <s v="Acme Box Cutter Scissors"/>
    <n v="157.69"/>
    <n v="3"/>
    <n v="7.9794"/>
    <n v="5.0601813685078314"/>
  </r>
  <r>
    <s v="CA-2020-134439"/>
    <x v="406"/>
    <s v="TM-21010"/>
    <s v="Tamara Manning"/>
    <s v="United States"/>
    <x v="3"/>
    <x v="1"/>
    <s v="Adams Telephone Message Book w/Frequently-Called Numbers Space, 400 Messages per Book"/>
    <n v="99.96"/>
    <n v="2"/>
    <n v="7.98"/>
    <n v="7.9831932773109253"/>
  </r>
  <r>
    <s v="CA-2019-139381"/>
    <x v="148"/>
    <s v="RF-19840"/>
    <s v="Roy Französisch"/>
    <s v="United States"/>
    <x v="1"/>
    <x v="0"/>
    <s v="SKILCRAFT Telephone Shoulder Rest, 2&quot; x 6.5&quot; x 2.5&quot;, Black"/>
    <n v="29.56"/>
    <n v="4"/>
    <n v="7.9812000000000003"/>
    <n v="27"/>
  </r>
  <r>
    <s v="CA-2020-144589"/>
    <x v="477"/>
    <s v="TM-21010"/>
    <s v="Tamara Manning"/>
    <s v="United States"/>
    <x v="2"/>
    <x v="1"/>
    <s v="Staples in misc. colors"/>
    <n v="152.19999999999999"/>
    <n v="5"/>
    <n v="7.9859999999999998"/>
    <n v="5.2470433639947442"/>
  </r>
  <r>
    <s v="US-2020-107888"/>
    <x v="417"/>
    <s v="CC-12220"/>
    <s v="Chris Cortes"/>
    <s v="United States"/>
    <x v="2"/>
    <x v="1"/>
    <s v="Fellowes Bases and Tops For Staxonsteel/High-Stak Systems"/>
    <n v="110.29"/>
    <n v="1"/>
    <n v="7.9896000000000003"/>
    <n v="7.244174449179436"/>
  </r>
  <r>
    <s v="CA-2020-105543"/>
    <x v="225"/>
    <s v="BG-11695"/>
    <s v="Brooke Gillingham"/>
    <s v="United States"/>
    <x v="3"/>
    <x v="1"/>
    <s v="Fellowes Bases and Tops For Staxonsteel/High-Stak Systems"/>
    <n v="133.29"/>
    <n v="1"/>
    <n v="7.9896000000000003"/>
    <n v="5.9941480981318938"/>
  </r>
  <r>
    <s v="CA-2020-163671"/>
    <x v="437"/>
    <s v="DP-13105"/>
    <s v="Dave Poirier"/>
    <s v="United States"/>
    <x v="2"/>
    <x v="1"/>
    <s v="GBC Instant Index System for Binding Systems"/>
    <n v="379.31200000000001"/>
    <n v="3"/>
    <n v="7.992"/>
    <n v="2.1069726241194582"/>
  </r>
  <r>
    <s v="CA-2019-108210"/>
    <x v="323"/>
    <s v="AT-10735"/>
    <s v="Annie Thurman"/>
    <s v="United States"/>
    <x v="3"/>
    <x v="0"/>
    <s v="Anker 36W 4-Port USB Wall Charger Travel Power Adapter for iPhone 5s 5c 5"/>
    <n v="79.959999999999994"/>
    <n v="5"/>
    <n v="7.9960000000000004"/>
    <n v="10.000000000000002"/>
  </r>
  <r>
    <s v="US-2020-160143"/>
    <x v="152"/>
    <s v="HG-14965"/>
    <s v="Henry Goldwyn"/>
    <s v="United States"/>
    <x v="2"/>
    <x v="1"/>
    <s v="Acme Tagit Stainless Steel Antibacterial Scissors"/>
    <n v="104.7"/>
    <n v="3"/>
    <n v="8.0190000000000001"/>
    <n v="7.6590257879656161"/>
  </r>
  <r>
    <s v="CA-2020-107909"/>
    <x v="524"/>
    <s v="SS-20875"/>
    <s v="Sung Shariari"/>
    <s v="United States"/>
    <x v="2"/>
    <x v="1"/>
    <s v="Avery Metallic Poly Binders"/>
    <n v="130.91999999999999"/>
    <n v="5"/>
    <n v="8.0220000000000002"/>
    <n v="6.1274060494958764"/>
  </r>
  <r>
    <s v="CA-2019-127208"/>
    <x v="104"/>
    <s v="SC-20770"/>
    <s v="Stewart Carmichael"/>
    <s v="United States"/>
    <x v="1"/>
    <x v="1"/>
    <s v="Avery Heavy-Duty EZD  Binder With Locking Rings"/>
    <n v="16.739999999999998"/>
    <n v="3"/>
    <n v="8.0351999999999997"/>
    <n v="48.000000000000007"/>
  </r>
  <r>
    <s v="CA-2020-100524"/>
    <x v="152"/>
    <s v="CM-12115"/>
    <s v="Chad McGuire"/>
    <s v="United States"/>
    <x v="0"/>
    <x v="2"/>
    <s v="Tensor Computer Mounted Lamp"/>
    <n v="160.78"/>
    <n v="2"/>
    <n v="8.0405999999999995"/>
    <n v="5.000995148650329"/>
  </r>
  <r>
    <s v="CA-2019-105760"/>
    <x v="580"/>
    <s v="KC-16255"/>
    <s v="Karen Carlisle"/>
    <s v="United States"/>
    <x v="2"/>
    <x v="1"/>
    <s v="Message Book, Standard Line &quot;While You Were Out&quot;, 5 1/2&quot; X 4&quot;, 200 Sets/Book"/>
    <n v="17.12"/>
    <n v="2"/>
    <n v="8.0464000000000002"/>
    <n v="47"/>
  </r>
  <r>
    <s v="CA-2020-156272"/>
    <x v="450"/>
    <s v="PW-19030"/>
    <s v="Pauline Webber"/>
    <s v="United States"/>
    <x v="1"/>
    <x v="1"/>
    <s v="APC 7 Outlet Network SurgeArrest Surge Protector"/>
    <n v="100.384"/>
    <n v="1"/>
    <n v="8.048"/>
    <n v="8.0172138986292634"/>
  </r>
  <r>
    <s v="CA-2019-123050"/>
    <x v="563"/>
    <s v="BC-11125"/>
    <s v="Becky Castell"/>
    <s v="United States"/>
    <x v="0"/>
    <x v="1"/>
    <s v="Tenex File Box, Personal Filing Tote with Lid, Black"/>
    <n v="31.02"/>
    <n v="2"/>
    <n v="8.0652000000000008"/>
    <n v="26"/>
  </r>
  <r>
    <s v="CA-2019-111696"/>
    <x v="491"/>
    <s v="TB-21625"/>
    <s v="Trudy Brown"/>
    <s v="United States"/>
    <x v="2"/>
    <x v="1"/>
    <s v="Xerox 1920"/>
    <n v="17.940000000000001"/>
    <n v="3"/>
    <n v="8.0730000000000004"/>
    <n v="45"/>
  </r>
  <r>
    <s v="CA-2020-100230"/>
    <x v="33"/>
    <s v="AA-10375"/>
    <s v="Allen Armold"/>
    <s v="United States"/>
    <x v="0"/>
    <x v="1"/>
    <s v="Xerox 1895"/>
    <n v="470.94"/>
    <n v="3"/>
    <n v="8.0730000000000004"/>
    <n v="1.7142311122435978"/>
  </r>
  <r>
    <s v="CA-2019-122063"/>
    <x v="107"/>
    <s v="MM-17920"/>
    <s v="Michael Moore"/>
    <s v="United States"/>
    <x v="3"/>
    <x v="2"/>
    <s v="Global Stack Chair with Arms, Black"/>
    <n v="29.98"/>
    <n v="1"/>
    <n v="8.0945999999999998"/>
    <n v="26.999999999999996"/>
  </r>
  <r>
    <s v="CA-2020-125913"/>
    <x v="324"/>
    <s v="JO-15145"/>
    <s v="Jack O'Briant"/>
    <s v="United States"/>
    <x v="2"/>
    <x v="2"/>
    <s v="Eldon Expressions Wood and Plastic Desk Accessories, Cherry Wood"/>
    <n v="141.91999999999999"/>
    <n v="4"/>
    <n v="8.0968"/>
    <n v="5.7051860202931239"/>
  </r>
  <r>
    <s v="CA-2020-100111"/>
    <x v="495"/>
    <s v="SV-20365"/>
    <s v="Seth Vernon"/>
    <s v="United States"/>
    <x v="0"/>
    <x v="2"/>
    <s v="Global Leather Task Chair, Black"/>
    <n v="116.991"/>
    <n v="1"/>
    <n v="8.0991"/>
    <n v="6.9228402184783446"/>
  </r>
  <r>
    <s v="CA-2019-161207"/>
    <x v="159"/>
    <s v="AB-10060"/>
    <s v="Adam Bellavance"/>
    <s v="United States"/>
    <x v="0"/>
    <x v="1"/>
    <s v="Acme Forged Steel Scissors with Black Enamel Handles"/>
    <n v="27.93"/>
    <n v="3"/>
    <n v="8.0997000000000003"/>
    <n v="29.000000000000004"/>
  </r>
  <r>
    <s v="CA-2019-102932"/>
    <x v="204"/>
    <s v="SD-20485"/>
    <s v="Shirley Daniels"/>
    <s v="United States"/>
    <x v="0"/>
    <x v="1"/>
    <s v="Acme Forged Steel Scissors with Black Enamel Handles"/>
    <n v="27.93"/>
    <n v="3"/>
    <n v="8.0997000000000003"/>
    <n v="29.000000000000004"/>
  </r>
  <r>
    <s v="CA-2020-164364"/>
    <x v="151"/>
    <s v="CS-12355"/>
    <s v="Christine Sundaresam"/>
    <s v="United States"/>
    <x v="2"/>
    <x v="1"/>
    <s v="Acme Forged Steel Scissors with Black Enamel Handles"/>
    <n v="137.93"/>
    <n v="3"/>
    <n v="8.0997000000000003"/>
    <n v="5.872326542449068"/>
  </r>
  <r>
    <s v="CA-2020-165323"/>
    <x v="245"/>
    <s v="SR-20740"/>
    <s v="Steven Roelle"/>
    <s v="United States"/>
    <x v="0"/>
    <x v="0"/>
    <s v="Kingston Digital DataTraveler 64GB USB 2.0"/>
    <n v="114.34"/>
    <n v="3"/>
    <n v="8.1072000000000006"/>
    <n v="7.0904320447787299"/>
  </r>
  <r>
    <s v="CA-2020-166856"/>
    <x v="406"/>
    <s v="TS-21505"/>
    <s v="Tony Sayre"/>
    <s v="United States"/>
    <x v="2"/>
    <x v="0"/>
    <s v="Kingston Digital DataTraveler 64GB USB 2.0"/>
    <n v="111.34"/>
    <n v="3"/>
    <n v="8.1072000000000006"/>
    <n v="7.2814801508891689"/>
  </r>
  <r>
    <s v="CA-2020-113705"/>
    <x v="182"/>
    <s v="LC-16870"/>
    <s v="Lena Cacioppo"/>
    <s v="United States"/>
    <x v="1"/>
    <x v="1"/>
    <s v="Ampad Gold Fibre Wirebound Steno Books, 6&quot; x 9&quot;, Gregg Ruled"/>
    <n v="121.64"/>
    <n v="4"/>
    <n v="8.1143999999999998"/>
    <n v="6.6708319631700093"/>
  </r>
  <r>
    <s v="CA-2020-167640"/>
    <x v="494"/>
    <s v="FC-14245"/>
    <s v="Frank Carlisle"/>
    <s v="United States"/>
    <x v="2"/>
    <x v="1"/>
    <s v="Fluorescent Highlighters by Dixon"/>
    <n v="117.88"/>
    <n v="6"/>
    <n v="8.1191999999999993"/>
    <n v="6.8876823888700365"/>
  </r>
  <r>
    <s v="CA-2019-124814"/>
    <x v="377"/>
    <s v="FM-14215"/>
    <s v="Filia McAdams"/>
    <s v="United States"/>
    <x v="2"/>
    <x v="1"/>
    <s v="Wilson Jones Clip &amp; Carry Folder Binder Tool for Ring Binders, Clear"/>
    <n v="23.2"/>
    <n v="5"/>
    <n v="8.1199999999999992"/>
    <n v="35"/>
  </r>
  <r>
    <s v="CA-2020-151799"/>
    <x v="55"/>
    <s v="BF-11170"/>
    <s v="Ben Ferrer"/>
    <s v="United States"/>
    <x v="0"/>
    <x v="1"/>
    <s v="Acco Banker's Clasps, 5 3/4&quot;-Long"/>
    <n v="413.28"/>
    <n v="6"/>
    <n v="8.1216000000000008"/>
    <n v="1.9651567944250874"/>
  </r>
  <r>
    <s v="US-2019-144211"/>
    <x v="199"/>
    <s v="CS-12130"/>
    <s v="Chad Sievert"/>
    <s v="United States"/>
    <x v="2"/>
    <x v="0"/>
    <s v="AT&amp;T 17929 Lendline Telephone"/>
    <n v="108.57599999999999"/>
    <n v="3"/>
    <n v="8.1432000000000002"/>
    <n v="7.5000000000000009"/>
  </r>
  <r>
    <s v="CA-2019-151323"/>
    <x v="342"/>
    <s v="AB-10255"/>
    <s v="Alejandro Ballentine"/>
    <s v="United States"/>
    <x v="2"/>
    <x v="1"/>
    <s v="Advantus SlideClip Paper Clips"/>
    <n v="17.05"/>
    <n v="5"/>
    <n v="8.1839999999999993"/>
    <n v="47.999999999999993"/>
  </r>
  <r>
    <s v="CA-2019-145548"/>
    <x v="373"/>
    <s v="EB-13750"/>
    <s v="Edward Becker"/>
    <s v="United States"/>
    <x v="0"/>
    <x v="2"/>
    <s v="Global Wood Trimmed Manager's Task Chair, Khaki"/>
    <n v="245.64599999999999"/>
    <n v="3"/>
    <n v="8.1882000000000001"/>
    <n v="3.3333333333333335"/>
  </r>
  <r>
    <s v="CA-2019-165827"/>
    <x v="56"/>
    <s v="MF-17665"/>
    <s v="Maureen Fritzler"/>
    <s v="United States"/>
    <x v="1"/>
    <x v="2"/>
    <s v="Ultra Door Pull Handle"/>
    <n v="50.496000000000002"/>
    <n v="6"/>
    <n v="8.2056000000000004"/>
    <n v="16.25"/>
  </r>
  <r>
    <s v="CA-2019-118255"/>
    <x v="253"/>
    <s v="ON-18715"/>
    <s v="Odella Nelson"/>
    <s v="United States"/>
    <x v="3"/>
    <x v="1"/>
    <s v="Wilson Jones Leather-Like Binders with DublLock Round Rings"/>
    <n v="17.46"/>
    <n v="2"/>
    <n v="8.2062000000000008"/>
    <n v="47"/>
  </r>
  <r>
    <s v="CA-2020-137428"/>
    <x v="505"/>
    <s v="AY-10555"/>
    <s v="Andy Yotov"/>
    <s v="United States"/>
    <x v="2"/>
    <x v="1"/>
    <s v="Prestige Round Ring Binders"/>
    <n v="318.32"/>
    <n v="5"/>
    <n v="8.2080000000000002"/>
    <n v="2.5785373209349083"/>
  </r>
  <r>
    <s v="US-2020-159562"/>
    <x v="37"/>
    <s v="JB-16000"/>
    <s v="Joy Bell-"/>
    <s v="United States"/>
    <x v="3"/>
    <x v="1"/>
    <s v="#10- 4 1/8&quot; x 9 1/2&quot; Recycled Envelopes"/>
    <n v="89.48"/>
    <n v="2"/>
    <n v="8.2156000000000002"/>
    <n v="9.1814930710773357"/>
  </r>
  <r>
    <s v="US-2019-165953"/>
    <x v="235"/>
    <s v="EP-13915"/>
    <s v="Emily Phan"/>
    <s v="United States"/>
    <x v="1"/>
    <x v="1"/>
    <s v="Things To Do Today Pad"/>
    <n v="23.48"/>
    <n v="5"/>
    <n v="8.218"/>
    <n v="35"/>
  </r>
  <r>
    <s v="CA-2019-129238"/>
    <x v="558"/>
    <s v="SC-20050"/>
    <s v="Sample Company A"/>
    <s v="United States"/>
    <x v="2"/>
    <x v="0"/>
    <s v="AT&amp;T 1080 Phone"/>
    <n v="109.592"/>
    <n v="1"/>
    <n v="8.2194000000000003"/>
    <n v="7.5"/>
  </r>
  <r>
    <s v="CA-2020-107132"/>
    <x v="334"/>
    <s v="SC-20260"/>
    <s v="Scott Cohen"/>
    <s v="United States"/>
    <x v="0"/>
    <x v="1"/>
    <s v="Acme Preferred Stainless Steel Scissors"/>
    <n v="114.4"/>
    <n v="5"/>
    <n v="8.2360000000000007"/>
    <n v="7.1993006993006992"/>
  </r>
  <r>
    <s v="CA-2020-161956"/>
    <x v="53"/>
    <s v="DR-12880"/>
    <s v="Dan Reichenbach"/>
    <s v="United States"/>
    <x v="2"/>
    <x v="1"/>
    <s v="Acme Preferred Stainless Steel Scissors"/>
    <n v="149.4"/>
    <n v="5"/>
    <n v="8.2360000000000007"/>
    <n v="5.5127175368139225"/>
  </r>
  <r>
    <s v="US-2019-127425"/>
    <x v="261"/>
    <s v="DR-12880"/>
    <s v="Dan Reichenbach"/>
    <s v="United States"/>
    <x v="0"/>
    <x v="0"/>
    <s v="Samsung Replacement EH64AVFWE Premium Headset"/>
    <n v="33"/>
    <n v="6"/>
    <n v="8.25"/>
    <n v="25"/>
  </r>
  <r>
    <s v="CA-2020-104619"/>
    <x v="439"/>
    <s v="KD-16495"/>
    <s v="Keith Dawkins"/>
    <s v="United States"/>
    <x v="2"/>
    <x v="0"/>
    <s v="Jensen SMPS-640 - speaker phone"/>
    <n v="149.352"/>
    <n v="3"/>
    <n v="8.2764000000000006"/>
    <n v="5.54153945042584"/>
  </r>
  <r>
    <s v="CA-2019-109806"/>
    <x v="186"/>
    <s v="JS-15685"/>
    <s v="Jim Sink"/>
    <s v="United States"/>
    <x v="2"/>
    <x v="0"/>
    <s v="Panasonic Kx-TS550"/>
    <n v="73.584000000000003"/>
    <n v="2"/>
    <n v="8.2782"/>
    <n v="11.249999999999998"/>
  </r>
  <r>
    <s v="CA-2019-153346"/>
    <x v="143"/>
    <s v="TB-21355"/>
    <s v="Todd Boyes"/>
    <s v="United States"/>
    <x v="0"/>
    <x v="1"/>
    <s v="Telephone Message Books with Fax/Mobile Section, 4 1/4&quot; x 6&quot;"/>
    <n v="18"/>
    <n v="5"/>
    <n v="8.2799999999999994"/>
    <n v="46"/>
  </r>
  <r>
    <s v="CA-2020-125752"/>
    <x v="192"/>
    <s v="EH-14125"/>
    <s v="Eugene Hildebrand"/>
    <s v="United States"/>
    <x v="1"/>
    <x v="0"/>
    <s v="TRENDnet 56K USB 2.0 Phone, Internet and Fax Modem"/>
    <n v="134.42400000000001"/>
    <n v="2"/>
    <n v="8.2848000000000006"/>
    <n v="6.1631851455097308"/>
  </r>
  <r>
    <s v="CA-2020-109085"/>
    <x v="58"/>
    <s v="CK-12325"/>
    <s v="Christine Kargatis"/>
    <s v="United States"/>
    <x v="0"/>
    <x v="2"/>
    <s v="Flat Face Poster Frame"/>
    <n v="126.14400000000001"/>
    <n v="2"/>
    <n v="8.2896000000000001"/>
    <n v="6.571537290715372"/>
  </r>
  <r>
    <s v="CA-2020-111332"/>
    <x v="145"/>
    <s v="NC-18340"/>
    <s v="Nat Carroll"/>
    <s v="United States"/>
    <x v="3"/>
    <x v="1"/>
    <s v="BIC Brite Liner Highlighters, Chisel Tip"/>
    <n v="137.91999999999999"/>
    <n v="4"/>
    <n v="8.2943999999999996"/>
    <n v="6.0139211136890953"/>
  </r>
  <r>
    <s v="CA-2020-107244"/>
    <x v="266"/>
    <s v="AG-10390"/>
    <s v="Allen Goldenen"/>
    <s v="United States"/>
    <x v="2"/>
    <x v="2"/>
    <s v="C-Line Magnetic Cubicle Keepers, Clear Polypropylene"/>
    <n v="137.76"/>
    <n v="4"/>
    <n v="8.2992000000000008"/>
    <n v="6.0243902439024399"/>
  </r>
  <r>
    <s v="CA-2020-143434"/>
    <x v="276"/>
    <s v="ME-17320"/>
    <s v="Maria Etezadi"/>
    <s v="United States"/>
    <x v="3"/>
    <x v="2"/>
    <s v="C-Line Magnetic Cubicle Keepers, Clear Polypropylene"/>
    <n v="118.76"/>
    <n v="4"/>
    <n v="8.2992000000000008"/>
    <n v="6.9882115190299769"/>
  </r>
  <r>
    <s v="CA-2020-145226"/>
    <x v="136"/>
    <s v="DL-13315"/>
    <s v="Delfina Latchford"/>
    <s v="United States"/>
    <x v="0"/>
    <x v="1"/>
    <s v="Iris Project Case"/>
    <n v="131.91999999999999"/>
    <n v="4"/>
    <n v="8.2992000000000008"/>
    <n v="6.2910855063674971"/>
  </r>
  <r>
    <s v="US-2019-148901"/>
    <x v="220"/>
    <s v="MK-17905"/>
    <s v="Michael Kennedy"/>
    <s v="United States"/>
    <x v="1"/>
    <x v="2"/>
    <s v="DAX Copper Panel Document Frame, 5 x 7 Size"/>
    <n v="30.192"/>
    <n v="3"/>
    <n v="8.3027999999999995"/>
    <n v="27.499999999999996"/>
  </r>
  <r>
    <s v="CA-2019-169838"/>
    <x v="0"/>
    <s v="BB-11545"/>
    <s v="Brenda Bowman"/>
    <s v="United States"/>
    <x v="3"/>
    <x v="1"/>
    <s v="Wilson Jones International Size A4 Ring Binders"/>
    <n v="17.3"/>
    <n v="1"/>
    <n v="8.3040000000000003"/>
    <n v="48"/>
  </r>
  <r>
    <s v="CA-2019-111283"/>
    <x v="581"/>
    <s v="LC-16870"/>
    <s v="Lena Cacioppo"/>
    <s v="United States"/>
    <x v="0"/>
    <x v="1"/>
    <s v="Newell 34"/>
    <n v="111.104"/>
    <n v="7"/>
    <n v="8.3328000000000007"/>
    <n v="7.5000000000000009"/>
  </r>
  <r>
    <s v="CA-2019-149783"/>
    <x v="478"/>
    <s v="DL-13315"/>
    <s v="Delfina Latchford"/>
    <s v="United States"/>
    <x v="1"/>
    <x v="1"/>
    <s v="Prismacolor Color Pencil Set"/>
    <n v="31.744"/>
    <n v="2"/>
    <n v="8.3328000000000007"/>
    <n v="26.25"/>
  </r>
  <r>
    <s v="CA-2020-146185"/>
    <x v="301"/>
    <s v="CC-12145"/>
    <s v="Charles Crestani"/>
    <s v="United States"/>
    <x v="3"/>
    <x v="1"/>
    <s v="Prismacolor Color Pencil Set"/>
    <n v="122.744"/>
    <n v="2"/>
    <n v="8.3328000000000007"/>
    <n v="6.7887636055530223"/>
  </r>
  <r>
    <s v="CA-2019-166282"/>
    <x v="466"/>
    <s v="PK-19075"/>
    <s v="Pete Kriz"/>
    <s v="United States"/>
    <x v="1"/>
    <x v="0"/>
    <s v="Memorex Froggy Flash Drive 4 GB"/>
    <n v="35.167999999999999"/>
    <n v="4"/>
    <n v="8.3523999999999994"/>
    <n v="23.75"/>
  </r>
  <r>
    <s v="CA-2019-155138"/>
    <x v="49"/>
    <s v="JM-15580"/>
    <s v="Jill Matthias"/>
    <s v="United States"/>
    <x v="1"/>
    <x v="0"/>
    <s v="Memorex Froggy Flash Drive 4 GB"/>
    <n v="35.167999999999999"/>
    <n v="4"/>
    <n v="8.3523999999999994"/>
    <n v="23.75"/>
  </r>
  <r>
    <s v="CA-2019-101329"/>
    <x v="16"/>
    <s v="MM-17920"/>
    <s v="Michael Moore"/>
    <s v="United States"/>
    <x v="0"/>
    <x v="1"/>
    <s v="Barrel Sharpener"/>
    <n v="32.130000000000003"/>
    <n v="9"/>
    <n v="8.3537999999999997"/>
    <n v="25.999999999999996"/>
  </r>
  <r>
    <s v="CA-2020-168858"/>
    <x v="4"/>
    <s v="JD-16150"/>
    <s v="Justin Deggeller"/>
    <s v="United States"/>
    <x v="0"/>
    <x v="1"/>
    <s v="Staple envelope"/>
    <n v="124.74"/>
    <n v="3"/>
    <n v="8.3699999999999992"/>
    <n v="6.7099567099567086"/>
  </r>
  <r>
    <s v="CA-2020-131212"/>
    <x v="372"/>
    <s v="AB-10165"/>
    <s v="Alan Barnes"/>
    <s v="United States"/>
    <x v="2"/>
    <x v="1"/>
    <s v="GBC Wire Binding Combs"/>
    <n v="119.816"/>
    <n v="3"/>
    <n v="8.3754000000000008"/>
    <n v="6.9902183347799962"/>
  </r>
  <r>
    <s v="CA-2020-103443"/>
    <x v="93"/>
    <s v="AT-10735"/>
    <s v="Annie Thurman"/>
    <s v="United States"/>
    <x v="0"/>
    <x v="1"/>
    <s v="GBC Wire Binding Combs"/>
    <n v="444.81599999999997"/>
    <n v="3"/>
    <n v="8.3754000000000008"/>
    <n v="1.8828909032049208"/>
  </r>
  <r>
    <s v="CA-2019-164035"/>
    <x v="104"/>
    <s v="CR-12730"/>
    <s v="Craig Reiter"/>
    <s v="United States"/>
    <x v="3"/>
    <x v="1"/>
    <s v="Xerox 1978"/>
    <n v="23.12"/>
    <n v="5"/>
    <n v="8.3810000000000002"/>
    <n v="36.25"/>
  </r>
  <r>
    <s v="CA-2020-134915"/>
    <x v="151"/>
    <s v="EM-14140"/>
    <s v="Eugene Moren"/>
    <s v="United States"/>
    <x v="2"/>
    <x v="1"/>
    <s v="Xerox 1978"/>
    <n v="156.12"/>
    <n v="5"/>
    <n v="8.3810000000000002"/>
    <n v="5.3683064309505504"/>
  </r>
  <r>
    <s v="CA-2019-130400"/>
    <x v="277"/>
    <s v="SJ-20125"/>
    <s v="Sanjit Jacobs"/>
    <s v="United States"/>
    <x v="3"/>
    <x v="0"/>
    <s v="Verbatim 25 GB 6x Blu-ray Single Layer Recordable Disc, 3/Pack"/>
    <n v="27.96"/>
    <n v="5"/>
    <n v="8.3879999999999999"/>
    <n v="30"/>
  </r>
  <r>
    <s v="CA-2020-140802"/>
    <x v="69"/>
    <s v="KN-16390"/>
    <s v="Katherine Nockton"/>
    <s v="United States"/>
    <x v="3"/>
    <x v="0"/>
    <s v="Logitech LS21 Speaker System - PC Multimedia - 2.1-CH - Wired"/>
    <n v="116.976"/>
    <n v="3"/>
    <n v="8.3957999999999995"/>
    <n v="7.1773697168649981"/>
  </r>
  <r>
    <s v="CA-2020-108854"/>
    <x v="136"/>
    <s v="DM-13345"/>
    <s v="Denise Monton"/>
    <s v="United States"/>
    <x v="2"/>
    <x v="1"/>
    <s v="Performers Binder/Pad Holder, Black"/>
    <n v="117.42400000000001"/>
    <n v="1"/>
    <n v="8.4090000000000007"/>
    <n v="7.161227687695872"/>
  </r>
  <r>
    <s v="US-2020-165869"/>
    <x v="192"/>
    <s v="LS-17200"/>
    <s v="Luke Schmidt"/>
    <s v="United States"/>
    <x v="3"/>
    <x v="1"/>
    <s v="Acco 3-Hole Punch"/>
    <n v="103.52"/>
    <n v="4"/>
    <n v="8.4095999999999993"/>
    <n v="8.1236476043276653"/>
  </r>
  <r>
    <s v="CA-2019-164350"/>
    <x v="238"/>
    <s v="CG-12040"/>
    <s v="Catherine Glotzbach"/>
    <s v="United States"/>
    <x v="1"/>
    <x v="1"/>
    <s v="Boston Model 1800 Electric Pencil Sharpener, Gray"/>
    <n v="67.56"/>
    <n v="3"/>
    <n v="8.4450000000000003"/>
    <n v="12.5"/>
  </r>
  <r>
    <s v="CA-2019-105732"/>
    <x v="443"/>
    <s v="AG-10270"/>
    <s v="Alejandro Grove"/>
    <s v="United States"/>
    <x v="3"/>
    <x v="1"/>
    <s v="Things To Do Today Pad"/>
    <n v="17.61"/>
    <n v="3"/>
    <n v="8.4527999999999999"/>
    <n v="48"/>
  </r>
  <r>
    <s v="CA-2020-162978"/>
    <x v="370"/>
    <s v="LW-16990"/>
    <s v="Lindsay Williams"/>
    <s v="United States"/>
    <x v="2"/>
    <x v="1"/>
    <s v="Things To Do Today Pad"/>
    <n v="103.61"/>
    <n v="3"/>
    <n v="8.4527999999999999"/>
    <n v="8.1582858797413387"/>
  </r>
  <r>
    <s v="US-2020-163195"/>
    <x v="58"/>
    <s v="LL-16840"/>
    <s v="Lauren Leatherbury"/>
    <s v="United States"/>
    <x v="1"/>
    <x v="0"/>
    <s v="KLD Oscar II Style Snap-on Ultra Thin Side Flip Synthetic Leather Cover Case for HTC One HTC M7"/>
    <n v="125.16"/>
    <n v="3"/>
    <n v="8.4564000000000004"/>
    <n v="6.7564717162032606"/>
  </r>
  <r>
    <s v="CA-2020-155362"/>
    <x v="93"/>
    <s v="DP-13105"/>
    <s v="Dave Poirier"/>
    <s v="United States"/>
    <x v="3"/>
    <x v="1"/>
    <s v="Adjustable Personal File Tote"/>
    <n v="639.55999999999995"/>
    <n v="2"/>
    <n v="8.4656000000000002"/>
    <n v="1.3236600162611796"/>
  </r>
  <r>
    <s v="US-2020-103828"/>
    <x v="7"/>
    <s v="JK-15370"/>
    <s v="Jay Kimmel"/>
    <s v="United States"/>
    <x v="2"/>
    <x v="1"/>
    <s v="Sterilite Officeware Hinged File Box"/>
    <n v="126.44"/>
    <n v="3"/>
    <n v="8.4887999999999995"/>
    <n v="6.7136981967731728"/>
  </r>
  <r>
    <s v="CA-2020-132521"/>
    <x v="71"/>
    <s v="DW-13540"/>
    <s v="Don Weiss"/>
    <s v="United States"/>
    <x v="2"/>
    <x v="1"/>
    <s v="Sterilite Officeware Hinged File Box"/>
    <n v="134.44"/>
    <n v="3"/>
    <n v="8.4887999999999995"/>
    <n v="6.3141922047009817"/>
  </r>
  <r>
    <s v="CA-2020-107986"/>
    <x v="547"/>
    <s v="MW-18220"/>
    <s v="Mitch Webber"/>
    <s v="United States"/>
    <x v="2"/>
    <x v="1"/>
    <s v="Sterilite Officeware Hinged File Box"/>
    <n v="373.44"/>
    <n v="3"/>
    <n v="8.4887999999999995"/>
    <n v="2.2731362467866325"/>
  </r>
  <r>
    <s v="CA-2020-109211"/>
    <x v="499"/>
    <s v="PS-19045"/>
    <s v="Penelope Sewall"/>
    <s v="United States"/>
    <x v="0"/>
    <x v="1"/>
    <s v="Brown Kraft Recycled Envelopes"/>
    <n v="123.98"/>
    <n v="1"/>
    <n v="8.49"/>
    <n v="6.8478786901113082"/>
  </r>
  <r>
    <s v="CA-2020-169474"/>
    <x v="582"/>
    <s v="JF-15355"/>
    <s v="Jay Fein"/>
    <s v="United States"/>
    <x v="0"/>
    <x v="1"/>
    <s v="Belkin 6 Outlet Metallic Surge Strip"/>
    <n v="138.66999999999999"/>
    <n v="3"/>
    <n v="8.4941999999999993"/>
    <n v="6.1254777529386315"/>
  </r>
  <r>
    <s v="CA-2019-133144"/>
    <x v="426"/>
    <s v="DO-13435"/>
    <s v="Denny Ordway"/>
    <s v="United States"/>
    <x v="2"/>
    <x v="1"/>
    <s v="Xerox 196"/>
    <n v="17.34"/>
    <n v="3"/>
    <n v="8.4966000000000008"/>
    <n v="49.000000000000007"/>
  </r>
  <r>
    <s v="CA-2019-123533"/>
    <x v="289"/>
    <s v="SC-20050"/>
    <s v="Sample Company A"/>
    <s v="United States"/>
    <x v="1"/>
    <x v="2"/>
    <s v="O'Sullivan Cherrywood Estates Traditional Bookcase"/>
    <n v="339.92"/>
    <n v="5"/>
    <n v="8.4979999999999993"/>
    <n v="2.5"/>
  </r>
  <r>
    <s v="CA-2020-164168"/>
    <x v="151"/>
    <s v="LS-16975"/>
    <s v="Lindsay Shagiari"/>
    <s v="United States"/>
    <x v="3"/>
    <x v="0"/>
    <s v="Panasonic KX TS3282W Corded phone"/>
    <n v="102.992"/>
    <n v="1"/>
    <n v="8.4990000000000006"/>
    <n v="8.2520972502718664"/>
  </r>
  <r>
    <s v="CA-2020-125388"/>
    <x v="6"/>
    <s v="MP-17965"/>
    <s v="Michael Paige"/>
    <s v="United States"/>
    <x v="0"/>
    <x v="1"/>
    <s v="Crate-A-Files"/>
    <n v="128.69999999999999"/>
    <n v="3"/>
    <n v="8.5020000000000007"/>
    <n v="6.6060606060606073"/>
  </r>
  <r>
    <s v="CA-2019-128412"/>
    <x v="528"/>
    <s v="AP-10915"/>
    <s v="Arthur Prichep"/>
    <s v="United States"/>
    <x v="2"/>
    <x v="0"/>
    <s v="Kingston Digital DataTraveler 16GB USB 2.0"/>
    <n v="44.75"/>
    <n v="5"/>
    <n v="8.5024999999999995"/>
    <n v="19"/>
  </r>
  <r>
    <s v="CA-2020-145772"/>
    <x v="132"/>
    <s v="SS-20140"/>
    <s v="Saphhira Shifley"/>
    <s v="United States"/>
    <x v="2"/>
    <x v="0"/>
    <s v="Kingston Digital DataTraveler 16GB USB 2.0"/>
    <n v="156.75"/>
    <n v="5"/>
    <n v="8.5024999999999995"/>
    <n v="5.4242424242424239"/>
  </r>
  <r>
    <s v="CA-2020-147333"/>
    <x v="55"/>
    <s v="KL-16555"/>
    <s v="Kelly Lampkin"/>
    <s v="United States"/>
    <x v="1"/>
    <x v="0"/>
    <s v="Kingston Digital DataTraveler 16GB USB 2.0"/>
    <n v="367.75"/>
    <n v="5"/>
    <n v="8.5024999999999995"/>
    <n v="2.3120326308633579"/>
  </r>
  <r>
    <s v="CA-2019-137239"/>
    <x v="312"/>
    <s v="CR-12730"/>
    <s v="Craig Reiter"/>
    <s v="United States"/>
    <x v="0"/>
    <x v="1"/>
    <s v="Tripp Lite Isotel 8 Ultra 8 Outlet Metal Surge"/>
    <n v="113.55200000000001"/>
    <n v="2"/>
    <n v="8.5164000000000009"/>
    <n v="7.5"/>
  </r>
  <r>
    <s v="CA-2020-113278"/>
    <x v="325"/>
    <s v="HR-14770"/>
    <s v="Hallie Redmond"/>
    <s v="United States"/>
    <x v="3"/>
    <x v="2"/>
    <s v="DAX Charcoal/Nickel-Tone Document Frame, 5 x 7"/>
    <n v="89.96"/>
    <n v="2"/>
    <n v="8.532"/>
    <n v="9.4842152067585594"/>
  </r>
  <r>
    <s v="CA-2020-105886"/>
    <x v="339"/>
    <s v="DB-13660"/>
    <s v="Duane Benoit"/>
    <s v="United States"/>
    <x v="0"/>
    <x v="2"/>
    <s v="DAX Charcoal/Nickel-Tone Document Frame, 5 x 7"/>
    <n v="332.96"/>
    <n v="2"/>
    <n v="8.532"/>
    <n v="2.5624699663623263"/>
  </r>
  <r>
    <s v="CA-2019-125724"/>
    <x v="381"/>
    <s v="SM-20950"/>
    <s v="Suzanne McNair"/>
    <s v="United States"/>
    <x v="2"/>
    <x v="2"/>
    <s v="Aluminum Document Frame"/>
    <n v="68.432000000000002"/>
    <n v="7"/>
    <n v="8.5540000000000003"/>
    <n v="12.5"/>
  </r>
  <r>
    <s v="CA-2020-143574"/>
    <x v="146"/>
    <s v="DR-12880"/>
    <s v="Dan Reichenbach"/>
    <s v="United States"/>
    <x v="0"/>
    <x v="2"/>
    <s v="DAX Executive Solid Wood Document Frame, Desktop or Hang, Mahogany, 5 x 7"/>
    <n v="88.16"/>
    <n v="2"/>
    <n v="8.5543999999999993"/>
    <n v="9.7032667876588015"/>
  </r>
  <r>
    <s v="CA-2020-112956"/>
    <x v="500"/>
    <s v="TH-21550"/>
    <s v="Tracy Hopkins"/>
    <s v="United States"/>
    <x v="0"/>
    <x v="2"/>
    <s v="DAX Executive Solid Wood Document Frame, Desktop or Hang, Mahogany, 5 x 7"/>
    <n v="136.16"/>
    <n v="2"/>
    <n v="8.5543999999999993"/>
    <n v="6.2826086956521738"/>
  </r>
  <r>
    <s v="CA-2020-107503"/>
    <x v="87"/>
    <s v="GA-14725"/>
    <s v="Guy Armstrong"/>
    <s v="United States"/>
    <x v="0"/>
    <x v="2"/>
    <s v="Linden 10&quot; Round Wall Clock, Black"/>
    <n v="145.89599999999999"/>
    <n v="4"/>
    <n v="8.5568000000000008"/>
    <n v="5.8649997258321003"/>
  </r>
  <r>
    <s v="CA-2020-143217"/>
    <x v="250"/>
    <s v="CG-12040"/>
    <s v="Catherine Glotzbach"/>
    <s v="United States"/>
    <x v="3"/>
    <x v="1"/>
    <s v="Prestige Round Ring Binders"/>
    <n v="90.24"/>
    <n v="3"/>
    <n v="8.5728000000000009"/>
    <n v="9.5000000000000018"/>
  </r>
  <r>
    <s v="CA-2020-163818"/>
    <x v="583"/>
    <s v="PS-18970"/>
    <s v="Paul Stevenson"/>
    <s v="United States"/>
    <x v="0"/>
    <x v="2"/>
    <s v="24-Hour Round Wall Clock"/>
    <n v="136.97999999999999"/>
    <n v="1"/>
    <n v="8.5914000000000001"/>
    <n v="6.2720105124835754"/>
  </r>
  <r>
    <s v="CA-2019-150000"/>
    <x v="5"/>
    <s v="PG-18820"/>
    <s v="Patrick Gardner"/>
    <s v="United States"/>
    <x v="1"/>
    <x v="1"/>
    <s v="Ampad #10 Peel &amp; Seel Holiday Envelopes"/>
    <n v="17.920000000000002"/>
    <n v="4"/>
    <n v="8.6015999999999995"/>
    <n v="47.999999999999993"/>
  </r>
  <r>
    <s v="CA-2019-168536"/>
    <x v="570"/>
    <s v="SC-20800"/>
    <s v="Stuart Calhoun"/>
    <s v="United States"/>
    <x v="1"/>
    <x v="0"/>
    <s v="SanDisk Ultra 32 GB MicroSDHC Class 10 Memory Card"/>
    <n v="66.3"/>
    <n v="3"/>
    <n v="8.6189999999999998"/>
    <n v="13"/>
  </r>
  <r>
    <s v="CA-2020-139080"/>
    <x v="402"/>
    <s v="CS-12250"/>
    <s v="Chris Selesnick"/>
    <s v="United States"/>
    <x v="2"/>
    <x v="0"/>
    <s v="Griffin GC17055 Auxiliary Audio Cable"/>
    <n v="136.352"/>
    <n v="6"/>
    <n v="8.6351999999999993"/>
    <n v="6.3330204177423131"/>
  </r>
  <r>
    <s v="CA-2019-147137"/>
    <x v="455"/>
    <s v="AA-10645"/>
    <s v="Anna Andreadi"/>
    <s v="United States"/>
    <x v="2"/>
    <x v="2"/>
    <s v="Master Caster Door Stop, Brown"/>
    <n v="25.4"/>
    <n v="5"/>
    <n v="8.6359999999999992"/>
    <n v="34"/>
  </r>
  <r>
    <s v="CA-2019-103107"/>
    <x v="455"/>
    <s v="RB-19465"/>
    <s v="Rick Bensley"/>
    <s v="United States"/>
    <x v="2"/>
    <x v="2"/>
    <s v="Master Caster Door Stop, Brown"/>
    <n v="25.4"/>
    <n v="5"/>
    <n v="8.6359999999999992"/>
    <n v="34"/>
  </r>
  <r>
    <s v="CA-2020-148264"/>
    <x v="136"/>
    <s v="LF-17185"/>
    <s v="Luke Foster"/>
    <s v="United States"/>
    <x v="2"/>
    <x v="1"/>
    <s v="Akro-Mils 12-Gallon Tote"/>
    <n v="150.79"/>
    <n v="3"/>
    <n v="8.6390999999999991"/>
    <n v="5.7292260759997351"/>
  </r>
  <r>
    <s v="CA-2019-161361"/>
    <x v="315"/>
    <s v="MV-17485"/>
    <s v="Mark Van Huff"/>
    <s v="United States"/>
    <x v="2"/>
    <x v="1"/>
    <s v="Adams Telephone Message Book W/Dividers/Space For Phone Numbers, 5 1/4&quot;X8 1/2&quot;, 300/Messages"/>
    <n v="17.64"/>
    <n v="3"/>
    <n v="8.6435999999999993"/>
    <n v="48.999999999999993"/>
  </r>
  <r>
    <s v="CA-2019-105732"/>
    <x v="443"/>
    <s v="AG-10270"/>
    <s v="Alejandro Grove"/>
    <s v="United States"/>
    <x v="3"/>
    <x v="1"/>
    <s v="Adams Telephone Message Book W/Dividers/Space For Phone Numbers, 5 1/4&quot;X8 1/2&quot;, 300/Messages"/>
    <n v="17.64"/>
    <n v="3"/>
    <n v="8.6435999999999993"/>
    <n v="48.999999999999993"/>
  </r>
  <r>
    <s v="CA-2019-113061"/>
    <x v="16"/>
    <s v="EL-13735"/>
    <s v="Ed Ludwig"/>
    <s v="United States"/>
    <x v="3"/>
    <x v="2"/>
    <s v="Eldon Advantage Chair Mats for Low to Medium Pile Carpets"/>
    <n v="86.62"/>
    <n v="2"/>
    <n v="8.6620000000000008"/>
    <n v="10"/>
  </r>
  <r>
    <s v="CA-2020-117667"/>
    <x v="57"/>
    <s v="MS-17980"/>
    <s v="Michael Stewart"/>
    <s v="United States"/>
    <x v="0"/>
    <x v="1"/>
    <s v="Xerox 1956"/>
    <n v="102.92"/>
    <n v="5"/>
    <n v="8.6709999999999994"/>
    <n v="8.4249902837155073"/>
  </r>
  <r>
    <s v="CA-2019-140501"/>
    <x v="489"/>
    <s v="IM-15070"/>
    <s v="Irene Maddox"/>
    <s v="United States"/>
    <x v="0"/>
    <x v="1"/>
    <s v="Avery 52"/>
    <n v="18.45"/>
    <n v="5"/>
    <n v="8.6715"/>
    <n v="47"/>
  </r>
  <r>
    <s v="CA-2020-115931"/>
    <x v="67"/>
    <s v="JM-15655"/>
    <s v="Jim Mitchum"/>
    <s v="United States"/>
    <x v="2"/>
    <x v="1"/>
    <s v="Avery 517"/>
    <n v="146.44999999999999"/>
    <n v="5"/>
    <n v="8.6715"/>
    <n v="5.9211334926596111"/>
  </r>
  <r>
    <s v="CA-2020-140480"/>
    <x v="526"/>
    <s v="HE-14800"/>
    <s v="Harold Engle"/>
    <s v="United States"/>
    <x v="0"/>
    <x v="1"/>
    <s v="Newell 325"/>
    <n v="125.91"/>
    <n v="7"/>
    <n v="8.673"/>
    <n v="6.8882535144150587"/>
  </r>
  <r>
    <s v="CA-2020-158876"/>
    <x v="4"/>
    <s v="AB-10150"/>
    <s v="Aimee Bixby"/>
    <s v="United States"/>
    <x v="3"/>
    <x v="1"/>
    <s v="Boston School Pro Electric Pencil Sharpener, 1670"/>
    <n v="114.136"/>
    <n v="4"/>
    <n v="8.6744000000000003"/>
    <n v="7.6000560734562281"/>
  </r>
  <r>
    <s v="CA-2020-152975"/>
    <x v="97"/>
    <s v="RB-19705"/>
    <s v="Roger Barcio"/>
    <s v="United States"/>
    <x v="0"/>
    <x v="1"/>
    <s v="Bulldog Table or Wall-Mount Pencil Sharpener"/>
    <n v="94.95"/>
    <n v="5"/>
    <n v="8.6854999999999993"/>
    <n v="9.1474460242232745"/>
  </r>
  <r>
    <s v="CA-2020-137463"/>
    <x v="505"/>
    <s v="KM-16225"/>
    <s v="Kalyca Meade"/>
    <s v="United States"/>
    <x v="2"/>
    <x v="1"/>
    <s v="Bulldog Table or Wall-Mount Pencil Sharpener"/>
    <n v="317.95"/>
    <n v="5"/>
    <n v="8.6854999999999993"/>
    <n v="2.7317188237144201"/>
  </r>
  <r>
    <s v="CA-2019-152170"/>
    <x v="300"/>
    <s v="FH-14275"/>
    <s v="Frank Hawley"/>
    <s v="United States"/>
    <x v="3"/>
    <x v="1"/>
    <s v="Cardinal Slant-D Ring Binders"/>
    <n v="17.38"/>
    <n v="2"/>
    <n v="8.69"/>
    <n v="50"/>
  </r>
  <r>
    <s v="CA-2020-121559"/>
    <x v="167"/>
    <s v="HW-14935"/>
    <s v="Helen Wasserman"/>
    <s v="United States"/>
    <x v="3"/>
    <x v="1"/>
    <s v="Cardinal Slant-D Ring Binders"/>
    <n v="149.38"/>
    <n v="2"/>
    <n v="8.69"/>
    <n v="5.8173784977908687"/>
  </r>
  <r>
    <s v="CA-2019-136287"/>
    <x v="584"/>
    <s v="SS-20590"/>
    <s v="Sonia Sunley"/>
    <s v="United States"/>
    <x v="3"/>
    <x v="1"/>
    <s v="Avery 51"/>
    <n v="18.899999999999999"/>
    <n v="3"/>
    <n v="8.6940000000000008"/>
    <n v="46.000000000000007"/>
  </r>
  <r>
    <s v="CA-2019-140046"/>
    <x v="15"/>
    <s v="KM-16660"/>
    <s v="Khloe Miller"/>
    <s v="United States"/>
    <x v="2"/>
    <x v="1"/>
    <s v="Avery 495"/>
    <n v="18.899999999999999"/>
    <n v="3"/>
    <n v="8.6940000000000008"/>
    <n v="46.000000000000007"/>
  </r>
  <r>
    <s v="CA-2019-106656"/>
    <x v="273"/>
    <s v="DV-13045"/>
    <s v="Darrin Van Huff"/>
    <s v="United States"/>
    <x v="2"/>
    <x v="1"/>
    <s v="Avery 51"/>
    <n v="18.899999999999999"/>
    <n v="3"/>
    <n v="8.6940000000000008"/>
    <n v="46.000000000000007"/>
  </r>
  <r>
    <s v="CA-2020-132976"/>
    <x v="114"/>
    <s v="AG-10495"/>
    <s v="Andrew Gjertsen"/>
    <s v="United States"/>
    <x v="0"/>
    <x v="1"/>
    <s v="Avery 489"/>
    <n v="94.84"/>
    <n v="3"/>
    <n v="8.6940000000000008"/>
    <n v="9.1670181358076768"/>
  </r>
  <r>
    <s v="CA-2019-119074"/>
    <x v="585"/>
    <s v="DS-13180"/>
    <s v="David Smith"/>
    <s v="United States"/>
    <x v="1"/>
    <x v="2"/>
    <s v="DAX Two-Tone Silver Metal Document Frame"/>
    <n v="20.239999999999998"/>
    <n v="1"/>
    <n v="8.7032000000000007"/>
    <n v="43.000000000000007"/>
  </r>
  <r>
    <s v="CA-2019-139395"/>
    <x v="329"/>
    <s v="MG-17650"/>
    <s v="Matthew Grinstein"/>
    <s v="United States"/>
    <x v="3"/>
    <x v="2"/>
    <s v="Westinghouse Clip-On Gooseneck Lamps"/>
    <n v="33.479999999999997"/>
    <n v="4"/>
    <n v="8.7048000000000005"/>
    <n v="26.000000000000007"/>
  </r>
  <r>
    <s v="CA-2019-141957"/>
    <x v="364"/>
    <s v="JG-15310"/>
    <s v="Jason Gross"/>
    <s v="United States"/>
    <x v="0"/>
    <x v="1"/>
    <s v="Fellowes Mobile File Cart, Black"/>
    <n v="99.488"/>
    <n v="2"/>
    <n v="8.7051999999999996"/>
    <n v="8.75"/>
  </r>
  <r>
    <s v="CA-2019-144309"/>
    <x v="528"/>
    <s v="CM-12235"/>
    <s v="Chris McAfee"/>
    <s v="United States"/>
    <x v="0"/>
    <x v="1"/>
    <s v="Wirebound Message Books, Four 2 3/4&quot; x 5&quot; Forms per Page, 600 Sets per Book"/>
    <n v="18.54"/>
    <n v="2"/>
    <n v="8.7138000000000009"/>
    <n v="47.000000000000007"/>
  </r>
  <r>
    <s v="CA-2020-105214"/>
    <x v="360"/>
    <s v="TS-21610"/>
    <s v="Troy Staebel"/>
    <s v="United States"/>
    <x v="2"/>
    <x v="1"/>
    <s v="Wirebound Message Books, Four 2 3/4&quot; x 5&quot; Forms per Page, 600 Sets per Book"/>
    <n v="132.54"/>
    <n v="2"/>
    <n v="8.7138000000000009"/>
    <n v="6.5744680851063846"/>
  </r>
  <r>
    <s v="CA-2020-118640"/>
    <x v="384"/>
    <s v="CS-11950"/>
    <s v="Carlos Soltero"/>
    <s v="United States"/>
    <x v="3"/>
    <x v="1"/>
    <s v="Trav-L-File Heavy-Duty Shuttle II, Black"/>
    <n v="146.71199999999999"/>
    <n v="2"/>
    <n v="8.7140000000000004"/>
    <n v="5.9395277823218287"/>
  </r>
  <r>
    <s v="CA-2020-124436"/>
    <x v="120"/>
    <s v="SA-20830"/>
    <s v="Sue Ann Reed"/>
    <s v="United States"/>
    <x v="2"/>
    <x v="2"/>
    <s v="Chromcraft Round Conference Tables"/>
    <n v="737.16"/>
    <n v="5"/>
    <n v="8.7144999999999992"/>
    <n v="1.1821721200282163"/>
  </r>
  <r>
    <s v="CA-2019-149783"/>
    <x v="478"/>
    <s v="DL-13315"/>
    <s v="Delfina Latchford"/>
    <s v="United States"/>
    <x v="1"/>
    <x v="1"/>
    <s v="Belkin 5 Outlet SurgeMaster Power Centers"/>
    <n v="87.168000000000006"/>
    <n v="2"/>
    <n v="8.7167999999999992"/>
    <n v="9.9999999999999982"/>
  </r>
  <r>
    <s v="US-2019-127334"/>
    <x v="50"/>
    <s v="MP-18175"/>
    <s v="Mike Pelletier"/>
    <s v="United States"/>
    <x v="2"/>
    <x v="1"/>
    <s v="Belkin 5 Outlet SurgeMaster Power Centers"/>
    <n v="87.168000000000006"/>
    <n v="2"/>
    <n v="8.7167999999999992"/>
    <n v="9.9999999999999982"/>
  </r>
  <r>
    <s v="CA-2019-158001"/>
    <x v="95"/>
    <s v="JP-15460"/>
    <s v="Jennifer Patt"/>
    <s v="United States"/>
    <x v="0"/>
    <x v="1"/>
    <s v="Dixon Prang Watercolor Pencils, 10-Color Set with Brush"/>
    <n v="21.3"/>
    <n v="5"/>
    <n v="8.7330000000000005"/>
    <n v="41"/>
  </r>
  <r>
    <s v="CA-2019-129630"/>
    <x v="478"/>
    <s v="IM-15055"/>
    <s v="Ionia McGrath"/>
    <s v="United States"/>
    <x v="2"/>
    <x v="2"/>
    <s v="6&quot; Cubicle Wall Clock, Black"/>
    <n v="24.27"/>
    <n v="3"/>
    <n v="8.7371999999999996"/>
    <n v="36"/>
  </r>
  <r>
    <s v="CA-2020-112529"/>
    <x v="4"/>
    <s v="SC-20770"/>
    <s v="Stewart Carmichael"/>
    <s v="United States"/>
    <x v="3"/>
    <x v="1"/>
    <s v="Peel-Off China Markers"/>
    <n v="141.77600000000001"/>
    <n v="4"/>
    <n v="8.7384000000000004"/>
    <n v="6.1635255614490463"/>
  </r>
  <r>
    <s v="CA-2020-120222"/>
    <x v="458"/>
    <s v="LL-16840"/>
    <s v="Lauren Leatherbury"/>
    <s v="United States"/>
    <x v="2"/>
    <x v="1"/>
    <s v="Telephone Message Books with Fax/Mobile Section, 5 1/2&quot; x 3 3/16&quot;"/>
    <n v="136.05000000000001"/>
    <n v="3"/>
    <n v="8.7629999999999999"/>
    <n v="6.4410143329658203"/>
  </r>
  <r>
    <s v="CA-2020-114440"/>
    <x v="97"/>
    <s v="TB-21520"/>
    <s v="Tracy Blumstein"/>
    <s v="United States"/>
    <x v="3"/>
    <x v="1"/>
    <s v="Telephone Message Books with Fax/Mobile Section, 5 1/2&quot; x 3 3/16&quot;"/>
    <n v="145.05000000000001"/>
    <n v="3"/>
    <n v="8.7629999999999999"/>
    <n v="6.0413650465356765"/>
  </r>
  <r>
    <s v="CA-2019-161669"/>
    <x v="316"/>
    <s v="EM-14095"/>
    <s v="Eudokia Martin"/>
    <s v="United States"/>
    <x v="2"/>
    <x v="1"/>
    <s v="Ibico Plastic and Wire Spiral Binding Combs"/>
    <n v="26.975999999999999"/>
    <n v="4"/>
    <n v="8.7672000000000008"/>
    <n v="32.500000000000007"/>
  </r>
  <r>
    <s v="CA-2020-130715"/>
    <x v="35"/>
    <s v="CY-12745"/>
    <s v="Craig Yedwab"/>
    <s v="United States"/>
    <x v="2"/>
    <x v="1"/>
    <s v="OIC Colored Binder Clips, Assorted Sizes"/>
    <n v="110.9"/>
    <n v="5"/>
    <n v="8.7710000000000008"/>
    <n v="7.9089269612263298"/>
  </r>
  <r>
    <s v="CA-2020-150091"/>
    <x v="169"/>
    <s v="NP-18670"/>
    <s v="Nora Paige"/>
    <s v="United States"/>
    <x v="0"/>
    <x v="1"/>
    <s v="OIC Colored Binder Clips, Assorted Sizes"/>
    <n v="128.9"/>
    <n v="5"/>
    <n v="8.7710000000000008"/>
    <n v="6.8044996121024051"/>
  </r>
  <r>
    <s v="CA-2019-153269"/>
    <x v="531"/>
    <s v="PS-18760"/>
    <s v="Pamela Stobb"/>
    <s v="United States"/>
    <x v="0"/>
    <x v="1"/>
    <s v="Xerox 193"/>
    <n v="17.940000000000001"/>
    <n v="3"/>
    <n v="8.7905999999999995"/>
    <n v="48.999999999999993"/>
  </r>
  <r>
    <s v="CA-2019-122728"/>
    <x v="586"/>
    <s v="EB-13930"/>
    <s v="Eric Barreto"/>
    <s v="United States"/>
    <x v="2"/>
    <x v="1"/>
    <s v="Universal Premium White Copier/Laser Paper (20Lb. and 87 Bright)"/>
    <n v="17.940000000000001"/>
    <n v="3"/>
    <n v="8.7905999999999995"/>
    <n v="48.999999999999993"/>
  </r>
  <r>
    <s v="CA-2019-123176"/>
    <x v="76"/>
    <s v="JG-15160"/>
    <s v="James Galang"/>
    <s v="United States"/>
    <x v="1"/>
    <x v="1"/>
    <s v="Xerox 1965"/>
    <n v="17.940000000000001"/>
    <n v="3"/>
    <n v="8.7905999999999995"/>
    <n v="48.999999999999993"/>
  </r>
  <r>
    <s v="CA-2020-104906"/>
    <x v="496"/>
    <s v="JP-15460"/>
    <s v="Jennifer Patt"/>
    <s v="United States"/>
    <x v="0"/>
    <x v="1"/>
    <s v="Xerox 1903"/>
    <n v="96.94"/>
    <n v="3"/>
    <n v="8.7905999999999995"/>
    <n v="9.0680833505260985"/>
  </r>
  <r>
    <s v="CA-2020-169691"/>
    <x v="267"/>
    <s v="Dp-13240"/>
    <s v="Dean percer"/>
    <s v="United States"/>
    <x v="3"/>
    <x v="1"/>
    <s v="Xerox 1992"/>
    <n v="116.94"/>
    <n v="3"/>
    <n v="8.7905999999999995"/>
    <n v="7.5171883016931753"/>
  </r>
  <r>
    <s v="CA-2020-164378"/>
    <x v="205"/>
    <s v="MM-18055"/>
    <s v="Michelle Moray"/>
    <s v="United States"/>
    <x v="0"/>
    <x v="0"/>
    <s v="Sony 32GB Class 10 Micro SDHC R40 Memory Card"/>
    <n v="160.9"/>
    <n v="2"/>
    <n v="8.7989999999999995"/>
    <n v="5.4686140459912984"/>
  </r>
  <r>
    <s v="CA-2020-123036"/>
    <x v="8"/>
    <s v="HA-14905"/>
    <s v="Helen Abelman"/>
    <s v="United States"/>
    <x v="0"/>
    <x v="0"/>
    <s v="Memorex Mini Travel Drive 8 GB USB 2.0 Flash Drive"/>
    <n v="158.05600000000001"/>
    <n v="4"/>
    <n v="8.8008000000000006"/>
    <n v="5.5681530596750513"/>
  </r>
  <r>
    <s v="US-2019-108455"/>
    <x v="118"/>
    <s v="MK-18160"/>
    <s v="Mike Kennedy"/>
    <s v="United States"/>
    <x v="2"/>
    <x v="1"/>
    <s v="X-Rack File for Hanging Folders"/>
    <n v="33.869999999999997"/>
    <n v="3"/>
    <n v="8.8062000000000005"/>
    <n v="26"/>
  </r>
  <r>
    <s v="CA-2019-162614"/>
    <x v="472"/>
    <s v="TB-21250"/>
    <s v="Tim Brockman"/>
    <s v="United States"/>
    <x v="2"/>
    <x v="1"/>
    <s v="GBC Recycled VeloBinder Covers"/>
    <n v="27.263999999999999"/>
    <n v="2"/>
    <n v="8.8607999999999993"/>
    <n v="32.5"/>
  </r>
  <r>
    <s v="CA-2020-146136"/>
    <x v="140"/>
    <s v="AP-10915"/>
    <s v="Arthur Prichep"/>
    <s v="United States"/>
    <x v="1"/>
    <x v="1"/>
    <s v="#10- 4 1/8&quot; x 9 1/2&quot; Security-Tint Envelopes"/>
    <n v="113.44799999999999"/>
    <n v="4"/>
    <n v="8.8623999999999992"/>
    <n v="7.8118609406952961"/>
  </r>
  <r>
    <s v="CA-2020-122112"/>
    <x v="222"/>
    <s v="CA-11965"/>
    <s v="Carol Adams"/>
    <s v="United States"/>
    <x v="0"/>
    <x v="1"/>
    <s v="Security-Tint Envelopes"/>
    <n v="135.44800000000001"/>
    <n v="4"/>
    <n v="8.8623999999999992"/>
    <n v="6.5430275825409003"/>
  </r>
  <r>
    <s v="US-2020-149510"/>
    <x v="299"/>
    <s v="MC-17575"/>
    <s v="Matt Collins"/>
    <s v="United States"/>
    <x v="1"/>
    <x v="1"/>
    <s v="Rediform Wirebound &quot;Phone Memo&quot; Message Book, 11 x 5-3/4"/>
    <n v="148.44800000000001"/>
    <n v="4"/>
    <n v="8.8623999999999992"/>
    <n v="5.9700366458288423"/>
  </r>
  <r>
    <s v="US-2019-135209"/>
    <x v="268"/>
    <s v="MH-17290"/>
    <s v="Marc Harrigan"/>
    <s v="United States"/>
    <x v="1"/>
    <x v="1"/>
    <s v="Astroparche Fine Business Paper"/>
    <n v="25.344000000000001"/>
    <n v="6"/>
    <n v="8.8704000000000001"/>
    <n v="35"/>
  </r>
  <r>
    <s v="US-2020-142188"/>
    <x v="183"/>
    <s v="JF-15415"/>
    <s v="Jennifer Ferguson"/>
    <s v="United States"/>
    <x v="2"/>
    <x v="2"/>
    <s v="Office Star - Contemporary Task Swivel Chair"/>
    <n v="209.56800000000001"/>
    <n v="2"/>
    <n v="8.8783999999999992"/>
    <n v="4.2365246602534734"/>
  </r>
  <r>
    <s v="CA-2020-113705"/>
    <x v="182"/>
    <s v="LC-16870"/>
    <s v="Lena Cacioppo"/>
    <s v="United States"/>
    <x v="1"/>
    <x v="1"/>
    <s v="GBC Instant Index System for Binding Systems"/>
    <n v="146.76"/>
    <n v="2"/>
    <n v="8.8800000000000008"/>
    <n v="6.0506950122649235"/>
  </r>
  <r>
    <s v="CA-2020-105144"/>
    <x v="1"/>
    <s v="SZ-20035"/>
    <s v="Sam Zeldin"/>
    <s v="United States"/>
    <x v="3"/>
    <x v="1"/>
    <s v="Alphabetical Labels for Top Tab Filing"/>
    <n v="90.68"/>
    <n v="2"/>
    <n v="8.8800000000000008"/>
    <n v="9.7926775474194976"/>
  </r>
  <r>
    <s v="CA-2020-141873"/>
    <x v="30"/>
    <s v="HG-14845"/>
    <s v="Harry Greene"/>
    <s v="United States"/>
    <x v="0"/>
    <x v="1"/>
    <s v="TOPS 4 x 6 Fluorescent Color Memo Sheets, 500 Sheets per Pack"/>
    <n v="122.98"/>
    <n v="2"/>
    <n v="8.9206000000000003"/>
    <n v="7.2536997885835088"/>
  </r>
  <r>
    <s v="CA-2020-157987"/>
    <x v="149"/>
    <s v="AC-10615"/>
    <s v="Ann Chong"/>
    <s v="United States"/>
    <x v="0"/>
    <x v="1"/>
    <s v="ACCOHIDE 3-Ring Binder, Blue, 1&quot;"/>
    <n v="104.432"/>
    <n v="8"/>
    <n v="8.9207999999999998"/>
    <n v="8.5422092845104949"/>
  </r>
  <r>
    <s v="US-2019-118780"/>
    <x v="238"/>
    <s v="PN-18775"/>
    <s v="Parhena Norris"/>
    <s v="United States"/>
    <x v="0"/>
    <x v="1"/>
    <s v="Acco Perma 2700 Stacking Storage Drawers"/>
    <n v="59.48"/>
    <n v="2"/>
    <n v="8.9220000000000006"/>
    <n v="15.000000000000002"/>
  </r>
  <r>
    <s v="CA-2019-141887"/>
    <x v="357"/>
    <s v="MP-17470"/>
    <s v="Mark Packer"/>
    <s v="United States"/>
    <x v="0"/>
    <x v="2"/>
    <s v="Ultra Door Push Plate"/>
    <n v="54.991999999999997"/>
    <n v="14"/>
    <n v="8.9361999999999995"/>
    <n v="16.25"/>
  </r>
  <r>
    <s v="CA-2019-144015"/>
    <x v="454"/>
    <s v="AH-10075"/>
    <s v="Adam Hart"/>
    <s v="United States"/>
    <x v="2"/>
    <x v="1"/>
    <s v="OIC Binder Clips"/>
    <n v="17.899999999999999"/>
    <n v="5"/>
    <n v="8.9499999999999993"/>
    <n v="50"/>
  </r>
  <r>
    <s v="CA-2019-103359"/>
    <x v="279"/>
    <s v="LC-16885"/>
    <s v="Lena Creighton"/>
    <s v="United States"/>
    <x v="0"/>
    <x v="1"/>
    <s v="GBC Pre-Punched Binding Paper, Plastic, White, 8-1/2&quot; x 11&quot;"/>
    <n v="25.584"/>
    <n v="2"/>
    <n v="8.9543999999999997"/>
    <n v="35"/>
  </r>
  <r>
    <s v="CA-2020-112515"/>
    <x v="166"/>
    <s v="AS-10225"/>
    <s v="Alan Schoenberger"/>
    <s v="United States"/>
    <x v="2"/>
    <x v="1"/>
    <s v="GBC Pre-Punched Binding Paper, Plastic, White, 8-1/2&quot; x 11&quot;"/>
    <n v="126.584"/>
    <n v="2"/>
    <n v="8.9543999999999997"/>
    <n v="7.0738797952347845"/>
  </r>
  <r>
    <s v="CA-2019-139010"/>
    <x v="272"/>
    <s v="MC-17635"/>
    <s v="Matthew Clasen"/>
    <s v="United States"/>
    <x v="2"/>
    <x v="1"/>
    <s v="Fellowes Officeware Wire Shelving"/>
    <n v="449.15"/>
    <n v="5"/>
    <n v="8.9830000000000005"/>
    <n v="2.0000000000000004"/>
  </r>
  <r>
    <s v="US-2019-119270"/>
    <x v="565"/>
    <s v="SW-20245"/>
    <s v="Scot Wooten"/>
    <s v="United States"/>
    <x v="2"/>
    <x v="1"/>
    <s v="Hammermill Color Copier Paper (28Lb. and 96 Bright)"/>
    <n v="19.98"/>
    <n v="2"/>
    <n v="8.9909999999999997"/>
    <n v="44.999999999999993"/>
  </r>
  <r>
    <s v="CA-2019-152170"/>
    <x v="300"/>
    <s v="FH-14275"/>
    <s v="Frank Hawley"/>
    <s v="United States"/>
    <x v="3"/>
    <x v="1"/>
    <s v="Xerox 1896"/>
    <n v="19.98"/>
    <n v="2"/>
    <n v="8.9909999999999997"/>
    <n v="44.999999999999993"/>
  </r>
  <r>
    <s v="CA-2019-103107"/>
    <x v="455"/>
    <s v="RB-19465"/>
    <s v="Rick Bensley"/>
    <s v="United States"/>
    <x v="2"/>
    <x v="0"/>
    <s v="OtterBox Defender Series Case - Samsung Galaxy S4"/>
    <n v="71.975999999999999"/>
    <n v="3"/>
    <n v="8.9969999999999999"/>
    <n v="12.5"/>
  </r>
  <r>
    <s v="CA-2020-119424"/>
    <x v="375"/>
    <s v="SB-20205"/>
    <s v="Sarah Brown"/>
    <s v="United States"/>
    <x v="2"/>
    <x v="0"/>
    <s v="OtterBox Defender Series Case - Samsung Galaxy S4"/>
    <n v="115.976"/>
    <n v="3"/>
    <n v="8.9969999999999999"/>
    <n v="7.7576395116230952"/>
  </r>
  <r>
    <s v="CA-2020-166093"/>
    <x v="23"/>
    <s v="RW-19540"/>
    <s v="Rick Wilson"/>
    <s v="United States"/>
    <x v="2"/>
    <x v="0"/>
    <s v="OtterBox Defender Series Case - Samsung Galaxy S4"/>
    <n v="161.976"/>
    <n v="3"/>
    <n v="8.9969999999999999"/>
    <n v="5.5545265965328197"/>
  </r>
  <r>
    <s v="US-2020-148768"/>
    <x v="21"/>
    <s v="PN-18775"/>
    <s v="Parhena Norris"/>
    <s v="United States"/>
    <x v="1"/>
    <x v="0"/>
    <s v="OtterBox Defender Series Case - Samsung Galaxy S4"/>
    <n v="175.976"/>
    <n v="3"/>
    <n v="8.9969999999999999"/>
    <n v="5.112628994862936"/>
  </r>
  <r>
    <s v="CA-2020-157966"/>
    <x v="52"/>
    <s v="SU-20665"/>
    <s v="Stephanie Ulpright"/>
    <s v="United States"/>
    <x v="3"/>
    <x v="0"/>
    <s v="HP Officejet Pro 8600 e-All-In-One Printer, Copier, Scanner, Fax"/>
    <n v="228.98599999999999"/>
    <n v="2"/>
    <n v="8.9993999999999996"/>
    <n v="3.9301092643218363"/>
  </r>
  <r>
    <s v="CA-2020-140949"/>
    <x v="294"/>
    <s v="DB-13405"/>
    <s v="Denny Blanton"/>
    <s v="United States"/>
    <x v="0"/>
    <x v="1"/>
    <s v="Avery 496"/>
    <n v="98.75"/>
    <n v="5"/>
    <n v="9"/>
    <n v="9.113924050632912"/>
  </r>
  <r>
    <s v="CA-2020-122280"/>
    <x v="8"/>
    <s v="SH-20395"/>
    <s v="Shahid Hopkins"/>
    <s v="United States"/>
    <x v="0"/>
    <x v="1"/>
    <s v="Rediform S.O.S. 1-Up Phone Message Bk, 4-1/4x3-1/16 Bk, 1 Form/Pg, 40 Messages/Bk, 3/Pk"/>
    <n v="100.76"/>
    <n v="2"/>
    <n v="9.0047999999999995"/>
    <n v="8.9368797141722904"/>
  </r>
  <r>
    <s v="US-2019-133508"/>
    <x v="544"/>
    <s v="SW-20350"/>
    <s v="Sean Wendt"/>
    <s v="United States"/>
    <x v="3"/>
    <x v="1"/>
    <s v="Advantus Push Pins, Aluminum Head"/>
    <n v="29.05"/>
    <n v="5"/>
    <n v="9.0054999999999996"/>
    <n v="31"/>
  </r>
  <r>
    <s v="CA-2019-102127"/>
    <x v="454"/>
    <s v="VP-21760"/>
    <s v="Victoria Pisteka"/>
    <s v="United States"/>
    <x v="0"/>
    <x v="0"/>
    <s v="AmazonBasics 3-Button USB Wired Mouse"/>
    <n v="20.97"/>
    <n v="3"/>
    <n v="9.0170999999999992"/>
    <n v="43"/>
  </r>
  <r>
    <s v="CA-2020-123778"/>
    <x v="71"/>
    <s v="BS-11755"/>
    <s v="Bruce Stewart"/>
    <s v="United States"/>
    <x v="2"/>
    <x v="1"/>
    <s v="Acco PRESSTEX Data Binder with Storage Hooks, Light Blue, 9 1/2&quot; X 11&quot;"/>
    <n v="144.82400000000001"/>
    <n v="6"/>
    <n v="9.0383999999999993"/>
    <n v="6.2409545379218905"/>
  </r>
  <r>
    <s v="CA-2019-158806"/>
    <x v="350"/>
    <s v="NM-18520"/>
    <s v="Neoma Murray"/>
    <s v="United States"/>
    <x v="3"/>
    <x v="1"/>
    <s v="Xerox 212"/>
    <n v="25.92"/>
    <n v="5"/>
    <n v="9.0719999999999992"/>
    <n v="34.999999999999993"/>
  </r>
  <r>
    <s v="CA-2019-149195"/>
    <x v="100"/>
    <s v="DM-13525"/>
    <s v="Don Miller"/>
    <s v="United States"/>
    <x v="3"/>
    <x v="1"/>
    <s v="Xerox 202"/>
    <n v="25.92"/>
    <n v="5"/>
    <n v="9.0719999999999992"/>
    <n v="34.999999999999993"/>
  </r>
  <r>
    <s v="CA-2020-110884"/>
    <x v="552"/>
    <s v="SH-20395"/>
    <s v="Shahid Hopkins"/>
    <s v="United States"/>
    <x v="0"/>
    <x v="1"/>
    <s v="3M Organizer Strips"/>
    <n v="133.91999999999999"/>
    <n v="6"/>
    <n v="9.0719999999999992"/>
    <n v="6.7741935483870979"/>
  </r>
  <r>
    <s v="CA-2020-160458"/>
    <x v="355"/>
    <s v="EH-13945"/>
    <s v="Eric Hoffmann"/>
    <s v="United States"/>
    <x v="1"/>
    <x v="1"/>
    <s v="Xerox 2"/>
    <n v="146.91999999999999"/>
    <n v="5"/>
    <n v="9.0719999999999992"/>
    <n v="6.1747890008167712"/>
  </r>
  <r>
    <s v="CA-2020-157987"/>
    <x v="149"/>
    <s v="AC-10615"/>
    <s v="Ann Chong"/>
    <s v="United States"/>
    <x v="0"/>
    <x v="1"/>
    <s v="Avery 518"/>
    <n v="145.9"/>
    <n v="6"/>
    <n v="9.0719999999999992"/>
    <n v="6.2179575051405065"/>
  </r>
  <r>
    <s v="CA-2020-104927"/>
    <x v="67"/>
    <s v="AG-10330"/>
    <s v="Alex Grayson"/>
    <s v="United States"/>
    <x v="3"/>
    <x v="1"/>
    <s v="Xerox 1931"/>
    <n v="139.91999999999999"/>
    <n v="5"/>
    <n v="9.0719999999999992"/>
    <n v="6.4837049742710127"/>
  </r>
  <r>
    <s v="CA-2020-131233"/>
    <x v="249"/>
    <s v="CS-12355"/>
    <s v="Christine Sundaresam"/>
    <s v="United States"/>
    <x v="0"/>
    <x v="2"/>
    <s v="Bush Westfield Collection Bookcases, Fully Assembled"/>
    <n v="280.35199999999998"/>
    <n v="3"/>
    <n v="9.0882000000000005"/>
    <n v="3.2417104211847967"/>
  </r>
  <r>
    <s v="CA-2020-154410"/>
    <x v="168"/>
    <s v="MD-17860"/>
    <s v="Michael Dominguez"/>
    <s v="United States"/>
    <x v="3"/>
    <x v="1"/>
    <s v="SAFCO Boltless Steel Shelving"/>
    <n v="928.12"/>
    <n v="8"/>
    <n v="9.0912000000000006"/>
    <n v="0.97952850924449431"/>
  </r>
  <r>
    <s v="CA-2020-137505"/>
    <x v="225"/>
    <s v="BP-11290"/>
    <s v="Beth Paige"/>
    <s v="United States"/>
    <x v="2"/>
    <x v="2"/>
    <s v="Hon Practical Foundations 30 x 60 Training Table, Light Gray/Charcoal"/>
    <n v="396.08"/>
    <n v="2"/>
    <n v="9.1020000000000003"/>
    <n v="2.2980206018986067"/>
  </r>
  <r>
    <s v="US-2019-101497"/>
    <x v="479"/>
    <s v="PS-18760"/>
    <s v="Pamela Stobb"/>
    <s v="United States"/>
    <x v="2"/>
    <x v="1"/>
    <s v="Xerox 1887"/>
    <n v="18.97"/>
    <n v="1"/>
    <n v="9.1056000000000008"/>
    <n v="48.000000000000007"/>
  </r>
  <r>
    <s v="CA-2020-128363"/>
    <x v="7"/>
    <s v="DC-12850"/>
    <s v="Dan Campbell"/>
    <s v="United States"/>
    <x v="1"/>
    <x v="1"/>
    <s v="Staples"/>
    <n v="121.32"/>
    <n v="5"/>
    <n v="9.1199999999999992"/>
    <n v="7.5173095944609285"/>
  </r>
  <r>
    <s v="CA-2020-116358"/>
    <x v="88"/>
    <s v="KM-16225"/>
    <s v="Kalyca Meade"/>
    <s v="United States"/>
    <x v="3"/>
    <x v="1"/>
    <s v="Staples"/>
    <n v="134.24"/>
    <n v="3"/>
    <n v="9.1199999999999992"/>
    <n v="6.7938021454112025"/>
  </r>
  <r>
    <s v="CA-2020-149944"/>
    <x v="151"/>
    <s v="MB-17305"/>
    <s v="Maria Bertelson"/>
    <s v="United States"/>
    <x v="2"/>
    <x v="1"/>
    <s v="Staples"/>
    <n v="146.24"/>
    <n v="3"/>
    <n v="9.1199999999999992"/>
    <n v="6.2363238512035002"/>
  </r>
  <r>
    <s v="US-2020-165344"/>
    <x v="14"/>
    <s v="SB-20290"/>
    <s v="Sean Braxton"/>
    <s v="United States"/>
    <x v="0"/>
    <x v="0"/>
    <s v="SanDisk Cruzer 32 GB USB Flash Drive"/>
    <n v="151.864"/>
    <n v="4"/>
    <n v="9.1295999999999999"/>
    <n v="6.0116946741821629"/>
  </r>
  <r>
    <s v="CA-2019-166674"/>
    <x v="442"/>
    <s v="RB-19360"/>
    <s v="Raymond Buch"/>
    <s v="United States"/>
    <x v="0"/>
    <x v="0"/>
    <s v="Belkin Grip Candy Sheer Case / Cover for iPhone 5 and 5S"/>
    <n v="35.119999999999997"/>
    <n v="4"/>
    <n v="9.1311999999999998"/>
    <n v="26"/>
  </r>
  <r>
    <s v="CA-2020-104220"/>
    <x v="178"/>
    <s v="BV-11245"/>
    <s v="Benjamin Venier"/>
    <s v="United States"/>
    <x v="3"/>
    <x v="1"/>
    <s v="Cardinal EasyOpen D-Ring Binders"/>
    <n v="116.28"/>
    <n v="2"/>
    <n v="9.14"/>
    <n v="7.8603371173030627"/>
  </r>
  <r>
    <s v="CA-2019-168893"/>
    <x v="65"/>
    <s v="AP-10915"/>
    <s v="Arthur Prichep"/>
    <s v="United States"/>
    <x v="1"/>
    <x v="2"/>
    <s v="Magna Visual Magnetic Picture Hangers"/>
    <n v="24.1"/>
    <n v="5"/>
    <n v="9.1579999999999995"/>
    <n v="37.999999999999993"/>
  </r>
  <r>
    <s v="CA-2020-168123"/>
    <x v="512"/>
    <s v="JD-16060"/>
    <s v="Julia Dunbar"/>
    <s v="United States"/>
    <x v="3"/>
    <x v="1"/>
    <s v="Avery Hole Reinforcements"/>
    <n v="148.69"/>
    <n v="3"/>
    <n v="9.1580999999999992"/>
    <n v="6.1591902616181313"/>
  </r>
  <r>
    <s v="CA-2020-155292"/>
    <x v="177"/>
    <s v="RD-19810"/>
    <s v="Ross DeVincentis"/>
    <s v="United States"/>
    <x v="1"/>
    <x v="2"/>
    <s v="Metal Folding Chairs, Beige, 4/Carton"/>
    <n v="133.94"/>
    <n v="1"/>
    <n v="9.1638000000000002"/>
    <n v="6.8417201732118862"/>
  </r>
  <r>
    <s v="CA-2020-116358"/>
    <x v="88"/>
    <s v="KM-16225"/>
    <s v="Kalyca Meade"/>
    <s v="United States"/>
    <x v="3"/>
    <x v="1"/>
    <s v="Binney &amp; Smith Crayola Metallic Colored Pencils, 8-Color Set"/>
    <n v="123.78"/>
    <n v="6"/>
    <n v="9.1674000000000007"/>
    <n v="7.4062045564711587"/>
  </r>
  <r>
    <s v="CA-2020-120404"/>
    <x v="216"/>
    <s v="KH-16330"/>
    <s v="Katharine Harms"/>
    <s v="United States"/>
    <x v="0"/>
    <x v="2"/>
    <s v="Tensor Brushed Steel Torchiere Floor Lamp"/>
    <n v="139.97"/>
    <n v="3"/>
    <n v="9.1745999999999999"/>
    <n v="6.5546902907765947"/>
  </r>
  <r>
    <s v="CA-2020-137428"/>
    <x v="505"/>
    <s v="AY-10555"/>
    <s v="Andy Yotov"/>
    <s v="United States"/>
    <x v="2"/>
    <x v="2"/>
    <s v="Global Deluxe Stacking Chair, Gray"/>
    <n v="348.56799999999998"/>
    <n v="2"/>
    <n v="9.1763999999999992"/>
    <n v="2.632599664914737"/>
  </r>
  <r>
    <s v="CA-2020-132430"/>
    <x v="30"/>
    <s v="CP-12085"/>
    <s v="Cathy Prescott"/>
    <s v="United States"/>
    <x v="0"/>
    <x v="2"/>
    <s v="Nu-Dell Leatherette Frames"/>
    <n v="140.88800000000001"/>
    <n v="4"/>
    <n v="9.1776"/>
    <n v="6.5141104991198686"/>
  </r>
  <r>
    <s v="CA-2019-101980"/>
    <x v="587"/>
    <s v="RP-19390"/>
    <s v="Resi Pölking"/>
    <s v="United States"/>
    <x v="0"/>
    <x v="1"/>
    <s v="Cardinal HOLDit! Binder Insert Strips,Extra Strips"/>
    <n v="25.32"/>
    <n v="5"/>
    <n v="9.1784999999999997"/>
    <n v="36.25"/>
  </r>
  <r>
    <s v="CA-2019-151148"/>
    <x v="460"/>
    <s v="PO-19180"/>
    <s v="Philisse Overcash"/>
    <s v="United States"/>
    <x v="2"/>
    <x v="0"/>
    <s v="Lunatik TT5L-002 Taktik Strike Impact Protection System for iPhone 5"/>
    <n v="146.952"/>
    <n v="3"/>
    <n v="9.1844999999999999"/>
    <n v="6.25"/>
  </r>
  <r>
    <s v="CA-2020-158883"/>
    <x v="421"/>
    <s v="CS-11860"/>
    <s v="Cari Schnelling"/>
    <s v="United States"/>
    <x v="1"/>
    <x v="1"/>
    <s v="Things To Do Today Spiral Book"/>
    <n v="110.34399999999999"/>
    <n v="4"/>
    <n v="9.1872000000000007"/>
    <n v="8.3259624447183356"/>
  </r>
  <r>
    <s v="US-2019-151260"/>
    <x v="111"/>
    <s v="SC-20695"/>
    <s v="Steve Chapman"/>
    <s v="United States"/>
    <x v="0"/>
    <x v="1"/>
    <s v="Belkin F5C206VTEL 6 Outlet Surge"/>
    <n v="73.536000000000001"/>
    <n v="4"/>
    <n v="9.1920000000000002"/>
    <n v="12.5"/>
  </r>
  <r>
    <s v="CA-2019-159765"/>
    <x v="119"/>
    <s v="TH-21100"/>
    <s v="Thea Hendricks"/>
    <s v="United States"/>
    <x v="1"/>
    <x v="1"/>
    <s v="4009 Highlighters by Sanford"/>
    <n v="27.86"/>
    <n v="7"/>
    <n v="9.1937999999999995"/>
    <n v="33"/>
  </r>
  <r>
    <s v="CA-2020-140480"/>
    <x v="526"/>
    <s v="HE-14800"/>
    <s v="Harold Engle"/>
    <s v="United States"/>
    <x v="0"/>
    <x v="2"/>
    <s v="Tensor Track Tree Floor Lamp"/>
    <n v="135.97999999999999"/>
    <n v="2"/>
    <n v="9.1953999999999994"/>
    <n v="6.7623179879394035"/>
  </r>
  <r>
    <s v="CA-2019-143924"/>
    <x v="15"/>
    <s v="SC-20680"/>
    <s v="Steve Carroll"/>
    <s v="United States"/>
    <x v="3"/>
    <x v="1"/>
    <s v="Staples"/>
    <n v="20.440000000000001"/>
    <n v="7"/>
    <n v="9.1980000000000004"/>
    <n v="45"/>
  </r>
  <r>
    <s v="US-2019-155180"/>
    <x v="180"/>
    <s v="TB-21280"/>
    <s v="Toby Braunhardt"/>
    <s v="United States"/>
    <x v="0"/>
    <x v="1"/>
    <s v="Wilson Jones data.warehouse D-Ring Binders with DublLock"/>
    <n v="26.335999999999999"/>
    <n v="4"/>
    <n v="9.2175999999999991"/>
    <n v="35"/>
  </r>
  <r>
    <s v="CA-2020-151190"/>
    <x v="588"/>
    <s v="GT-14710"/>
    <s v="Greg Tran"/>
    <s v="United States"/>
    <x v="3"/>
    <x v="1"/>
    <s v="Wirebound Message Books, Four 2 3/4 x 5 White Forms per Page"/>
    <n v="129.07"/>
    <n v="3"/>
    <n v="9.2322000000000006"/>
    <n v="7.1528627876346178"/>
  </r>
  <r>
    <s v="CA-2020-145233"/>
    <x v="265"/>
    <s v="DV-13465"/>
    <s v="Dianna Vittorini"/>
    <s v="United States"/>
    <x v="2"/>
    <x v="0"/>
    <s v="AT&amp;T SB67148 SynJ"/>
    <n v="127.584"/>
    <n v="2"/>
    <n v="9.2385999999999999"/>
    <n v="7.2411901178831197"/>
  </r>
  <r>
    <s v="CA-2020-125199"/>
    <x v="6"/>
    <s v="HM-14860"/>
    <s v="Harry Marie"/>
    <s v="United States"/>
    <x v="0"/>
    <x v="1"/>
    <s v="Boston 16801 Nautilus Battery Pencil Sharpener"/>
    <n v="166.256"/>
    <n v="7"/>
    <n v="9.2441999999999993"/>
    <n v="5.5602203830237702"/>
  </r>
  <r>
    <s v="US-2020-103828"/>
    <x v="7"/>
    <s v="JK-15370"/>
    <s v="Jay Kimmel"/>
    <s v="United States"/>
    <x v="2"/>
    <x v="1"/>
    <s v="Staple remover"/>
    <n v="149.91999999999999"/>
    <n v="4"/>
    <n v="9.2568000000000001"/>
    <n v="6.1744930629669161"/>
  </r>
  <r>
    <s v="US-2019-113985"/>
    <x v="118"/>
    <s v="KD-16495"/>
    <s v="Keith Dawkins"/>
    <s v="United States"/>
    <x v="2"/>
    <x v="1"/>
    <s v="GBC VeloBind Cover Sets"/>
    <n v="24.704000000000001"/>
    <n v="2"/>
    <n v="9.2639999999999993"/>
    <n v="37.499999999999993"/>
  </r>
  <r>
    <s v="CA-2020-124436"/>
    <x v="120"/>
    <s v="SA-20830"/>
    <s v="Sue Ann Reed"/>
    <s v="United States"/>
    <x v="2"/>
    <x v="1"/>
    <s v="Pressboard Covers with Storage Hooks, 9 1/2&quot; x 11&quot;, Light Blue"/>
    <n v="153.49600000000001"/>
    <n v="7"/>
    <n v="9.2798999999999996"/>
    <n v="6.0456950018241518"/>
  </r>
  <r>
    <s v="CA-2019-139269"/>
    <x v="566"/>
    <s v="JB-16045"/>
    <s v="Julia Barnett"/>
    <s v="United States"/>
    <x v="1"/>
    <x v="1"/>
    <s v="Wirebound Service Call Books, 5 1/2&quot; x 4&quot;"/>
    <n v="19.36"/>
    <n v="2"/>
    <n v="9.2927999999999997"/>
    <n v="48"/>
  </r>
  <r>
    <s v="CA-2019-158547"/>
    <x v="323"/>
    <s v="JM-16195"/>
    <s v="Justin MacKendrick"/>
    <s v="United States"/>
    <x v="0"/>
    <x v="1"/>
    <s v="Euro-Pro Shark Turbo Vacuum"/>
    <n v="123.92"/>
    <n v="5"/>
    <n v="9.2940000000000005"/>
    <n v="7.5"/>
  </r>
  <r>
    <s v="US-2020-133361"/>
    <x v="215"/>
    <s v="AJ-10780"/>
    <s v="Anthony Jacobs"/>
    <s v="United States"/>
    <x v="0"/>
    <x v="1"/>
    <s v="Eberhard Faber 3 1/2&quot; Golf Pencils"/>
    <n v="135.19999999999999"/>
    <n v="5"/>
    <n v="9.3000000000000007"/>
    <n v="6.8786982248520712"/>
  </r>
  <r>
    <s v="CA-2020-143084"/>
    <x v="46"/>
    <s v="BP-11050"/>
    <s v="Barry Pond"/>
    <s v="United States"/>
    <x v="2"/>
    <x v="1"/>
    <s v="Peel &amp; Seel Envelopes"/>
    <n v="143.4"/>
    <n v="5"/>
    <n v="9.3119999999999994"/>
    <n v="6.493723849372385"/>
  </r>
  <r>
    <s v="CA-2019-167556"/>
    <x v="98"/>
    <s v="JM-15250"/>
    <s v="Janet Martin"/>
    <s v="United States"/>
    <x v="0"/>
    <x v="1"/>
    <s v="Acco Four Pocket Poly Ring Binder with Label Holder, Smoke, 1&quot;"/>
    <n v="29.8"/>
    <n v="5"/>
    <n v="9.3125"/>
    <n v="31.25"/>
  </r>
  <r>
    <s v="CA-2020-136623"/>
    <x v="543"/>
    <s v="TS-21430"/>
    <s v="Tom Stivers"/>
    <s v="United States"/>
    <x v="2"/>
    <x v="1"/>
    <s v="Acco Four Pocket Poly Ring Binder with Label Holder, Smoke, 1&quot;"/>
    <n v="134.80000000000001"/>
    <n v="5"/>
    <n v="9.3125"/>
    <n v="6.908382789317506"/>
  </r>
  <r>
    <s v="CA-2020-142643"/>
    <x v="545"/>
    <s v="DL-13495"/>
    <s v="Dionis Lloyd"/>
    <s v="United States"/>
    <x v="2"/>
    <x v="2"/>
    <s v="Executive Impressions 14&quot; Two-Color Numerals Wall Clock"/>
    <n v="107.72"/>
    <n v="1"/>
    <n v="9.3152000000000008"/>
    <n v="8.6476049015967345"/>
  </r>
  <r>
    <s v="CA-2019-114307"/>
    <x v="448"/>
    <s v="MF-17665"/>
    <s v="Maureen Fritzler"/>
    <s v="United States"/>
    <x v="0"/>
    <x v="2"/>
    <s v="Eldon Stackable Tray, Side-Load, Legal, Smoke"/>
    <n v="27.42"/>
    <n v="3"/>
    <n v="9.3228000000000009"/>
    <n v="34"/>
  </r>
  <r>
    <s v="CA-2020-108441"/>
    <x v="375"/>
    <s v="SB-20190"/>
    <s v="Sarah Bern"/>
    <s v="United States"/>
    <x v="0"/>
    <x v="1"/>
    <s v="TOPS Voice Message Log Book, Flash Format"/>
    <n v="113.04"/>
    <n v="4"/>
    <n v="9.3295999999999992"/>
    <n v="8.2533616418966727"/>
  </r>
  <r>
    <s v="CA-2019-163594"/>
    <x v="231"/>
    <s v="JF-15295"/>
    <s v="Jason Fortune-"/>
    <s v="United States"/>
    <x v="2"/>
    <x v="1"/>
    <s v="Xerox 206"/>
    <n v="19.440000000000001"/>
    <n v="3"/>
    <n v="9.3312000000000008"/>
    <n v="48.000000000000007"/>
  </r>
  <r>
    <s v="CA-2019-101525"/>
    <x v="116"/>
    <s v="CM-12235"/>
    <s v="Chris McAfee"/>
    <s v="United States"/>
    <x v="1"/>
    <x v="1"/>
    <s v="Xerox 1994"/>
    <n v="19.440000000000001"/>
    <n v="3"/>
    <n v="9.3312000000000008"/>
    <n v="48.000000000000007"/>
  </r>
  <r>
    <s v="CA-2019-157266"/>
    <x v="154"/>
    <s v="TB-21280"/>
    <s v="Toby Braunhardt"/>
    <s v="United States"/>
    <x v="0"/>
    <x v="1"/>
    <s v="Weyerhaeuser First Choice Laser/Copy Paper (20Lb. and 88 Bright)"/>
    <n v="19.440000000000001"/>
    <n v="3"/>
    <n v="9.3312000000000008"/>
    <n v="48.000000000000007"/>
  </r>
  <r>
    <s v="US-2019-106313"/>
    <x v="312"/>
    <s v="DG-13300"/>
    <s v="Deirdre Greer"/>
    <s v="United States"/>
    <x v="2"/>
    <x v="1"/>
    <s v="Xerox 202"/>
    <n v="19.440000000000001"/>
    <n v="3"/>
    <n v="9.3312000000000008"/>
    <n v="48.000000000000007"/>
  </r>
  <r>
    <s v="CA-2019-109365"/>
    <x v="65"/>
    <s v="XP-21865"/>
    <s v="Xylona Preis"/>
    <s v="United States"/>
    <x v="2"/>
    <x v="1"/>
    <s v="Xerox 22"/>
    <n v="19.440000000000001"/>
    <n v="3"/>
    <n v="9.3312000000000008"/>
    <n v="48.000000000000007"/>
  </r>
  <r>
    <s v="US-2019-114776"/>
    <x v="431"/>
    <s v="GG-14650"/>
    <s v="Greg Guthrie"/>
    <s v="United States"/>
    <x v="2"/>
    <x v="1"/>
    <s v="Xerox 216"/>
    <n v="19.440000000000001"/>
    <n v="3"/>
    <n v="9.3312000000000008"/>
    <n v="48.000000000000007"/>
  </r>
  <r>
    <s v="CA-2019-100307"/>
    <x v="50"/>
    <s v="TC-21475"/>
    <s v="Tony Chapman"/>
    <s v="United States"/>
    <x v="1"/>
    <x v="1"/>
    <s v="Xerox 1958"/>
    <n v="19.440000000000001"/>
    <n v="3"/>
    <n v="9.3312000000000008"/>
    <n v="48.000000000000007"/>
  </r>
  <r>
    <s v="CA-2020-119424"/>
    <x v="375"/>
    <s v="SB-20205"/>
    <s v="Sarah Brown"/>
    <s v="United States"/>
    <x v="2"/>
    <x v="1"/>
    <s v="Xerox 203"/>
    <n v="114.44"/>
    <n v="3"/>
    <n v="9.3312000000000008"/>
    <n v="8.1537923802866139"/>
  </r>
  <r>
    <s v="CA-2020-155873"/>
    <x v="360"/>
    <s v="AB-10255"/>
    <s v="Alejandro Ballentine"/>
    <s v="United States"/>
    <x v="2"/>
    <x v="1"/>
    <s v="Xerox 215"/>
    <n v="117.44"/>
    <n v="3"/>
    <n v="9.3312000000000008"/>
    <n v="7.945504087193461"/>
  </r>
  <r>
    <s v="CA-2020-116988"/>
    <x v="588"/>
    <s v="PW-19030"/>
    <s v="Pauline Webber"/>
    <s v="United States"/>
    <x v="2"/>
    <x v="1"/>
    <s v="Xerox 1997"/>
    <n v="120.44"/>
    <n v="3"/>
    <n v="9.3312000000000008"/>
    <n v="7.7475921620724018"/>
  </r>
  <r>
    <s v="CA-2020-115777"/>
    <x v="397"/>
    <s v="DO-13645"/>
    <s v="Doug O'Connell"/>
    <s v="United States"/>
    <x v="0"/>
    <x v="1"/>
    <s v="Xerox 200"/>
    <n v="111.44"/>
    <n v="3"/>
    <n v="9.3312000000000008"/>
    <n v="8.3732950466618821"/>
  </r>
  <r>
    <s v="US-2020-142188"/>
    <x v="183"/>
    <s v="JF-15415"/>
    <s v="Jennifer Ferguson"/>
    <s v="United States"/>
    <x v="2"/>
    <x v="1"/>
    <s v="Xerox 225"/>
    <n v="116.44"/>
    <n v="3"/>
    <n v="9.3312000000000008"/>
    <n v="8.0137409824802486"/>
  </r>
  <r>
    <s v="CA-2020-166898"/>
    <x v="183"/>
    <s v="KH-16630"/>
    <s v="Ken Heidel"/>
    <s v="United States"/>
    <x v="2"/>
    <x v="1"/>
    <s v="Xerox 192"/>
    <n v="115.44"/>
    <n v="3"/>
    <n v="9.3312000000000008"/>
    <n v="8.0831600831600845"/>
  </r>
  <r>
    <s v="CA-2020-148068"/>
    <x v="406"/>
    <s v="MM-18280"/>
    <s v="Muhammed MacIntyre"/>
    <s v="United States"/>
    <x v="0"/>
    <x v="1"/>
    <s v="Xerox 203"/>
    <n v="99.44"/>
    <n v="3"/>
    <n v="9.3312000000000008"/>
    <n v="9.3837489943684638"/>
  </r>
  <r>
    <s v="CA-2020-156951"/>
    <x v="435"/>
    <s v="EB-13840"/>
    <s v="Ellis Ballard"/>
    <s v="United States"/>
    <x v="2"/>
    <x v="1"/>
    <s v="Xerox 222"/>
    <n v="113.44"/>
    <n v="3"/>
    <n v="9.3312000000000008"/>
    <n v="8.2256699576868826"/>
  </r>
  <r>
    <s v="CA-2020-168179"/>
    <x v="88"/>
    <s v="JB-16000"/>
    <s v="Joy Bell-"/>
    <s v="United States"/>
    <x v="2"/>
    <x v="1"/>
    <s v="Xerox 220"/>
    <n v="109.44"/>
    <n v="3"/>
    <n v="9.3312000000000008"/>
    <n v="8.526315789473685"/>
  </r>
  <r>
    <s v="CA-2020-110842"/>
    <x v="250"/>
    <s v="GA-14725"/>
    <s v="Guy Armstrong"/>
    <s v="United States"/>
    <x v="2"/>
    <x v="1"/>
    <s v="Xerox 201"/>
    <n v="115.44"/>
    <n v="3"/>
    <n v="9.3312000000000008"/>
    <n v="8.0831600831600845"/>
  </r>
  <r>
    <s v="CA-2020-143245"/>
    <x v="265"/>
    <s v="AD-10180"/>
    <s v="Alan Dominguez"/>
    <s v="United States"/>
    <x v="0"/>
    <x v="1"/>
    <s v="Xerox 214"/>
    <n v="153.44"/>
    <n v="3"/>
    <n v="9.3312000000000008"/>
    <n v="6.0813347236704907"/>
  </r>
  <r>
    <s v="CA-2020-145226"/>
    <x v="136"/>
    <s v="DL-13315"/>
    <s v="Delfina Latchford"/>
    <s v="United States"/>
    <x v="0"/>
    <x v="1"/>
    <s v="Xerox 1996"/>
    <n v="130.44"/>
    <n v="3"/>
    <n v="9.3312000000000008"/>
    <n v="7.1536338546458147"/>
  </r>
  <r>
    <s v="CA-2020-148355"/>
    <x v="437"/>
    <s v="NC-18535"/>
    <s v="Nick Crebassa"/>
    <s v="United States"/>
    <x v="0"/>
    <x v="1"/>
    <s v="Xerox 214"/>
    <n v="334.44"/>
    <n v="3"/>
    <n v="9.3312000000000008"/>
    <n v="2.7900968783638325"/>
  </r>
  <r>
    <s v="CA-2020-119284"/>
    <x v="267"/>
    <s v="TS-21205"/>
    <s v="Thomas Seio"/>
    <s v="United States"/>
    <x v="1"/>
    <x v="2"/>
    <s v="Staple-based wall hangings"/>
    <n v="104.16800000000001"/>
    <n v="4"/>
    <n v="9.3504000000000005"/>
    <n v="8.976269103755472"/>
  </r>
  <r>
    <s v="CA-2020-146920"/>
    <x v="488"/>
    <s v="SC-20305"/>
    <s v="Sean Christensen"/>
    <s v="United States"/>
    <x v="3"/>
    <x v="1"/>
    <s v="HP Office Paper (20Lb. and 87 Bright)"/>
    <n v="102.72"/>
    <n v="5"/>
    <n v="9.3520000000000003"/>
    <n v="9.1043613707165107"/>
  </r>
  <r>
    <s v="CA-2020-154088"/>
    <x v="151"/>
    <s v="LB-16735"/>
    <s v="Larry Blacks"/>
    <s v="United States"/>
    <x v="1"/>
    <x v="1"/>
    <s v="Xerox 1968"/>
    <n v="94.72"/>
    <n v="5"/>
    <n v="9.3520000000000003"/>
    <n v="9.8733108108108105"/>
  </r>
  <r>
    <s v="CA-2020-143665"/>
    <x v="418"/>
    <s v="PO-19180"/>
    <s v="Philisse Overcash"/>
    <s v="United States"/>
    <x v="2"/>
    <x v="1"/>
    <s v="Strathmore Photo Mount Cards"/>
    <n v="122.34"/>
    <n v="3"/>
    <n v="9.3564000000000007"/>
    <n v="7.647866601275136"/>
  </r>
  <r>
    <s v="CA-2019-140382"/>
    <x v="489"/>
    <s v="RD-19900"/>
    <s v="Ruben Dartt"/>
    <s v="United States"/>
    <x v="2"/>
    <x v="1"/>
    <s v="Xerox 1884"/>
    <n v="19.98"/>
    <n v="1"/>
    <n v="9.3905999999999992"/>
    <n v="47"/>
  </r>
  <r>
    <s v="CA-2019-157749"/>
    <x v="41"/>
    <s v="KL-16645"/>
    <s v="Ken Lonsdale"/>
    <s v="United States"/>
    <x v="3"/>
    <x v="1"/>
    <s v="Xerox 1957"/>
    <n v="25.92"/>
    <n v="5"/>
    <n v="9.3960000000000008"/>
    <n v="36.25"/>
  </r>
  <r>
    <s v="CA-2020-104745"/>
    <x v="201"/>
    <s v="GT-14755"/>
    <s v="Guy Thornton"/>
    <s v="United States"/>
    <x v="3"/>
    <x v="1"/>
    <s v="Xerox 1930"/>
    <n v="125.92"/>
    <n v="5"/>
    <n v="9.3960000000000008"/>
    <n v="7.4618805590851336"/>
  </r>
  <r>
    <s v="CA-2020-131954"/>
    <x v="263"/>
    <s v="DS-13030"/>
    <s v="Darrin Sayre"/>
    <s v="United States"/>
    <x v="2"/>
    <x v="1"/>
    <s v="Wilson Jones Leather-Like Binders with DublLock Round Rings"/>
    <n v="92.936000000000007"/>
    <n v="4"/>
    <n v="9.4283999999999999"/>
    <n v="10.145046053197898"/>
  </r>
  <r>
    <s v="CA-2020-133823"/>
    <x v="40"/>
    <s v="LP-17080"/>
    <s v="Liz Pelletier"/>
    <s v="United States"/>
    <x v="2"/>
    <x v="1"/>
    <s v="Acco Flexible ACCOHIDE Square Ring Data Binder, Dark Blue, 11 1/2&quot; X 14&quot; 7/8&quot;"/>
    <n v="87.031999999999996"/>
    <n v="2"/>
    <n v="9.4366000000000003"/>
    <n v="10.842678555014249"/>
  </r>
  <r>
    <s v="CA-2020-100314"/>
    <x v="86"/>
    <s v="AS-10630"/>
    <s v="Ann Steele"/>
    <s v="United States"/>
    <x v="3"/>
    <x v="1"/>
    <s v="#10- 4 1/8&quot; x 9 1/2&quot; Recycled Envelopes"/>
    <n v="132.96799999999999"/>
    <n v="4"/>
    <n v="9.4391999999999996"/>
    <n v="7.0988508513326511"/>
  </r>
  <r>
    <s v="CA-2020-144862"/>
    <x v="265"/>
    <s v="EH-14005"/>
    <s v="Erica Hernandez"/>
    <s v="United States"/>
    <x v="0"/>
    <x v="0"/>
    <s v="Belkin SportFit Armband For iPhone 5s/5c, Fuchsia"/>
    <n v="138.958"/>
    <n v="7"/>
    <n v="9.4436999999999998"/>
    <n v="6.7960822694627154"/>
  </r>
  <r>
    <s v="CA-2019-155474"/>
    <x v="336"/>
    <s v="CC-12220"/>
    <s v="Chris Cortes"/>
    <s v="United States"/>
    <x v="2"/>
    <x v="0"/>
    <s v="Logitech Mobile Speakerphone P710e - speaker phone"/>
    <n v="107.98399999999999"/>
    <n v="1"/>
    <n v="9.4486000000000008"/>
    <n v="8.75"/>
  </r>
  <r>
    <s v="CA-2020-151225"/>
    <x v="396"/>
    <s v="JM-15655"/>
    <s v="Jim Mitchum"/>
    <s v="United States"/>
    <x v="2"/>
    <x v="2"/>
    <s v="Chromcraft Rectangular Conference Tables"/>
    <n v="238.57599999999999"/>
    <n v="1"/>
    <n v="9.4787999999999997"/>
    <n v="3.9730735698477635"/>
  </r>
  <r>
    <s v="CA-2019-122511"/>
    <x v="253"/>
    <s v="BT-11485"/>
    <s v="Brad Thomas"/>
    <s v="United States"/>
    <x v="0"/>
    <x v="2"/>
    <s v="DAX Charcoal/Nickel-Tone Document Frame, 5 x 7"/>
    <n v="30.335999999999999"/>
    <n v="4"/>
    <n v="9.48"/>
    <n v="31.250000000000007"/>
  </r>
  <r>
    <s v="CA-2020-165603"/>
    <x v="517"/>
    <s v="SS-20140"/>
    <s v="Saphhira Shifley"/>
    <s v="United States"/>
    <x v="0"/>
    <x v="1"/>
    <s v="2300 Heavy-Duty Transfer File Systems by Perma"/>
    <n v="162.96"/>
    <n v="2"/>
    <n v="9.4923999999999999"/>
    <n v="5.8249877270495825"/>
  </r>
  <r>
    <s v="CA-2019-125850"/>
    <x v="180"/>
    <s v="FP-14320"/>
    <s v="Frank Preis"/>
    <s v="United States"/>
    <x v="2"/>
    <x v="1"/>
    <s v="Avery 476"/>
    <n v="20.65"/>
    <n v="5"/>
    <n v="9.4990000000000006"/>
    <n v="46.000000000000007"/>
  </r>
  <r>
    <s v="CA-2020-129378"/>
    <x v="435"/>
    <s v="NS-18505"/>
    <s v="Neola Schneider"/>
    <s v="United States"/>
    <x v="2"/>
    <x v="2"/>
    <s v="Metal Folding Chairs, Beige, 4/Carton"/>
    <n v="133.608"/>
    <n v="4"/>
    <n v="9.5031999999999996"/>
    <n v="7.1127477396563066"/>
  </r>
  <r>
    <s v="CA-2020-169810"/>
    <x v="236"/>
    <s v="RB-19360"/>
    <s v="Raymond Buch"/>
    <s v="United States"/>
    <x v="3"/>
    <x v="1"/>
    <s v="Avery 498"/>
    <n v="122.23"/>
    <n v="7"/>
    <n v="9.5081000000000007"/>
    <n v="7.7788595271210017"/>
  </r>
  <r>
    <s v="CA-2019-118689"/>
    <x v="226"/>
    <s v="TC-20980"/>
    <s v="Tamara Chand"/>
    <s v="United States"/>
    <x v="3"/>
    <x v="1"/>
    <s v="Stanley Bostitch Contemporary Electric Pencil Sharpeners"/>
    <n v="33.96"/>
    <n v="2"/>
    <n v="9.5088000000000008"/>
    <n v="28.000000000000004"/>
  </r>
  <r>
    <s v="CA-2019-138037"/>
    <x v="479"/>
    <s v="AR-10540"/>
    <s v="Andy Reiter"/>
    <s v="United States"/>
    <x v="2"/>
    <x v="1"/>
    <s v="Avery Self-Adhesive Photo Pockets for Polaroid Photos"/>
    <n v="27.24"/>
    <n v="5"/>
    <n v="9.5340000000000007"/>
    <n v="35"/>
  </r>
  <r>
    <s v="CA-2019-115224"/>
    <x v="83"/>
    <s v="DB-13615"/>
    <s v="Doug Bickford"/>
    <s v="United States"/>
    <x v="2"/>
    <x v="1"/>
    <s v="SimpliFile Personal File, Black Granite, 15w x 6-15/16d x 11-1/4h"/>
    <n v="34.049999999999997"/>
    <n v="3"/>
    <n v="9.5340000000000007"/>
    <n v="28.000000000000004"/>
  </r>
  <r>
    <s v="CA-2020-126928"/>
    <x v="166"/>
    <s v="GZ-14470"/>
    <s v="Gary Zandusky"/>
    <s v="United States"/>
    <x v="0"/>
    <x v="1"/>
    <s v="SimpliFile Personal File, Black Granite, 15w x 6-15/16d x 11-1/4h"/>
    <n v="121.05"/>
    <n v="3"/>
    <n v="9.5340000000000007"/>
    <n v="7.8760842627013634"/>
  </r>
  <r>
    <s v="US-2019-117037"/>
    <x v="297"/>
    <s v="LW-17215"/>
    <s v="Luke Weiss"/>
    <s v="United States"/>
    <x v="3"/>
    <x v="1"/>
    <s v="Wirebound Message Books, Four 2 3/4 x 5 Forms per Page, 200 Sets per Book"/>
    <n v="30.527999999999999"/>
    <n v="8"/>
    <n v="9.5399999999999991"/>
    <n v="31.25"/>
  </r>
  <r>
    <s v="CA-2020-151484"/>
    <x v="202"/>
    <s v="CV-12805"/>
    <s v="Cynthia Voltz"/>
    <s v="United States"/>
    <x v="0"/>
    <x v="2"/>
    <s v="Executive Impressions 12&quot; Wall Clock"/>
    <n v="137.40799999999999"/>
    <n v="3"/>
    <n v="9.5418000000000003"/>
    <n v="6.9441371681415935"/>
  </r>
  <r>
    <s v="CA-2020-122707"/>
    <x v="217"/>
    <s v="EB-13750"/>
    <s v="Edward Becker"/>
    <s v="United States"/>
    <x v="1"/>
    <x v="1"/>
    <s v="Compact Automatic Electric Letter Opener"/>
    <n v="517.24"/>
    <n v="4"/>
    <n v="9.5448000000000004"/>
    <n v="1.8453329208877891"/>
  </r>
  <r>
    <s v="CA-2020-163874"/>
    <x v="31"/>
    <s v="NC-18535"/>
    <s v="Nick Crebassa"/>
    <s v="United States"/>
    <x v="2"/>
    <x v="1"/>
    <s v="GBC Imprintable Covers"/>
    <n v="112.352"/>
    <n v="3"/>
    <n v="9.5526"/>
    <n v="8.5023853602962127"/>
  </r>
  <r>
    <s v="CA-2020-107314"/>
    <x v="21"/>
    <s v="MZ-17335"/>
    <s v="Maria Zettner"/>
    <s v="United States"/>
    <x v="2"/>
    <x v="2"/>
    <s v="Contemporary Borderless Frame"/>
    <n v="152.83000000000001"/>
    <n v="3"/>
    <n v="9.5571000000000002"/>
    <n v="6.2534188313812731"/>
  </r>
  <r>
    <s v="CA-2020-139619"/>
    <x v="121"/>
    <s v="ES-14080"/>
    <s v="Erin Smith"/>
    <s v="United States"/>
    <x v="1"/>
    <x v="1"/>
    <s v="Advantus 10-Drawer Portable Organizer, Chrome Metal Frame, Smoke Drawers"/>
    <n v="123.616"/>
    <n v="2"/>
    <n v="9.5616000000000003"/>
    <n v="7.7349210458193127"/>
  </r>
  <r>
    <s v="CA-2019-111794"/>
    <x v="131"/>
    <s v="HG-15025"/>
    <s v="Hunter Glantz"/>
    <s v="United States"/>
    <x v="3"/>
    <x v="1"/>
    <s v="Easy-staple paper"/>
    <n v="28.352"/>
    <n v="1"/>
    <n v="9.5687999999999995"/>
    <n v="33.75"/>
  </r>
  <r>
    <s v="US-2020-132444"/>
    <x v="276"/>
    <s v="CD-12280"/>
    <s v="Christina DeMoss"/>
    <s v="United States"/>
    <x v="2"/>
    <x v="1"/>
    <s v="Fellowes Bankers Box Stor/Drawer Steel Plus"/>
    <n v="121.94"/>
    <n v="3"/>
    <n v="9.5939999999999994"/>
    <n v="7.8678038379530912"/>
  </r>
  <r>
    <s v="CA-2020-163510"/>
    <x v="141"/>
    <s v="JW-15955"/>
    <s v="Joni Wasserman"/>
    <s v="United States"/>
    <x v="1"/>
    <x v="1"/>
    <s v="Fellowes Bankers Box Stor/Drawer Steel Plus"/>
    <n v="465.94"/>
    <n v="3"/>
    <n v="9.5939999999999994"/>
    <n v="2.0590633987208653"/>
  </r>
  <r>
    <s v="CA-2020-122077"/>
    <x v="234"/>
    <s v="JF-15295"/>
    <s v="Jason Fortune-"/>
    <s v="United States"/>
    <x v="3"/>
    <x v="0"/>
    <s v="Jabra Supreme Plus Driver Edition Headset"/>
    <n v="105.992"/>
    <n v="1"/>
    <n v="9.5991999999999997"/>
    <n v="9.0565325684957347"/>
  </r>
  <r>
    <s v="CA-2019-168893"/>
    <x v="65"/>
    <s v="AP-10915"/>
    <s v="Arthur Prichep"/>
    <s v="United States"/>
    <x v="1"/>
    <x v="1"/>
    <s v="Advantus Plastic Paper Clips"/>
    <n v="20"/>
    <n v="4"/>
    <n v="9.6"/>
    <n v="48"/>
  </r>
  <r>
    <s v="CA-2020-130631"/>
    <x v="218"/>
    <s v="BS-11755"/>
    <s v="Bruce Stewart"/>
    <s v="United States"/>
    <x v="2"/>
    <x v="1"/>
    <s v="Acco Glide Clips"/>
    <n v="282.60000000000002"/>
    <n v="5"/>
    <n v="9.6039999999999992"/>
    <n v="3.3984430290162773"/>
  </r>
  <r>
    <s v="CA-2019-130477"/>
    <x v="5"/>
    <s v="LC-17140"/>
    <s v="Logan Currie"/>
    <s v="United States"/>
    <x v="2"/>
    <x v="1"/>
    <s v="Xerox 1923"/>
    <n v="20.04"/>
    <n v="3"/>
    <n v="9.6191999999999993"/>
    <n v="48"/>
  </r>
  <r>
    <s v="CA-2019-145583"/>
    <x v="27"/>
    <s v="LC-16885"/>
    <s v="Lena Creighton"/>
    <s v="United States"/>
    <x v="2"/>
    <x v="1"/>
    <s v="Xerox 195"/>
    <n v="20.04"/>
    <n v="3"/>
    <n v="9.6191999999999993"/>
    <n v="48"/>
  </r>
  <r>
    <s v="CA-2020-140151"/>
    <x v="248"/>
    <s v="RB-19360"/>
    <s v="Raymond Buch"/>
    <s v="United States"/>
    <x v="2"/>
    <x v="1"/>
    <s v="Xerox 1898"/>
    <n v="126.04"/>
    <n v="3"/>
    <n v="9.6191999999999993"/>
    <n v="7.6318629006664542"/>
  </r>
  <r>
    <s v="US-2020-147886"/>
    <x v="208"/>
    <s v="DH-13075"/>
    <s v="Dave Hallsten"/>
    <s v="United States"/>
    <x v="2"/>
    <x v="1"/>
    <s v="Xerox 1977"/>
    <n v="150.04"/>
    <n v="3"/>
    <n v="9.6191999999999993"/>
    <n v="6.4110903758997599"/>
  </r>
  <r>
    <s v="US-2019-113649"/>
    <x v="366"/>
    <s v="HA-14920"/>
    <s v="Helen Andreada"/>
    <s v="United States"/>
    <x v="1"/>
    <x v="1"/>
    <s v="Xerox 199"/>
    <n v="30.815999999999999"/>
    <n v="9"/>
    <n v="9.6300000000000008"/>
    <n v="31.250000000000007"/>
  </r>
  <r>
    <s v="CA-2019-164770"/>
    <x v="118"/>
    <s v="MY-18295"/>
    <s v="Muhammed Yedwab"/>
    <s v="United States"/>
    <x v="3"/>
    <x v="1"/>
    <s v="Xerox 1962"/>
    <n v="30.815999999999999"/>
    <n v="9"/>
    <n v="9.6300000000000008"/>
    <n v="31.250000000000007"/>
  </r>
  <r>
    <s v="CA-2020-147354"/>
    <x v="589"/>
    <s v="KB-16315"/>
    <s v="Karl Braun"/>
    <s v="United States"/>
    <x v="2"/>
    <x v="1"/>
    <s v="DXL Angle-View Binders with Locking Rings by Samsill"/>
    <n v="112.84"/>
    <n v="5"/>
    <n v="9.6374999999999993"/>
    <n v="8.5408543069833378"/>
  </r>
  <r>
    <s v="CA-2019-107216"/>
    <x v="129"/>
    <s v="PV-18985"/>
    <s v="Paul Van Hugh"/>
    <s v="United States"/>
    <x v="2"/>
    <x v="0"/>
    <s v="Logitech ClearChat Comfort/USB Headset H390"/>
    <n v="29.29"/>
    <n v="1"/>
    <n v="9.6656999999999993"/>
    <n v="32.999999999999993"/>
  </r>
  <r>
    <s v="CA-2020-126382"/>
    <x v="132"/>
    <s v="HK-14890"/>
    <s v="Heather Kirkland"/>
    <s v="United States"/>
    <x v="1"/>
    <x v="2"/>
    <s v="Eldon 200 Class Desk Accessories, Burgundy"/>
    <n v="137.16800000000001"/>
    <n v="7"/>
    <n v="9.6712000000000007"/>
    <n v="7.0506240522570858"/>
  </r>
  <r>
    <s v="CA-2020-146724"/>
    <x v="216"/>
    <s v="HG-15025"/>
    <s v="Hunter Glantz"/>
    <s v="United States"/>
    <x v="3"/>
    <x v="1"/>
    <s v="Sanford Uni-Blazer View Highlighters, Chisel Tip, Yellow"/>
    <n v="109"/>
    <n v="10"/>
    <n v="9.68"/>
    <n v="8.8807339449541285"/>
  </r>
  <r>
    <s v="CA-2019-136322"/>
    <x v="72"/>
    <s v="AP-10720"/>
    <s v="Anne Pryor"/>
    <s v="United States"/>
    <x v="1"/>
    <x v="2"/>
    <s v="Seth Thomas 14&quot; Day/Date Wall Clock"/>
    <n v="45.567999999999998"/>
    <n v="2"/>
    <n v="9.6831999999999994"/>
    <n v="21.25"/>
  </r>
  <r>
    <s v="CA-2019-113817"/>
    <x v="316"/>
    <s v="MJ-17740"/>
    <s v="Max Jones"/>
    <s v="United States"/>
    <x v="2"/>
    <x v="1"/>
    <s v="Wilson Jones International Size A4 Ring Binders"/>
    <n v="27.68"/>
    <n v="2"/>
    <n v="9.6880000000000006"/>
    <n v="35"/>
  </r>
  <r>
    <s v="US-2019-115441"/>
    <x v="445"/>
    <s v="SH-19975"/>
    <s v="Sally Hughsby"/>
    <s v="United States"/>
    <x v="3"/>
    <x v="1"/>
    <s v="Speediset Carbonless Redi-Letter 7&quot; x 8 1/2&quot;"/>
    <n v="20.62"/>
    <n v="2"/>
    <n v="9.6913999999999998"/>
    <n v="47"/>
  </r>
  <r>
    <s v="CA-2020-117933"/>
    <x v="437"/>
    <s v="RF-19840"/>
    <s v="Roy Französisch"/>
    <s v="United States"/>
    <x v="0"/>
    <x v="1"/>
    <s v="Staple holder"/>
    <n v="455.91"/>
    <n v="3"/>
    <n v="9.6957000000000004"/>
    <n v="2.1266697374481804"/>
  </r>
  <r>
    <s v="CA-2020-132619"/>
    <x v="461"/>
    <s v="MS-17770"/>
    <s v="Maxwell Schwartz"/>
    <s v="United States"/>
    <x v="2"/>
    <x v="1"/>
    <s v="Space Solutions Commercial Steel Shelving"/>
    <n v="227.95"/>
    <n v="3"/>
    <n v="9.6974999999999998"/>
    <n v="4.254222417196754"/>
  </r>
  <r>
    <s v="CA-2019-117583"/>
    <x v="134"/>
    <s v="CB-12025"/>
    <s v="Cassandra Brandow"/>
    <s v="United States"/>
    <x v="0"/>
    <x v="1"/>
    <s v="Newell 324"/>
    <n v="34.65"/>
    <n v="3"/>
    <n v="9.702"/>
    <n v="28.000000000000004"/>
  </r>
  <r>
    <s v="CA-2019-162355"/>
    <x v="422"/>
    <s v="PF-19165"/>
    <s v="Philip Fox"/>
    <s v="United States"/>
    <x v="1"/>
    <x v="1"/>
    <s v="Bulldog Vacuum Base Pencil Sharpener"/>
    <n v="35.97"/>
    <n v="3"/>
    <n v="9.7119"/>
    <n v="27"/>
  </r>
  <r>
    <s v="CA-2020-135279"/>
    <x v="262"/>
    <s v="BS-11800"/>
    <s v="Bryan Spruell"/>
    <s v="United States"/>
    <x v="0"/>
    <x v="1"/>
    <s v="Bulldog Vacuum Base Pencil Sharpener"/>
    <n v="132.97"/>
    <n v="3"/>
    <n v="9.7119"/>
    <n v="7.3038279311122807"/>
  </r>
  <r>
    <s v="CA-2019-121370"/>
    <x v="296"/>
    <s v="EB-14110"/>
    <s v="Eugene Barchas"/>
    <s v="United States"/>
    <x v="0"/>
    <x v="2"/>
    <s v="DAX Contemporary Wood Frame with Silver Metal Mat, Desktop, 11 x 14 Size"/>
    <n v="48.576000000000001"/>
    <n v="3"/>
    <n v="9.7151999999999994"/>
    <n v="20"/>
  </r>
  <r>
    <s v="CA-2019-166674"/>
    <x v="442"/>
    <s v="RB-19360"/>
    <s v="Raymond Buch"/>
    <s v="United States"/>
    <x v="0"/>
    <x v="1"/>
    <s v="Fellowes Bankers Box Recycled Super Stor/Drawer"/>
    <n v="161.94"/>
    <n v="3"/>
    <n v="9.7164000000000001"/>
    <n v="6.0000000000000009"/>
  </r>
  <r>
    <s v="CA-2019-141397"/>
    <x v="295"/>
    <s v="RC-19825"/>
    <s v="Roy Collins"/>
    <s v="United States"/>
    <x v="2"/>
    <x v="1"/>
    <s v="Fellowes Bankers Box Recycled Super Stor/Drawer"/>
    <n v="161.94"/>
    <n v="3"/>
    <n v="9.7164000000000001"/>
    <n v="6.0000000000000009"/>
  </r>
  <r>
    <s v="CA-2019-123274"/>
    <x v="542"/>
    <s v="GT-14710"/>
    <s v="Greg Tran"/>
    <s v="United States"/>
    <x v="0"/>
    <x v="1"/>
    <s v="Carina Double Wide Media Storage Towers in Natural &amp; Black"/>
    <n v="242.94"/>
    <n v="3"/>
    <n v="9.7175999999999991"/>
    <n v="3.9999999999999996"/>
  </r>
  <r>
    <s v="CA-2020-131954"/>
    <x v="263"/>
    <s v="DS-13030"/>
    <s v="Darrin Sayre"/>
    <s v="United States"/>
    <x v="2"/>
    <x v="1"/>
    <s v="Carina Double Wide Media Storage Towers in Natural &amp; Black"/>
    <n v="267.94"/>
    <n v="3"/>
    <n v="9.7175999999999991"/>
    <n v="3.6267821153989694"/>
  </r>
  <r>
    <s v="CA-2020-116288"/>
    <x v="590"/>
    <s v="BS-11380"/>
    <s v="Bill Stewart"/>
    <s v="United States"/>
    <x v="2"/>
    <x v="1"/>
    <s v="Carina Double Wide Media Storage Towers in Natural &amp; Black"/>
    <n v="273.94"/>
    <n v="3"/>
    <n v="9.7175999999999991"/>
    <n v="3.5473461341899681"/>
  </r>
  <r>
    <s v="CA-2020-127621"/>
    <x v="321"/>
    <s v="RE-19450"/>
    <s v="Richard Eichhorn"/>
    <s v="United States"/>
    <x v="3"/>
    <x v="1"/>
    <s v="Important Message Pads, 50 4-1/4 x 5-1/2 Forms per Pad"/>
    <n v="100.88"/>
    <n v="8"/>
    <n v="9.7439999999999998"/>
    <n v="9.6590007930214128"/>
  </r>
  <r>
    <s v="CA-2020-131695"/>
    <x v="54"/>
    <s v="RA-19285"/>
    <s v="Ralph Arnett"/>
    <s v="United States"/>
    <x v="0"/>
    <x v="2"/>
    <s v="Executive Impressions 14&quot;"/>
    <n v="84.23"/>
    <n v="1"/>
    <n v="9.7812000000000001"/>
    <n v="11.612489611777276"/>
  </r>
  <r>
    <s v="CA-2020-119564"/>
    <x v="476"/>
    <s v="PL-18925"/>
    <s v="Paul Lucas"/>
    <s v="United States"/>
    <x v="2"/>
    <x v="2"/>
    <s v="Master Giant Foot Doorstop, Safety Yellow"/>
    <n v="437.77"/>
    <n v="3"/>
    <n v="9.7911000000000001"/>
    <n v="2.2365854215684036"/>
  </r>
  <r>
    <s v="CA-2019-102127"/>
    <x v="454"/>
    <s v="VP-21760"/>
    <s v="Victoria Pisteka"/>
    <s v="United States"/>
    <x v="0"/>
    <x v="0"/>
    <s v="Perixx PERIBOARD-512B, Ergonomic Split Keyboard"/>
    <n v="139.96"/>
    <n v="4"/>
    <n v="9.7972000000000001"/>
    <n v="6.9999999999999991"/>
  </r>
  <r>
    <s v="CA-2020-155957"/>
    <x v="197"/>
    <s v="CC-12610"/>
    <s v="Corey Catlett"/>
    <s v="United States"/>
    <x v="0"/>
    <x v="1"/>
    <s v="Holmes HEPA Air Purifier"/>
    <n v="100.27200000000001"/>
    <n v="3"/>
    <n v="9.8010000000000002"/>
    <n v="9.7744135950215423"/>
  </r>
  <r>
    <s v="CA-2019-111493"/>
    <x v="72"/>
    <s v="CM-12160"/>
    <s v="Charles McCrossin"/>
    <s v="United States"/>
    <x v="0"/>
    <x v="0"/>
    <s v="Logitech Desktop MK120 Mouse and keyboard Combo"/>
    <n v="98.16"/>
    <n v="6"/>
    <n v="9.8160000000000007"/>
    <n v="10"/>
  </r>
  <r>
    <s v="CA-2020-134152"/>
    <x v="355"/>
    <s v="RP-19855"/>
    <s v="Roy Phan"/>
    <s v="United States"/>
    <x v="2"/>
    <x v="0"/>
    <s v="Logitech Desktop MK120 Mouse and keyboard Combo"/>
    <n v="125.16"/>
    <n v="6"/>
    <n v="9.8160000000000007"/>
    <n v="7.8427612655800587"/>
  </r>
  <r>
    <s v="CA-2020-151211"/>
    <x v="23"/>
    <s v="AH-10120"/>
    <s v="Adrian Hane"/>
    <s v="United States"/>
    <x v="1"/>
    <x v="0"/>
    <s v="Logitech Desktop MK120 Mouse and keyboard Combo"/>
    <n v="109.16"/>
    <n v="6"/>
    <n v="9.8160000000000007"/>
    <n v="8.9923048735800677"/>
  </r>
  <r>
    <s v="CA-2020-166317"/>
    <x v="10"/>
    <s v="JE-15610"/>
    <s v="Jim Epp"/>
    <s v="United States"/>
    <x v="3"/>
    <x v="0"/>
    <s v="Logitech Desktop MK120 Mouse and keyboard Combo"/>
    <n v="142.16"/>
    <n v="6"/>
    <n v="9.8160000000000007"/>
    <n v="6.9048958919527292"/>
  </r>
  <r>
    <s v="CA-2019-140207"/>
    <x v="77"/>
    <s v="CS-12400"/>
    <s v="Christopher Schild"/>
    <s v="United States"/>
    <x v="2"/>
    <x v="1"/>
    <s v="Cardinal Holdit Data Disk Pockets"/>
    <n v="29.12"/>
    <n v="5"/>
    <n v="9.8279999999999994"/>
    <n v="33.75"/>
  </r>
  <r>
    <s v="US-2019-141880"/>
    <x v="312"/>
    <s v="TC-21475"/>
    <s v="Tony Chapman"/>
    <s v="United States"/>
    <x v="2"/>
    <x v="2"/>
    <s v="Dana Halogen Swing-Arm Architect Lamp"/>
    <n v="98.328000000000003"/>
    <n v="3"/>
    <n v="9.8328000000000007"/>
    <n v="10"/>
  </r>
  <r>
    <s v="CA-2019-103947"/>
    <x v="442"/>
    <s v="BB-10990"/>
    <s v="Barry Blumstein"/>
    <s v="United States"/>
    <x v="2"/>
    <x v="1"/>
    <s v="Staples"/>
    <n v="31.56"/>
    <n v="5"/>
    <n v="9.8625000000000007"/>
    <n v="31.250000000000007"/>
  </r>
  <r>
    <s v="CA-2019-144764"/>
    <x v="110"/>
    <s v="RL-19615"/>
    <s v="Rob Lucas"/>
    <s v="United States"/>
    <x v="3"/>
    <x v="1"/>
    <s v="Self-Adhesive Address Labels for Typewriters by Universal"/>
    <n v="29.24"/>
    <n v="5"/>
    <n v="9.8684999999999992"/>
    <n v="33.75"/>
  </r>
  <r>
    <s v="CA-2020-100160"/>
    <x v="266"/>
    <s v="CB-12025"/>
    <s v="Cassandra Brandow"/>
    <s v="United States"/>
    <x v="0"/>
    <x v="1"/>
    <s v="Avery 519"/>
    <n v="126.24"/>
    <n v="5"/>
    <n v="9.8684999999999992"/>
    <n v="7.817252851711026"/>
  </r>
  <r>
    <s v="CA-2019-124352"/>
    <x v="486"/>
    <s v="CD-12790"/>
    <s v="Cynthia Delaney"/>
    <s v="United States"/>
    <x v="3"/>
    <x v="1"/>
    <s v="Avery 49"/>
    <n v="20.16"/>
    <n v="7"/>
    <n v="9.8783999999999992"/>
    <n v="48.999999999999993"/>
  </r>
  <r>
    <s v="US-2019-131058"/>
    <x v="343"/>
    <s v="EM-14140"/>
    <s v="Eugene Moren"/>
    <s v="United States"/>
    <x v="2"/>
    <x v="1"/>
    <s v="Avery File Folder Labels"/>
    <n v="20.16"/>
    <n v="7"/>
    <n v="9.8783999999999992"/>
    <n v="48.999999999999993"/>
  </r>
  <r>
    <s v="CA-2020-151428"/>
    <x v="362"/>
    <s v="RH-19495"/>
    <s v="Rick Hansen"/>
    <s v="United States"/>
    <x v="3"/>
    <x v="1"/>
    <s v="Avery Durable Binders"/>
    <n v="123.16"/>
    <n v="7"/>
    <n v="9.8783999999999992"/>
    <n v="8.020785969470607"/>
  </r>
  <r>
    <s v="CA-2020-100055"/>
    <x v="185"/>
    <s v="MD-17860"/>
    <s v="Michael Dominguez"/>
    <s v="United States"/>
    <x v="0"/>
    <x v="2"/>
    <s v="DAX Wood Document Frame"/>
    <n v="123.46"/>
    <n v="2"/>
    <n v="9.8856000000000002"/>
    <n v="8.007127814676819"/>
  </r>
  <r>
    <s v="CA-2020-141439"/>
    <x v="197"/>
    <s v="TT-21460"/>
    <s v="Tonja Turnell"/>
    <s v="United States"/>
    <x v="3"/>
    <x v="2"/>
    <s v="DAX Wood Document Frame"/>
    <n v="124.46"/>
    <n v="2"/>
    <n v="9.8856000000000002"/>
    <n v="7.9427928651775668"/>
  </r>
  <r>
    <s v="CA-2020-110625"/>
    <x v="172"/>
    <s v="JB-16045"/>
    <s v="Julia Barnett"/>
    <s v="United States"/>
    <x v="0"/>
    <x v="2"/>
    <s v="DAX Wood Document Frame"/>
    <n v="456.46"/>
    <n v="2"/>
    <n v="9.8856000000000002"/>
    <n v="2.1657100293563514"/>
  </r>
  <r>
    <s v="CA-2019-101336"/>
    <x v="394"/>
    <s v="CK-12760"/>
    <s v="Cyma Kinney"/>
    <s v="United States"/>
    <x v="0"/>
    <x v="1"/>
    <s v="Portable Personal File Box"/>
    <n v="36.630000000000003"/>
    <n v="3"/>
    <n v="9.8901000000000003"/>
    <n v="27"/>
  </r>
  <r>
    <s v="CA-2019-155481"/>
    <x v="391"/>
    <s v="DK-13225"/>
    <s v="Dean Katz"/>
    <s v="United States"/>
    <x v="0"/>
    <x v="1"/>
    <s v="Telephone Message Books with Fax/Mobile Section, 5 1/2&quot; x 3 3/16&quot;"/>
    <n v="30.48"/>
    <n v="6"/>
    <n v="9.9060000000000006"/>
    <n v="32.5"/>
  </r>
  <r>
    <s v="CA-2019-109176"/>
    <x v="119"/>
    <s v="JW-16075"/>
    <s v="Julia West"/>
    <s v="United States"/>
    <x v="0"/>
    <x v="1"/>
    <s v="Newell 319"/>
    <n v="79.36"/>
    <n v="5"/>
    <n v="9.92"/>
    <n v="12.5"/>
  </r>
  <r>
    <s v="CA-2020-124261"/>
    <x v="244"/>
    <s v="JE-15715"/>
    <s v="Joe Elijah"/>
    <s v="United States"/>
    <x v="2"/>
    <x v="1"/>
    <s v="Newell 347"/>
    <n v="127.24"/>
    <n v="8"/>
    <n v="9.9296000000000006"/>
    <n v="7.8038352719270678"/>
  </r>
  <r>
    <s v="CA-2019-161473"/>
    <x v="442"/>
    <s v="TB-21175"/>
    <s v="Thomas Boland"/>
    <s v="United States"/>
    <x v="0"/>
    <x v="1"/>
    <s v="Avery 473"/>
    <n v="20.7"/>
    <n v="2"/>
    <n v="9.9359999999999999"/>
    <n v="48.000000000000007"/>
  </r>
  <r>
    <s v="CA-2019-113243"/>
    <x v="79"/>
    <s v="OT-18730"/>
    <s v="Olvera Toch"/>
    <s v="United States"/>
    <x v="2"/>
    <x v="1"/>
    <s v="Avery 473"/>
    <n v="20.7"/>
    <n v="2"/>
    <n v="9.9359999999999999"/>
    <n v="48.000000000000007"/>
  </r>
  <r>
    <s v="US-2020-118535"/>
    <x v="401"/>
    <s v="DJ-13510"/>
    <s v="Don Jones"/>
    <s v="United States"/>
    <x v="0"/>
    <x v="1"/>
    <s v="Avery 473"/>
    <n v="936.7"/>
    <n v="2"/>
    <n v="9.9359999999999999"/>
    <n v="1.0607451692110601"/>
  </r>
  <r>
    <s v="CA-2020-155698"/>
    <x v="467"/>
    <s v="VB-21745"/>
    <s v="Victoria Brennan"/>
    <s v="United States"/>
    <x v="1"/>
    <x v="1"/>
    <s v="Avery Address/Shipping Labels for Typewriters, 4&quot; x 2&quot;"/>
    <n v="111.7"/>
    <n v="2"/>
    <n v="9.9359999999999999"/>
    <n v="8.8952551477170996"/>
  </r>
  <r>
    <s v="CA-2020-144904"/>
    <x v="222"/>
    <s v="KW-16435"/>
    <s v="Katrina Willman"/>
    <s v="United States"/>
    <x v="0"/>
    <x v="1"/>
    <s v="Avery Address/Shipping Labels for Typewriters, 4&quot; x 2&quot;"/>
    <n v="123.7"/>
    <n v="2"/>
    <n v="9.9359999999999999"/>
    <n v="8.0323362974939361"/>
  </r>
  <r>
    <s v="CA-2020-117128"/>
    <x v="372"/>
    <s v="BF-11080"/>
    <s v="Bart Folk"/>
    <s v="United States"/>
    <x v="0"/>
    <x v="1"/>
    <s v="Telephone Message Books with Fax/Mobile Section, 4 1/4&quot; x 6&quot;"/>
    <n v="113.6"/>
    <n v="6"/>
    <n v="9.9359999999999999"/>
    <n v="8.7464788732394361"/>
  </r>
  <r>
    <s v="CA-2019-169824"/>
    <x v="329"/>
    <s v="NS-18640"/>
    <s v="Noel Staavos"/>
    <s v="United States"/>
    <x v="0"/>
    <x v="1"/>
    <s v="Fiskars Home &amp; Office Scissors"/>
    <n v="35.520000000000003"/>
    <n v="4"/>
    <n v="9.9456000000000007"/>
    <n v="27.999999999999996"/>
  </r>
  <r>
    <s v="CA-2019-152814"/>
    <x v="252"/>
    <s v="EH-14005"/>
    <s v="Erica Hernandez"/>
    <s v="United States"/>
    <x v="2"/>
    <x v="1"/>
    <s v="Xerox 1881"/>
    <n v="29.472000000000001"/>
    <n v="3"/>
    <n v="9.9467999999999996"/>
    <n v="33.75"/>
  </r>
  <r>
    <s v="CA-2020-107727"/>
    <x v="6"/>
    <s v="MA-17560"/>
    <s v="Matt Abelman"/>
    <s v="United States"/>
    <x v="3"/>
    <x v="1"/>
    <s v="Easy-staple paper"/>
    <n v="159.47200000000001"/>
    <n v="3"/>
    <n v="9.9467999999999996"/>
    <n v="6.2373331995585426"/>
  </r>
  <r>
    <s v="CA-2019-159730"/>
    <x v="186"/>
    <s v="SJ-20125"/>
    <s v="Sanjit Jacobs"/>
    <s v="United States"/>
    <x v="2"/>
    <x v="2"/>
    <s v="Harbour Creations 67200 Series Stacking Chairs"/>
    <n v="113.88800000000001"/>
    <n v="2"/>
    <n v="9.9651999999999994"/>
    <n v="8.75"/>
  </r>
  <r>
    <s v="CA-2019-144092"/>
    <x v="77"/>
    <s v="LH-17155"/>
    <s v="Logan Haushalter"/>
    <s v="United States"/>
    <x v="2"/>
    <x v="2"/>
    <s v="Harbour Creations 67200 Series Stacking Chairs"/>
    <n v="113.88800000000001"/>
    <n v="2"/>
    <n v="9.9651999999999994"/>
    <n v="8.75"/>
  </r>
  <r>
    <s v="CA-2020-134915"/>
    <x v="151"/>
    <s v="EM-14140"/>
    <s v="Eugene Moren"/>
    <s v="United States"/>
    <x v="2"/>
    <x v="2"/>
    <s v="Harbour Creations 67200 Series Stacking Chairs"/>
    <n v="132.88800000000001"/>
    <n v="2"/>
    <n v="9.9651999999999994"/>
    <n v="7.4989464812473647"/>
  </r>
  <r>
    <s v="CA-2019-140130"/>
    <x v="330"/>
    <s v="HW-14935"/>
    <s v="Helen Wasserman"/>
    <s v="United States"/>
    <x v="3"/>
    <x v="1"/>
    <s v="Carina Mini System Audio Rack, Model AR050B"/>
    <n v="332.94"/>
    <n v="3"/>
    <n v="9.9882000000000009"/>
    <n v="3.0000000000000004"/>
  </r>
  <r>
    <s v="CA-2020-113705"/>
    <x v="182"/>
    <s v="LC-16870"/>
    <s v="Lena Cacioppo"/>
    <s v="United States"/>
    <x v="1"/>
    <x v="1"/>
    <s v="Carina Mini System Audio Rack, Model AR050B"/>
    <n v="362.94"/>
    <n v="3"/>
    <n v="9.9882000000000009"/>
    <n v="2.7520251281203509"/>
  </r>
  <r>
    <s v="CA-2020-123701"/>
    <x v="225"/>
    <s v="PG-18820"/>
    <s v="Patrick Gardner"/>
    <s v="United States"/>
    <x v="2"/>
    <x v="1"/>
    <s v="BIC Liqua Brite Liner"/>
    <n v="117.76"/>
    <n v="4"/>
    <n v="9.9936000000000007"/>
    <n v="8.4864130434782616"/>
  </r>
  <r>
    <s v="CA-2019-130407"/>
    <x v="110"/>
    <s v="KD-16270"/>
    <s v="Karen Daniels"/>
    <s v="United States"/>
    <x v="0"/>
    <x v="2"/>
    <s v="Telescoping Adjustable Floor Lamp"/>
    <n v="39.979999999999997"/>
    <n v="2"/>
    <n v="9.9949999999999992"/>
    <n v="25"/>
  </r>
  <r>
    <s v="CA-2020-164756"/>
    <x v="406"/>
    <s v="SS-20140"/>
    <s v="Saphhira Shifley"/>
    <s v="United States"/>
    <x v="1"/>
    <x v="1"/>
    <s v="Fiskars 8&quot; Scissors, 2/Pack"/>
    <n v="167.48"/>
    <n v="2"/>
    <n v="9.9992000000000001"/>
    <n v="5.9703845235251976"/>
  </r>
  <r>
    <s v="CA-2020-139311"/>
    <x v="290"/>
    <s v="SF-20965"/>
    <s v="Sylvia Foulston"/>
    <s v="United States"/>
    <x v="3"/>
    <x v="1"/>
    <s v="Wirebound Message Books, Four 2 3/4&quot; x 5&quot; Forms per Page, 600 Sets per Book"/>
    <n v="133.66399999999999"/>
    <n v="4"/>
    <n v="10.0116"/>
    <n v="7.4901244912616711"/>
  </r>
  <r>
    <s v="CA-2019-101938"/>
    <x v="350"/>
    <s v="DW-13480"/>
    <s v="Dianna Wilson"/>
    <s v="United States"/>
    <x v="2"/>
    <x v="1"/>
    <s v="Panasonic KP-350BK Electric Pencil Sharpener with Auto Stop"/>
    <n v="34.58"/>
    <n v="1"/>
    <n v="10.0282"/>
    <n v="29.000000000000004"/>
  </r>
  <r>
    <s v="US-2020-158526"/>
    <x v="218"/>
    <s v="KH-16360"/>
    <s v="Katherine Hughes"/>
    <s v="United States"/>
    <x v="1"/>
    <x v="1"/>
    <s v="Panasonic KP-350BK Electric Pencil Sharpener with Auto Stop"/>
    <n v="478.58"/>
    <n v="1"/>
    <n v="10.0282"/>
    <n v="2.0954072464373774"/>
  </r>
  <r>
    <s v="CA-2020-139913"/>
    <x v="122"/>
    <s v="JC-16105"/>
    <s v="Julie Creighton"/>
    <s v="United States"/>
    <x v="0"/>
    <x v="0"/>
    <s v="I Need's 3d Hello Kitty Hybrid Silicone Case Cover for HTC One X 4g with 3d Hello Kitty Stylus Pen Green/pink"/>
    <n v="143.88"/>
    <n v="3"/>
    <n v="10.0464"/>
    <n v="6.9824854045037537"/>
  </r>
  <r>
    <s v="CA-2019-165148"/>
    <x v="506"/>
    <s v="PM-19135"/>
    <s v="Peter McVee"/>
    <s v="United States"/>
    <x v="3"/>
    <x v="2"/>
    <s v="Eldon 200 Class Desk Accessories"/>
    <n v="31.4"/>
    <n v="5"/>
    <n v="10.048"/>
    <n v="32"/>
  </r>
  <r>
    <s v="CA-2020-161809"/>
    <x v="477"/>
    <s v="TH-21100"/>
    <s v="Thea Hendricks"/>
    <s v="United States"/>
    <x v="2"/>
    <x v="0"/>
    <s v="RCA Visys Integrated PBX 8-Line Router"/>
    <n v="184.77600000000001"/>
    <n v="3"/>
    <n v="10.048500000000001"/>
    <n v="5.4382062605533186"/>
  </r>
  <r>
    <s v="CA-2020-106831"/>
    <x v="167"/>
    <s v="FH-14350"/>
    <s v="Fred Harton"/>
    <s v="United States"/>
    <x v="0"/>
    <x v="1"/>
    <s v="Xerox 1924"/>
    <n v="140.744"/>
    <n v="6"/>
    <n v="10.0572"/>
    <n v="7.1457397828681861"/>
  </r>
  <r>
    <s v="US-2019-128678"/>
    <x v="498"/>
    <s v="RB-19570"/>
    <s v="Rob Beeghly"/>
    <s v="United States"/>
    <x v="2"/>
    <x v="1"/>
    <s v="TOPS &quot;Important Message&quot; Pads, Canary, 4-1/4 x 5-1/2, 50 Sheets per Pad"/>
    <n v="21.4"/>
    <n v="5"/>
    <n v="10.058"/>
    <n v="47"/>
  </r>
  <r>
    <s v="CA-2020-128076"/>
    <x v="345"/>
    <s v="BO-11350"/>
    <s v="Bill Overfelt"/>
    <s v="United States"/>
    <x v="2"/>
    <x v="1"/>
    <s v="GBC Durable Plastic Covers"/>
    <n v="257.95999999999998"/>
    <n v="2"/>
    <n v="10.061999999999999"/>
    <n v="3.9006047449216936"/>
  </r>
  <r>
    <s v="US-2020-147886"/>
    <x v="208"/>
    <s v="DH-13075"/>
    <s v="Dave Hallsten"/>
    <s v="United States"/>
    <x v="2"/>
    <x v="2"/>
    <s v="DAX Black Cherry Wood-Tone Poster Frame"/>
    <n v="153.47999999999999"/>
    <n v="1"/>
    <n v="10.0624"/>
    <n v="6.5561636695334906"/>
  </r>
  <r>
    <s v="CA-2019-153836"/>
    <x v="481"/>
    <s v="EH-13765"/>
    <s v="Edward Hooks"/>
    <s v="United States"/>
    <x v="0"/>
    <x v="1"/>
    <s v="GBC Personal VeloBind Strips"/>
    <n v="28.751999999999999"/>
    <n v="3"/>
    <n v="10.0632"/>
    <n v="35"/>
  </r>
  <r>
    <s v="CA-2020-163335"/>
    <x v="64"/>
    <s v="AG-10675"/>
    <s v="Anna Gayman"/>
    <s v="United States"/>
    <x v="1"/>
    <x v="1"/>
    <s v="Fellowes Desktop Hanging File Manager"/>
    <n v="154.29"/>
    <n v="3"/>
    <n v="10.0725"/>
    <n v="6.5282908808088669"/>
  </r>
  <r>
    <s v="US-2020-128447"/>
    <x v="31"/>
    <s v="MC-17845"/>
    <s v="Michael Chen"/>
    <s v="United States"/>
    <x v="2"/>
    <x v="1"/>
    <s v="GBC VeloBinder Manual Binding System"/>
    <n v="112.792"/>
    <n v="1"/>
    <n v="10.077199999999999"/>
    <n v="8.9343215830909983"/>
  </r>
  <r>
    <s v="CA-2019-121671"/>
    <x v="395"/>
    <s v="AA-10480"/>
    <s v="Andrew Allen"/>
    <s v="United States"/>
    <x v="3"/>
    <x v="1"/>
    <s v="Strathmore Photo Frame Cards"/>
    <n v="21.93"/>
    <n v="3"/>
    <n v="10.0878"/>
    <n v="46"/>
  </r>
  <r>
    <s v="US-2019-150861"/>
    <x v="107"/>
    <s v="EG-13900"/>
    <s v="Emily Grady"/>
    <s v="United States"/>
    <x v="0"/>
    <x v="1"/>
    <s v="Personal Folder Holder, Ebony"/>
    <n v="33.630000000000003"/>
    <n v="3"/>
    <n v="10.089"/>
    <n v="30"/>
  </r>
  <r>
    <s v="US-2020-142573"/>
    <x v="29"/>
    <s v="ML-17410"/>
    <s v="Maris LaWare"/>
    <s v="United States"/>
    <x v="2"/>
    <x v="2"/>
    <s v="Global Fabric Manager's Chair, Dark Gray"/>
    <n v="174.56800000000001"/>
    <n v="2"/>
    <n v="10.098000000000001"/>
    <n v="5.7845653269785986"/>
  </r>
  <r>
    <s v="CA-2020-145702"/>
    <x v="234"/>
    <s v="AH-10075"/>
    <s v="Adam Hart"/>
    <s v="United States"/>
    <x v="1"/>
    <x v="1"/>
    <s v="Xerox 1949"/>
    <n v="124.88800000000001"/>
    <n v="7"/>
    <n v="10.109400000000001"/>
    <n v="8.0947729165332145"/>
  </r>
  <r>
    <s v="CA-2019-109953"/>
    <x v="475"/>
    <s v="RB-19360"/>
    <s v="Raymond Buch"/>
    <s v="United States"/>
    <x v="2"/>
    <x v="2"/>
    <s v="Deflect-O Glasstique Clear Desk Accessories"/>
    <n v="30.8"/>
    <n v="4"/>
    <n v="10.164"/>
    <n v="32.999999999999993"/>
  </r>
  <r>
    <s v="CA-2020-116498"/>
    <x v="380"/>
    <s v="KA-16525"/>
    <s v="Kelly Andreada"/>
    <s v="United States"/>
    <x v="2"/>
    <x v="1"/>
    <s v="Dixon My First Ticonderoga Pencil, #2"/>
    <n v="2049.1"/>
    <n v="6"/>
    <n v="10.179"/>
    <n v="0.49675467278317315"/>
  </r>
  <r>
    <s v="US-2019-115819"/>
    <x v="190"/>
    <s v="JO-15280"/>
    <s v="Jas O'Carroll"/>
    <s v="United States"/>
    <x v="2"/>
    <x v="1"/>
    <s v="Adams Telephone Message Book W/Dividers/Space For Phone Numbers, 5 1/4&quot;X8 1/2&quot;, 200/Messages"/>
    <n v="22.72"/>
    <n v="4"/>
    <n v="10.224"/>
    <n v="45"/>
  </r>
  <r>
    <s v="CA-2020-133333"/>
    <x v="406"/>
    <s v="BF-11020"/>
    <s v="Barry Französisch"/>
    <s v="United States"/>
    <x v="3"/>
    <x v="1"/>
    <s v="Adams Telephone Message Book W/Dividers/Space For Phone Numbers, 5 1/4&quot;X8 1/2&quot;, 200/Messages"/>
    <n v="134.72"/>
    <n v="4"/>
    <n v="10.224"/>
    <n v="7.5890736342042757"/>
  </r>
  <r>
    <s v="CA-2019-156503"/>
    <x v="487"/>
    <s v="NC-18415"/>
    <s v="Nathan Cano"/>
    <s v="United States"/>
    <x v="1"/>
    <x v="2"/>
    <s v="SAFCO Folding Chair Trolley"/>
    <n v="102.592"/>
    <n v="1"/>
    <n v="10.2592"/>
    <n v="10"/>
  </r>
  <r>
    <s v="CA-2019-140382"/>
    <x v="489"/>
    <s v="RD-19900"/>
    <s v="Ruben Dartt"/>
    <s v="United States"/>
    <x v="2"/>
    <x v="1"/>
    <s v="Avery 516"/>
    <n v="21.93"/>
    <n v="3"/>
    <n v="10.3071"/>
    <n v="47"/>
  </r>
  <r>
    <s v="CA-2020-160661"/>
    <x v="259"/>
    <s v="SA-20830"/>
    <s v="Sue Ann Reed"/>
    <s v="United States"/>
    <x v="0"/>
    <x v="1"/>
    <s v="Avery 519"/>
    <n v="103.93"/>
    <n v="3"/>
    <n v="10.3071"/>
    <n v="9.9173482151448091"/>
  </r>
  <r>
    <s v="CA-2020-140844"/>
    <x v="156"/>
    <s v="AR-10405"/>
    <s v="Allen Rosenblatt"/>
    <s v="United States"/>
    <x v="0"/>
    <x v="0"/>
    <s v="Sony 16GB Class 10 Micro SDHC R40 Memory Card"/>
    <n v="121.12"/>
    <n v="8"/>
    <n v="10.311999999999999"/>
    <n v="8.5138705416116238"/>
  </r>
  <r>
    <s v="CA-2019-146437"/>
    <x v="591"/>
    <s v="HG-14965"/>
    <s v="Henry Goldwyn"/>
    <s v="United States"/>
    <x v="2"/>
    <x v="1"/>
    <s v="Newell 345"/>
    <n v="39.68"/>
    <n v="2"/>
    <n v="10.316800000000001"/>
    <n v="26"/>
  </r>
  <r>
    <s v="CA-2019-128111"/>
    <x v="305"/>
    <s v="CS-12355"/>
    <s v="Christine Sundaresam"/>
    <s v="United States"/>
    <x v="0"/>
    <x v="1"/>
    <s v="Newell 345"/>
    <n v="39.68"/>
    <n v="2"/>
    <n v="10.316800000000001"/>
    <n v="26"/>
  </r>
  <r>
    <s v="CA-2020-111591"/>
    <x v="450"/>
    <s v="PS-18970"/>
    <s v="Paul Stevenson"/>
    <s v="United States"/>
    <x v="2"/>
    <x v="1"/>
    <s v="C-Line Peel &amp; Stick Add-On Filing Pockets, 8-3/4 x 5-1/8, 10/Pack"/>
    <n v="127.57599999999999"/>
    <n v="6"/>
    <n v="10.3194"/>
    <n v="8.0888254844171321"/>
  </r>
  <r>
    <s v="CA-2019-113803"/>
    <x v="70"/>
    <s v="VG-21805"/>
    <s v="Vivek Grady"/>
    <s v="United States"/>
    <x v="3"/>
    <x v="1"/>
    <s v="Ink Jet Note and Greeting Cards, 8-1/2&quot; x 5-1/2&quot; Card Size"/>
    <n v="22.48"/>
    <n v="1"/>
    <n v="10.3408"/>
    <n v="46"/>
  </r>
  <r>
    <s v="US-2020-136868"/>
    <x v="482"/>
    <s v="CR-12820"/>
    <s v="Cyra Reiten"/>
    <s v="United States"/>
    <x v="0"/>
    <x v="1"/>
    <s v="Space Solutions HD Industrial Steel Shelving."/>
    <n v="363.91"/>
    <n v="3"/>
    <n v="10.347300000000001"/>
    <n v="2.843367865681075"/>
  </r>
  <r>
    <s v="CA-2020-122490"/>
    <x v="14"/>
    <s v="TT-21070"/>
    <s v="Ted Trevino"/>
    <s v="United States"/>
    <x v="2"/>
    <x v="1"/>
    <s v="Space Solutions HD Industrial Steel Shelving."/>
    <n v="360.91"/>
    <n v="3"/>
    <n v="10.347300000000001"/>
    <n v="2.8670028538970933"/>
  </r>
  <r>
    <s v="CA-2019-167241"/>
    <x v="332"/>
    <s v="BD-11320"/>
    <s v="Bill Donatelli"/>
    <s v="United States"/>
    <x v="2"/>
    <x v="0"/>
    <s v="AT&amp;T 841000 Phone"/>
    <n v="165.6"/>
    <n v="3"/>
    <n v="10.35"/>
    <n v="6.25"/>
  </r>
  <r>
    <s v="CA-2019-110366"/>
    <x v="100"/>
    <s v="JD-15895"/>
    <s v="Jonathan Doherty"/>
    <s v="United States"/>
    <x v="0"/>
    <x v="2"/>
    <s v="Howard Miller 13-3/4&quot; Diameter Brushed Chrome Round Wall Clock"/>
    <n v="82.8"/>
    <n v="2"/>
    <n v="10.35"/>
    <n v="12.5"/>
  </r>
  <r>
    <s v="CA-2019-124233"/>
    <x v="5"/>
    <s v="CK-12595"/>
    <s v="Clytie Kelty"/>
    <s v="United States"/>
    <x v="2"/>
    <x v="2"/>
    <s v="C-Line Magnetic Cubicle Keepers, Clear Polypropylene"/>
    <n v="24.7"/>
    <n v="5"/>
    <n v="10.374000000000001"/>
    <n v="42.000000000000007"/>
  </r>
  <r>
    <s v="CA-2020-169929"/>
    <x v="222"/>
    <s v="LS-17200"/>
    <s v="Luke Schmidt"/>
    <s v="United States"/>
    <x v="2"/>
    <x v="1"/>
    <s v="Iris Project Case"/>
    <n v="154.9"/>
    <n v="5"/>
    <n v="10.374000000000001"/>
    <n v="6.6972240154938678"/>
  </r>
  <r>
    <s v="CA-2020-131492"/>
    <x v="6"/>
    <s v="HH-15010"/>
    <s v="Hilary Holden"/>
    <s v="United States"/>
    <x v="2"/>
    <x v="2"/>
    <s v="Linden 10&quot; Round Wall Clock, Black"/>
    <n v="140.56"/>
    <n v="2"/>
    <n v="10.3904"/>
    <n v="7.3921457029026749"/>
  </r>
  <r>
    <s v="CA-2019-129280"/>
    <x v="101"/>
    <s v="SM-20905"/>
    <s v="Susan MacKendrick"/>
    <s v="United States"/>
    <x v="0"/>
    <x v="2"/>
    <s v="Computer Room Manger, 14&quot;"/>
    <n v="51.968000000000004"/>
    <n v="2"/>
    <n v="10.393599999999999"/>
    <n v="20"/>
  </r>
  <r>
    <s v="CA-2020-151484"/>
    <x v="202"/>
    <s v="CV-12805"/>
    <s v="Cynthia Voltz"/>
    <s v="United States"/>
    <x v="0"/>
    <x v="2"/>
    <s v="Computer Room Manger, 14&quot;"/>
    <n v="149.96799999999999"/>
    <n v="2"/>
    <n v="10.393599999999999"/>
    <n v="6.9305451829723665"/>
  </r>
  <r>
    <s v="US-2020-109253"/>
    <x v="500"/>
    <s v="PR-18880"/>
    <s v="Patrick Ryan"/>
    <s v="United States"/>
    <x v="2"/>
    <x v="2"/>
    <s v="Tenex Chairmats For Use with Hard Floors"/>
    <n v="153.91999999999999"/>
    <n v="4"/>
    <n v="10.393599999999999"/>
    <n v="6.752598752598753"/>
  </r>
  <r>
    <s v="CA-2020-121216"/>
    <x v="172"/>
    <s v="MM-17920"/>
    <s v="Michael Moore"/>
    <s v="United States"/>
    <x v="3"/>
    <x v="1"/>
    <s v="Spiral Phone Message Books with Labels by Adams"/>
    <n v="338.67200000000003"/>
    <n v="8"/>
    <n v="10.393599999999999"/>
    <n v="3.0689280483771904"/>
  </r>
  <r>
    <s v="US-2020-108063"/>
    <x v="18"/>
    <s v="AS-10090"/>
    <s v="Adam Shillingsburg"/>
    <s v="United States"/>
    <x v="1"/>
    <x v="1"/>
    <s v="Newell 309"/>
    <n v="146.65"/>
    <n v="3"/>
    <n v="10.395"/>
    <n v="7.0883054892601427"/>
  </r>
  <r>
    <s v="CA-2019-107104"/>
    <x v="127"/>
    <s v="MS-17365"/>
    <s v="Maribeth Schnelling"/>
    <s v="United States"/>
    <x v="2"/>
    <x v="1"/>
    <s v="Newell 31"/>
    <n v="37.17"/>
    <n v="9"/>
    <n v="10.4076"/>
    <n v="27.999999999999996"/>
  </r>
  <r>
    <s v="CA-2019-147578"/>
    <x v="16"/>
    <s v="PG-18895"/>
    <s v="Paul Gonzalez"/>
    <s v="United States"/>
    <x v="2"/>
    <x v="2"/>
    <s v="Ultra Door Pull Handle"/>
    <n v="31.56"/>
    <n v="3"/>
    <n v="10.4148"/>
    <n v="33"/>
  </r>
  <r>
    <s v="CA-2019-159639"/>
    <x v="134"/>
    <s v="PC-18745"/>
    <s v="Pamela Coakley"/>
    <s v="United States"/>
    <x v="0"/>
    <x v="2"/>
    <s v="Ultra Door Pull Handle"/>
    <n v="31.56"/>
    <n v="3"/>
    <n v="10.4148"/>
    <n v="33"/>
  </r>
  <r>
    <s v="CA-2019-157742"/>
    <x v="268"/>
    <s v="KL-16645"/>
    <s v="Ken Lonsdale"/>
    <s v="United States"/>
    <x v="2"/>
    <x v="1"/>
    <s v="Peel &amp; Seel Recycled Catalog Envelopes, Brown"/>
    <n v="27.792000000000002"/>
    <n v="3"/>
    <n v="10.422000000000001"/>
    <n v="37.5"/>
  </r>
  <r>
    <s v="CA-2020-104381"/>
    <x v="505"/>
    <s v="RD-19810"/>
    <s v="Ross DeVincentis"/>
    <s v="United States"/>
    <x v="0"/>
    <x v="1"/>
    <s v="Acco Data Flex Cable Posts For Top &amp; Bottom Load Binders, 6&quot; Capacity"/>
    <n v="277.37599999999998"/>
    <n v="4"/>
    <n v="10.43"/>
    <n v="3.7602388094139365"/>
  </r>
  <r>
    <s v="CA-2019-155516"/>
    <x v="72"/>
    <s v="MK-17905"/>
    <s v="Michael Kennedy"/>
    <s v="United States"/>
    <x v="0"/>
    <x v="1"/>
    <s v="Wilson Jones “Snap” Scratch Pad Binder Tool for Ring Binders"/>
    <n v="23.2"/>
    <n v="4"/>
    <n v="10.44"/>
    <n v="45"/>
  </r>
  <r>
    <s v="CA-2020-115931"/>
    <x v="67"/>
    <s v="JM-15655"/>
    <s v="Jim Mitchum"/>
    <s v="United States"/>
    <x v="2"/>
    <x v="1"/>
    <s v="Eldon Simplefile Box Office"/>
    <n v="116.32"/>
    <n v="3"/>
    <n v="10.4496"/>
    <n v="8.9834938101788175"/>
  </r>
  <r>
    <s v="CA-2019-137050"/>
    <x v="475"/>
    <s v="SW-20755"/>
    <s v="Steven Ward"/>
    <s v="United States"/>
    <x v="0"/>
    <x v="1"/>
    <s v="Newell 315"/>
    <n v="41.86"/>
    <n v="7"/>
    <n v="10.465"/>
    <n v="25"/>
  </r>
  <r>
    <s v="CA-2019-137736"/>
    <x v="214"/>
    <s v="DC-13285"/>
    <s v="Debra Catini"/>
    <s v="United States"/>
    <x v="1"/>
    <x v="1"/>
    <s v="Newell 315"/>
    <n v="41.86"/>
    <n v="7"/>
    <n v="10.465"/>
    <n v="25"/>
  </r>
  <r>
    <s v="CA-2020-137344"/>
    <x v="536"/>
    <s v="EM-13810"/>
    <s v="Eleni McCrary"/>
    <s v="United States"/>
    <x v="0"/>
    <x v="1"/>
    <s v="Neat Ideas Personal Hanging Folder Files, Black"/>
    <n v="142.29"/>
    <n v="3"/>
    <n v="10.4754"/>
    <n v="7.3620071684587822"/>
  </r>
  <r>
    <s v="CA-2020-112333"/>
    <x v="592"/>
    <s v="KF-16285"/>
    <s v="Karen Ferguson"/>
    <s v="United States"/>
    <x v="0"/>
    <x v="1"/>
    <s v="Black &amp; Decker Filter for Double Action Dustbuster Cordless Vac BLDV7210"/>
    <n v="142.94999999999999"/>
    <n v="5"/>
    <n v="10.487500000000001"/>
    <n v="7.3364812871633447"/>
  </r>
  <r>
    <s v="CA-2020-164707"/>
    <x v="551"/>
    <s v="CV-12805"/>
    <s v="Cynthia Voltz"/>
    <s v="United States"/>
    <x v="2"/>
    <x v="0"/>
    <s v="iHome FM Clock Radio with Lightning Dock"/>
    <n v="197.976"/>
    <n v="3"/>
    <n v="10.4985"/>
    <n v="5.3029155049096861"/>
  </r>
  <r>
    <s v="CA-2020-108560"/>
    <x v="526"/>
    <s v="JC-15385"/>
    <s v="Jenna Caffey"/>
    <s v="United States"/>
    <x v="2"/>
    <x v="0"/>
    <s v="Micro Innovations USB RF Wireless Keyboard with Mouse"/>
    <n v="167"/>
    <n v="2"/>
    <n v="10.5"/>
    <n v="6.2874251497005984"/>
  </r>
  <r>
    <s v="CA-2020-133046"/>
    <x v="411"/>
    <s v="DK-13375"/>
    <s v="Dennis Kane"/>
    <s v="United States"/>
    <x v="2"/>
    <x v="2"/>
    <s v="Staple-based wall hangings"/>
    <n v="123.88"/>
    <n v="3"/>
    <n v="10.507199999999999"/>
    <n v="8.4817565385857279"/>
  </r>
  <r>
    <s v="US-2020-163790"/>
    <x v="88"/>
    <s v="NL-18310"/>
    <s v="Nancy Lomonaco"/>
    <s v="United States"/>
    <x v="2"/>
    <x v="2"/>
    <s v="Document Clip Frames"/>
    <n v="131.02000000000001"/>
    <n v="3"/>
    <n v="10.5084"/>
    <n v="8.0204548923828423"/>
  </r>
  <r>
    <s v="US-2019-111290"/>
    <x v="448"/>
    <s v="DK-13375"/>
    <s v="Dennis Kane"/>
    <s v="United States"/>
    <x v="3"/>
    <x v="1"/>
    <s v="Avery Hi-Liter Smear-Safe Highlighters"/>
    <n v="29.2"/>
    <n v="5"/>
    <n v="10.512"/>
    <n v="36.000000000000007"/>
  </r>
  <r>
    <s v="CA-2020-142125"/>
    <x v="168"/>
    <s v="JB-15400"/>
    <s v="Jennifer Braxton"/>
    <s v="United States"/>
    <x v="3"/>
    <x v="1"/>
    <s v="Acco 3-Hole Punch"/>
    <n v="127.9"/>
    <n v="5"/>
    <n v="10.512"/>
    <n v="8.2189210320562935"/>
  </r>
  <r>
    <s v="CA-2019-118759"/>
    <x v="296"/>
    <s v="MB-17305"/>
    <s v="Maria Bertelson"/>
    <s v="United States"/>
    <x v="0"/>
    <x v="1"/>
    <s v="Tenex Personal Project File with Scoop Front Design, Black"/>
    <n v="40.44"/>
    <n v="3"/>
    <n v="10.5144"/>
    <n v="26"/>
  </r>
  <r>
    <s v="CA-2019-110254"/>
    <x v="376"/>
    <s v="ML-17755"/>
    <s v="Max Ludwig"/>
    <s v="United States"/>
    <x v="1"/>
    <x v="1"/>
    <s v="Acme 10&quot; Easy Grip Assistive Scissors"/>
    <n v="35.06"/>
    <n v="2"/>
    <n v="10.518000000000001"/>
    <n v="30"/>
  </r>
  <r>
    <s v="CA-2020-155292"/>
    <x v="177"/>
    <s v="RD-19810"/>
    <s v="Ross DeVincentis"/>
    <s v="United States"/>
    <x v="1"/>
    <x v="1"/>
    <s v="Acme 10&quot; Easy Grip Assistive Scissors"/>
    <n v="133.06"/>
    <n v="2"/>
    <n v="10.518000000000001"/>
    <n v="7.9047046445212699"/>
  </r>
  <r>
    <s v="CA-2019-129126"/>
    <x v="359"/>
    <s v="PK-19075"/>
    <s v="Pete Kriz"/>
    <s v="United States"/>
    <x v="0"/>
    <x v="1"/>
    <s v="OIC Colored Binder Clips, Assorted Sizes"/>
    <n v="21.48"/>
    <n v="6"/>
    <n v="10.5252"/>
    <n v="49"/>
  </r>
  <r>
    <s v="CA-2019-114307"/>
    <x v="448"/>
    <s v="MF-17665"/>
    <s v="Maureen Fritzler"/>
    <s v="United States"/>
    <x v="0"/>
    <x v="1"/>
    <s v="Belkin F9H710-06 7 Outlet SurgeMaster Surge Protector"/>
    <n v="37.68"/>
    <n v="2"/>
    <n v="10.5504"/>
    <n v="27.999999999999996"/>
  </r>
  <r>
    <s v="CA-2019-152170"/>
    <x v="300"/>
    <s v="FH-14275"/>
    <s v="Frank Hawley"/>
    <s v="United States"/>
    <x v="3"/>
    <x v="1"/>
    <s v="Belkin F9H710-06 7 Outlet SurgeMaster Surge Protector"/>
    <n v="37.68"/>
    <n v="2"/>
    <n v="10.5504"/>
    <n v="27.999999999999996"/>
  </r>
  <r>
    <s v="CA-2020-118017"/>
    <x v="299"/>
    <s v="LC-16870"/>
    <s v="Lena Cacioppo"/>
    <s v="United States"/>
    <x v="2"/>
    <x v="0"/>
    <s v="Memorex Micro Travel Drive 16 GB"/>
    <n v="122.752"/>
    <n v="6"/>
    <n v="10.5534"/>
    <n v="8.597334462982273"/>
  </r>
  <r>
    <s v="CA-2020-151008"/>
    <x v="266"/>
    <s v="JM-16195"/>
    <s v="Justin MacKendrick"/>
    <s v="United States"/>
    <x v="2"/>
    <x v="2"/>
    <s v="DAX Copper Panel Document Frame, 5 x 7 Size"/>
    <n v="129.16"/>
    <n v="2"/>
    <n v="10.5672"/>
    <n v="8.1814803344688762"/>
  </r>
  <r>
    <s v="CA-2020-107825"/>
    <x v="276"/>
    <s v="NB-18655"/>
    <s v="Nona Balk"/>
    <s v="United States"/>
    <x v="3"/>
    <x v="1"/>
    <s v="Companion Letter/Legal File, Black"/>
    <n v="161.76"/>
    <n v="1"/>
    <n v="10.572800000000001"/>
    <n v="6.5361028684470828"/>
  </r>
  <r>
    <s v="US-2019-155971"/>
    <x v="428"/>
    <s v="RB-19795"/>
    <s v="Ross Baird"/>
    <s v="United States"/>
    <x v="2"/>
    <x v="1"/>
    <s v="Avery 488"/>
    <n v="22.05"/>
    <n v="7"/>
    <n v="10.584"/>
    <n v="48"/>
  </r>
  <r>
    <s v="CA-2019-115756"/>
    <x v="100"/>
    <s v="PK-19075"/>
    <s v="Pete Kriz"/>
    <s v="United States"/>
    <x v="3"/>
    <x v="1"/>
    <s v="Avery 520"/>
    <n v="22.05"/>
    <n v="7"/>
    <n v="10.584"/>
    <n v="48"/>
  </r>
  <r>
    <s v="CA-2019-161662"/>
    <x v="537"/>
    <s v="BE-11410"/>
    <s v="Bobby Elias"/>
    <s v="United States"/>
    <x v="0"/>
    <x v="1"/>
    <s v="Xerox 1912"/>
    <n v="30.352"/>
    <n v="2"/>
    <n v="10.623200000000001"/>
    <n v="35"/>
  </r>
  <r>
    <s v="CA-2019-161781"/>
    <x v="479"/>
    <s v="CC-12100"/>
    <s v="Chad Cunningham"/>
    <s v="United States"/>
    <x v="3"/>
    <x v="1"/>
    <s v="Newell 328"/>
    <n v="40.880000000000003"/>
    <n v="7"/>
    <n v="10.6288"/>
    <n v="26"/>
  </r>
  <r>
    <s v="CA-2019-114727"/>
    <x v="241"/>
    <s v="LS-16945"/>
    <s v="Linda Southworth"/>
    <s v="United States"/>
    <x v="2"/>
    <x v="2"/>
    <s v="Hon 4700 Series Mobuis Mid-Back Task Chairs with Adjustable Arms"/>
    <n v="854.35199999999998"/>
    <n v="3"/>
    <n v="10.679399999999999"/>
    <n v="1.25"/>
  </r>
  <r>
    <s v="CA-2020-141117"/>
    <x v="11"/>
    <s v="JK-16090"/>
    <s v="Juliana Krohn"/>
    <s v="United States"/>
    <x v="2"/>
    <x v="1"/>
    <s v="Berol Giant Pencil Sharpener"/>
    <n v="143.14400000000001"/>
    <n v="7"/>
    <n v="10.7037"/>
    <n v="7.4775750293410823"/>
  </r>
  <r>
    <s v="CA-2019-125843"/>
    <x v="108"/>
    <s v="RF-19840"/>
    <s v="Roy Französisch"/>
    <s v="United States"/>
    <x v="1"/>
    <x v="1"/>
    <s v="Avery Heavy-Duty EZD  Binder With Locking Rings"/>
    <n v="22.32"/>
    <n v="4"/>
    <n v="10.7136"/>
    <n v="48"/>
  </r>
  <r>
    <s v="CA-2020-154116"/>
    <x v="476"/>
    <s v="KM-16660"/>
    <s v="Khloe Miller"/>
    <s v="United States"/>
    <x v="2"/>
    <x v="1"/>
    <s v="Wirebound Message Books, Two 4 1/4&quot; x 5&quot; Forms per Page"/>
    <n v="450.83"/>
    <n v="3"/>
    <n v="10.7301"/>
    <n v="2.3800767473326974"/>
  </r>
  <r>
    <s v="CA-2020-164049"/>
    <x v="88"/>
    <s v="KH-16630"/>
    <s v="Ken Heidel"/>
    <s v="United States"/>
    <x v="2"/>
    <x v="1"/>
    <s v="Wirebound Message Books, Four 2 3/4 x 5 Forms per Page, 200 Sets per Book"/>
    <n v="98.85"/>
    <n v="5"/>
    <n v="10.7325"/>
    <n v="10.857359635811836"/>
  </r>
  <r>
    <s v="CA-2019-111115"/>
    <x v="445"/>
    <s v="LB-16735"/>
    <s v="Larry Blacks"/>
    <s v="United States"/>
    <x v="2"/>
    <x v="1"/>
    <s v="OIC Binder Clips"/>
    <n v="21.48"/>
    <n v="6"/>
    <n v="10.74"/>
    <n v="50"/>
  </r>
  <r>
    <s v="CA-2020-101042"/>
    <x v="4"/>
    <s v="AB-10105"/>
    <s v="Adrian Barton"/>
    <s v="United States"/>
    <x v="1"/>
    <x v="1"/>
    <s v="GBC Imprintable Covers"/>
    <n v="122.96"/>
    <n v="2"/>
    <n v="10.760400000000001"/>
    <n v="8.7511385816525706"/>
  </r>
  <r>
    <s v="CA-2020-119011"/>
    <x v="536"/>
    <s v="LR-17035"/>
    <s v="Lisa Ryan"/>
    <s v="United States"/>
    <x v="2"/>
    <x v="0"/>
    <s v="Plantronics Encore H101 Dual Earpieces Headset"/>
    <n v="145.88"/>
    <n v="3"/>
    <n v="10.788"/>
    <n v="7.3951192761173568"/>
  </r>
  <r>
    <s v="US-2020-107888"/>
    <x v="417"/>
    <s v="CC-12220"/>
    <s v="Chris Cortes"/>
    <s v="United States"/>
    <x v="2"/>
    <x v="0"/>
    <s v="Plantronics Encore H101 Dual Earpieces Headset"/>
    <n v="133.88"/>
    <n v="3"/>
    <n v="10.788"/>
    <n v="8.0579623543471772"/>
  </r>
  <r>
    <s v="CA-2020-139822"/>
    <x v="301"/>
    <s v="Dp-13240"/>
    <s v="Dean percer"/>
    <s v="United States"/>
    <x v="0"/>
    <x v="0"/>
    <s v="Micro Innovations Wireless Classic Keyboard with Mouse"/>
    <n v="156.97999999999999"/>
    <n v="2"/>
    <n v="10.7964"/>
    <n v="6.8775640208943818"/>
  </r>
  <r>
    <s v="CA-2020-126956"/>
    <x v="500"/>
    <s v="GT-14710"/>
    <s v="Greg Tran"/>
    <s v="United States"/>
    <x v="3"/>
    <x v="1"/>
    <s v="Acme Forged Steel Scissors with Black Enamel Handles"/>
    <n v="164.24"/>
    <n v="4"/>
    <n v="10.7996"/>
    <n v="6.5754992693619094"/>
  </r>
  <r>
    <s v="CA-2019-123512"/>
    <x v="80"/>
    <s v="MV-18190"/>
    <s v="Mike Vittorini"/>
    <s v="United States"/>
    <x v="2"/>
    <x v="1"/>
    <s v="Avery 496"/>
    <n v="22.5"/>
    <n v="6"/>
    <n v="10.8"/>
    <n v="48.000000000000007"/>
  </r>
  <r>
    <s v="CA-2020-139822"/>
    <x v="301"/>
    <s v="Dp-13240"/>
    <s v="Dean percer"/>
    <s v="United States"/>
    <x v="0"/>
    <x v="1"/>
    <s v="Eldon ProFile File 'N Store Portable File Tub Letter/Legal Size Black"/>
    <n v="120.62"/>
    <n v="2"/>
    <n v="10.813599999999999"/>
    <n v="8.9650140938484491"/>
  </r>
  <r>
    <s v="CA-2019-142545"/>
    <x v="256"/>
    <s v="JD-15895"/>
    <s v="Jonathan Doherty"/>
    <s v="United States"/>
    <x v="0"/>
    <x v="1"/>
    <s v="Tennsco Stur-D-Stor Boltless Shelving, 5 Shelves, 24&quot; Deep, Sand"/>
    <n v="1082.48"/>
    <n v="8"/>
    <n v="10.8248"/>
    <n v="1"/>
  </r>
  <r>
    <s v="CA-2020-143252"/>
    <x v="339"/>
    <s v="HE-14800"/>
    <s v="Harold Engle"/>
    <s v="United States"/>
    <x v="3"/>
    <x v="0"/>
    <s v="Maxell 74 Minute CDR, 10/Pack"/>
    <n v="577.34"/>
    <n v="3"/>
    <n v="10.8558"/>
    <n v="1.8803131603561161"/>
  </r>
  <r>
    <s v="CA-2019-113845"/>
    <x v="165"/>
    <s v="FA-14230"/>
    <s v="Frank Atkinson"/>
    <s v="United States"/>
    <x v="1"/>
    <x v="2"/>
    <s v="O'Sullivan 2-Door Barrister Bookcase in Odessa Pine"/>
    <n v="289.56799999999998"/>
    <n v="2"/>
    <n v="10.8588"/>
    <n v="3.7500000000000004"/>
  </r>
  <r>
    <s v="CA-2020-149559"/>
    <x v="183"/>
    <s v="KF-16285"/>
    <s v="Karen Ferguson"/>
    <s v="United States"/>
    <x v="2"/>
    <x v="1"/>
    <s v="#10 Self-Seal White Envelopes"/>
    <n v="109.18"/>
    <n v="2"/>
    <n v="10.8682"/>
    <n v="9.9543872504121627"/>
  </r>
  <r>
    <s v="US-2020-110989"/>
    <x v="368"/>
    <s v="EJ-14155"/>
    <s v="Eva Jacobs"/>
    <s v="United States"/>
    <x v="2"/>
    <x v="0"/>
    <s v="HP Standard 104 key PS/2 Keyboard"/>
    <n v="127.5"/>
    <n v="3"/>
    <n v="10.875"/>
    <n v="8.5294117647058822"/>
  </r>
  <r>
    <s v="US-2019-137295"/>
    <x v="281"/>
    <s v="VS-21820"/>
    <s v="Vivek Sundaresam"/>
    <s v="United States"/>
    <x v="1"/>
    <x v="0"/>
    <s v="Avaya 5410 Digital phone"/>
    <n v="108.78400000000001"/>
    <n v="2"/>
    <n v="10.878399999999999"/>
    <n v="10"/>
  </r>
  <r>
    <s v="CA-2019-155992"/>
    <x v="131"/>
    <s v="CC-12220"/>
    <s v="Chris Cortes"/>
    <s v="United States"/>
    <x v="3"/>
    <x v="2"/>
    <s v="Westinghouse Clip-On Gooseneck Lamps"/>
    <n v="41.85"/>
    <n v="5"/>
    <n v="10.881"/>
    <n v="26"/>
  </r>
  <r>
    <s v="CA-2020-104220"/>
    <x v="178"/>
    <s v="BV-11245"/>
    <s v="Benjamin Venier"/>
    <s v="United States"/>
    <x v="3"/>
    <x v="1"/>
    <s v="Boston 19500 Mighty Mite Electric Pencil Sharpener"/>
    <n v="135.30000000000001"/>
    <n v="2"/>
    <n v="10.881"/>
    <n v="8.0421286031042118"/>
  </r>
  <r>
    <s v="US-2019-148901"/>
    <x v="220"/>
    <s v="MK-17905"/>
    <s v="Michael Kennedy"/>
    <s v="United States"/>
    <x v="1"/>
    <x v="1"/>
    <s v="Xerox 23"/>
    <n v="31.103999999999999"/>
    <n v="6"/>
    <n v="10.8864"/>
    <n v="35"/>
  </r>
  <r>
    <s v="US-2019-136581"/>
    <x v="214"/>
    <s v="SV-20365"/>
    <s v="Seth Vernon"/>
    <s v="United States"/>
    <x v="0"/>
    <x v="1"/>
    <s v="Xerox 227"/>
    <n v="31.103999999999999"/>
    <n v="6"/>
    <n v="10.8864"/>
    <n v="35"/>
  </r>
  <r>
    <s v="CA-2020-106852"/>
    <x v="446"/>
    <s v="ST-20530"/>
    <s v="Shui Tom"/>
    <s v="United States"/>
    <x v="0"/>
    <x v="1"/>
    <s v="Xerox 203"/>
    <n v="160.10400000000001"/>
    <n v="6"/>
    <n v="10.8864"/>
    <n v="6.7995802728226655"/>
  </r>
  <r>
    <s v="CA-2020-167941"/>
    <x v="174"/>
    <s v="JF-15565"/>
    <s v="Jill Fjeld"/>
    <s v="United States"/>
    <x v="1"/>
    <x v="1"/>
    <s v="Xerox 220"/>
    <n v="143.10400000000001"/>
    <n v="6"/>
    <n v="10.8864"/>
    <n v="7.6073345259391756"/>
  </r>
  <r>
    <s v="US-2019-139087"/>
    <x v="395"/>
    <s v="DK-13375"/>
    <s v="Dennis Kane"/>
    <s v="United States"/>
    <x v="2"/>
    <x v="2"/>
    <s v="Eldon 300 Class Desk Accessories, Black"/>
    <n v="24.75"/>
    <n v="5"/>
    <n v="10.89"/>
    <n v="44"/>
  </r>
  <r>
    <s v="CA-2020-113530"/>
    <x v="234"/>
    <s v="BC-11125"/>
    <s v="Becky Castell"/>
    <s v="United States"/>
    <x v="2"/>
    <x v="0"/>
    <s v="SanDisk Cruzer 64 GB USB Flash Drive"/>
    <n v="117.32"/>
    <n v="1"/>
    <n v="10.896000000000001"/>
    <n v="9.2874190248891928"/>
  </r>
  <r>
    <s v="CA-2020-169012"/>
    <x v="579"/>
    <s v="BF-11275"/>
    <s v="Beth Fritzler"/>
    <s v="United States"/>
    <x v="1"/>
    <x v="1"/>
    <s v="Belkin 7-Outlet SurgeMaster Home Series"/>
    <n v="142.91"/>
    <n v="3"/>
    <n v="10.896599999999999"/>
    <n v="7.6247988244349587"/>
  </r>
  <r>
    <s v="CA-2019-116722"/>
    <x v="373"/>
    <s v="LP-17080"/>
    <s v="Liz Pelletier"/>
    <s v="United States"/>
    <x v="2"/>
    <x v="2"/>
    <s v="Magnifier Swing Arm Lamp"/>
    <n v="41.96"/>
    <n v="2"/>
    <n v="10.909599999999999"/>
    <n v="25.999999999999996"/>
  </r>
  <r>
    <s v="CA-2019-114860"/>
    <x v="279"/>
    <s v="DN-13690"/>
    <s v="Duane Noonan"/>
    <s v="United States"/>
    <x v="2"/>
    <x v="2"/>
    <s v="Magnifier Swing Arm Lamp"/>
    <n v="41.96"/>
    <n v="2"/>
    <n v="10.909599999999999"/>
    <n v="25.999999999999996"/>
  </r>
  <r>
    <s v="US-2020-126053"/>
    <x v="372"/>
    <s v="CS-11950"/>
    <s v="Carlos Soltero"/>
    <s v="United States"/>
    <x v="0"/>
    <x v="2"/>
    <s v="Magnifier Swing Arm Lamp"/>
    <n v="156.96"/>
    <n v="2"/>
    <n v="10.909599999999999"/>
    <n v="6.9505606523955139"/>
  </r>
  <r>
    <s v="CA-2020-146780"/>
    <x v="141"/>
    <s v="CV-12805"/>
    <s v="Cynthia Voltz"/>
    <s v="United States"/>
    <x v="0"/>
    <x v="2"/>
    <s v="Magnifier Swing Arm Lamp"/>
    <n v="329.96"/>
    <n v="2"/>
    <n v="10.909599999999999"/>
    <n v="3.3063401624439326"/>
  </r>
  <r>
    <s v="CA-2020-154039"/>
    <x v="58"/>
    <s v="JK-16120"/>
    <s v="Julie Kriz"/>
    <s v="United States"/>
    <x v="3"/>
    <x v="0"/>
    <s v="LG Exalt"/>
    <n v="165.792"/>
    <n v="1"/>
    <n v="10.9193"/>
    <n v="6.5861440841536378"/>
  </r>
  <r>
    <s v="CA-2019-139010"/>
    <x v="272"/>
    <s v="MC-17635"/>
    <s v="Matthew Clasen"/>
    <s v="United States"/>
    <x v="2"/>
    <x v="1"/>
    <s v="Avery Heavy-Duty EZD  Binder With Locking Rings"/>
    <n v="31.248000000000001"/>
    <n v="7"/>
    <n v="10.9368"/>
    <n v="35"/>
  </r>
  <r>
    <s v="CA-2019-120859"/>
    <x v="391"/>
    <s v="CV-12805"/>
    <s v="Cynthia Voltz"/>
    <s v="United States"/>
    <x v="2"/>
    <x v="1"/>
    <s v="White Business Envelopes with Contemporary Seam, Recycled White Business Envelopes"/>
    <n v="21.88"/>
    <n v="2"/>
    <n v="10.94"/>
    <n v="50"/>
  </r>
  <r>
    <s v="CA-2020-105410"/>
    <x v="120"/>
    <s v="ND-18370"/>
    <s v="Natalie DeCherney"/>
    <s v="United States"/>
    <x v="2"/>
    <x v="0"/>
    <s v="Logitech K350 2.4Ghz Wireless Keyboard"/>
    <n v="147.54"/>
    <n v="2"/>
    <n v="10.949400000000001"/>
    <n v="7.4213094753965034"/>
  </r>
  <r>
    <s v="CA-2020-128335"/>
    <x v="86"/>
    <s v="JA-15970"/>
    <s v="Joseph Airdo"/>
    <s v="United States"/>
    <x v="0"/>
    <x v="1"/>
    <s v="Staple envelope"/>
    <n v="131.34"/>
    <n v="3"/>
    <n v="10.969799999999999"/>
    <n v="8.3522156235724072"/>
  </r>
  <r>
    <s v="CA-2020-117947"/>
    <x v="243"/>
    <s v="NG-18355"/>
    <s v="Nat Gilpin"/>
    <s v="United States"/>
    <x v="0"/>
    <x v="0"/>
    <s v="Grandstream GXP1160 VoIP phone"/>
    <n v="111.91"/>
    <n v="1"/>
    <n v="10.9939"/>
    <n v="9.8238763291931015"/>
  </r>
  <r>
    <s v="CA-2020-169859"/>
    <x v="55"/>
    <s v="MP-18175"/>
    <s v="Mike Pelletier"/>
    <s v="United States"/>
    <x v="2"/>
    <x v="2"/>
    <s v="Eldon 400 Class Desk Accessories, Black Carbon"/>
    <n v="375.25"/>
    <n v="3"/>
    <n v="11.025"/>
    <n v="2.9380413057961361"/>
  </r>
  <r>
    <s v="CA-2019-116722"/>
    <x v="373"/>
    <s v="LP-17080"/>
    <s v="Liz Pelletier"/>
    <s v="United States"/>
    <x v="2"/>
    <x v="1"/>
    <s v="Avery Poly Binder Pockets"/>
    <n v="31.504000000000001"/>
    <n v="11"/>
    <n v="11.026400000000001"/>
    <n v="35"/>
  </r>
  <r>
    <s v="CA-2020-149160"/>
    <x v="254"/>
    <s v="JM-15265"/>
    <s v="Janet Molinari"/>
    <s v="United States"/>
    <x v="3"/>
    <x v="2"/>
    <s v="Coloredge Poster Frame"/>
    <n v="116.4"/>
    <n v="2"/>
    <n v="11.076000000000001"/>
    <n v="9.5154639175257731"/>
  </r>
  <r>
    <s v="CA-2019-157161"/>
    <x v="133"/>
    <s v="JD-15895"/>
    <s v="Jonathan Doherty"/>
    <s v="United States"/>
    <x v="1"/>
    <x v="1"/>
    <s v="Wilson Jones Turn Tabs Binder Tool for Ring Binders"/>
    <n v="24.1"/>
    <n v="5"/>
    <n v="11.086"/>
    <n v="46"/>
  </r>
  <r>
    <s v="CA-2019-116526"/>
    <x v="391"/>
    <s v="JA-15970"/>
    <s v="Joseph Airdo"/>
    <s v="United States"/>
    <x v="3"/>
    <x v="1"/>
    <s v="Wilson Jones Turn Tabs Binder Tool for Ring Binders"/>
    <n v="24.1"/>
    <n v="5"/>
    <n v="11.086"/>
    <n v="46"/>
  </r>
  <r>
    <s v="CA-2020-156363"/>
    <x v="126"/>
    <s v="ML-17395"/>
    <s v="Marina Lichtenstein"/>
    <s v="United States"/>
    <x v="0"/>
    <x v="1"/>
    <s v="#6 3/4 Gummed Flap White Envelopes"/>
    <n v="124.68"/>
    <n v="4"/>
    <n v="11.087999999999999"/>
    <n v="8.8931665062560139"/>
  </r>
  <r>
    <s v="US-2020-111024"/>
    <x v="142"/>
    <s v="SZ-20035"/>
    <s v="Sam Zeldin"/>
    <s v="United States"/>
    <x v="0"/>
    <x v="1"/>
    <s v="Message Book, Wirebound, Four 5 1/2&quot; X 4&quot; Forms/Pg., 200 Dupl. Sets/Book"/>
    <n v="132.89599999999999"/>
    <n v="4"/>
    <n v="11.102399999999999"/>
    <n v="8.3542017818444503"/>
  </r>
  <r>
    <s v="CA-2020-151596"/>
    <x v="451"/>
    <s v="BP-11050"/>
    <s v="Barry Pond"/>
    <s v="United States"/>
    <x v="0"/>
    <x v="1"/>
    <s v="SAFCO Mobile Desk Side File, Wire Frame"/>
    <n v="154.76"/>
    <n v="1"/>
    <n v="11.117599999999999"/>
    <n v="7.1837684156112687"/>
  </r>
  <r>
    <s v="CA-2020-108854"/>
    <x v="136"/>
    <s v="DM-13345"/>
    <s v="Denise Monton"/>
    <s v="United States"/>
    <x v="2"/>
    <x v="1"/>
    <s v="SAFCO Mobile Desk Side File, Wire Frame"/>
    <n v="155.76"/>
    <n v="1"/>
    <n v="11.117599999999999"/>
    <n v="7.1376476630713919"/>
  </r>
  <r>
    <s v="CA-2020-144848"/>
    <x v="499"/>
    <s v="DS-13030"/>
    <s v="Darrin Sayre"/>
    <s v="United States"/>
    <x v="0"/>
    <x v="0"/>
    <s v="Panasonic KX - TS880B Telephone"/>
    <n v="133.22"/>
    <n v="1"/>
    <n v="11.1294"/>
    <n v="8.3541510283741189"/>
  </r>
  <r>
    <s v="US-2019-112396"/>
    <x v="593"/>
    <s v="JR-16210"/>
    <s v="Justin Ritter"/>
    <s v="United States"/>
    <x v="2"/>
    <x v="0"/>
    <s v="Maxell 4.7GB DVD+RW 3/Pack"/>
    <n v="31.86"/>
    <n v="2"/>
    <n v="11.151"/>
    <n v="35"/>
  </r>
  <r>
    <s v="CA-2019-149335"/>
    <x v="445"/>
    <s v="BC-11125"/>
    <s v="Becky Castell"/>
    <s v="United States"/>
    <x v="2"/>
    <x v="1"/>
    <s v="Newell 325"/>
    <n v="37.17"/>
    <n v="9"/>
    <n v="11.151"/>
    <n v="30"/>
  </r>
  <r>
    <s v="CA-2019-102981"/>
    <x v="410"/>
    <s v="MO-17500"/>
    <s v="Mary O'Rourke"/>
    <s v="United States"/>
    <x v="0"/>
    <x v="0"/>
    <s v="Maxell 4.7GB DVD+RW 3/Pack"/>
    <n v="31.86"/>
    <n v="2"/>
    <n v="11.151"/>
    <n v="35"/>
  </r>
  <r>
    <s v="CA-2020-168396"/>
    <x v="230"/>
    <s v="BD-11725"/>
    <s v="Bruce Degenhardt"/>
    <s v="United States"/>
    <x v="2"/>
    <x v="2"/>
    <s v="Deflect-o EconoMat Studded, No Bevel Mat for Low Pile Carpeting"/>
    <n v="168.96"/>
    <n v="3"/>
    <n v="11.1564"/>
    <n v="6.6029829545454541"/>
  </r>
  <r>
    <s v="CA-2019-154711"/>
    <x v="358"/>
    <s v="TB-21355"/>
    <s v="Todd Boyes"/>
    <s v="United States"/>
    <x v="0"/>
    <x v="2"/>
    <s v="Luxo Economy Swing Arm Lamp"/>
    <n v="39.880000000000003"/>
    <n v="2"/>
    <n v="11.166399999999999"/>
    <n v="27.999999999999996"/>
  </r>
  <r>
    <s v="CA-2019-119074"/>
    <x v="585"/>
    <s v="DS-13180"/>
    <s v="David Smith"/>
    <s v="United States"/>
    <x v="1"/>
    <x v="2"/>
    <s v="Eldon Expressions Wood and Plastic Desk Accessories, Oak"/>
    <n v="39.92"/>
    <n v="4"/>
    <n v="11.1776"/>
    <n v="27.999999999999996"/>
  </r>
  <r>
    <s v="US-2019-116400"/>
    <x v="506"/>
    <s v="EB-13930"/>
    <s v="Eric Barreto"/>
    <s v="United States"/>
    <x v="1"/>
    <x v="2"/>
    <s v="Eldon Expressions Wood and Plastic Desk Accessories, Oak"/>
    <n v="39.92"/>
    <n v="4"/>
    <n v="11.1776"/>
    <n v="27.999999999999996"/>
  </r>
  <r>
    <s v="CA-2019-133795"/>
    <x v="60"/>
    <s v="JE-15475"/>
    <s v="Jeremy Ellison"/>
    <s v="United States"/>
    <x v="2"/>
    <x v="2"/>
    <s v="Eldon Expressions Wood and Plastic Desk Accessories, Oak"/>
    <n v="39.92"/>
    <n v="4"/>
    <n v="11.1776"/>
    <n v="27.999999999999996"/>
  </r>
  <r>
    <s v="US-2020-169320"/>
    <x v="548"/>
    <s v="LH-16900"/>
    <s v="Lena Hernandez"/>
    <s v="United States"/>
    <x v="3"/>
    <x v="0"/>
    <s v="Memorex 25GB 6X Branded Blu-Ray Recordable Disc, 30/Pack"/>
    <n v="191.75"/>
    <n v="5"/>
    <n v="11.182499999999999"/>
    <n v="5.8318122555410685"/>
  </r>
  <r>
    <s v="CA-2019-165330"/>
    <x v="111"/>
    <s v="WB-21850"/>
    <s v="William Brown"/>
    <s v="United States"/>
    <x v="2"/>
    <x v="1"/>
    <s v="Recycled Easel Ring Binders"/>
    <n v="35.808"/>
    <n v="3"/>
    <n v="11.19"/>
    <n v="31.25"/>
  </r>
  <r>
    <s v="CA-2019-157749"/>
    <x v="41"/>
    <s v="KL-16645"/>
    <s v="Ken Lonsdale"/>
    <s v="United States"/>
    <x v="3"/>
    <x v="0"/>
    <s v="PureGear Roll-On Screen Protector"/>
    <n v="31.984000000000002"/>
    <n v="2"/>
    <n v="11.1944"/>
    <n v="35"/>
  </r>
  <r>
    <s v="CA-2019-108210"/>
    <x v="323"/>
    <s v="AT-10735"/>
    <s v="Annie Thurman"/>
    <s v="United States"/>
    <x v="3"/>
    <x v="0"/>
    <s v="Sony Micro Vault Click 16 GB USB 2.0 Flash Drive"/>
    <n v="223.96"/>
    <n v="5"/>
    <n v="11.198"/>
    <n v="5"/>
  </r>
  <r>
    <s v="CA-2019-150350"/>
    <x v="95"/>
    <s v="MS-17770"/>
    <s v="Maxwell Schwartz"/>
    <s v="United States"/>
    <x v="2"/>
    <x v="1"/>
    <s v="Acco Six-Outlet Power Strip, 4' Cord Length"/>
    <n v="43.1"/>
    <n v="5"/>
    <n v="11.206"/>
    <n v="25.999999999999996"/>
  </r>
  <r>
    <s v="CA-2020-169327"/>
    <x v="149"/>
    <s v="MH-17290"/>
    <s v="Marc Harrigan"/>
    <s v="United States"/>
    <x v="2"/>
    <x v="1"/>
    <s v="Acco Six-Outlet Power Strip, 4' Cord Length"/>
    <n v="179.1"/>
    <n v="5"/>
    <n v="11.206"/>
    <n v="6.2568397543271912"/>
  </r>
  <r>
    <s v="US-2019-142251"/>
    <x v="330"/>
    <s v="FO-14305"/>
    <s v="Frank Olsen"/>
    <s v="United States"/>
    <x v="1"/>
    <x v="1"/>
    <s v="Xerox 1898"/>
    <n v="32.064"/>
    <n v="6"/>
    <n v="11.2224"/>
    <n v="35"/>
  </r>
  <r>
    <s v="CA-2019-153185"/>
    <x v="19"/>
    <s v="MH-17620"/>
    <s v="Matt Hagelstein"/>
    <s v="United States"/>
    <x v="0"/>
    <x v="1"/>
    <s v="Wirebound Four 2-3/4 x 5 Forms per Page, 400 Sets per Book"/>
    <n v="30.96"/>
    <n v="6"/>
    <n v="11.223000000000001"/>
    <n v="36.25"/>
  </r>
  <r>
    <s v="US-2020-111024"/>
    <x v="142"/>
    <s v="SZ-20035"/>
    <s v="Sam Zeldin"/>
    <s v="United States"/>
    <x v="0"/>
    <x v="1"/>
    <s v="Wirebound Four 2-3/4 x 5 Forms per Page, 400 Sets per Book"/>
    <n v="138.96"/>
    <n v="6"/>
    <n v="11.223000000000001"/>
    <n v="8.0764248704663206"/>
  </r>
  <r>
    <s v="CA-2020-107461"/>
    <x v="493"/>
    <s v="PK-19075"/>
    <s v="Pete Kriz"/>
    <s v="United States"/>
    <x v="1"/>
    <x v="1"/>
    <s v="Ibico Presentation Index for Binding Systems"/>
    <n v="467.88"/>
    <n v="6"/>
    <n v="11.223599999999999"/>
    <n v="2.398820210310336"/>
  </r>
  <r>
    <s v="CA-2020-164826"/>
    <x v="240"/>
    <s v="JF-15415"/>
    <s v="Jennifer Ferguson"/>
    <s v="United States"/>
    <x v="0"/>
    <x v="1"/>
    <s v="Storex Dura Pro Binders"/>
    <n v="158.26400000000001"/>
    <n v="7"/>
    <n v="11.226599999999999"/>
    <n v="7.0935904564525085"/>
  </r>
  <r>
    <s v="CA-2019-112340"/>
    <x v="72"/>
    <s v="NM-18520"/>
    <s v="Neoma Murray"/>
    <s v="United States"/>
    <x v="2"/>
    <x v="1"/>
    <s v="Rediform Wirebound &quot;Phone Memo&quot; Message Book, 11 x 5-3/4"/>
    <n v="22.92"/>
    <n v="3"/>
    <n v="11.2308"/>
    <n v="49"/>
  </r>
  <r>
    <s v="US-2019-155768"/>
    <x v="212"/>
    <s v="LB-16795"/>
    <s v="Laurel Beltran"/>
    <s v="United States"/>
    <x v="2"/>
    <x v="1"/>
    <s v="#10- 4 1/8&quot; x 9 1/2&quot; Security-Tint Envelopes"/>
    <n v="22.92"/>
    <n v="3"/>
    <n v="11.2308"/>
    <n v="49"/>
  </r>
  <r>
    <s v="US-2020-102183"/>
    <x v="500"/>
    <s v="PK-19075"/>
    <s v="Pete Kriz"/>
    <s v="United States"/>
    <x v="0"/>
    <x v="1"/>
    <s v="Avery Metallic Poly Binders"/>
    <n v="139.08799999999999"/>
    <n v="7"/>
    <n v="11.2308"/>
    <n v="8.0746002530771896"/>
  </r>
  <r>
    <s v="CA-2019-160598"/>
    <x v="261"/>
    <s v="SV-20815"/>
    <s v="Stuart Van"/>
    <s v="United States"/>
    <x v="1"/>
    <x v="1"/>
    <s v="Xerox 1944"/>
    <n v="31.007999999999999"/>
    <n v="1"/>
    <n v="11.240399999999999"/>
    <n v="36.25"/>
  </r>
  <r>
    <s v="CA-2020-107874"/>
    <x v="341"/>
    <s v="SW-20275"/>
    <s v="Scott Williamson"/>
    <s v="United States"/>
    <x v="0"/>
    <x v="2"/>
    <s v="Howard Miller Distant Time Traveler Alarm Clock"/>
    <n v="142.41999999999999"/>
    <n v="1"/>
    <n v="11.2422"/>
    <n v="7.8936947057997475"/>
  </r>
  <r>
    <s v="CA-2020-100223"/>
    <x v="42"/>
    <s v="LS-16945"/>
    <s v="Linda Southworth"/>
    <s v="United States"/>
    <x v="3"/>
    <x v="1"/>
    <s v="Xerox 1966"/>
    <n v="125.104"/>
    <n v="6"/>
    <n v="11.2752"/>
    <n v="9.012661465660571"/>
  </r>
  <r>
    <s v="CA-2020-168403"/>
    <x v="37"/>
    <s v="DK-12835"/>
    <s v="Damala Kotsonis"/>
    <s v="United States"/>
    <x v="2"/>
    <x v="1"/>
    <s v="Xerox 1930"/>
    <n v="162.10400000000001"/>
    <n v="6"/>
    <n v="11.2752"/>
    <n v="6.9555347184523511"/>
  </r>
  <r>
    <s v="CA-2020-162978"/>
    <x v="370"/>
    <s v="LW-16990"/>
    <s v="Lindsay Williams"/>
    <s v="United States"/>
    <x v="2"/>
    <x v="2"/>
    <s v="Bretford Rectangular Conference Table Tops"/>
    <n v="329.904"/>
    <n v="1"/>
    <n v="11.283899999999999"/>
    <n v="3.420358649789029"/>
  </r>
  <r>
    <s v="CA-2020-127096"/>
    <x v="301"/>
    <s v="CS-12400"/>
    <s v="Christopher Schild"/>
    <s v="United States"/>
    <x v="2"/>
    <x v="2"/>
    <s v="Bretford Rectangular Conference Table Tops"/>
    <n v="335.904"/>
    <n v="1"/>
    <n v="11.283899999999999"/>
    <n v="3.359263360960274"/>
  </r>
  <r>
    <s v="CA-2020-128965"/>
    <x v="2"/>
    <s v="PS-18760"/>
    <s v="Pamela Stobb"/>
    <s v="United States"/>
    <x v="2"/>
    <x v="1"/>
    <s v="Avery 474"/>
    <n v="159.04"/>
    <n v="8"/>
    <n v="11.2896"/>
    <n v="7.0985915492957758"/>
  </r>
  <r>
    <s v="CA-2020-120719"/>
    <x v="248"/>
    <s v="SJ-20125"/>
    <s v="Sanjit Jacobs"/>
    <s v="United States"/>
    <x v="2"/>
    <x v="1"/>
    <s v="Cardinal Slant-D Ring Binder, Heavy Gauge Vinyl"/>
    <n v="145.76"/>
    <n v="5"/>
    <n v="11.297000000000001"/>
    <n v="7.7504116355653148"/>
  </r>
  <r>
    <s v="CA-2019-145492"/>
    <x v="165"/>
    <s v="MC-17605"/>
    <s v="Matt Connell"/>
    <s v="United States"/>
    <x v="2"/>
    <x v="1"/>
    <s v="Bravo II Megaboss 12-Amp Hard Body Upright, Replacement Belts, 2 Belts per Pack"/>
    <n v="39"/>
    <n v="12"/>
    <n v="11.31"/>
    <n v="29.000000000000004"/>
  </r>
  <r>
    <s v="CA-2019-149237"/>
    <x v="154"/>
    <s v="CM-12235"/>
    <s v="Chris McAfee"/>
    <s v="United States"/>
    <x v="3"/>
    <x v="2"/>
    <s v="Nu-Dell Float Frame 11 x 14 1/2"/>
    <n v="26.94"/>
    <n v="3"/>
    <n v="11.3148"/>
    <n v="42"/>
  </r>
  <r>
    <s v="CA-2019-130001"/>
    <x v="567"/>
    <s v="HK-14890"/>
    <s v="Heather Kirkland"/>
    <s v="United States"/>
    <x v="1"/>
    <x v="1"/>
    <s v="Southworth 25% Cotton Linen-Finish Paper &amp; Envelopes"/>
    <n v="36.24"/>
    <n v="5"/>
    <n v="11.324999999999999"/>
    <n v="31.249999999999993"/>
  </r>
  <r>
    <s v="CA-2020-123659"/>
    <x v="594"/>
    <s v="MN-17935"/>
    <s v="Michael Nguyen"/>
    <s v="United States"/>
    <x v="0"/>
    <x v="1"/>
    <s v="HP Office Recycled Paper (20Lb. and 87 Bright)"/>
    <n v="1958.12"/>
    <n v="4"/>
    <n v="11.328799999999999"/>
    <n v="0.57855494045308764"/>
  </r>
  <r>
    <s v="CA-2020-117212"/>
    <x v="595"/>
    <s v="BT-11530"/>
    <s v="Bradley Talbott"/>
    <s v="United States"/>
    <x v="2"/>
    <x v="1"/>
    <s v="Xerox 1924"/>
    <n v="116.12"/>
    <n v="4"/>
    <n v="11.328799999999999"/>
    <n v="9.7561143644505677"/>
  </r>
  <r>
    <s v="US-2020-106663"/>
    <x v="175"/>
    <s v="MO-17800"/>
    <s v="Meg O'Connel"/>
    <s v="United States"/>
    <x v="3"/>
    <x v="1"/>
    <s v="Adams Telephone Message Book W/Dividers/Space For Phone Numbers, 5 1/4&quot;X8 1/2&quot;, 200/Messages"/>
    <n v="124.352"/>
    <n v="8"/>
    <n v="11.36"/>
    <n v="9.135357694287185"/>
  </r>
  <r>
    <s v="CA-2019-168753"/>
    <x v="361"/>
    <s v="RL-19615"/>
    <s v="Rob Lucas"/>
    <s v="United States"/>
    <x v="1"/>
    <x v="1"/>
    <s v="Presstex Flexible Ring Binders"/>
    <n v="22.75"/>
    <n v="5"/>
    <n v="11.375"/>
    <n v="50"/>
  </r>
  <r>
    <s v="CA-2020-126067"/>
    <x v="488"/>
    <s v="KN-16705"/>
    <s v="Kristina Nunn"/>
    <s v="United States"/>
    <x v="2"/>
    <x v="0"/>
    <s v="Anker 24W Portable Micro USB Car Charger"/>
    <n v="150.16800000000001"/>
    <n v="4"/>
    <n v="11.429600000000001"/>
    <n v="7.6112087795002932"/>
  </r>
  <r>
    <s v="CA-2019-155488"/>
    <x v="394"/>
    <s v="FM-14290"/>
    <s v="Frank Merwin"/>
    <s v="United States"/>
    <x v="2"/>
    <x v="1"/>
    <s v="Boston 16801 Nautilus Battery Pencil Sharpener"/>
    <n v="44.02"/>
    <n v="2"/>
    <n v="11.4452"/>
    <n v="25.999999999999996"/>
  </r>
  <r>
    <s v="CA-2019-145548"/>
    <x v="373"/>
    <s v="EB-13750"/>
    <s v="Edward Becker"/>
    <s v="United States"/>
    <x v="0"/>
    <x v="1"/>
    <s v="XtraLife ClearVue Slant-D Ring Binder, White, 3&quot;"/>
    <n v="35.231999999999999"/>
    <n v="3"/>
    <n v="11.4504"/>
    <n v="32.5"/>
  </r>
  <r>
    <s v="US-2019-155103"/>
    <x v="118"/>
    <s v="JF-15190"/>
    <s v="Jamie Frazer"/>
    <s v="United States"/>
    <x v="0"/>
    <x v="1"/>
    <s v="XtraLife ClearVue Slant-D Ring Binder, White, 3&quot;"/>
    <n v="35.231999999999999"/>
    <n v="3"/>
    <n v="11.4504"/>
    <n v="32.5"/>
  </r>
  <r>
    <s v="CA-2019-101161"/>
    <x v="27"/>
    <s v="BW-11110"/>
    <s v="Bart Watters"/>
    <s v="United States"/>
    <x v="0"/>
    <x v="1"/>
    <s v="Avery White Multi-Purpose Labels"/>
    <n v="24.9"/>
    <n v="5"/>
    <n v="11.454000000000001"/>
    <n v="46.000000000000007"/>
  </r>
  <r>
    <s v="CA-2020-161102"/>
    <x v="192"/>
    <s v="EC-14050"/>
    <s v="Erin Creighton"/>
    <s v="United States"/>
    <x v="2"/>
    <x v="2"/>
    <s v="Master Big Foot Doorstop, Beige"/>
    <n v="104.96"/>
    <n v="7"/>
    <n v="11.457599999999999"/>
    <n v="10.916158536585366"/>
  </r>
  <r>
    <s v="CA-2020-128160"/>
    <x v="90"/>
    <s v="MM-17920"/>
    <s v="Michael Moore"/>
    <s v="United States"/>
    <x v="2"/>
    <x v="1"/>
    <s v="Deluxe Heavy-Duty Vinyl Round Ring Binder"/>
    <n v="488.67200000000003"/>
    <n v="2"/>
    <n v="11.46"/>
    <n v="2.3451312946107001"/>
  </r>
  <r>
    <s v="CA-2019-124485"/>
    <x v="289"/>
    <s v="NC-18340"/>
    <s v="Nat Carroll"/>
    <s v="United States"/>
    <x v="0"/>
    <x v="0"/>
    <s v="SanDisk Ultra 32 GB MicroSDHC Class 10 Memory Card"/>
    <n v="88.4"/>
    <n v="4"/>
    <n v="11.492000000000001"/>
    <n v="13"/>
  </r>
  <r>
    <s v="CA-2019-111318"/>
    <x v="138"/>
    <s v="IL-15100"/>
    <s v="Ivan Liston"/>
    <s v="United States"/>
    <x v="3"/>
    <x v="0"/>
    <s v="Griffin GC17055 Auxiliary Audio Cable"/>
    <n v="115.136"/>
    <n v="8"/>
    <n v="11.5136"/>
    <n v="10"/>
  </r>
  <r>
    <s v="CA-2020-144638"/>
    <x v="94"/>
    <s v="MH-18115"/>
    <s v="Mick Hernandez"/>
    <s v="United States"/>
    <x v="0"/>
    <x v="2"/>
    <s v="Howard Miller Distant Time Traveler Alarm Clock"/>
    <n v="150.87200000000001"/>
    <n v="2"/>
    <n v="11.516400000000001"/>
    <n v="7.6332255156689106"/>
  </r>
  <r>
    <s v="CA-2019-129714"/>
    <x v="391"/>
    <s v="AB-10060"/>
    <s v="Adam Bellavance"/>
    <s v="United States"/>
    <x v="0"/>
    <x v="1"/>
    <s v="Xerox 1881"/>
    <n v="24.56"/>
    <n v="2"/>
    <n v="11.543200000000001"/>
    <n v="47"/>
  </r>
  <r>
    <s v="CA-2020-138870"/>
    <x v="156"/>
    <s v="GA-14515"/>
    <s v="George Ashbrook"/>
    <s v="United States"/>
    <x v="2"/>
    <x v="1"/>
    <s v="Xerox 1907"/>
    <n v="108.56"/>
    <n v="2"/>
    <n v="11.543200000000001"/>
    <n v="10.633014001473839"/>
  </r>
  <r>
    <s v="US-2020-129777"/>
    <x v="142"/>
    <s v="FM-14290"/>
    <s v="Frank Merwin"/>
    <s v="United States"/>
    <x v="0"/>
    <x v="1"/>
    <s v="Xerox 1881"/>
    <n v="113.56"/>
    <n v="2"/>
    <n v="11.543200000000001"/>
    <n v="10.164846777034168"/>
  </r>
  <r>
    <s v="CA-2020-134306"/>
    <x v="526"/>
    <s v="TD-20995"/>
    <s v="Tamara Dahlen"/>
    <s v="United States"/>
    <x v="0"/>
    <x v="1"/>
    <s v="Easy-staple paper"/>
    <n v="131.56"/>
    <n v="2"/>
    <n v="11.543200000000001"/>
    <n v="8.7740954697476425"/>
  </r>
  <r>
    <s v="CA-2020-156776"/>
    <x v="278"/>
    <s v="JL-15505"/>
    <s v="Jeremy Lonsdale"/>
    <s v="United States"/>
    <x v="2"/>
    <x v="1"/>
    <s v="Xerox 1881"/>
    <n v="96.56"/>
    <n v="2"/>
    <n v="11.543200000000001"/>
    <n v="11.954432477216239"/>
  </r>
  <r>
    <s v="CA-2020-130043"/>
    <x v="301"/>
    <s v="BB-11545"/>
    <s v="Brenda Bowman"/>
    <s v="United States"/>
    <x v="3"/>
    <x v="1"/>
    <s v="Xerox 1897"/>
    <n v="165.87200000000001"/>
    <n v="8"/>
    <n v="11.553599999999999"/>
    <n v="6.9653708883958707"/>
  </r>
  <r>
    <s v="US-2020-140074"/>
    <x v="248"/>
    <s v="EC-14050"/>
    <s v="Erin Creighton"/>
    <s v="United States"/>
    <x v="0"/>
    <x v="1"/>
    <s v="Xerox 1980"/>
    <n v="134.68"/>
    <n v="6"/>
    <n v="11.555999999999999"/>
    <n v="8.5803385803385801"/>
  </r>
  <r>
    <s v="CA-2019-113516"/>
    <x v="49"/>
    <s v="VM-21685"/>
    <s v="Valerie Mitchum"/>
    <s v="United States"/>
    <x v="2"/>
    <x v="1"/>
    <s v="Square Ring Data Binders, Rigid 75 Pt. Covers, 11&quot; x 14-7/8&quot;"/>
    <n v="33.024000000000001"/>
    <n v="2"/>
    <n v="11.558400000000001"/>
    <n v="35"/>
  </r>
  <r>
    <s v="CA-2019-141523"/>
    <x v="78"/>
    <s v="MH-17440"/>
    <s v="Mark Haberlin"/>
    <s v="United States"/>
    <x v="0"/>
    <x v="1"/>
    <s v="GBC Laser Imprintable Binding System Covers, Desert Sand"/>
    <n v="34.247999999999998"/>
    <n v="3"/>
    <n v="11.5587"/>
    <n v="33.75"/>
  </r>
  <r>
    <s v="US-2020-139465"/>
    <x v="53"/>
    <s v="MR-17545"/>
    <s v="Mathew Reese"/>
    <s v="United States"/>
    <x v="0"/>
    <x v="1"/>
    <s v="DXL Angle-View Binders with Locking Rings by Samsill"/>
    <n v="133.00800000000001"/>
    <n v="6"/>
    <n v="11.565"/>
    <n v="8.6949657163478875"/>
  </r>
  <r>
    <s v="US-2020-141943"/>
    <x v="109"/>
    <s v="DK-12985"/>
    <s v="Darren Koutras"/>
    <s v="United States"/>
    <x v="2"/>
    <x v="1"/>
    <s v="Peel &amp; Seel Recycled Catalog Envelopes, Brown"/>
    <n v="111.16"/>
    <n v="2"/>
    <n v="11.58"/>
    <n v="10.417416336811804"/>
  </r>
  <r>
    <s v="CA-2020-154123"/>
    <x v="216"/>
    <s v="SC-20050"/>
    <s v="Sample Company A"/>
    <s v="United States"/>
    <x v="1"/>
    <x v="2"/>
    <s v="9-3/4 Diameter Round Wall Clock"/>
    <n v="128.58000000000001"/>
    <n v="2"/>
    <n v="11.583600000000001"/>
    <n v="9.008866075594959"/>
  </r>
  <r>
    <s v="CA-2019-144015"/>
    <x v="454"/>
    <s v="AH-10075"/>
    <s v="Adam Hart"/>
    <s v="United States"/>
    <x v="2"/>
    <x v="1"/>
    <s v="Premier Electric Letter Opener"/>
    <n v="231.72"/>
    <n v="2"/>
    <n v="11.586"/>
    <n v="5"/>
  </r>
  <r>
    <s v="CA-2020-104731"/>
    <x v="102"/>
    <s v="AM-10705"/>
    <s v="Anne McFarland"/>
    <s v="United States"/>
    <x v="1"/>
    <x v="1"/>
    <s v="Premier Electric Letter Opener"/>
    <n v="271.72000000000003"/>
    <n v="2"/>
    <n v="11.586"/>
    <n v="4.2639481819520091"/>
  </r>
  <r>
    <s v="US-2019-117793"/>
    <x v="95"/>
    <s v="MA-17560"/>
    <s v="Matt Abelman"/>
    <s v="United States"/>
    <x v="3"/>
    <x v="1"/>
    <s v="Permanent Self-Adhesive File Folder Labels for Typewriters, 1 1/8 x 3 1/2, White"/>
    <n v="25.2"/>
    <n v="4"/>
    <n v="11.592000000000001"/>
    <n v="46"/>
  </r>
  <r>
    <s v="CA-2020-135692"/>
    <x v="224"/>
    <s v="CV-12805"/>
    <s v="Cynthia Voltz"/>
    <s v="United States"/>
    <x v="3"/>
    <x v="1"/>
    <s v="Avery Address/Shipping Labels for Typewriters, 4&quot; x 2&quot;"/>
    <n v="171.12"/>
    <n v="4"/>
    <n v="11.592000000000001"/>
    <n v="6.7741935483870979"/>
  </r>
  <r>
    <s v="CA-2019-153353"/>
    <x v="399"/>
    <s v="GG-14650"/>
    <s v="Greg Guthrie"/>
    <s v="United States"/>
    <x v="0"/>
    <x v="0"/>
    <s v="GE DSL Phone Line Filter"/>
    <n v="39.99"/>
    <n v="1"/>
    <n v="11.597099999999999"/>
    <n v="28.999999999999996"/>
  </r>
  <r>
    <s v="CA-2020-121888"/>
    <x v="301"/>
    <s v="CL-11890"/>
    <s v="Carl Ludwig"/>
    <s v="United States"/>
    <x v="0"/>
    <x v="0"/>
    <s v="GE DSL Phone Line Filter"/>
    <n v="146.99"/>
    <n v="1"/>
    <n v="11.597099999999999"/>
    <n v="7.8897203891421173"/>
  </r>
  <r>
    <s v="CA-2020-105487"/>
    <x v="451"/>
    <s v="CS-12250"/>
    <s v="Chris Selesnick"/>
    <s v="United States"/>
    <x v="2"/>
    <x v="0"/>
    <s v="Digium D40 VoIP phone"/>
    <n v="129.19200000000001"/>
    <n v="1"/>
    <n v="11.6091"/>
    <n v="8.9859279212335128"/>
  </r>
  <r>
    <s v="CA-2020-121489"/>
    <x v="500"/>
    <s v="CM-11815"/>
    <s v="Candace McMahon"/>
    <s v="United States"/>
    <x v="2"/>
    <x v="0"/>
    <s v="Kensington K72356US Mouse-in-a-Box USB Desktop Mouse"/>
    <n v="135.18"/>
    <n v="2"/>
    <n v="11.613"/>
    <n v="8.5907678650687966"/>
  </r>
  <r>
    <s v="CA-2019-118052"/>
    <x v="387"/>
    <s v="BE-11455"/>
    <s v="Brad Eason"/>
    <s v="United States"/>
    <x v="0"/>
    <x v="2"/>
    <s v="DAX Solid Wood Frames"/>
    <n v="54.712000000000003"/>
    <n v="7"/>
    <n v="11.626300000000001"/>
    <n v="21.25"/>
  </r>
  <r>
    <s v="CA-2019-126004"/>
    <x v="430"/>
    <s v="BM-11140"/>
    <s v="Becky Martin"/>
    <s v="United States"/>
    <x v="0"/>
    <x v="1"/>
    <s v="Fellowes Econo/Stor Drawers"/>
    <n v="193.86"/>
    <n v="2"/>
    <n v="11.631600000000001"/>
    <n v="6"/>
  </r>
  <r>
    <s v="CA-2019-158778"/>
    <x v="100"/>
    <s v="DB-13210"/>
    <s v="Dean Braden"/>
    <s v="United States"/>
    <x v="0"/>
    <x v="2"/>
    <s v="6&quot; Cubicle Wall Clock, Black"/>
    <n v="58.247999999999998"/>
    <n v="9"/>
    <n v="11.6496"/>
    <n v="20"/>
  </r>
  <r>
    <s v="CA-2020-144484"/>
    <x v="183"/>
    <s v="CB-12025"/>
    <s v="Cassandra Brandow"/>
    <s v="United States"/>
    <x v="2"/>
    <x v="2"/>
    <s v="6&quot; Cubicle Wall Clock, Black"/>
    <n v="114.36"/>
    <n v="4"/>
    <n v="11.6496"/>
    <n v="10.186778593913957"/>
  </r>
  <r>
    <s v="CA-2020-156776"/>
    <x v="278"/>
    <s v="JL-15505"/>
    <s v="Jeremy Lonsdale"/>
    <s v="United States"/>
    <x v="2"/>
    <x v="1"/>
    <s v="Mead 1st Gear 2&quot; Zipper Binder, Asst. Colors"/>
    <n v="151.12799999999999"/>
    <n v="3"/>
    <n v="11.673"/>
    <n v="7.7239161505478808"/>
  </r>
  <r>
    <s v="CA-2019-157868"/>
    <x v="39"/>
    <s v="MC-17590"/>
    <s v="Matt Collister"/>
    <s v="United States"/>
    <x v="3"/>
    <x v="1"/>
    <s v="Acco Clips to Go Binder Clips, 24 Clips in Two Sizes"/>
    <n v="24.85"/>
    <n v="7"/>
    <n v="11.679500000000001"/>
    <n v="47"/>
  </r>
  <r>
    <s v="CA-2019-158043"/>
    <x v="558"/>
    <s v="JK-15325"/>
    <s v="Jason Klamczynski"/>
    <s v="United States"/>
    <x v="0"/>
    <x v="1"/>
    <s v="Staple envelope"/>
    <n v="23.36"/>
    <n v="2"/>
    <n v="11.68"/>
    <n v="50"/>
  </r>
  <r>
    <s v="CA-2020-166093"/>
    <x v="23"/>
    <s v="RW-19540"/>
    <s v="Rick Wilson"/>
    <s v="United States"/>
    <x v="2"/>
    <x v="1"/>
    <s v="Staple envelope"/>
    <n v="115.36"/>
    <n v="2"/>
    <n v="11.68"/>
    <n v="10.124826629680998"/>
  </r>
  <r>
    <s v="CA-2020-152310"/>
    <x v="557"/>
    <s v="DK-12895"/>
    <s v="Dana Kaydos"/>
    <s v="United States"/>
    <x v="2"/>
    <x v="1"/>
    <s v="Personal File Boxes with Fold-Down Carry Handle"/>
    <n v="145.74"/>
    <n v="3"/>
    <n v="11.685"/>
    <n v="8.0177027583367639"/>
  </r>
  <r>
    <s v="CA-2019-154060"/>
    <x v="139"/>
    <s v="DL-12865"/>
    <s v="Dan Lawera"/>
    <s v="United States"/>
    <x v="1"/>
    <x v="2"/>
    <s v="Global Stack Chair without Arms, Black"/>
    <n v="187.05600000000001"/>
    <n v="9"/>
    <n v="11.691000000000001"/>
    <n v="6.25"/>
  </r>
  <r>
    <s v="CA-2019-161669"/>
    <x v="316"/>
    <s v="EM-14095"/>
    <s v="Eudokia Martin"/>
    <s v="United States"/>
    <x v="2"/>
    <x v="1"/>
    <s v="Fellowes Binding Cases"/>
    <n v="37.44"/>
    <n v="4"/>
    <n v="11.7"/>
    <n v="31.25"/>
  </r>
  <r>
    <s v="CA-2020-167101"/>
    <x v="473"/>
    <s v="BM-11650"/>
    <s v="Brian Moss"/>
    <s v="United States"/>
    <x v="0"/>
    <x v="0"/>
    <s v="Memorex Micro Travel Drive 8 GB"/>
    <n v="106"/>
    <n v="2"/>
    <n v="11.7"/>
    <n v="11.037735849056602"/>
  </r>
  <r>
    <s v="CA-2020-110905"/>
    <x v="8"/>
    <s v="RW-19690"/>
    <s v="Robert Waldorf"/>
    <s v="United States"/>
    <x v="3"/>
    <x v="1"/>
    <s v="Xerox 1970"/>
    <n v="92.9"/>
    <n v="5"/>
    <n v="11.702999999999999"/>
    <n v="12.597416576964477"/>
  </r>
  <r>
    <s v="CA-2019-167983"/>
    <x v="43"/>
    <s v="RP-19270"/>
    <s v="Rachel Payne"/>
    <s v="United States"/>
    <x v="2"/>
    <x v="1"/>
    <s v="Avery Durable Slant Ring Binders With Label Holder"/>
    <n v="33.44"/>
    <n v="10"/>
    <n v="11.704000000000001"/>
    <n v="35"/>
  </r>
  <r>
    <s v="CA-2020-100580"/>
    <x v="7"/>
    <s v="MK-17905"/>
    <s v="Michael Kennedy"/>
    <s v="United States"/>
    <x v="2"/>
    <x v="1"/>
    <s v="GBC Prepunched Paper, 19-Hole, for Binding Systems, 24-lb"/>
    <n v="134.024"/>
    <n v="3"/>
    <n v="11.707800000000001"/>
    <n v="8.735599594102549"/>
  </r>
  <r>
    <s v="CA-2019-129903"/>
    <x v="212"/>
    <s v="GZ-14470"/>
    <s v="Gary Zandusky"/>
    <s v="United States"/>
    <x v="3"/>
    <x v="1"/>
    <s v="Universal Premium White Copier/Laser Paper (20Lb. and 87 Bright)"/>
    <n v="23.92"/>
    <n v="4"/>
    <n v="11.720800000000001"/>
    <n v="49"/>
  </r>
  <r>
    <s v="CA-2019-129728"/>
    <x v="323"/>
    <s v="JG-15310"/>
    <s v="Jason Gross"/>
    <s v="United States"/>
    <x v="2"/>
    <x v="2"/>
    <s v="36X48 HARDFLOOR CHAIRMAT"/>
    <n v="167.84"/>
    <n v="8"/>
    <n v="11.748799999999999"/>
    <n v="6.9999999999999991"/>
  </r>
  <r>
    <s v="CA-2019-126795"/>
    <x v="584"/>
    <s v="GT-14710"/>
    <s v="Greg Tran"/>
    <s v="United States"/>
    <x v="0"/>
    <x v="1"/>
    <s v="Premium Transparent Presentation Covers by GBC"/>
    <n v="33.567999999999998"/>
    <n v="2"/>
    <n v="11.748799999999999"/>
    <n v="35"/>
  </r>
  <r>
    <s v="CA-2019-161095"/>
    <x v="507"/>
    <s v="CS-12250"/>
    <s v="Chris Selesnick"/>
    <s v="United States"/>
    <x v="2"/>
    <x v="1"/>
    <s v="GBC Premium Transparent Covers with Diagonal Lined Pattern"/>
    <n v="33.567999999999998"/>
    <n v="2"/>
    <n v="11.748799999999999"/>
    <n v="35"/>
  </r>
  <r>
    <s v="CA-2019-111941"/>
    <x v="36"/>
    <s v="BD-11620"/>
    <s v="Brian DeCherney"/>
    <s v="United States"/>
    <x v="0"/>
    <x v="1"/>
    <s v="GBC Premium Transparent Covers with Diagonal Lined Pattern"/>
    <n v="33.567999999999998"/>
    <n v="2"/>
    <n v="11.748799999999999"/>
    <n v="35"/>
  </r>
  <r>
    <s v="US-2020-133081"/>
    <x v="91"/>
    <s v="PV-18985"/>
    <s v="Paul Van Hugh"/>
    <s v="United States"/>
    <x v="0"/>
    <x v="2"/>
    <s v="Executive Impressions 16-1/2&quot; Circular Wall Clock"/>
    <n v="132.72"/>
    <n v="1"/>
    <n v="11.7568"/>
    <n v="8.858348402652199"/>
  </r>
  <r>
    <s v="CA-2019-121755"/>
    <x v="546"/>
    <s v="EH-13945"/>
    <s v="Eric Hoffmann"/>
    <s v="United States"/>
    <x v="2"/>
    <x v="0"/>
    <s v="Imation 8GB Mini TravelDrive USB 2.0 Flash Drive"/>
    <n v="90.57"/>
    <n v="3"/>
    <n v="11.774100000000001"/>
    <n v="13"/>
  </r>
  <r>
    <s v="US-2020-113852"/>
    <x v="449"/>
    <s v="GW-14605"/>
    <s v="Giulietta Weimer"/>
    <s v="United States"/>
    <x v="2"/>
    <x v="0"/>
    <s v="Imation 8GB Mini TravelDrive USB 2.0 Flash Drive"/>
    <n v="133.57"/>
    <n v="3"/>
    <n v="11.774100000000001"/>
    <n v="8.8149285019091117"/>
  </r>
  <r>
    <s v="CA-2019-166625"/>
    <x v="549"/>
    <s v="JM-15580"/>
    <s v="Jill Matthias"/>
    <s v="United States"/>
    <x v="0"/>
    <x v="1"/>
    <s v="GBC ProClick Spines for 32-Hole Punch"/>
    <n v="25.06"/>
    <n v="2"/>
    <n v="11.7782"/>
    <n v="47"/>
  </r>
  <r>
    <s v="US-2019-121013"/>
    <x v="100"/>
    <s v="MM-17920"/>
    <s v="Michael Moore"/>
    <s v="United States"/>
    <x v="1"/>
    <x v="1"/>
    <s v="Avery 50"/>
    <n v="25.06"/>
    <n v="2"/>
    <n v="11.7782"/>
    <n v="47"/>
  </r>
  <r>
    <s v="CA-2020-147753"/>
    <x v="512"/>
    <s v="PK-19075"/>
    <s v="Pete Kriz"/>
    <s v="United States"/>
    <x v="3"/>
    <x v="1"/>
    <s v="Avery 515"/>
    <n v="114.06"/>
    <n v="2"/>
    <n v="11.7782"/>
    <n v="10.326319480974925"/>
  </r>
  <r>
    <s v="CA-2019-143805"/>
    <x v="212"/>
    <s v="JD-15895"/>
    <s v="Jonathan Doherty"/>
    <s v="United States"/>
    <x v="1"/>
    <x v="1"/>
    <s v="Acme Softgrip Scissors"/>
    <n v="40.700000000000003"/>
    <n v="5"/>
    <n v="11.803000000000001"/>
    <n v="28.999999999999996"/>
  </r>
  <r>
    <s v="CA-2020-100384"/>
    <x v="47"/>
    <s v="NH-18610"/>
    <s v="Nicole Hansen"/>
    <s v="United States"/>
    <x v="2"/>
    <x v="1"/>
    <s v="4009 Highlighters by Sanford"/>
    <n v="135.82"/>
    <n v="9"/>
    <n v="11.820600000000001"/>
    <n v="8.7031365041967312"/>
  </r>
  <r>
    <s v="CA-2020-127656"/>
    <x v="543"/>
    <s v="NW-18400"/>
    <s v="Natalie Webber"/>
    <s v="United States"/>
    <x v="3"/>
    <x v="1"/>
    <s v="Staples in misc. colors"/>
    <n v="134.32"/>
    <n v="4"/>
    <n v="11.8248"/>
    <n v="8.8034544371649801"/>
  </r>
  <r>
    <s v="CA-2020-151981"/>
    <x v="574"/>
    <s v="GM-14455"/>
    <s v="Gary Mitchum"/>
    <s v="United States"/>
    <x v="0"/>
    <x v="1"/>
    <s v="Avery 481"/>
    <n v="115.64"/>
    <n v="8"/>
    <n v="11.827199999999999"/>
    <n v="10.227602905569007"/>
  </r>
  <r>
    <s v="CA-2019-156811"/>
    <x v="484"/>
    <s v="BP-11095"/>
    <s v="Bart Pistole"/>
    <s v="United States"/>
    <x v="2"/>
    <x v="1"/>
    <s v="Staple holder"/>
    <n v="43.92"/>
    <n v="4"/>
    <n v="11.8584"/>
    <n v="26.999999999999996"/>
  </r>
  <r>
    <s v="CA-2020-148985"/>
    <x v="250"/>
    <s v="TB-21190"/>
    <s v="Thomas Brumley"/>
    <s v="United States"/>
    <x v="2"/>
    <x v="2"/>
    <s v="Dax Clear Box Frame"/>
    <n v="150.91999999999999"/>
    <n v="4"/>
    <n v="11.8728"/>
    <n v="7.8669493771534595"/>
  </r>
  <r>
    <s v="CA-2020-139913"/>
    <x v="122"/>
    <s v="JC-16105"/>
    <s v="Julie Creighton"/>
    <s v="United States"/>
    <x v="0"/>
    <x v="1"/>
    <s v="Xerox 4200 Series MultiUse Premium Copy Paper (20Lb. and 84 Bright)"/>
    <n v="143.4"/>
    <n v="5"/>
    <n v="11.88"/>
    <n v="8.2845188284518834"/>
  </r>
  <r>
    <s v="CA-2020-103009"/>
    <x v="368"/>
    <s v="PJ-18835"/>
    <s v="Patrick Jones"/>
    <s v="United States"/>
    <x v="1"/>
    <x v="1"/>
    <s v="Xerox 1963"/>
    <n v="128.4"/>
    <n v="5"/>
    <n v="11.88"/>
    <n v="9.2523364485981308"/>
  </r>
  <r>
    <s v="US-2019-105578"/>
    <x v="323"/>
    <s v="MY-17380"/>
    <s v="Maribeth Yedwab"/>
    <s v="United States"/>
    <x v="2"/>
    <x v="1"/>
    <s v="White Dual Perf Computer Printout Paper, 2700 Sheets, 1 Part, Heavyweight, 20 lbs., 14 7/8 x 11"/>
    <n v="32.792000000000002"/>
    <n v="1"/>
    <n v="11.8871"/>
    <n v="36.25"/>
  </r>
  <r>
    <s v="US-2019-107440"/>
    <x v="466"/>
    <s v="BS-11365"/>
    <s v="Bill Shonely"/>
    <s v="United States"/>
    <x v="0"/>
    <x v="1"/>
    <s v="Wilson Jones Standard D-Ring Binders"/>
    <n v="25.3"/>
    <n v="5"/>
    <n v="11.891"/>
    <n v="47"/>
  </r>
  <r>
    <s v="CA-2019-145730"/>
    <x v="17"/>
    <s v="CC-12220"/>
    <s v="Chris Cortes"/>
    <s v="United States"/>
    <x v="3"/>
    <x v="1"/>
    <s v="White Envelopes, White Envelopes with Clear Poly Window"/>
    <n v="36.6"/>
    <n v="3"/>
    <n v="11.895"/>
    <n v="32.499999999999993"/>
  </r>
  <r>
    <s v="US-2020-132031"/>
    <x v="327"/>
    <s v="PN-18775"/>
    <s v="Parhena Norris"/>
    <s v="United States"/>
    <x v="1"/>
    <x v="0"/>
    <s v="Maxell 4.7GB DVD-R"/>
    <n v="132.40799999999999"/>
    <n v="2"/>
    <n v="11.919600000000001"/>
    <n v="9.0021750951604158"/>
  </r>
  <r>
    <s v="CA-2019-113236"/>
    <x v="154"/>
    <s v="CP-12085"/>
    <s v="Cathy Prescott"/>
    <s v="United States"/>
    <x v="1"/>
    <x v="0"/>
    <s v="Imation 32GB Pocket Pro USB 3.0 Flash Drive - 32 GB - Black - 1 P ..."/>
    <n v="47.92"/>
    <n v="2"/>
    <n v="11.98"/>
    <n v="25"/>
  </r>
  <r>
    <s v="CA-2019-120005"/>
    <x v="17"/>
    <s v="TS-21160"/>
    <s v="Theresa Swint"/>
    <s v="United States"/>
    <x v="2"/>
    <x v="2"/>
    <s v="Executive Impressions 10&quot; Spectator Wall Clock"/>
    <n v="35.28"/>
    <n v="3"/>
    <n v="11.995200000000001"/>
    <n v="34"/>
  </r>
  <r>
    <s v="CA-2019-108196"/>
    <x v="0"/>
    <s v="CS-12505"/>
    <s v="Cindy Stewart"/>
    <s v="United States"/>
    <x v="0"/>
    <x v="0"/>
    <s v="NETGEAR RangeMax WNR1000 Wireless Router"/>
    <n v="59.975999999999999"/>
    <n v="3"/>
    <n v="11.995200000000001"/>
    <n v="20"/>
  </r>
  <r>
    <s v="CA-2020-161893"/>
    <x v="402"/>
    <s v="HP-14815"/>
    <s v="Harold Pawlan"/>
    <s v="United States"/>
    <x v="2"/>
    <x v="0"/>
    <s v="Logitech Wireless Anywhere Mouse MX for PC and Mac"/>
    <n v="132.98400000000001"/>
    <n v="2"/>
    <n v="11.997999999999999"/>
    <n v="9.0221380015640964"/>
  </r>
  <r>
    <s v="US-2020-111920"/>
    <x v="126"/>
    <s v="PS-18970"/>
    <s v="Paul Stevenson"/>
    <s v="United States"/>
    <x v="3"/>
    <x v="1"/>
    <s v="Dixon Ticonderoga Core-Lock Colored Pencils"/>
    <n v="150.44"/>
    <n v="4"/>
    <n v="12.0252"/>
    <n v="7.9933528316936977"/>
  </r>
  <r>
    <s v="CA-2020-107720"/>
    <x v="174"/>
    <s v="VM-21685"/>
    <s v="Valerie Mitchum"/>
    <s v="United States"/>
    <x v="0"/>
    <x v="1"/>
    <s v="Decoflex Hanging Personal Folder File"/>
    <n v="133.26"/>
    <n v="3"/>
    <n v="12.0276"/>
    <n v="9.0256641152633943"/>
  </r>
  <r>
    <s v="CA-2020-104822"/>
    <x v="170"/>
    <s v="RB-19465"/>
    <s v="Rick Bensley"/>
    <s v="United States"/>
    <x v="0"/>
    <x v="1"/>
    <s v="Avery 478"/>
    <n v="124.55"/>
    <n v="5"/>
    <n v="12.029500000000001"/>
    <n v="9.658370132476918"/>
  </r>
  <r>
    <s v="CA-2020-133046"/>
    <x v="411"/>
    <s v="DK-13375"/>
    <s v="Dennis Kane"/>
    <s v="United States"/>
    <x v="2"/>
    <x v="1"/>
    <s v="Message Book, Phone, Wirebound Standard Line Memo, 2 3/4&quot; X 5&quot;"/>
    <n v="103.2"/>
    <n v="4"/>
    <n v="12.052"/>
    <n v="11.678294573643411"/>
  </r>
  <r>
    <s v="CA-2020-134838"/>
    <x v="440"/>
    <s v="ED-13885"/>
    <s v="Emily Ducich"/>
    <s v="United States"/>
    <x v="2"/>
    <x v="2"/>
    <s v="Tensor Computer Mounted Lamp"/>
    <n v="111.67"/>
    <n v="3"/>
    <n v="12.0609"/>
    <n v="10.800483567654696"/>
  </r>
  <r>
    <s v="CA-2020-163020"/>
    <x v="301"/>
    <s v="MO-17800"/>
    <s v="Meg O'Connel"/>
    <s v="United States"/>
    <x v="0"/>
    <x v="2"/>
    <s v="Master Caster Door Stop, Brown"/>
    <n v="124.56"/>
    <n v="7"/>
    <n v="12.090400000000001"/>
    <n v="9.7064868336544645"/>
  </r>
  <r>
    <s v="CA-2019-148096"/>
    <x v="555"/>
    <s v="AO-10810"/>
    <s v="Anthony O'Donnell"/>
    <s v="United States"/>
    <x v="2"/>
    <x v="2"/>
    <s v="Barricks 18&quot; x 48&quot; Non-Folding Utility Table with Bottom Storage Shelf"/>
    <n v="161.28"/>
    <n v="2"/>
    <n v="12.096"/>
    <n v="7.5"/>
  </r>
  <r>
    <s v="CA-2019-113096"/>
    <x v="110"/>
    <s v="SZ-20035"/>
    <s v="Sam Zeldin"/>
    <s v="United States"/>
    <x v="2"/>
    <x v="1"/>
    <s v="Tenex File Box, Personal Filing Tote with Lid, Black"/>
    <n v="46.53"/>
    <n v="3"/>
    <n v="12.097799999999999"/>
    <n v="26"/>
  </r>
  <r>
    <s v="CA-2020-140949"/>
    <x v="294"/>
    <s v="DB-13405"/>
    <s v="Denny Blanton"/>
    <s v="United States"/>
    <x v="0"/>
    <x v="1"/>
    <s v="Tenex File Box, Personal Filing Tote with Lid, Black"/>
    <n v="137.53"/>
    <n v="3"/>
    <n v="12.097799999999999"/>
    <n v="8.7964807678324721"/>
  </r>
  <r>
    <s v="CA-2019-152688"/>
    <x v="569"/>
    <s v="NR-18550"/>
    <s v="Nick Radford"/>
    <s v="United States"/>
    <x v="0"/>
    <x v="2"/>
    <s v="O'Sullivan Living Dimensions 2-Shelf Bookcases"/>
    <n v="120.98"/>
    <n v="1"/>
    <n v="12.098000000000001"/>
    <n v="10"/>
  </r>
  <r>
    <s v="CA-2020-129021"/>
    <x v="453"/>
    <s v="PO-18850"/>
    <s v="Patrick O'Brill"/>
    <s v="United States"/>
    <x v="1"/>
    <x v="1"/>
    <s v="Fellowes 8 Outlet Superior Workstation Surge Protector w/o Phone/Fax/Modem Protection"/>
    <n v="202.376"/>
    <n v="6"/>
    <n v="12.103199999999999"/>
    <n v="5.9805510534846018"/>
  </r>
  <r>
    <s v="CA-2019-161746"/>
    <x v="72"/>
    <s v="CS-11950"/>
    <s v="Carlos Soltero"/>
    <s v="United States"/>
    <x v="2"/>
    <x v="2"/>
    <s v="Office Star Flex Back Scooter Chair with Aluminum Finish Frame"/>
    <n v="242.136"/>
    <n v="3"/>
    <n v="12.1068"/>
    <n v="5"/>
  </r>
  <r>
    <s v="CA-2020-143259"/>
    <x v="423"/>
    <s v="PO-18865"/>
    <s v="Patrick O'Donnell"/>
    <s v="United States"/>
    <x v="0"/>
    <x v="2"/>
    <s v="Bush Westfield Collection Bookcases, Fully Assembled"/>
    <n v="213.136"/>
    <n v="4"/>
    <n v="12.117599999999999"/>
    <n v="5.6853839801816681"/>
  </r>
  <r>
    <s v="US-2019-143819"/>
    <x v="59"/>
    <s v="KD-16270"/>
    <s v="Karen Daniels"/>
    <s v="United States"/>
    <x v="0"/>
    <x v="1"/>
    <s v="Easy-staple paper"/>
    <n v="26.38"/>
    <n v="1"/>
    <n v="12.1348"/>
    <n v="46"/>
  </r>
  <r>
    <s v="CA-2020-168193"/>
    <x v="494"/>
    <s v="RM-19750"/>
    <s v="Roland Murray"/>
    <s v="United States"/>
    <x v="0"/>
    <x v="1"/>
    <s v="Xerox 1883"/>
    <n v="132.38"/>
    <n v="1"/>
    <n v="12.1348"/>
    <n v="9.1666414866294019"/>
  </r>
  <r>
    <s v="CA-2020-125290"/>
    <x v="174"/>
    <s v="CC-12430"/>
    <s v="Chuck Clark"/>
    <s v="United States"/>
    <x v="3"/>
    <x v="1"/>
    <s v="Easy-staple paper"/>
    <n v="130.38"/>
    <n v="1"/>
    <n v="12.1348"/>
    <n v="9.3072557140665761"/>
  </r>
  <r>
    <s v="US-2019-154256"/>
    <x v="489"/>
    <s v="SM-20005"/>
    <s v="Sally Matthias"/>
    <s v="United States"/>
    <x v="0"/>
    <x v="1"/>
    <s v="Avery 487"/>
    <n v="25.83"/>
    <n v="7"/>
    <n v="12.1401"/>
    <n v="47"/>
  </r>
  <r>
    <s v="CA-2020-135307"/>
    <x v="197"/>
    <s v="LS-17245"/>
    <s v="Lynn Smith"/>
    <s v="United States"/>
    <x v="3"/>
    <x v="0"/>
    <s v="SanDisk Cruzer 32 GB USB Flash Drive"/>
    <n v="136.04"/>
    <n v="2"/>
    <n v="12.172800000000001"/>
    <n v="8.9479564833872391"/>
  </r>
  <r>
    <s v="CA-2019-153577"/>
    <x v="369"/>
    <s v="KH-16330"/>
    <s v="Katharine Harms"/>
    <s v="United States"/>
    <x v="3"/>
    <x v="1"/>
    <s v="Wirebound Message Books, Four 2 3/4 x 5 White Forms per Page"/>
    <n v="37.463999999999999"/>
    <n v="7"/>
    <n v="12.175800000000001"/>
    <n v="32.5"/>
  </r>
  <r>
    <s v="CA-2019-157686"/>
    <x v="131"/>
    <s v="BD-11620"/>
    <s v="Brian DeCherney"/>
    <s v="United States"/>
    <x v="2"/>
    <x v="2"/>
    <s v="Global Value Mid-Back Manager's Chair, Gray"/>
    <n v="194.84800000000001"/>
    <n v="4"/>
    <n v="12.178000000000001"/>
    <n v="6.25"/>
  </r>
  <r>
    <s v="CA-2020-107209"/>
    <x v="411"/>
    <s v="JW-15955"/>
    <s v="Joni Wasserman"/>
    <s v="United States"/>
    <x v="1"/>
    <x v="2"/>
    <s v="Global Value Mid-Back Manager's Chair, Gray"/>
    <n v="224.84800000000001"/>
    <n v="4"/>
    <n v="12.178000000000001"/>
    <n v="5.4161033231338509"/>
  </r>
  <r>
    <s v="CA-2019-164735"/>
    <x v="549"/>
    <s v="TB-21400"/>
    <s v="Tom Boeckenhauer"/>
    <s v="United States"/>
    <x v="1"/>
    <x v="1"/>
    <s v="Acco Perma 4000 Stacking Storage Drawers"/>
    <n v="81.2"/>
    <n v="5"/>
    <n v="12.18"/>
    <n v="15"/>
  </r>
  <r>
    <s v="CA-2019-139409"/>
    <x v="100"/>
    <s v="FW-14395"/>
    <s v="Fred Wasserman"/>
    <s v="United States"/>
    <x v="0"/>
    <x v="0"/>
    <s v="LF Elite 3D Dazzle Designer Hard Case Cover, Lf Stylus Pen and Wiper For Apple Iphone 5c Mini Lite"/>
    <n v="43.6"/>
    <n v="4"/>
    <n v="12.208"/>
    <n v="27.999999999999996"/>
  </r>
  <r>
    <s v="CA-2020-112844"/>
    <x v="14"/>
    <s v="SP-20620"/>
    <s v="Stefania Perrino"/>
    <s v="United States"/>
    <x v="0"/>
    <x v="0"/>
    <s v="LF Elite 3D Dazzle Designer Hard Case Cover, Lf Stylus Pen and Wiper For Apple Iphone 5c Mini Lite"/>
    <n v="149.6"/>
    <n v="4"/>
    <n v="12.208"/>
    <n v="8.1604278074866308"/>
  </r>
  <r>
    <s v="US-2020-138086"/>
    <x v="217"/>
    <s v="JO-15550"/>
    <s v="Jesus Ocampo"/>
    <s v="United States"/>
    <x v="2"/>
    <x v="1"/>
    <s v="Hoover Commercial SteamVac"/>
    <n v="115.74"/>
    <n v="3"/>
    <n v="12.222"/>
    <n v="10.559875583203732"/>
  </r>
  <r>
    <s v="CA-2019-153661"/>
    <x v="26"/>
    <s v="SC-20725"/>
    <s v="Steven Cartwright"/>
    <s v="United States"/>
    <x v="2"/>
    <x v="1"/>
    <s v="Avery 512"/>
    <n v="26.01"/>
    <n v="9"/>
    <n v="12.2247"/>
    <n v="47"/>
  </r>
  <r>
    <s v="US-2020-103226"/>
    <x v="10"/>
    <s v="DW-13195"/>
    <s v="David Wiener"/>
    <s v="United States"/>
    <x v="2"/>
    <x v="1"/>
    <s v="Southworth 25% Cotton Linen-Finish Paper &amp; Envelopes"/>
    <n v="142.18"/>
    <n v="3"/>
    <n v="12.231"/>
    <n v="8.6024757349838232"/>
  </r>
  <r>
    <s v="US-2019-123470"/>
    <x v="332"/>
    <s v="ME-17725"/>
    <s v="Max Engle"/>
    <s v="United States"/>
    <x v="2"/>
    <x v="1"/>
    <s v="Tripp Lite TLP810NET Broadband Surge for Modem/Fax"/>
    <n v="122.328"/>
    <n v="3"/>
    <n v="12.232799999999999"/>
    <n v="10"/>
  </r>
  <r>
    <s v="CA-2020-152310"/>
    <x v="557"/>
    <s v="DK-12895"/>
    <s v="Dana Kaydos"/>
    <s v="United States"/>
    <x v="2"/>
    <x v="0"/>
    <s v="Perixx PERIBOARD-512B, Ergonomic Split Keyboard"/>
    <n v="224.95"/>
    <n v="5"/>
    <n v="12.246499999999999"/>
    <n v="5.4440986885974656"/>
  </r>
  <r>
    <s v="CA-2020-165687"/>
    <x v="328"/>
    <s v="CS-12355"/>
    <s v="Christine Sundaresam"/>
    <s v="United States"/>
    <x v="1"/>
    <x v="1"/>
    <s v="Bionaire 99.97% HEPA Air Cleaner"/>
    <n v="130.04"/>
    <n v="2"/>
    <n v="12.263999999999999"/>
    <n v="9.4309443248231322"/>
  </r>
  <r>
    <s v="CA-2019-128412"/>
    <x v="528"/>
    <s v="AP-10915"/>
    <s v="Arthur Prichep"/>
    <s v="United States"/>
    <x v="2"/>
    <x v="1"/>
    <s v="Harmony HEPA Quiet Air Purifiers"/>
    <n v="35.1"/>
    <n v="3"/>
    <n v="12.285"/>
    <n v="35"/>
  </r>
  <r>
    <s v="CA-2020-168228"/>
    <x v="224"/>
    <s v="AP-10915"/>
    <s v="Arthur Prichep"/>
    <s v="United States"/>
    <x v="2"/>
    <x v="1"/>
    <s v="Boston Home &amp; Office Model 2000 Electric Pencil Sharpeners"/>
    <n v="148.30000000000001"/>
    <n v="2"/>
    <n v="12.298"/>
    <n v="8.2926500337154412"/>
  </r>
  <r>
    <s v="US-2020-107979"/>
    <x v="207"/>
    <s v="FO-14305"/>
    <s v="Frank Olsen"/>
    <s v="United States"/>
    <x v="2"/>
    <x v="0"/>
    <s v="Memorex Micro Travel Drive 16 GB"/>
    <n v="127.544"/>
    <n v="7"/>
    <n v="12.3123"/>
    <n v="9.6533745217336762"/>
  </r>
  <r>
    <s v="US-2020-116491"/>
    <x v="250"/>
    <s v="PG-18820"/>
    <s v="Patrick Gardner"/>
    <s v="United States"/>
    <x v="3"/>
    <x v="0"/>
    <s v="OtterBox Commuter Series Case - iPhone 5 &amp; 5s"/>
    <n v="143.184"/>
    <n v="2"/>
    <n v="12.314399999999999"/>
    <n v="8.600402279584312"/>
  </r>
  <r>
    <s v="CA-2019-169943"/>
    <x v="427"/>
    <s v="BN-11515"/>
    <s v="Bradley Nguyen"/>
    <s v="United States"/>
    <x v="0"/>
    <x v="2"/>
    <s v="DAX Value U-Channel Document Frames, Easel Back"/>
    <n v="39.76"/>
    <n v="8"/>
    <n v="12.3256"/>
    <n v="31"/>
  </r>
  <r>
    <s v="CA-2019-160129"/>
    <x v="509"/>
    <s v="LS-17200"/>
    <s v="Luke Schmidt"/>
    <s v="United States"/>
    <x v="0"/>
    <x v="2"/>
    <s v="DAX Executive Solid Wood Document Frame, Desktop or Hang, Mahogany, 5 x 7"/>
    <n v="70.447999999999993"/>
    <n v="7"/>
    <n v="12.3284"/>
    <n v="17.5"/>
  </r>
  <r>
    <s v="CA-2019-105900"/>
    <x v="186"/>
    <s v="BS-11590"/>
    <s v="Brendan Sweed"/>
    <s v="United States"/>
    <x v="3"/>
    <x v="1"/>
    <s v="Sanford Liquid Accent Highlighters"/>
    <n v="33.4"/>
    <n v="5"/>
    <n v="12.358000000000001"/>
    <n v="37.000000000000007"/>
  </r>
  <r>
    <s v="CA-2020-149489"/>
    <x v="298"/>
    <s v="DK-12835"/>
    <s v="Damala Kotsonis"/>
    <s v="United States"/>
    <x v="0"/>
    <x v="1"/>
    <s v="Acco Smartsocket Table Surge Protector, 6 Color-Coded Adapter Outlets"/>
    <n v="139.28"/>
    <n v="2"/>
    <n v="12.41"/>
    <n v="8.9101091326823667"/>
  </r>
  <r>
    <s v="CA-2019-109953"/>
    <x v="475"/>
    <s v="RB-19360"/>
    <s v="Raymond Buch"/>
    <s v="United States"/>
    <x v="2"/>
    <x v="0"/>
    <s v="Panasonic Kx-TS550"/>
    <n v="110.376"/>
    <n v="3"/>
    <n v="12.417299999999999"/>
    <n v="11.249999999999998"/>
  </r>
  <r>
    <s v="CA-2019-122322"/>
    <x v="596"/>
    <s v="RH-19510"/>
    <s v="Rick Huthwaite"/>
    <s v="United States"/>
    <x v="2"/>
    <x v="1"/>
    <s v="Fiskars Home &amp; Office Scissors"/>
    <n v="44.4"/>
    <n v="5"/>
    <n v="12.432"/>
    <n v="28.000000000000004"/>
  </r>
  <r>
    <s v="CA-2019-155439"/>
    <x v="597"/>
    <s v="PN-18775"/>
    <s v="Parhena Norris"/>
    <s v="United States"/>
    <x v="1"/>
    <x v="1"/>
    <s v="Xerox 224"/>
    <n v="25.92"/>
    <n v="4"/>
    <n v="12.441599999999999"/>
    <n v="47.999999999999993"/>
  </r>
  <r>
    <s v="CA-2019-117583"/>
    <x v="134"/>
    <s v="CB-12025"/>
    <s v="Cassandra Brandow"/>
    <s v="United States"/>
    <x v="0"/>
    <x v="1"/>
    <s v="Xerox 215"/>
    <n v="25.92"/>
    <n v="4"/>
    <n v="12.441599999999999"/>
    <n v="47.999999999999993"/>
  </r>
  <r>
    <s v="US-2019-108455"/>
    <x v="118"/>
    <s v="MK-18160"/>
    <s v="Mike Kennedy"/>
    <s v="United States"/>
    <x v="2"/>
    <x v="1"/>
    <s v="Xerox 192"/>
    <n v="25.92"/>
    <n v="4"/>
    <n v="12.441599999999999"/>
    <n v="47.999999999999993"/>
  </r>
  <r>
    <s v="CA-2020-139080"/>
    <x v="402"/>
    <s v="CS-12250"/>
    <s v="Chris Selesnick"/>
    <s v="United States"/>
    <x v="2"/>
    <x v="1"/>
    <s v="Xerox 212"/>
    <n v="116.92"/>
    <n v="4"/>
    <n v="12.441599999999999"/>
    <n v="10.64112213479302"/>
  </r>
  <r>
    <s v="CA-2020-163209"/>
    <x v="137"/>
    <s v="MK-18160"/>
    <s v="Mike Kennedy"/>
    <s v="United States"/>
    <x v="2"/>
    <x v="1"/>
    <s v="Xerox 2"/>
    <n v="143.91999999999999"/>
    <n v="4"/>
    <n v="12.441599999999999"/>
    <n v="8.6448026681489729"/>
  </r>
  <r>
    <s v="US-2020-148362"/>
    <x v="598"/>
    <s v="KF-16285"/>
    <s v="Karen Ferguson"/>
    <s v="United States"/>
    <x v="3"/>
    <x v="1"/>
    <s v="Xerox 226"/>
    <n v="134.91999999999999"/>
    <n v="4"/>
    <n v="12.441599999999999"/>
    <n v="9.2214645715979842"/>
  </r>
  <r>
    <s v="CA-2020-100433"/>
    <x v="290"/>
    <s v="SJ-20125"/>
    <s v="Sanjit Jacobs"/>
    <s v="United States"/>
    <x v="0"/>
    <x v="1"/>
    <s v="Xerox 226"/>
    <n v="110.92"/>
    <n v="4"/>
    <n v="12.441599999999999"/>
    <n v="11.216732780382257"/>
  </r>
  <r>
    <s v="CA-2020-105326"/>
    <x v="536"/>
    <s v="KT-16480"/>
    <s v="Kean Thornton"/>
    <s v="United States"/>
    <x v="2"/>
    <x v="1"/>
    <s v="Xerox 203"/>
    <n v="140.91999999999999"/>
    <n v="4"/>
    <n v="12.441599999999999"/>
    <n v="8.8288390576213462"/>
  </r>
  <r>
    <s v="CA-2020-164756"/>
    <x v="406"/>
    <s v="SS-20140"/>
    <s v="Saphhira Shifley"/>
    <s v="United States"/>
    <x v="1"/>
    <x v="1"/>
    <s v="Xerox 1997"/>
    <n v="144.91999999999999"/>
    <n v="4"/>
    <n v="12.441599999999999"/>
    <n v="8.5851504278222475"/>
  </r>
  <r>
    <s v="CA-2020-103212"/>
    <x v="114"/>
    <s v="MH-18025"/>
    <s v="Michelle Huthwaite"/>
    <s v="United States"/>
    <x v="1"/>
    <x v="1"/>
    <s v="Xerox 231"/>
    <n v="138.91999999999999"/>
    <n v="4"/>
    <n v="12.441599999999999"/>
    <n v="8.9559458681255411"/>
  </r>
  <r>
    <s v="CA-2020-153843"/>
    <x v="52"/>
    <s v="SC-20380"/>
    <s v="Shahid Collister"/>
    <s v="United States"/>
    <x v="0"/>
    <x v="1"/>
    <s v="Strathmore Photo Mount Cards"/>
    <n v="160.12"/>
    <n v="4"/>
    <n v="12.475199999999999"/>
    <n v="7.7911566325256043"/>
  </r>
  <r>
    <s v="CA-2019-101161"/>
    <x v="27"/>
    <s v="BW-11110"/>
    <s v="Bart Watters"/>
    <s v="United States"/>
    <x v="0"/>
    <x v="1"/>
    <s v="BIC Liqua Brite Liner"/>
    <n v="34.700000000000003"/>
    <n v="5"/>
    <n v="12.492000000000001"/>
    <n v="36"/>
  </r>
  <r>
    <s v="CA-2020-109960"/>
    <x v="356"/>
    <s v="DB-13210"/>
    <s v="Dean Braden"/>
    <s v="United States"/>
    <x v="3"/>
    <x v="1"/>
    <s v="BIC Liqua Brite Liner"/>
    <n v="126.7"/>
    <n v="5"/>
    <n v="12.492000000000001"/>
    <n v="9.8595106550907659"/>
  </r>
  <r>
    <s v="CA-2020-112809"/>
    <x v="243"/>
    <s v="RA-19915"/>
    <s v="Russell Applegate"/>
    <s v="United States"/>
    <x v="3"/>
    <x v="1"/>
    <s v="Safco Steel Mobile File Cart"/>
    <n v="220.06399999999999"/>
    <n v="3"/>
    <n v="12.504"/>
    <n v="5.6819834230042172"/>
  </r>
  <r>
    <s v="CA-2020-110926"/>
    <x v="4"/>
    <s v="DD-13570"/>
    <s v="Dorothy Dickinson"/>
    <s v="United States"/>
    <x v="1"/>
    <x v="1"/>
    <s v="OIC Binder Clips"/>
    <n v="138.06"/>
    <n v="7"/>
    <n v="12.53"/>
    <n v="9.0757641605099213"/>
  </r>
  <r>
    <s v="CA-2020-147361"/>
    <x v="37"/>
    <s v="SB-20290"/>
    <s v="Sean Braxton"/>
    <s v="United States"/>
    <x v="1"/>
    <x v="1"/>
    <s v="Fellowes Officeware Wire Shelving"/>
    <n v="667.81"/>
    <n v="7"/>
    <n v="12.5762"/>
    <n v="1.8832003114658362"/>
  </r>
  <r>
    <s v="CA-2019-146836"/>
    <x v="139"/>
    <s v="CC-12475"/>
    <s v="Cindy Chapman"/>
    <s v="United States"/>
    <x v="0"/>
    <x v="1"/>
    <s v="Super Decoflex Portable Personal File"/>
    <n v="44.94"/>
    <n v="3"/>
    <n v="12.5832"/>
    <n v="28.000000000000004"/>
  </r>
  <r>
    <s v="CA-2019-161928"/>
    <x v="369"/>
    <s v="AC-10660"/>
    <s v="Anna Chung"/>
    <s v="United States"/>
    <x v="2"/>
    <x v="0"/>
    <s v="Ooma Telo VoIP Home Phone System"/>
    <n v="201.584"/>
    <n v="2"/>
    <n v="12.599"/>
    <n v="6.25"/>
  </r>
  <r>
    <s v="CA-2020-123001"/>
    <x v="149"/>
    <s v="AW-10840"/>
    <s v="Anthony Witt"/>
    <s v="United States"/>
    <x v="2"/>
    <x v="0"/>
    <s v="Ooma Telo VoIP Home Phone System"/>
    <n v="247.584"/>
    <n v="2"/>
    <n v="12.599"/>
    <n v="5.0887779501098613"/>
  </r>
  <r>
    <s v="CA-2020-167913"/>
    <x v="196"/>
    <s v="JL-15835"/>
    <s v="John Lee"/>
    <s v="United States"/>
    <x v="2"/>
    <x v="1"/>
    <s v="Avery 480"/>
    <n v="116.25"/>
    <n v="7"/>
    <n v="12.6"/>
    <n v="10.838709677419354"/>
  </r>
  <r>
    <s v="CA-2019-116596"/>
    <x v="484"/>
    <s v="BW-11200"/>
    <s v="Ben Wallace"/>
    <s v="United States"/>
    <x v="0"/>
    <x v="1"/>
    <s v="Advantus Push Pins, Aluminum Head"/>
    <n v="40.67"/>
    <n v="7"/>
    <n v="12.607699999999999"/>
    <n v="31"/>
  </r>
  <r>
    <s v="CA-2020-128076"/>
    <x v="345"/>
    <s v="BO-11350"/>
    <s v="Bill Overfelt"/>
    <s v="United States"/>
    <x v="2"/>
    <x v="2"/>
    <s v="Eldon Antistatic Chair Mats for Low to Medium Pile Carpets"/>
    <n v="242.58"/>
    <n v="2"/>
    <n v="12.6348"/>
    <n v="5.2085085332673753"/>
  </r>
  <r>
    <s v="US-2019-153815"/>
    <x v="264"/>
    <s v="KL-16555"/>
    <s v="Kelly Lampkin"/>
    <s v="United States"/>
    <x v="1"/>
    <x v="1"/>
    <s v="Embossed Ink Jet Note Cards"/>
    <n v="36.112000000000002"/>
    <n v="2"/>
    <n v="12.639200000000001"/>
    <n v="35"/>
  </r>
  <r>
    <s v="CA-2020-117324"/>
    <x v="136"/>
    <s v="JP-15520"/>
    <s v="Jeremy Pistek"/>
    <s v="United States"/>
    <x v="3"/>
    <x v="1"/>
    <s v="Adams Phone Message Book, 200 Message Capacity, 8 1/16” x 11”"/>
    <n v="132.52000000000001"/>
    <n v="4"/>
    <n v="12.6592"/>
    <n v="9.5526712948988823"/>
  </r>
  <r>
    <s v="CA-2019-116526"/>
    <x v="391"/>
    <s v="JA-15970"/>
    <s v="Joseph Airdo"/>
    <s v="United States"/>
    <x v="3"/>
    <x v="1"/>
    <s v="Wilson Jones 1&quot; Hanging DublLock Ring Binders"/>
    <n v="26.4"/>
    <n v="5"/>
    <n v="12.672000000000001"/>
    <n v="48.000000000000007"/>
  </r>
  <r>
    <s v="US-2020-153948"/>
    <x v="174"/>
    <s v="FM-14290"/>
    <s v="Frank Merwin"/>
    <s v="United States"/>
    <x v="2"/>
    <x v="1"/>
    <s v="Astroparche Fine Business Paper"/>
    <n v="126.4"/>
    <n v="5"/>
    <n v="12.672000000000001"/>
    <n v="10.025316455696203"/>
  </r>
  <r>
    <s v="CA-2020-124436"/>
    <x v="120"/>
    <s v="SA-20830"/>
    <s v="Sue Ann Reed"/>
    <s v="United States"/>
    <x v="2"/>
    <x v="2"/>
    <s v="Advantus Employee of the Month Certificate Frame, 11 x 13-1/2"/>
    <n v="129.93"/>
    <n v="1"/>
    <n v="12.6813"/>
    <n v="9.760101593165551"/>
  </r>
  <r>
    <s v="CA-2020-135111"/>
    <x v="240"/>
    <s v="CS-12400"/>
    <s v="Christopher Schild"/>
    <s v="United States"/>
    <x v="3"/>
    <x v="1"/>
    <s v="Wilson Jones Impact Binders"/>
    <n v="296.89999999999998"/>
    <n v="5"/>
    <n v="12.691000000000001"/>
    <n v="4.2745031997305496"/>
  </r>
  <r>
    <s v="US-2020-133781"/>
    <x v="286"/>
    <s v="DC-12850"/>
    <s v="Dan Campbell"/>
    <s v="United States"/>
    <x v="1"/>
    <x v="1"/>
    <s v="#10 White Business Envelopes,4 1/8 x 9 1/2"/>
    <n v="145.608"/>
    <n v="3"/>
    <n v="12.6927"/>
    <n v="8.717034778308884"/>
  </r>
  <r>
    <s v="CA-2019-134789"/>
    <x v="5"/>
    <s v="CK-12325"/>
    <s v="Christine Kargatis"/>
    <s v="United States"/>
    <x v="1"/>
    <x v="1"/>
    <s v="Xerox 1993"/>
    <n v="25.92"/>
    <n v="4"/>
    <n v="12.700799999999999"/>
    <n v="48.999999999999993"/>
  </r>
  <r>
    <s v="CA-2020-127306"/>
    <x v="325"/>
    <s v="BH-11710"/>
    <s v="Brosina Hoffman"/>
    <s v="United States"/>
    <x v="1"/>
    <x v="1"/>
    <s v="Xerox 1931"/>
    <n v="157.28800000000001"/>
    <n v="7"/>
    <n v="12.700799999999999"/>
    <n v="8.0748690300595083"/>
  </r>
  <r>
    <s v="CA-2020-162691"/>
    <x v="61"/>
    <s v="AS-10045"/>
    <s v="Aaron Smayling"/>
    <s v="United States"/>
    <x v="3"/>
    <x v="1"/>
    <s v="Xerox 1998"/>
    <n v="128.28800000000001"/>
    <n v="7"/>
    <n v="12.700799999999999"/>
    <n v="9.9002244948865048"/>
  </r>
  <r>
    <s v="CA-2020-156622"/>
    <x v="254"/>
    <s v="JP-15460"/>
    <s v="Jennifer Patt"/>
    <s v="United States"/>
    <x v="3"/>
    <x v="1"/>
    <s v="Xerox 22"/>
    <n v="133.28800000000001"/>
    <n v="7"/>
    <n v="12.700799999999999"/>
    <n v="9.5288398055338792"/>
  </r>
  <r>
    <s v="CA-2020-100111"/>
    <x v="495"/>
    <s v="SV-20365"/>
    <s v="Seth Vernon"/>
    <s v="United States"/>
    <x v="0"/>
    <x v="1"/>
    <s v="SimpliFile Personal File, Black Granite, 15w x 6-15/16d x 11-1/4h"/>
    <n v="154.4"/>
    <n v="4"/>
    <n v="12.712"/>
    <n v="8.2331606217616571"/>
  </r>
  <r>
    <s v="CA-2019-102932"/>
    <x v="204"/>
    <s v="SD-20485"/>
    <s v="Shirley Daniels"/>
    <s v="United States"/>
    <x v="0"/>
    <x v="1"/>
    <s v="Storex DuraTech Recycled Plastic Frosted Binders"/>
    <n v="25.44"/>
    <n v="6"/>
    <n v="12.72"/>
    <n v="50"/>
  </r>
  <r>
    <s v="CA-2020-115322"/>
    <x v="40"/>
    <s v="ZC-21910"/>
    <s v="Zuschuss Carroll"/>
    <s v="United States"/>
    <x v="0"/>
    <x v="1"/>
    <s v="Panasonic KP-4ABK Battery-Operated Pencil Sharpener"/>
    <n v="149.91999999999999"/>
    <n v="3"/>
    <n v="12.736800000000001"/>
    <n v="8.4957310565635016"/>
  </r>
  <r>
    <s v="CA-2019-166380"/>
    <x v="323"/>
    <s v="EB-13750"/>
    <s v="Edward Becker"/>
    <s v="United States"/>
    <x v="1"/>
    <x v="1"/>
    <s v="Redi-Strip #10 Envelopes, 4 1/8 x 9 1/2"/>
    <n v="26.55"/>
    <n v="9"/>
    <n v="12.744"/>
    <n v="48"/>
  </r>
  <r>
    <s v="CA-2019-113425"/>
    <x v="284"/>
    <s v="JK-16120"/>
    <s v="Julie Kriz"/>
    <s v="United States"/>
    <x v="0"/>
    <x v="2"/>
    <s v="Hon Metal Bookcases, Putty"/>
    <n v="113.568"/>
    <n v="2"/>
    <n v="12.776400000000001"/>
    <n v="11.25"/>
  </r>
  <r>
    <s v="US-2020-147669"/>
    <x v="141"/>
    <s v="SV-20935"/>
    <s v="Susan Vittorini"/>
    <s v="United States"/>
    <x v="0"/>
    <x v="1"/>
    <s v="Staples"/>
    <n v="330.31200000000001"/>
    <n v="13"/>
    <n v="12.776400000000001"/>
    <n v="3.8679793649640337"/>
  </r>
  <r>
    <s v="CA-2019-119865"/>
    <x v="219"/>
    <s v="AS-10090"/>
    <s v="Adam Shillingsburg"/>
    <s v="United States"/>
    <x v="0"/>
    <x v="1"/>
    <s v="SpineVue Locking Slant-D Ring Binders by Cardinal"/>
    <n v="36.56"/>
    <n v="5"/>
    <n v="12.795999999999999"/>
    <n v="35"/>
  </r>
  <r>
    <s v="CA-2019-126809"/>
    <x v="511"/>
    <s v="EB-13750"/>
    <s v="Edward Becker"/>
    <s v="United States"/>
    <x v="2"/>
    <x v="1"/>
    <s v="Acco Pressboard Covers with Storage Hooks, 14 7/8&quot; x 11&quot;, Light Blue"/>
    <n v="35.351999999999997"/>
    <n v="9"/>
    <n v="12.815099999999999"/>
    <n v="36.25"/>
  </r>
  <r>
    <s v="CA-2020-127803"/>
    <x v="234"/>
    <s v="ND-18460"/>
    <s v="Neil Ducich"/>
    <s v="United States"/>
    <x v="1"/>
    <x v="1"/>
    <s v="Wilson Jones Four-Pocket Poly Binders"/>
    <n v="131.16"/>
    <n v="4"/>
    <n v="12.8184"/>
    <n v="9.7731015553522429"/>
  </r>
  <r>
    <s v="CA-2019-107328"/>
    <x v="441"/>
    <s v="CA-12055"/>
    <s v="Cathy Armstrong"/>
    <s v="United States"/>
    <x v="2"/>
    <x v="2"/>
    <s v="Chromcraft 48&quot; x 96&quot; Racetrack Double Pedestal Table"/>
    <n v="513.024"/>
    <n v="2"/>
    <n v="12.8256"/>
    <n v="2.5"/>
  </r>
  <r>
    <s v="US-2020-147886"/>
    <x v="208"/>
    <s v="DH-13075"/>
    <s v="Dave Hallsten"/>
    <s v="United States"/>
    <x v="2"/>
    <x v="1"/>
    <s v="Xerox 1968"/>
    <n v="139.72"/>
    <n v="4"/>
    <n v="12.8256"/>
    <n v="9.1795018608645869"/>
  </r>
  <r>
    <s v="CA-2019-102127"/>
    <x v="454"/>
    <s v="VP-21760"/>
    <s v="Victoria Pisteka"/>
    <s v="United States"/>
    <x v="0"/>
    <x v="2"/>
    <s v="DAX Executive Solid Wood Document Frame, Desktop or Hang, Mahogany, 5 x 7"/>
    <n v="37.74"/>
    <n v="3"/>
    <n v="12.8316"/>
    <n v="34"/>
  </r>
  <r>
    <s v="CA-2020-115994"/>
    <x v="599"/>
    <s v="BT-11305"/>
    <s v="Beth Thompson"/>
    <s v="United States"/>
    <x v="2"/>
    <x v="2"/>
    <s v="DAX Executive Solid Wood Document Frame, Desktop or Hang, Mahogany, 5 x 7"/>
    <n v="135.74"/>
    <n v="3"/>
    <n v="12.8316"/>
    <n v="9.4530720495064084"/>
  </r>
  <r>
    <s v="US-2020-112347"/>
    <x v="18"/>
    <s v="BS-11380"/>
    <s v="Bill Stewart"/>
    <s v="United States"/>
    <x v="2"/>
    <x v="1"/>
    <s v="Letter Size Cart"/>
    <n v="155.28800000000001"/>
    <n v="1"/>
    <n v="12.8574"/>
    <n v="8.2797125341301321"/>
  </r>
  <r>
    <s v="CA-2019-106397"/>
    <x v="270"/>
    <s v="MJ-17740"/>
    <s v="Max Jones"/>
    <s v="United States"/>
    <x v="2"/>
    <x v="1"/>
    <s v="Boston KS Multi-Size Manual Pencil Sharpener"/>
    <n v="45.98"/>
    <n v="2"/>
    <n v="12.8744"/>
    <n v="28.000000000000004"/>
  </r>
  <r>
    <s v="CA-2019-146934"/>
    <x v="308"/>
    <s v="AF-10870"/>
    <s v="Art Ferguson"/>
    <s v="United States"/>
    <x v="0"/>
    <x v="1"/>
    <s v="Ampad #10 Peel &amp; Seel Holiday Envelopes"/>
    <n v="26.88"/>
    <n v="6"/>
    <n v="12.9024"/>
    <n v="48.000000000000007"/>
  </r>
  <r>
    <s v="CA-2019-116561"/>
    <x v="106"/>
    <s v="EB-14110"/>
    <s v="Eugene Barchas"/>
    <s v="United States"/>
    <x v="2"/>
    <x v="1"/>
    <s v="GBC Standard Therm-A-Bind Covers"/>
    <n v="39.872"/>
    <n v="2"/>
    <n v="12.958399999999999"/>
    <n v="32.499999999999993"/>
  </r>
  <r>
    <s v="CA-2019-144092"/>
    <x v="77"/>
    <s v="LH-17155"/>
    <s v="Logan Haushalter"/>
    <s v="United States"/>
    <x v="2"/>
    <x v="0"/>
    <s v="KeyTronic E03601U1 - Keyboard - Beige"/>
    <n v="72"/>
    <n v="4"/>
    <n v="12.96"/>
    <n v="18.000000000000004"/>
  </r>
  <r>
    <s v="CA-2020-142034"/>
    <x v="64"/>
    <s v="KB-16240"/>
    <s v="Karen Bern"/>
    <s v="United States"/>
    <x v="3"/>
    <x v="0"/>
    <s v="KeyTronic E03601U1 - Keyboard - Beige"/>
    <n v="112"/>
    <n v="4"/>
    <n v="12.96"/>
    <n v="11.571428571428573"/>
  </r>
  <r>
    <s v="US-2019-115819"/>
    <x v="190"/>
    <s v="JO-15280"/>
    <s v="Jas O'Carroll"/>
    <s v="United States"/>
    <x v="2"/>
    <x v="0"/>
    <s v="PowerGen Dual USB Car Charger"/>
    <n v="39.96"/>
    <n v="5"/>
    <n v="12.987"/>
    <n v="32.5"/>
  </r>
  <r>
    <s v="CA-2020-123134"/>
    <x v="571"/>
    <s v="DW-13585"/>
    <s v="Dorothy Wardle"/>
    <s v="United States"/>
    <x v="0"/>
    <x v="2"/>
    <s v="Eldon Advantage Chair Mats for Low to Medium Pile Carpets"/>
    <n v="159.93"/>
    <n v="3"/>
    <n v="12.993"/>
    <n v="8.1241793284561989"/>
  </r>
  <r>
    <s v="CA-2020-134915"/>
    <x v="151"/>
    <s v="EM-14140"/>
    <s v="Eugene Moren"/>
    <s v="United States"/>
    <x v="2"/>
    <x v="0"/>
    <s v="Memorex Micro Travel Drive 8 GB"/>
    <n v="131.6"/>
    <n v="4"/>
    <n v="13"/>
    <n v="9.8784194528875382"/>
  </r>
  <r>
    <s v="CA-2020-166142"/>
    <x v="205"/>
    <s v="MM-17260"/>
    <s v="Magdelene Morse"/>
    <s v="United States"/>
    <x v="0"/>
    <x v="1"/>
    <s v="GBC Standard Plastic Binding Systems Combs"/>
    <n v="132.55000000000001"/>
    <n v="3"/>
    <n v="13.009499999999999"/>
    <n v="9.8147868728781571"/>
  </r>
  <r>
    <s v="CA-2020-156664"/>
    <x v="339"/>
    <s v="BP-11290"/>
    <s v="Beth Paige"/>
    <s v="United States"/>
    <x v="0"/>
    <x v="1"/>
    <s v="Kensington 4 Outlet MasterPiece Compact Power Control Center"/>
    <n v="498.11200000000002"/>
    <n v="2"/>
    <n v="13.011200000000001"/>
    <n v="2.6121033020686113"/>
  </r>
  <r>
    <s v="CA-2019-155383"/>
    <x v="45"/>
    <s v="SC-20680"/>
    <s v="Steve Carroll"/>
    <s v="United States"/>
    <x v="2"/>
    <x v="1"/>
    <s v="Personal Filing Tote with Lid, Black/Gray"/>
    <n v="46.53"/>
    <n v="3"/>
    <n v="13.0284"/>
    <n v="27.999999999999996"/>
  </r>
  <r>
    <s v="CA-2019-125738"/>
    <x v="486"/>
    <s v="PB-18805"/>
    <s v="Patrick Bzostek"/>
    <s v="United States"/>
    <x v="2"/>
    <x v="1"/>
    <s v="Acco Data Flex Cable Posts For Top &amp; Bottom Load Binders, 6&quot; Capacity"/>
    <n v="41.72"/>
    <n v="5"/>
    <n v="13.0375"/>
    <n v="31.25"/>
  </r>
  <r>
    <s v="CA-2019-128972"/>
    <x v="394"/>
    <s v="TS-21430"/>
    <s v="Tom Stivers"/>
    <s v="United States"/>
    <x v="3"/>
    <x v="2"/>
    <s v="Master Giant Foot Doorstop, Safety Yellow"/>
    <n v="30.36"/>
    <n v="4"/>
    <n v="13.0548"/>
    <n v="43"/>
  </r>
  <r>
    <s v="CA-2019-159142"/>
    <x v="563"/>
    <s v="ME-17320"/>
    <s v="Maria Etezadi"/>
    <s v="United States"/>
    <x v="1"/>
    <x v="1"/>
    <s v="Wirebound Message Books, Four 2 3/4&quot; x 5&quot; Forms per Page, 600 Sets per Book"/>
    <n v="27.81"/>
    <n v="3"/>
    <n v="13.0707"/>
    <n v="47"/>
  </r>
  <r>
    <s v="US-2019-135209"/>
    <x v="268"/>
    <s v="MH-17290"/>
    <s v="Marc Harrigan"/>
    <s v="United States"/>
    <x v="1"/>
    <x v="1"/>
    <s v="Xerox 1898"/>
    <n v="37.408000000000001"/>
    <n v="7"/>
    <n v="13.0928"/>
    <n v="35"/>
  </r>
  <r>
    <s v="CA-2019-156503"/>
    <x v="487"/>
    <s v="NC-18415"/>
    <s v="Nathan Cano"/>
    <s v="United States"/>
    <x v="1"/>
    <x v="1"/>
    <s v="White Business Envelopes with Contemporary Seam, Recycled White Business Envelopes"/>
    <n v="35.008000000000003"/>
    <n v="4"/>
    <n v="13.128"/>
    <n v="37.5"/>
  </r>
  <r>
    <s v="CA-2019-169166"/>
    <x v="119"/>
    <s v="SS-20590"/>
    <s v="Sonia Sunley"/>
    <s v="United States"/>
    <x v="2"/>
    <x v="0"/>
    <s v="Sony Micro Vault Click 8 GB USB 2.0 Flash Drive"/>
    <n v="93.98"/>
    <n v="2"/>
    <n v="13.1572"/>
    <n v="13.999999999999998"/>
  </r>
  <r>
    <s v="CA-2019-116736"/>
    <x v="600"/>
    <s v="CC-12430"/>
    <s v="Chuck Clark"/>
    <s v="United States"/>
    <x v="0"/>
    <x v="0"/>
    <s v="Logitech 910-002974 M325 Wireless Mouse for Web Scrolling"/>
    <n v="29.99"/>
    <n v="1"/>
    <n v="13.195600000000001"/>
    <n v="44.000000000000007"/>
  </r>
  <r>
    <s v="CA-2019-132094"/>
    <x v="261"/>
    <s v="VG-21805"/>
    <s v="Vivek Grady"/>
    <s v="United States"/>
    <x v="0"/>
    <x v="0"/>
    <s v="Logitech Trackman Marble Mouse"/>
    <n v="47.984000000000002"/>
    <n v="2"/>
    <n v="13.195600000000001"/>
    <n v="27.500000000000004"/>
  </r>
  <r>
    <s v="CA-2020-120168"/>
    <x v="347"/>
    <s v="TB-21625"/>
    <s v="Trudy Brown"/>
    <s v="United States"/>
    <x v="0"/>
    <x v="0"/>
    <s v="Imation 8gb Micro Traveldrive Usb 2.0 Flash Drive"/>
    <n v="139"/>
    <n v="8"/>
    <n v="13.2"/>
    <n v="9.4964028776978413"/>
  </r>
  <r>
    <s v="CA-2019-140564"/>
    <x v="444"/>
    <s v="TC-21475"/>
    <s v="Tony Chapman"/>
    <s v="United States"/>
    <x v="0"/>
    <x v="1"/>
    <s v="BIC Brite Liner Grip Highlighters, Assorted, 5/Pack"/>
    <n v="33.92"/>
    <n v="8"/>
    <n v="13.2288"/>
    <n v="38.999999999999993"/>
  </r>
  <r>
    <s v="CA-2019-107790"/>
    <x v="165"/>
    <s v="EH-13990"/>
    <s v="Erica Hackney"/>
    <s v="United States"/>
    <x v="3"/>
    <x v="0"/>
    <s v="Wireless Extenders zBoost YX545 SOHO Signal Booster"/>
    <n v="151.19200000000001"/>
    <n v="1"/>
    <n v="13.2293"/>
    <n v="8.75"/>
  </r>
  <r>
    <s v="CA-2020-107342"/>
    <x v="93"/>
    <s v="VF-21715"/>
    <s v="Vicky Freymann"/>
    <s v="United States"/>
    <x v="3"/>
    <x v="1"/>
    <s v="Wirebound Message Books, 2 7/8&quot; x 5&quot;, 3 Forms per Page"/>
    <n v="407.16"/>
    <n v="4"/>
    <n v="13.235200000000001"/>
    <n v="3.2506140092346989"/>
  </r>
  <r>
    <s v="CA-2019-116547"/>
    <x v="577"/>
    <s v="KB-16585"/>
    <s v="Ken Black"/>
    <s v="United States"/>
    <x v="2"/>
    <x v="0"/>
    <s v="Logitech Media Keyboard K200"/>
    <n v="69.98"/>
    <n v="2"/>
    <n v="13.296200000000001"/>
    <n v="19"/>
  </r>
  <r>
    <s v="US-2020-104955"/>
    <x v="120"/>
    <s v="CG-12040"/>
    <s v="Catherine Glotzbach"/>
    <s v="United States"/>
    <x v="0"/>
    <x v="1"/>
    <s v="Avery 506"/>
    <n v="153.91"/>
    <n v="7"/>
    <n v="13.2986"/>
    <n v="8.6405041907608346"/>
  </r>
  <r>
    <s v="US-2020-104661"/>
    <x v="200"/>
    <s v="TB-21250"/>
    <s v="Tim Brockman"/>
    <s v="United States"/>
    <x v="3"/>
    <x v="0"/>
    <s v="Maxell 74 Minute CDR, 10/Pack"/>
    <n v="102.592"/>
    <n v="8"/>
    <n v="13.300800000000001"/>
    <n v="12.96475358702433"/>
  </r>
  <r>
    <s v="CA-2020-117457"/>
    <x v="136"/>
    <s v="KH-16510"/>
    <s v="Keith Herrera"/>
    <s v="United States"/>
    <x v="2"/>
    <x v="1"/>
    <s v="Wirebound Message Book, 4 per Page"/>
    <n v="111.15"/>
    <n v="5"/>
    <n v="13.3035"/>
    <n v="11.968960863697705"/>
  </r>
  <r>
    <s v="CA-2019-130638"/>
    <x v="426"/>
    <s v="SC-20095"/>
    <s v="Sanjit Chand"/>
    <s v="United States"/>
    <x v="2"/>
    <x v="1"/>
    <s v="Avery 481"/>
    <n v="27.72"/>
    <n v="9"/>
    <n v="13.3056"/>
    <n v="48.000000000000007"/>
  </r>
  <r>
    <s v="CA-2020-167381"/>
    <x v="10"/>
    <s v="EH-14005"/>
    <s v="Erica Hernandez"/>
    <s v="United States"/>
    <x v="3"/>
    <x v="1"/>
    <s v="Avery 511"/>
    <n v="149.72"/>
    <n v="9"/>
    <n v="13.3056"/>
    <n v="8.8869890462196093"/>
  </r>
  <r>
    <s v="US-2020-148362"/>
    <x v="598"/>
    <s v="KF-16285"/>
    <s v="Karen Ferguson"/>
    <s v="United States"/>
    <x v="3"/>
    <x v="1"/>
    <s v="Carina Mini System Audio Rack, Model AR050B"/>
    <n v="475.92"/>
    <n v="4"/>
    <n v="13.317600000000001"/>
    <n v="2.7982854261220371"/>
  </r>
  <r>
    <s v="CA-2020-121258"/>
    <x v="595"/>
    <s v="DB-13060"/>
    <s v="Dave Brooks"/>
    <s v="United States"/>
    <x v="2"/>
    <x v="1"/>
    <s v="It's Hot Message Books with Stickers, 2 3/4&quot; x 5&quot;"/>
    <n v="152.6"/>
    <n v="4"/>
    <n v="13.32"/>
    <n v="8.7287024901703791"/>
  </r>
  <r>
    <s v="CA-2019-169215"/>
    <x v="475"/>
    <s v="RE-19450"/>
    <s v="Richard Eichhorn"/>
    <s v="United States"/>
    <x v="0"/>
    <x v="1"/>
    <s v="Acco Hot Clips Clips to Go"/>
    <n v="29.61"/>
    <n v="9"/>
    <n v="13.3245"/>
    <n v="45"/>
  </r>
  <r>
    <s v="CA-2019-128867"/>
    <x v="65"/>
    <s v="CL-12565"/>
    <s v="Clay Ludtke"/>
    <s v="United States"/>
    <x v="3"/>
    <x v="1"/>
    <s v="Avery Durable Plastic 1&quot; Binders"/>
    <n v="27.24"/>
    <n v="6"/>
    <n v="13.3476"/>
    <n v="49.000000000000007"/>
  </r>
  <r>
    <s v="CA-2019-146633"/>
    <x v="82"/>
    <s v="TG-21310"/>
    <s v="Toby Gnade"/>
    <s v="United States"/>
    <x v="2"/>
    <x v="1"/>
    <s v="Avery Self-Adhesive Photo Pockets for Polaroid Photos"/>
    <n v="38.136000000000003"/>
    <n v="7"/>
    <n v="13.3476"/>
    <n v="35"/>
  </r>
  <r>
    <s v="CA-2019-154508"/>
    <x v="519"/>
    <s v="RD-19900"/>
    <s v="Ruben Dartt"/>
    <s v="United States"/>
    <x v="2"/>
    <x v="1"/>
    <s v="Staple envelope"/>
    <n v="28.4"/>
    <n v="5"/>
    <n v="13.348000000000001"/>
    <n v="47"/>
  </r>
  <r>
    <s v="CA-2020-145877"/>
    <x v="311"/>
    <s v="AS-10090"/>
    <s v="Adam Shillingsburg"/>
    <s v="United States"/>
    <x v="3"/>
    <x v="1"/>
    <s v="Staple envelope"/>
    <n v="118.4"/>
    <n v="5"/>
    <n v="13.348000000000001"/>
    <n v="11.273648648648649"/>
  </r>
  <r>
    <s v="CA-2019-118500"/>
    <x v="532"/>
    <s v="HJ-14875"/>
    <s v="Heather Jas"/>
    <s v="United States"/>
    <x v="2"/>
    <x v="1"/>
    <s v="Acme Tagit Stainless Steel Antibacterial Scissors"/>
    <n v="49.5"/>
    <n v="5"/>
    <n v="13.365"/>
    <n v="27"/>
  </r>
  <r>
    <s v="CA-2020-122735"/>
    <x v="601"/>
    <s v="BD-11320"/>
    <s v="Bill Donatelli"/>
    <s v="United States"/>
    <x v="0"/>
    <x v="1"/>
    <s v="Storex Dura Pro Binders"/>
    <n v="145.69999999999999"/>
    <n v="5"/>
    <n v="13.365"/>
    <n v="9.1729581331503098"/>
  </r>
  <r>
    <s v="CA-2020-161088"/>
    <x v="347"/>
    <s v="MH-18115"/>
    <s v="Mick Hernandez"/>
    <s v="United States"/>
    <x v="1"/>
    <x v="1"/>
    <s v="Recycled Easel Ring Binders"/>
    <n v="145.84"/>
    <n v="2"/>
    <n v="13.428000000000001"/>
    <n v="9.2073505211190341"/>
  </r>
  <r>
    <s v="CA-2019-156139"/>
    <x v="235"/>
    <s v="BP-11155"/>
    <s v="Becky Pak"/>
    <s v="United States"/>
    <x v="2"/>
    <x v="1"/>
    <s v="GBC Pre-Punched Binding Paper, Plastic, White, 8-1/2&quot; x 11&quot;"/>
    <n v="38.375999999999998"/>
    <n v="3"/>
    <n v="13.4316"/>
    <n v="35"/>
  </r>
  <r>
    <s v="CA-2020-139311"/>
    <x v="290"/>
    <s v="SF-20965"/>
    <s v="Sylvia Foulston"/>
    <s v="United States"/>
    <x v="3"/>
    <x v="0"/>
    <s v="Pyle PMP37LED"/>
    <n v="201.584"/>
    <n v="2"/>
    <n v="13.438599999999999"/>
    <n v="6.6665013096277477"/>
  </r>
  <r>
    <s v="CA-2019-146157"/>
    <x v="284"/>
    <s v="RD-19720"/>
    <s v="Roger Demir"/>
    <s v="United States"/>
    <x v="3"/>
    <x v="1"/>
    <s v="Xerox 1910"/>
    <n v="38.432000000000002"/>
    <n v="1"/>
    <n v="13.4512"/>
    <n v="35"/>
  </r>
  <r>
    <s v="CA-2019-160479"/>
    <x v="498"/>
    <s v="AH-10585"/>
    <s v="Angele Hood"/>
    <s v="United States"/>
    <x v="2"/>
    <x v="1"/>
    <s v="SANFORD Major Accent Highlighters"/>
    <n v="35.4"/>
    <n v="5"/>
    <n v="13.452"/>
    <n v="38"/>
  </r>
  <r>
    <s v="CA-2019-145898"/>
    <x v="66"/>
    <s v="CM-12445"/>
    <s v="Chuck Magee"/>
    <s v="United States"/>
    <x v="2"/>
    <x v="1"/>
    <s v="SANFORD Major Accent Highlighters"/>
    <n v="35.4"/>
    <n v="5"/>
    <n v="13.452"/>
    <n v="38"/>
  </r>
  <r>
    <s v="CA-2020-139787"/>
    <x v="121"/>
    <s v="JP-16135"/>
    <s v="Julie Prescott"/>
    <s v="United States"/>
    <x v="1"/>
    <x v="1"/>
    <s v="SANFORD Major Accent Highlighters"/>
    <n v="158.4"/>
    <n v="5"/>
    <n v="13.452"/>
    <n v="8.4924242424242422"/>
  </r>
  <r>
    <s v="CA-2019-145898"/>
    <x v="66"/>
    <s v="CM-12445"/>
    <s v="Chuck Magee"/>
    <s v="United States"/>
    <x v="2"/>
    <x v="1"/>
    <s v="Great White Multi-Use Recycled Paper (20Lb. and 84 Bright)"/>
    <n v="29.9"/>
    <n v="5"/>
    <n v="13.455"/>
    <n v="45"/>
  </r>
  <r>
    <s v="CA-2020-154102"/>
    <x v="602"/>
    <s v="SN-20560"/>
    <s v="Skye Norling"/>
    <s v="United States"/>
    <x v="2"/>
    <x v="1"/>
    <s v="Xerox 1947"/>
    <n v="135.9"/>
    <n v="5"/>
    <n v="13.455"/>
    <n v="9.9006622516556284"/>
  </r>
  <r>
    <s v="CA-2020-167661"/>
    <x v="188"/>
    <s v="MP-18175"/>
    <s v="Mike Pelletier"/>
    <s v="United States"/>
    <x v="2"/>
    <x v="1"/>
    <s v="Avery Framed View Binder, EZD Ring (Locking), Navy, 1 1/2&quot;"/>
    <n v="133.91999999999999"/>
    <n v="5"/>
    <n v="13.473000000000001"/>
    <n v="10.060483870967744"/>
  </r>
  <r>
    <s v="CA-2019-119683"/>
    <x v="565"/>
    <s v="CK-12595"/>
    <s v="Clytie Kelty"/>
    <s v="United States"/>
    <x v="0"/>
    <x v="1"/>
    <s v="Staple envelope"/>
    <n v="29.34"/>
    <n v="3"/>
    <n v="13.4964"/>
    <n v="46"/>
  </r>
  <r>
    <s v="US-2020-167920"/>
    <x v="356"/>
    <s v="JL-15835"/>
    <s v="John Lee"/>
    <s v="United States"/>
    <x v="1"/>
    <x v="1"/>
    <s v="XtraLife ClearVue Slant-D Ring Binder, White, 3&quot;"/>
    <n v="137.36000000000001"/>
    <n v="2"/>
    <n v="13.505599999999999"/>
    <n v="9.8322655794991256"/>
  </r>
  <r>
    <s v="CA-2020-128965"/>
    <x v="2"/>
    <s v="PS-18760"/>
    <s v="Pamela Stobb"/>
    <s v="United States"/>
    <x v="2"/>
    <x v="1"/>
    <s v="Rediform S.O.S. 1-Up Phone Message Bk, 4-1/4x3-1/16 Bk, 1 Form/Pg, 40 Messages/Bk, 3/Pk"/>
    <n v="130.13999999999999"/>
    <n v="3"/>
    <n v="13.507199999999999"/>
    <n v="10.378976486860305"/>
  </r>
  <r>
    <s v="CA-2020-157672"/>
    <x v="188"/>
    <s v="RB-19795"/>
    <s v="Ross Baird"/>
    <s v="United States"/>
    <x v="2"/>
    <x v="0"/>
    <s v="Logitech MX Performance Wireless Mouse"/>
    <n v="164.82400000000001"/>
    <n v="2"/>
    <n v="13.5626"/>
    <n v="8.2285346794156187"/>
  </r>
  <r>
    <s v="US-2019-116365"/>
    <x v="379"/>
    <s v="CA-12310"/>
    <s v="Christine Abelman"/>
    <s v="United States"/>
    <x v="3"/>
    <x v="0"/>
    <s v="AT&amp;T 17929 Lendline Telephone"/>
    <n v="180.96"/>
    <n v="5"/>
    <n v="13.571999999999999"/>
    <n v="7.5"/>
  </r>
  <r>
    <s v="CA-2019-157707"/>
    <x v="85"/>
    <s v="CC-12610"/>
    <s v="Corey Catlett"/>
    <s v="United States"/>
    <x v="2"/>
    <x v="2"/>
    <s v="Global Manager's Adjustable Task Chair, Storm"/>
    <n v="120.78400000000001"/>
    <n v="1"/>
    <n v="13.588200000000001"/>
    <n v="11.25"/>
  </r>
  <r>
    <s v="CA-2020-101798"/>
    <x v="33"/>
    <s v="MV-18190"/>
    <s v="Mike Vittorini"/>
    <s v="United States"/>
    <x v="0"/>
    <x v="0"/>
    <s v="Logitech LS21 Speaker System - PC Multimedia - 2.1-CH - Wired"/>
    <n v="430.98"/>
    <n v="2"/>
    <n v="13.5932"/>
    <n v="3.1540210682630283"/>
  </r>
  <r>
    <s v="CA-2020-140949"/>
    <x v="294"/>
    <s v="DB-13405"/>
    <s v="Denny Blanton"/>
    <s v="United States"/>
    <x v="0"/>
    <x v="0"/>
    <s v="Kingston Digital DataTraveler 16GB USB 2.0"/>
    <n v="134.6"/>
    <n v="8"/>
    <n v="13.603999999999999"/>
    <n v="10.106983655274888"/>
  </r>
  <r>
    <s v="CA-2020-117457"/>
    <x v="136"/>
    <s v="KH-16510"/>
    <s v="Keith Herrera"/>
    <s v="United States"/>
    <x v="2"/>
    <x v="1"/>
    <s v="Self-Adhesive Removable Labels"/>
    <n v="123.35"/>
    <n v="9"/>
    <n v="13.608000000000001"/>
    <n v="11.032022699635185"/>
  </r>
  <r>
    <s v="CA-2020-108756"/>
    <x v="141"/>
    <s v="PO-18865"/>
    <s v="Patrick O'Donnell"/>
    <s v="United States"/>
    <x v="0"/>
    <x v="0"/>
    <s v="Memorex Micro Travel Drive 4 GB"/>
    <n v="379.8"/>
    <n v="3"/>
    <n v="13.673999999999999"/>
    <n v="3.6003159557661926"/>
  </r>
  <r>
    <s v="US-2019-169040"/>
    <x v="431"/>
    <s v="GT-14710"/>
    <s v="Greg Tran"/>
    <s v="United States"/>
    <x v="2"/>
    <x v="0"/>
    <s v="Plantronics Calisto P620-M USB Wireless Speakerphone System"/>
    <n v="156.792"/>
    <n v="1"/>
    <n v="13.7193"/>
    <n v="8.75"/>
  </r>
  <r>
    <s v="CA-2019-163594"/>
    <x v="231"/>
    <s v="JF-15295"/>
    <s v="Jason Fortune-"/>
    <s v="United States"/>
    <x v="2"/>
    <x v="1"/>
    <s v="Aluminum Screw Posts"/>
    <n v="36.624000000000002"/>
    <n v="3"/>
    <n v="13.734"/>
    <n v="37.5"/>
  </r>
  <r>
    <s v="CA-2019-122448"/>
    <x v="269"/>
    <s v="DB-13210"/>
    <s v="Dean Braden"/>
    <s v="United States"/>
    <x v="2"/>
    <x v="2"/>
    <s v="Global Deluxe Stacking Chair, Gray"/>
    <n v="122.352"/>
    <n v="3"/>
    <n v="13.7646"/>
    <n v="11.249999999999998"/>
  </r>
  <r>
    <s v="US-2020-108700"/>
    <x v="234"/>
    <s v="PJ-18835"/>
    <s v="Patrick Jones"/>
    <s v="United States"/>
    <x v="3"/>
    <x v="1"/>
    <s v="Things To Do Today Spiral Book"/>
    <n v="145.01599999999999"/>
    <n v="6"/>
    <n v="13.780799999999999"/>
    <n v="9.5029513984663758"/>
  </r>
  <r>
    <s v="CA-2019-144344"/>
    <x v="256"/>
    <s v="PG-18820"/>
    <s v="Patrick Gardner"/>
    <s v="United States"/>
    <x v="1"/>
    <x v="2"/>
    <s v="24-Hour Round Wall Clock"/>
    <n v="47.951999999999998"/>
    <n v="3"/>
    <n v="13.786199999999999"/>
    <n v="28.749999999999996"/>
  </r>
  <r>
    <s v="CA-2019-116603"/>
    <x v="395"/>
    <s v="AT-10735"/>
    <s v="Annie Thurman"/>
    <s v="United States"/>
    <x v="0"/>
    <x v="1"/>
    <s v="Belkin F5C206VTEL 6 Outlet Surge"/>
    <n v="45.96"/>
    <n v="2"/>
    <n v="13.788"/>
    <n v="30"/>
  </r>
  <r>
    <s v="CA-2019-155978"/>
    <x v="529"/>
    <s v="TS-21205"/>
    <s v="Thomas Seio"/>
    <s v="United States"/>
    <x v="2"/>
    <x v="1"/>
    <s v="Belkin F5C206VTEL 6 Outlet Surge"/>
    <n v="45.96"/>
    <n v="2"/>
    <n v="13.788"/>
    <n v="30"/>
  </r>
  <r>
    <s v="CA-2020-122504"/>
    <x v="117"/>
    <s v="DB-13270"/>
    <s v="Deborah Brumfield"/>
    <s v="United States"/>
    <x v="2"/>
    <x v="0"/>
    <s v="Anker Ultra-Slim Mini Bluetooth 3.0 Wireless Keyboard"/>
    <n v="176.97"/>
    <n v="3"/>
    <n v="13.793100000000001"/>
    <n v="7.7940328869299886"/>
  </r>
  <r>
    <s v="CA-2019-109666"/>
    <x v="190"/>
    <s v="KM-16720"/>
    <s v="Kunst Miller"/>
    <s v="United States"/>
    <x v="0"/>
    <x v="1"/>
    <s v="Space Solutions HD Industrial Steel Shelving."/>
    <n v="459.88"/>
    <n v="4"/>
    <n v="13.7964"/>
    <n v="3.0000000000000004"/>
  </r>
  <r>
    <s v="US-2019-110156"/>
    <x v="319"/>
    <s v="EH-13945"/>
    <s v="Eric Hoffmann"/>
    <s v="United States"/>
    <x v="3"/>
    <x v="1"/>
    <s v="Recycled Interoffice Envelopes with Re-Use-A-Seal Closure, 10 x 13"/>
    <n v="40.968000000000004"/>
    <n v="3"/>
    <n v="13.826700000000001"/>
    <n v="33.75"/>
  </r>
  <r>
    <s v="US-2019-159415"/>
    <x v="544"/>
    <s v="CS-12175"/>
    <s v="Charles Sheldon"/>
    <s v="United States"/>
    <x v="1"/>
    <x v="2"/>
    <s v="Ultra Door Kickplate, 8&quot;H x 34&quot;W"/>
    <n v="79.12"/>
    <n v="5"/>
    <n v="13.846"/>
    <n v="17.5"/>
  </r>
  <r>
    <s v="CA-2020-127313"/>
    <x v="265"/>
    <s v="RA-19285"/>
    <s v="Ralph Arnett"/>
    <s v="United States"/>
    <x v="0"/>
    <x v="2"/>
    <s v="Ultra Door Kickplate, 8&quot;H x 34&quot;W"/>
    <n v="182.12"/>
    <n v="5"/>
    <n v="13.846"/>
    <n v="7.6026795519437735"/>
  </r>
  <r>
    <s v="CA-2019-113236"/>
    <x v="154"/>
    <s v="CP-12085"/>
    <s v="Cathy Prescott"/>
    <s v="United States"/>
    <x v="1"/>
    <x v="1"/>
    <s v="Advantus Rolling Drawer Organizers"/>
    <n v="184.70400000000001"/>
    <n v="6"/>
    <n v="13.8528"/>
    <n v="7.5"/>
  </r>
  <r>
    <s v="CA-2019-159695"/>
    <x v="103"/>
    <s v="GM-14455"/>
    <s v="Gary Mitchum"/>
    <s v="United States"/>
    <x v="3"/>
    <x v="1"/>
    <s v="Eldon Portable Mobile Manager"/>
    <n v="158.36799999999999"/>
    <n v="7"/>
    <n v="13.857200000000001"/>
    <n v="8.75"/>
  </r>
  <r>
    <s v="CA-2020-144456"/>
    <x v="25"/>
    <s v="FC-14245"/>
    <s v="Frank Carlisle"/>
    <s v="United States"/>
    <x v="1"/>
    <x v="0"/>
    <s v="Samsung Rugby III"/>
    <n v="168.376"/>
    <n v="3"/>
    <n v="13.857900000000001"/>
    <n v="8.2303297382049703"/>
  </r>
  <r>
    <s v="CA-2019-165918"/>
    <x v="238"/>
    <s v="BD-11770"/>
    <s v="Bryan Davis"/>
    <s v="United States"/>
    <x v="2"/>
    <x v="1"/>
    <s v="JM Magazine Binder"/>
    <n v="39.624000000000002"/>
    <n v="3"/>
    <n v="13.868399999999999"/>
    <n v="35"/>
  </r>
  <r>
    <s v="CA-2020-125990"/>
    <x v="6"/>
    <s v="JS-16030"/>
    <s v="Joy Smith"/>
    <s v="United States"/>
    <x v="2"/>
    <x v="1"/>
    <s v="JM Magazine Binder"/>
    <n v="146.624"/>
    <n v="3"/>
    <n v="13.868399999999999"/>
    <n v="9.4584788302051503"/>
  </r>
  <r>
    <s v="CA-2019-103730"/>
    <x v="104"/>
    <s v="SC-20725"/>
    <s v="Steven Cartwright"/>
    <s v="United States"/>
    <x v="0"/>
    <x v="1"/>
    <s v="DXL Angle-View Binders with Locking Rings by Samsill"/>
    <n v="30.84"/>
    <n v="4"/>
    <n v="13.878"/>
    <n v="45"/>
  </r>
  <r>
    <s v="US-2019-119046"/>
    <x v="337"/>
    <s v="EH-13765"/>
    <s v="Edward Hooks"/>
    <s v="United States"/>
    <x v="2"/>
    <x v="1"/>
    <s v="Riverleaf Stik-Withit Designer Note Cubes"/>
    <n v="30.18"/>
    <n v="3"/>
    <n v="13.8828"/>
    <n v="46"/>
  </r>
  <r>
    <s v="CA-2019-145898"/>
    <x v="66"/>
    <s v="CM-12445"/>
    <s v="Chuck Magee"/>
    <s v="United States"/>
    <x v="2"/>
    <x v="1"/>
    <s v="Advantus Rolling Storage Box"/>
    <n v="51.45"/>
    <n v="3"/>
    <n v="13.891500000000001"/>
    <n v="27"/>
  </r>
  <r>
    <s v="CA-2020-127432"/>
    <x v="470"/>
    <s v="AD-10180"/>
    <s v="Alan Dominguez"/>
    <s v="United States"/>
    <x v="2"/>
    <x v="1"/>
    <s v="Advantus Rolling Storage Box"/>
    <n v="162.44999999999999"/>
    <n v="3"/>
    <n v="13.891500000000001"/>
    <n v="8.5512465373961231"/>
  </r>
  <r>
    <s v="US-2019-114174"/>
    <x v="49"/>
    <s v="AP-10720"/>
    <s v="Anne Pryor"/>
    <s v="United States"/>
    <x v="0"/>
    <x v="2"/>
    <s v="Bush Westfield Collection Bookcases, Dark Cherry Finish"/>
    <n v="173.94"/>
    <n v="3"/>
    <n v="13.9152"/>
    <n v="8"/>
  </r>
  <r>
    <s v="US-2019-114013"/>
    <x v="22"/>
    <s v="SC-20770"/>
    <s v="Stewart Carmichael"/>
    <s v="United States"/>
    <x v="0"/>
    <x v="1"/>
    <s v="Speediset Carbonless Redi-Letter 7&quot; x 8 1/2&quot;"/>
    <n v="41.24"/>
    <n v="5"/>
    <n v="13.9185"/>
    <n v="33.75"/>
  </r>
  <r>
    <s v="CA-2019-145982"/>
    <x v="351"/>
    <s v="TB-21055"/>
    <s v="Ted Butterfield"/>
    <s v="United States"/>
    <x v="0"/>
    <x v="1"/>
    <s v="Wilson Jones Clip &amp; Carry Folder Binder Tool for Ring Binders, Clear"/>
    <n v="29"/>
    <n v="5"/>
    <n v="13.92"/>
    <n v="48"/>
  </r>
  <r>
    <s v="CA-2020-162929"/>
    <x v="4"/>
    <s v="AS-10135"/>
    <s v="Adrian Shami"/>
    <s v="United States"/>
    <x v="0"/>
    <x v="1"/>
    <s v="Avery Printable Repositionable Plastic Tabs"/>
    <n v="158.28"/>
    <n v="6"/>
    <n v="13.932"/>
    <n v="8.8021228203184219"/>
  </r>
  <r>
    <s v="CA-2019-152730"/>
    <x v="323"/>
    <s v="EM-14140"/>
    <s v="Eugene Moren"/>
    <s v="United States"/>
    <x v="3"/>
    <x v="1"/>
    <s v="Eldon Simplefile Box Office"/>
    <n v="49.76"/>
    <n v="4"/>
    <n v="13.9328"/>
    <n v="28.000000000000004"/>
  </r>
  <r>
    <s v="CA-2019-165330"/>
    <x v="111"/>
    <s v="WB-21850"/>
    <s v="William Brown"/>
    <s v="United States"/>
    <x v="2"/>
    <x v="1"/>
    <s v="IBM Multi-Purpose Copy Paper, 8 1/2 x 11&quot;, Case"/>
    <n v="30.98"/>
    <n v="1"/>
    <n v="13.941000000000001"/>
    <n v="45"/>
  </r>
  <r>
    <s v="CA-2020-132584"/>
    <x v="221"/>
    <s v="HJ-14875"/>
    <s v="Heather Jas"/>
    <s v="United States"/>
    <x v="3"/>
    <x v="1"/>
    <s v="Neat Ideas Personal Hanging Folder Files, Black"/>
    <n v="143.72"/>
    <n v="4"/>
    <n v="13.9672"/>
    <n v="9.7183412190370166"/>
  </r>
  <r>
    <s v="US-2019-140158"/>
    <x v="285"/>
    <s v="DR-12940"/>
    <s v="Daniel Raglin"/>
    <s v="United States"/>
    <x v="0"/>
    <x v="1"/>
    <s v="Ibico Plastic Spiral Binding Combs"/>
    <n v="30.4"/>
    <n v="1"/>
    <n v="13.984"/>
    <n v="46"/>
  </r>
  <r>
    <s v="US-2019-151862"/>
    <x v="59"/>
    <s v="ON-18715"/>
    <s v="Odella Nelson"/>
    <s v="United States"/>
    <x v="2"/>
    <x v="0"/>
    <s v="RCA ViSYS 25423RE1 Corded phone"/>
    <n v="159.98400000000001"/>
    <n v="2"/>
    <n v="13.9986"/>
    <n v="8.75"/>
  </r>
  <r>
    <s v="US-2019-126431"/>
    <x v="471"/>
    <s v="SU-20665"/>
    <s v="Stephanie Ulpright"/>
    <s v="United States"/>
    <x v="0"/>
    <x v="1"/>
    <s v="Avery 477"/>
    <n v="30.53"/>
    <n v="1"/>
    <n v="14.043799999999999"/>
    <n v="46"/>
  </r>
  <r>
    <s v="CA-2020-118017"/>
    <x v="299"/>
    <s v="LC-16870"/>
    <s v="Lena Cacioppo"/>
    <s v="United States"/>
    <x v="2"/>
    <x v="0"/>
    <s v="Memorex Micro Travel Drive 16 GB"/>
    <n v="150.33600000000001"/>
    <n v="8"/>
    <n v="14.071199999999999"/>
    <n v="9.3598339719029369"/>
  </r>
  <r>
    <s v="CA-2020-109750"/>
    <x v="171"/>
    <s v="FH-14365"/>
    <s v="Fred Hopkins"/>
    <s v="United States"/>
    <x v="0"/>
    <x v="0"/>
    <s v="Square Credit Card Reader, 4 1/2&quot; x 4 1/2&quot; x 1&quot;, White"/>
    <n v="117.97"/>
    <n v="3"/>
    <n v="14.085900000000001"/>
    <n v="11.940239043824702"/>
  </r>
  <r>
    <s v="CA-2019-123512"/>
    <x v="80"/>
    <s v="MV-18190"/>
    <s v="Mike Vittorini"/>
    <s v="United States"/>
    <x v="2"/>
    <x v="2"/>
    <s v="Bush Heritage Pine Collection 5-Shelf Bookcase, Albany Pine Finish, *Special Order"/>
    <n v="239.666"/>
    <n v="2"/>
    <n v="14.098000000000001"/>
    <n v="5.882352941176471"/>
  </r>
  <r>
    <s v="US-2020-153255"/>
    <x v="140"/>
    <s v="JK-15730"/>
    <s v="Joe Kamberova"/>
    <s v="United States"/>
    <x v="2"/>
    <x v="2"/>
    <s v="Bush Heritage Pine Collection 5-Shelf Bookcase, Albany Pine Finish, *Special Order"/>
    <n v="274.666"/>
    <n v="2"/>
    <n v="14.098000000000001"/>
    <n v="5.1327794484938067"/>
  </r>
  <r>
    <s v="CA-2020-161067"/>
    <x v="140"/>
    <s v="KB-16405"/>
    <s v="Katrina Bavinger"/>
    <s v="United States"/>
    <x v="0"/>
    <x v="2"/>
    <s v="Office Star Flex Back Scooter Chair with Aluminum Finish Frame"/>
    <n v="105.801"/>
    <n v="1"/>
    <n v="14.124599999999999"/>
    <n v="13.350157370913319"/>
  </r>
  <r>
    <s v="CA-2019-133802"/>
    <x v="291"/>
    <s v="SP-20650"/>
    <s v="Stephanie Phelps"/>
    <s v="United States"/>
    <x v="2"/>
    <x v="1"/>
    <s v="Wilson Jones Leather-Like Binders with DublLock Round Rings"/>
    <n v="41.904000000000003"/>
    <n v="6"/>
    <n v="14.1426"/>
    <n v="33.75"/>
  </r>
  <r>
    <s v="CA-2019-137393"/>
    <x v="387"/>
    <s v="GM-14500"/>
    <s v="Gene McClure"/>
    <s v="United States"/>
    <x v="2"/>
    <x v="2"/>
    <s v="Executive Impressions 8-1/2&quot; Career Panel/Partition Cubicle Clock"/>
    <n v="41.6"/>
    <n v="4"/>
    <n v="14.144"/>
    <n v="34"/>
  </r>
  <r>
    <s v="CA-2020-121615"/>
    <x v="368"/>
    <s v="DL-12925"/>
    <s v="Daniel Lacy"/>
    <s v="United States"/>
    <x v="3"/>
    <x v="1"/>
    <s v="Sterilite Officeware Hinged File Box"/>
    <n v="177.4"/>
    <n v="5"/>
    <n v="14.148"/>
    <n v="7.9751972942502816"/>
  </r>
  <r>
    <s v="CA-2019-163986"/>
    <x v="19"/>
    <s v="JJ-15445"/>
    <s v="Jennifer Jackson"/>
    <s v="United States"/>
    <x v="3"/>
    <x v="1"/>
    <s v="Crate-A-Files"/>
    <n v="54.5"/>
    <n v="5"/>
    <n v="14.17"/>
    <n v="26"/>
  </r>
  <r>
    <s v="CA-2019-110009"/>
    <x v="49"/>
    <s v="TR-21325"/>
    <s v="Toby Ritter"/>
    <s v="United States"/>
    <x v="2"/>
    <x v="1"/>
    <s v="Ampad Gold Fibre Wirebound Steno Books, 6&quot; x 9&quot;, Gregg Ruled"/>
    <n v="30.87"/>
    <n v="7"/>
    <n v="14.200200000000001"/>
    <n v="46"/>
  </r>
  <r>
    <s v="CA-2020-166128"/>
    <x v="320"/>
    <s v="LW-17215"/>
    <s v="Luke Weiss"/>
    <s v="United States"/>
    <x v="2"/>
    <x v="1"/>
    <s v="Dixon Ticonderoga Erasable Colored Pencil Set, 12-Color"/>
    <n v="145.86000000000001"/>
    <n v="7"/>
    <n v="14.2324"/>
    <n v="9.757575757575756"/>
  </r>
  <r>
    <s v="CA-2020-138163"/>
    <x v="328"/>
    <s v="XP-21865"/>
    <s v="Xylona Preis"/>
    <s v="United States"/>
    <x v="0"/>
    <x v="1"/>
    <s v="Stanley Bostitch Contemporary Electric Pencil Sharpeners"/>
    <n v="171.94"/>
    <n v="3"/>
    <n v="14.263199999999999"/>
    <n v="8.2954519018262189"/>
  </r>
  <r>
    <s v="CA-2019-142097"/>
    <x v="486"/>
    <s v="QJ-19255"/>
    <s v="Quincy Jones"/>
    <s v="United States"/>
    <x v="1"/>
    <x v="1"/>
    <s v="Holmes Odor Grabber"/>
    <n v="43.26"/>
    <n v="3"/>
    <n v="14.2758"/>
    <n v="33"/>
  </r>
  <r>
    <s v="CA-2019-109365"/>
    <x v="65"/>
    <s v="XP-21865"/>
    <s v="Xylona Preis"/>
    <s v="United States"/>
    <x v="2"/>
    <x v="1"/>
    <s v="Holmes 99% HEPA Air Purifier"/>
    <n v="43.32"/>
    <n v="2"/>
    <n v="14.2956"/>
    <n v="33"/>
  </r>
  <r>
    <s v="CA-2020-132122"/>
    <x v="112"/>
    <s v="JH-15820"/>
    <s v="John Huston"/>
    <s v="United States"/>
    <x v="3"/>
    <x v="1"/>
    <s v="Recycled Steel Personal File for Hanging File Folders"/>
    <n v="278.92"/>
    <n v="5"/>
    <n v="14.307499999999999"/>
    <n v="5.1296070557866047"/>
  </r>
  <r>
    <s v="US-2020-104661"/>
    <x v="200"/>
    <s v="TB-21250"/>
    <s v="Tim Brockman"/>
    <s v="United States"/>
    <x v="3"/>
    <x v="0"/>
    <s v="Logitech 910-002974 M325 Wireless Mouse for Web Scrolling"/>
    <n v="160.98400000000001"/>
    <n v="2"/>
    <n v="14.395200000000001"/>
    <n v="8.9420066590468625"/>
  </r>
  <r>
    <s v="CA-2020-136448"/>
    <x v="35"/>
    <s v="AS-10090"/>
    <s v="Adam Shillingsburg"/>
    <s v="United States"/>
    <x v="0"/>
    <x v="0"/>
    <s v="Logitech 910-002974 M325 Wireless Mouse for Web Scrolling"/>
    <n v="125.98399999999999"/>
    <n v="2"/>
    <n v="14.395200000000001"/>
    <n v="11.426212852425707"/>
  </r>
  <r>
    <s v="CA-2019-134789"/>
    <x v="5"/>
    <s v="CK-12325"/>
    <s v="Christine Kargatis"/>
    <s v="United States"/>
    <x v="1"/>
    <x v="1"/>
    <s v="Advantus Plastic Paper Clips"/>
    <n v="30"/>
    <n v="6"/>
    <n v="14.4"/>
    <n v="48.000000000000007"/>
  </r>
  <r>
    <s v="CA-2019-134180"/>
    <x v="65"/>
    <s v="JP-16135"/>
    <s v="Julie Prescott"/>
    <s v="United States"/>
    <x v="0"/>
    <x v="0"/>
    <s v="NETGEAR N750 Dual Band Wi-Fi Gigabit Router"/>
    <n v="72"/>
    <n v="1"/>
    <n v="14.4"/>
    <n v="20"/>
  </r>
  <r>
    <s v="CA-2020-155292"/>
    <x v="177"/>
    <s v="RD-19810"/>
    <s v="Ross DeVincentis"/>
    <s v="United States"/>
    <x v="1"/>
    <x v="1"/>
    <s v="Smead Alpha-Z Color-Coded Name Labels First Letter Starter Set"/>
    <n v="146"/>
    <n v="8"/>
    <n v="14.4"/>
    <n v="9.8630136986301373"/>
  </r>
  <r>
    <s v="US-2019-159093"/>
    <x v="119"/>
    <s v="RS-19420"/>
    <s v="Ricardo Sperren"/>
    <s v="United States"/>
    <x v="2"/>
    <x v="1"/>
    <s v="TOPS Money Receipt Book, Consecutively Numbered in Red,"/>
    <n v="32.04"/>
    <n v="4"/>
    <n v="14.417999999999999"/>
    <n v="45"/>
  </r>
  <r>
    <s v="US-2019-115952"/>
    <x v="13"/>
    <s v="JH-15910"/>
    <s v="Jonathan Howell"/>
    <s v="United States"/>
    <x v="3"/>
    <x v="1"/>
    <s v="Avery Binding System Hidden Tab Executive Style Index Sets"/>
    <n v="28.85"/>
    <n v="5"/>
    <n v="14.425000000000001"/>
    <n v="50"/>
  </r>
  <r>
    <s v="CA-2019-124352"/>
    <x v="486"/>
    <s v="CD-12790"/>
    <s v="Cynthia Delaney"/>
    <s v="United States"/>
    <x v="3"/>
    <x v="1"/>
    <s v="Avery 508"/>
    <n v="29.46"/>
    <n v="6"/>
    <n v="14.4354"/>
    <n v="49"/>
  </r>
  <r>
    <s v="CA-2020-115448"/>
    <x v="250"/>
    <s v="MH-18025"/>
    <s v="Michelle Huthwaite"/>
    <s v="United States"/>
    <x v="1"/>
    <x v="2"/>
    <s v="Executive Impressions 14&quot; Contract Wall Clock"/>
    <n v="109.92"/>
    <n v="5"/>
    <n v="14.4495"/>
    <n v="13.14546943231441"/>
  </r>
  <r>
    <s v="US-2020-105046"/>
    <x v="434"/>
    <s v="BE-11335"/>
    <s v="Bill Eplett"/>
    <s v="United States"/>
    <x v="0"/>
    <x v="2"/>
    <s v="DAX Solid Wood Frames"/>
    <n v="128.08000000000001"/>
    <n v="4"/>
    <n v="14.4596"/>
    <n v="11.289506558400998"/>
  </r>
  <r>
    <s v="CA-2019-116526"/>
    <x v="391"/>
    <s v="JA-15970"/>
    <s v="Joseph Airdo"/>
    <s v="United States"/>
    <x v="3"/>
    <x v="1"/>
    <s v="GBC Plastic Binding Combs"/>
    <n v="29.52"/>
    <n v="4"/>
    <n v="14.4648"/>
    <n v="49"/>
  </r>
  <r>
    <s v="CA-2019-102813"/>
    <x v="429"/>
    <s v="EA-14035"/>
    <s v="Erin Ashbrook"/>
    <s v="United States"/>
    <x v="3"/>
    <x v="1"/>
    <s v="Xerox 201"/>
    <n v="41.472000000000001"/>
    <n v="8"/>
    <n v="14.5152"/>
    <n v="35"/>
  </r>
  <r>
    <s v="CA-2020-107797"/>
    <x v="287"/>
    <s v="EB-13705"/>
    <s v="Ed Braxton"/>
    <s v="United States"/>
    <x v="3"/>
    <x v="1"/>
    <s v="Xerox 1997"/>
    <n v="163.47200000000001"/>
    <n v="8"/>
    <n v="14.5152"/>
    <n v="8.8793187824214534"/>
  </r>
  <r>
    <s v="CA-2020-104864"/>
    <x v="276"/>
    <s v="JS-15685"/>
    <s v="Jim Sink"/>
    <s v="United States"/>
    <x v="1"/>
    <x v="1"/>
    <s v="Xerox 211"/>
    <n v="143.47200000000001"/>
    <n v="8"/>
    <n v="14.5152"/>
    <n v="10.117096018735362"/>
  </r>
  <r>
    <s v="CA-2020-104220"/>
    <x v="178"/>
    <s v="BV-11245"/>
    <s v="Benjamin Venier"/>
    <s v="United States"/>
    <x v="3"/>
    <x v="2"/>
    <s v="C-Line Magnetic Cubicle Keepers, Clear Polypropylene"/>
    <n v="140.58000000000001"/>
    <n v="7"/>
    <n v="14.5236"/>
    <n v="10.331199317114809"/>
  </r>
  <r>
    <s v="CA-2019-156573"/>
    <x v="361"/>
    <s v="RB-19360"/>
    <s v="Raymond Buch"/>
    <s v="United States"/>
    <x v="1"/>
    <x v="2"/>
    <s v="3M Polarizing Light Filter Sleeves"/>
    <n v="44.76"/>
    <n v="3"/>
    <n v="14.547000000000001"/>
    <n v="32.5"/>
  </r>
  <r>
    <s v="CA-2020-155880"/>
    <x v="501"/>
    <s v="JD-16150"/>
    <s v="Justin Deggeller"/>
    <s v="United States"/>
    <x v="3"/>
    <x v="2"/>
    <s v="Global Highback Leather Tilter in Burgundy"/>
    <n v="140.99"/>
    <n v="1"/>
    <n v="14.558400000000001"/>
    <n v="10.325838711965387"/>
  </r>
  <r>
    <s v="CA-2020-136000"/>
    <x v="10"/>
    <s v="SC-20440"/>
    <s v="Shaun Chance"/>
    <s v="United States"/>
    <x v="0"/>
    <x v="1"/>
    <s v="GBC Poly Designer Binding Covers"/>
    <n v="113.176"/>
    <n v="3"/>
    <n v="14.563800000000001"/>
    <n v="12.868275959567399"/>
  </r>
  <r>
    <s v="CA-2019-113082"/>
    <x v="460"/>
    <s v="MC-17590"/>
    <s v="Matt Collister"/>
    <s v="United States"/>
    <x v="0"/>
    <x v="2"/>
    <s v="DAX Contemporary Wood Frame with Silver Metal Mat, Desktop, 11 x 14 Size"/>
    <n v="40.479999999999997"/>
    <n v="2"/>
    <n v="14.572800000000001"/>
    <n v="36.000000000000007"/>
  </r>
  <r>
    <s v="CA-2019-104276"/>
    <x v="134"/>
    <s v="HF-14995"/>
    <s v="Herbert Flentye"/>
    <s v="United States"/>
    <x v="1"/>
    <x v="0"/>
    <s v="Wi-Ex zBoost YX540 Cellular Phone Signal Booster"/>
    <n v="116.76"/>
    <n v="1"/>
    <n v="14.595000000000001"/>
    <n v="12.5"/>
  </r>
  <r>
    <s v="CA-2020-110905"/>
    <x v="8"/>
    <s v="RW-19690"/>
    <s v="Robert Waldorf"/>
    <s v="United States"/>
    <x v="3"/>
    <x v="1"/>
    <s v="Holmes Replacement Filter for HEPA Air Cleaner, Medium Room"/>
    <n v="147.99"/>
    <n v="3"/>
    <n v="14.6157"/>
    <n v="9.8761402797486308"/>
  </r>
  <r>
    <s v="CA-2019-169957"/>
    <x v="66"/>
    <s v="SN-20710"/>
    <s v="Steve Nguyen"/>
    <s v="United States"/>
    <x v="2"/>
    <x v="1"/>
    <s v="Universal Premium White Copier/Laser Paper (20Lb. and 87 Bright)"/>
    <n v="29.9"/>
    <n v="5"/>
    <n v="14.651"/>
    <n v="49"/>
  </r>
  <r>
    <s v="US-2020-168116"/>
    <x v="1"/>
    <s v="GT-14635"/>
    <s v="Grant Thornton"/>
    <s v="United States"/>
    <x v="1"/>
    <x v="1"/>
    <s v="Eureka The Boss Plus 12-Amp Hard Box Upright Vacuum, Red"/>
    <n v="198.44"/>
    <n v="2"/>
    <n v="14.651"/>
    <n v="7.3830880870792175"/>
  </r>
  <r>
    <s v="CA-2019-110009"/>
    <x v="49"/>
    <s v="TR-21325"/>
    <s v="Toby Ritter"/>
    <s v="United States"/>
    <x v="2"/>
    <x v="2"/>
    <s v="Howard Miller 11-1/2&quot; Diameter Grantwood Wall Clock"/>
    <n v="43.13"/>
    <n v="1"/>
    <n v="14.664199999999999"/>
    <n v="34"/>
  </r>
  <r>
    <s v="CA-2019-123274"/>
    <x v="542"/>
    <s v="GT-14710"/>
    <s v="Greg Tran"/>
    <s v="United States"/>
    <x v="0"/>
    <x v="2"/>
    <s v="Executive Impressions 14&quot; Contract Wall Clock"/>
    <n v="44.46"/>
    <n v="2"/>
    <n v="14.671799999999999"/>
    <n v="32.999999999999993"/>
  </r>
  <r>
    <s v="US-2019-140809"/>
    <x v="603"/>
    <s v="CK-12760"/>
    <s v="Cyma Kinney"/>
    <s v="United States"/>
    <x v="1"/>
    <x v="1"/>
    <s v="X-Rack File for Hanging Folders"/>
    <n v="56.45"/>
    <n v="5"/>
    <n v="14.677"/>
    <n v="25.999999999999996"/>
  </r>
  <r>
    <s v="CA-2020-147361"/>
    <x v="37"/>
    <s v="SB-20290"/>
    <s v="Sean Braxton"/>
    <s v="United States"/>
    <x v="1"/>
    <x v="1"/>
    <s v="X-Rack File for Hanging Folders"/>
    <n v="101.45"/>
    <n v="5"/>
    <n v="14.677"/>
    <n v="14.467225234105468"/>
  </r>
  <r>
    <s v="CA-2019-156503"/>
    <x v="487"/>
    <s v="NC-18415"/>
    <s v="Nathan Cano"/>
    <s v="United States"/>
    <x v="1"/>
    <x v="1"/>
    <s v="Xerox 1916"/>
    <n v="39.152000000000001"/>
    <n v="1"/>
    <n v="14.682"/>
    <n v="37.5"/>
  </r>
  <r>
    <s v="CA-2020-155607"/>
    <x v="197"/>
    <s v="FG-14260"/>
    <s v="Frank Gastineau"/>
    <s v="United States"/>
    <x v="0"/>
    <x v="1"/>
    <s v="Black &amp; Decker Filter for Double Action Dustbuster Cordless Vac BLDV7210"/>
    <n v="142.72999999999999"/>
    <n v="7"/>
    <n v="14.682499999999999"/>
    <n v="10.286905345757724"/>
  </r>
  <r>
    <s v="CA-2019-118899"/>
    <x v="604"/>
    <s v="MC-17275"/>
    <s v="Marc Crier"/>
    <s v="United States"/>
    <x v="2"/>
    <x v="2"/>
    <s v="Global Stack Chair with Arms, Black"/>
    <n v="167.88800000000001"/>
    <n v="7"/>
    <n v="14.690200000000001"/>
    <n v="8.75"/>
  </r>
  <r>
    <s v="US-2020-116897"/>
    <x v="355"/>
    <s v="JG-15160"/>
    <s v="James Galang"/>
    <s v="United States"/>
    <x v="2"/>
    <x v="2"/>
    <s v="Eldon 400 Class Desk Accessories, Black Carbon"/>
    <n v="138"/>
    <n v="4"/>
    <n v="14.7"/>
    <n v="10.652173913043478"/>
  </r>
  <r>
    <s v="CA-2020-125451"/>
    <x v="122"/>
    <s v="AH-10075"/>
    <s v="Adam Hart"/>
    <s v="United States"/>
    <x v="0"/>
    <x v="2"/>
    <s v="Eldon 400 Class Desk Accessories, Black Carbon"/>
    <n v="136"/>
    <n v="4"/>
    <n v="14.7"/>
    <n v="10.808823529411764"/>
  </r>
  <r>
    <s v="CA-2020-125388"/>
    <x v="6"/>
    <s v="MP-17965"/>
    <s v="Michael Paige"/>
    <s v="United States"/>
    <x v="0"/>
    <x v="2"/>
    <s v="Westinghouse Mesh Shade Clip-On Gooseneck Lamp, Black"/>
    <n v="157.56"/>
    <n v="4"/>
    <n v="14.7056"/>
    <n v="9.3333333333333339"/>
  </r>
  <r>
    <s v="US-2020-162670"/>
    <x v="172"/>
    <s v="MF-18250"/>
    <s v="Monica Federle"/>
    <s v="United States"/>
    <x v="1"/>
    <x v="1"/>
    <s v="Gould Plastics 18-Pocket Panel Bin, 34w x 5-1/4d x 20-1/2h"/>
    <n v="749.96"/>
    <n v="4"/>
    <n v="14.718400000000001"/>
    <n v="1.9625580030934984"/>
  </r>
  <r>
    <s v="CA-2019-132829"/>
    <x v="39"/>
    <s v="LA-16780"/>
    <s v="Laura Armstrong"/>
    <s v="United States"/>
    <x v="3"/>
    <x v="1"/>
    <s v="Permanent Self-Adhesive File Folder Labels for Typewriters, 1 1/8 x 3 1/2, White"/>
    <n v="45.36"/>
    <n v="9"/>
    <n v="14.742000000000001"/>
    <n v="32.5"/>
  </r>
  <r>
    <s v="US-2020-106131"/>
    <x v="325"/>
    <s v="TP-21565"/>
    <s v="Tracy Poddar"/>
    <s v="United States"/>
    <x v="2"/>
    <x v="1"/>
    <s v="Mobile Personal File Cube"/>
    <n v="217.624"/>
    <n v="9"/>
    <n v="14.7546"/>
    <n v="6.7798588390986296"/>
  </r>
  <r>
    <s v="CA-2020-163902"/>
    <x v="304"/>
    <s v="MY-17380"/>
    <s v="Maribeth Yedwab"/>
    <s v="United States"/>
    <x v="2"/>
    <x v="0"/>
    <s v="Panasonic KX TS3282B Corded phone"/>
    <n v="214.77600000000001"/>
    <n v="3"/>
    <n v="14.7582"/>
    <n v="6.8714381495139119"/>
  </r>
  <r>
    <s v="CA-2020-154116"/>
    <x v="476"/>
    <s v="KM-16660"/>
    <s v="Khloe Miller"/>
    <s v="United States"/>
    <x v="2"/>
    <x v="0"/>
    <s v="Panasonic KX TS3282B Corded phone"/>
    <n v="1425.7760000000001"/>
    <n v="3"/>
    <n v="14.7582"/>
    <n v="1.035099482667684"/>
  </r>
  <r>
    <s v="CA-2020-121559"/>
    <x v="167"/>
    <s v="HW-14935"/>
    <s v="Helen Wasserman"/>
    <s v="United States"/>
    <x v="3"/>
    <x v="0"/>
    <s v="Logitech MX Performance Wireless Mouse"/>
    <n v="143.88999999999999"/>
    <n v="1"/>
    <n v="14.7593"/>
    <n v="10.257349364097575"/>
  </r>
  <r>
    <s v="CA-2020-105130"/>
    <x v="341"/>
    <s v="PJ-18835"/>
    <s v="Patrick Jones"/>
    <s v="United States"/>
    <x v="2"/>
    <x v="1"/>
    <s v="Canvas Sectional Post Binders"/>
    <n v="129.73599999999999"/>
    <n v="2"/>
    <n v="14.7668"/>
    <n v="11.382191527409509"/>
  </r>
  <r>
    <s v="US-2019-125402"/>
    <x v="81"/>
    <s v="DL-12865"/>
    <s v="Dan Lawera"/>
    <s v="United States"/>
    <x v="2"/>
    <x v="1"/>
    <s v="Alphabetical Labels for Top Tab Filing"/>
    <n v="29.6"/>
    <n v="2"/>
    <n v="14.8"/>
    <n v="50"/>
  </r>
  <r>
    <s v="CA-2020-140963"/>
    <x v="255"/>
    <s v="MT-18070"/>
    <s v="Michelle Tran"/>
    <s v="United States"/>
    <x v="2"/>
    <x v="1"/>
    <s v="Alphabetical Labels for Top Tab Filing"/>
    <n v="111.6"/>
    <n v="2"/>
    <n v="14.8"/>
    <n v="13.261648745519713"/>
  </r>
  <r>
    <s v="CA-2019-132829"/>
    <x v="39"/>
    <s v="LA-16780"/>
    <s v="Laura Armstrong"/>
    <s v="United States"/>
    <x v="3"/>
    <x v="0"/>
    <s v="Cisco SPA112 2 Port Phone Adapter"/>
    <n v="131.88"/>
    <n v="3"/>
    <n v="14.836499999999999"/>
    <n v="11.25"/>
  </r>
  <r>
    <s v="US-2019-163538"/>
    <x v="261"/>
    <s v="SS-20515"/>
    <s v="Shirley Schmidt"/>
    <s v="United States"/>
    <x v="3"/>
    <x v="0"/>
    <s v="Memorex Micro Travel Drive 16 GB"/>
    <n v="47.97"/>
    <n v="3"/>
    <n v="14.870699999999999"/>
    <n v="31"/>
  </r>
  <r>
    <s v="CA-2019-136329"/>
    <x v="605"/>
    <s v="JD-15895"/>
    <s v="Jonathan Doherty"/>
    <s v="United States"/>
    <x v="0"/>
    <x v="2"/>
    <s v="Deflect-o EconoMat Studded, No Bevel Mat for Low Pile Carpeting"/>
    <n v="165.28"/>
    <n v="4"/>
    <n v="14.8752"/>
    <n v="9"/>
  </r>
  <r>
    <s v="CA-2019-169943"/>
    <x v="427"/>
    <s v="BN-11515"/>
    <s v="Bradley Nguyen"/>
    <s v="United States"/>
    <x v="0"/>
    <x v="1"/>
    <s v="Recycled Easel Ring Binders"/>
    <n v="47.744"/>
    <n v="4"/>
    <n v="14.92"/>
    <n v="31.25"/>
  </r>
  <r>
    <s v="CA-2019-127138"/>
    <x v="565"/>
    <s v="DK-13225"/>
    <s v="Dean Katz"/>
    <s v="United States"/>
    <x v="2"/>
    <x v="1"/>
    <s v="Security-Tint Envelopes"/>
    <n v="30.56"/>
    <n v="4"/>
    <n v="14.974399999999999"/>
    <n v="49"/>
  </r>
  <r>
    <s v="CA-2020-137876"/>
    <x v="105"/>
    <s v="DJ-13510"/>
    <s v="Don Jones"/>
    <s v="United States"/>
    <x v="2"/>
    <x v="1"/>
    <s v="#10- 4 1/8&quot; x 9 1/2&quot; Security-Tint Envelopes"/>
    <n v="94.56"/>
    <n v="4"/>
    <n v="14.974399999999999"/>
    <n v="15.83587140439932"/>
  </r>
  <r>
    <s v="CA-2019-167556"/>
    <x v="98"/>
    <s v="JM-15250"/>
    <s v="Janet Martin"/>
    <s v="United States"/>
    <x v="0"/>
    <x v="1"/>
    <s v="GBC Plastic Binding Combs"/>
    <n v="41.328000000000003"/>
    <n v="7"/>
    <n v="14.981400000000001"/>
    <n v="36.25"/>
  </r>
  <r>
    <s v="CA-2019-124667"/>
    <x v="373"/>
    <s v="BD-11770"/>
    <s v="Bryan Davis"/>
    <s v="United States"/>
    <x v="0"/>
    <x v="0"/>
    <s v="Micropad Numeric Keypads"/>
    <n v="59.97"/>
    <n v="3"/>
    <n v="14.9925"/>
    <n v="25"/>
  </r>
  <r>
    <s v="CA-2019-145135"/>
    <x v="127"/>
    <s v="CD-12790"/>
    <s v="Cynthia Delaney"/>
    <s v="United States"/>
    <x v="0"/>
    <x v="0"/>
    <s v="Micropad Numeric Keypads"/>
    <n v="59.97"/>
    <n v="3"/>
    <n v="14.9925"/>
    <n v="25"/>
  </r>
  <r>
    <s v="CA-2020-132934"/>
    <x v="446"/>
    <s v="JE-15475"/>
    <s v="Jeremy Ellison"/>
    <s v="United States"/>
    <x v="0"/>
    <x v="0"/>
    <s v="Anker Ultrathin Bluetooth Wireless Keyboard Aluminum Cover with Stand"/>
    <n v="163.95"/>
    <n v="5"/>
    <n v="14.994999999999999"/>
    <n v="9.1460811222933831"/>
  </r>
  <r>
    <s v="US-2020-131583"/>
    <x v="255"/>
    <s v="CL-11890"/>
    <s v="Carl Ludwig"/>
    <s v="United States"/>
    <x v="0"/>
    <x v="1"/>
    <s v="REDIFORM Incoming/Outgoing Call Register, 11&quot; X 8 1/2&quot;, 100 Messages"/>
    <n v="152.03200000000001"/>
    <n v="6"/>
    <n v="15.012"/>
    <n v="9.8742370027362654"/>
  </r>
  <r>
    <s v="CA-2019-169943"/>
    <x v="427"/>
    <s v="BN-11515"/>
    <s v="Bradley Nguyen"/>
    <s v="United States"/>
    <x v="0"/>
    <x v="2"/>
    <s v="Nu-Dell Float Frame 11 x 14 1/2"/>
    <n v="35.92"/>
    <n v="4"/>
    <n v="15.086399999999999"/>
    <n v="42"/>
  </r>
  <r>
    <s v="CA-2019-168046"/>
    <x v="143"/>
    <s v="JD-15895"/>
    <s v="Jonathan Doherty"/>
    <s v="United States"/>
    <x v="0"/>
    <x v="1"/>
    <s v="GBC Standard Recycled Report Covers, Clear Plastic Sheets"/>
    <n v="43.12"/>
    <n v="5"/>
    <n v="15.092000000000001"/>
    <n v="35"/>
  </r>
  <r>
    <s v="CA-2019-129868"/>
    <x v="386"/>
    <s v="MC-18130"/>
    <s v="Mike Caudle"/>
    <s v="United States"/>
    <x v="2"/>
    <x v="1"/>
    <s v="Model L Table or Wall-Mount Pencil Sharpener"/>
    <n v="53.97"/>
    <n v="3"/>
    <n v="15.111599999999999"/>
    <n v="27.999999999999996"/>
  </r>
  <r>
    <s v="CA-2020-101182"/>
    <x v="130"/>
    <s v="KB-16405"/>
    <s v="Katrina Bavinger"/>
    <s v="United States"/>
    <x v="2"/>
    <x v="0"/>
    <s v="invisibleSHIELD by ZAGG Smudge-Free Screen Protector"/>
    <n v="123.176"/>
    <n v="3"/>
    <n v="15.111599999999999"/>
    <n v="12.26829901928947"/>
  </r>
  <r>
    <s v="US-2019-156692"/>
    <x v="108"/>
    <s v="HG-15025"/>
    <s v="Hunter Glantz"/>
    <s v="United States"/>
    <x v="1"/>
    <x v="0"/>
    <s v="Sony 64GB Class 10 Micro SDHC R40 Memory Card"/>
    <n v="71.98"/>
    <n v="2"/>
    <n v="15.1158"/>
    <n v="21"/>
  </r>
  <r>
    <s v="CA-2020-128475"/>
    <x v="221"/>
    <s v="SC-20680"/>
    <s v="Steve Carroll"/>
    <s v="United States"/>
    <x v="1"/>
    <x v="0"/>
    <s v="Sony 64GB Class 10 Micro SDHC R40 Memory Card"/>
    <n v="149.97999999999999"/>
    <n v="2"/>
    <n v="15.1158"/>
    <n v="10.078543805840781"/>
  </r>
  <r>
    <s v="CA-2020-132262"/>
    <x v="362"/>
    <s v="ML-18265"/>
    <s v="Muhammed Lee"/>
    <s v="United States"/>
    <x v="2"/>
    <x v="0"/>
    <s v="Sony 64GB Class 10 Micro SDHC R40 Memory Card"/>
    <n v="172.98"/>
    <n v="2"/>
    <n v="15.1158"/>
    <n v="8.7384668747832137"/>
  </r>
  <r>
    <s v="US-2020-155425"/>
    <x v="31"/>
    <s v="AB-10600"/>
    <s v="Ann Blume"/>
    <s v="United States"/>
    <x v="2"/>
    <x v="0"/>
    <s v="Adtran 1202752G1"/>
    <n v="216.584"/>
    <n v="2"/>
    <n v="15.1188"/>
    <n v="6.9805710486462527"/>
  </r>
  <r>
    <s v="CA-2020-131492"/>
    <x v="6"/>
    <s v="HH-15010"/>
    <s v="Hilary Holden"/>
    <s v="United States"/>
    <x v="2"/>
    <x v="1"/>
    <s v="Avery 518"/>
    <n v="133.5"/>
    <n v="10"/>
    <n v="15.12"/>
    <n v="11.325842696629213"/>
  </r>
  <r>
    <s v="US-2020-152842"/>
    <x v="419"/>
    <s v="NF-18385"/>
    <s v="Natalie Fritzler"/>
    <s v="United States"/>
    <x v="1"/>
    <x v="2"/>
    <s v="Global Fabric Manager's Chair, Dark Gray"/>
    <n v="279.35199999999998"/>
    <n v="3"/>
    <n v="15.147"/>
    <n v="5.4221913571408118"/>
  </r>
  <r>
    <s v="CA-2020-110940"/>
    <x v="548"/>
    <s v="AZ-10750"/>
    <s v="Annie Zypern"/>
    <s v="United States"/>
    <x v="3"/>
    <x v="1"/>
    <s v="Hunt PowerHouse Electric Pencil Sharpener, Blue"/>
    <n v="168.536"/>
    <n v="4"/>
    <n v="15.192"/>
    <n v="9.0140978781981289"/>
  </r>
  <r>
    <s v="CA-2019-123932"/>
    <x v="410"/>
    <s v="YC-21895"/>
    <s v="Yoseph Carroll"/>
    <s v="United States"/>
    <x v="3"/>
    <x v="1"/>
    <s v="Advantus Motivational Note Cards"/>
    <n v="41.92"/>
    <n v="4"/>
    <n v="15.196"/>
    <n v="36.25"/>
  </r>
  <r>
    <s v="CA-2019-140081"/>
    <x v="295"/>
    <s v="CG-12040"/>
    <s v="Catherine Glotzbach"/>
    <s v="United States"/>
    <x v="0"/>
    <x v="1"/>
    <s v="Wirebound Message Books, 2 7/8&quot; x 5&quot;, 3 Forms per Page"/>
    <n v="45.055999999999997"/>
    <n v="8"/>
    <n v="15.2064"/>
    <n v="33.75"/>
  </r>
  <r>
    <s v="US-2019-143280"/>
    <x v="554"/>
    <s v="TZ-21580"/>
    <s v="Tracy Zic"/>
    <s v="United States"/>
    <x v="2"/>
    <x v="0"/>
    <s v="Memorex Mini Travel Drive 64 GB USB 2.0 Flash Drive"/>
    <n v="36.24"/>
    <n v="1"/>
    <n v="15.220800000000001"/>
    <n v="42"/>
  </r>
  <r>
    <s v="CA-2019-125794"/>
    <x v="479"/>
    <s v="ML-17410"/>
    <s v="Maris LaWare"/>
    <s v="United States"/>
    <x v="2"/>
    <x v="0"/>
    <s v="Memorex Mini Travel Drive 64 GB USB 2.0 Flash Drive"/>
    <n v="36.24"/>
    <n v="1"/>
    <n v="15.220800000000001"/>
    <n v="42"/>
  </r>
  <r>
    <s v="CA-2020-130148"/>
    <x v="64"/>
    <s v="NK-18490"/>
    <s v="Neil Knudson"/>
    <s v="United States"/>
    <x v="2"/>
    <x v="1"/>
    <s v="Array Memo Cubes"/>
    <n v="150.08000000000001"/>
    <n v="6"/>
    <n v="15.229200000000001"/>
    <n v="10.147388059701493"/>
  </r>
  <r>
    <s v="CA-2019-158834"/>
    <x v="22"/>
    <s v="TW-21025"/>
    <s v="Tamara Willingham"/>
    <s v="United States"/>
    <x v="2"/>
    <x v="0"/>
    <s v="Jabra BIZ 2300 Duo QD Duo Corded Headset"/>
    <n v="203.184"/>
    <n v="2"/>
    <n v="15.238799999999999"/>
    <n v="7.5"/>
  </r>
  <r>
    <s v="US-2019-146857"/>
    <x v="387"/>
    <s v="BE-11455"/>
    <s v="Brad Eason"/>
    <s v="United States"/>
    <x v="3"/>
    <x v="1"/>
    <s v="Belkin 5 Outlet SurgeMaster Power Centers"/>
    <n v="54.48"/>
    <n v="1"/>
    <n v="15.2544"/>
    <n v="28.000000000000004"/>
  </r>
  <r>
    <s v="CA-2020-161102"/>
    <x v="192"/>
    <s v="EC-14050"/>
    <s v="Erin Creighton"/>
    <s v="United States"/>
    <x v="2"/>
    <x v="1"/>
    <s v="Eldon Portable Mobile Manager"/>
    <n v="156.56"/>
    <n v="2"/>
    <n v="15.2712"/>
    <n v="9.7542156361778236"/>
  </r>
  <r>
    <s v="CA-2020-103380"/>
    <x v="341"/>
    <s v="BF-11005"/>
    <s v="Barry Franz"/>
    <s v="United States"/>
    <x v="2"/>
    <x v="1"/>
    <s v="Eldon Portable Mobile Manager"/>
    <n v="160.56"/>
    <n v="2"/>
    <n v="15.2712"/>
    <n v="9.5112107623318387"/>
  </r>
  <r>
    <s v="CA-2019-125661"/>
    <x v="289"/>
    <s v="CA-12055"/>
    <s v="Cathy Armstrong"/>
    <s v="United States"/>
    <x v="0"/>
    <x v="1"/>
    <s v="Brown Kraft Recycled Envelopes"/>
    <n v="40.752000000000002"/>
    <n v="3"/>
    <n v="15.282"/>
    <n v="37.5"/>
  </r>
  <r>
    <s v="CA-2020-151183"/>
    <x v="223"/>
    <s v="BK-11260"/>
    <s v="Berenike Kampe"/>
    <s v="United States"/>
    <x v="2"/>
    <x v="0"/>
    <s v="Verbatim 25 GB 6x Blu-ray Single Layer Recordable Disc, 10/Pack"/>
    <n v="154.36000000000001"/>
    <n v="4"/>
    <n v="15.2988"/>
    <n v="9.9111168696553502"/>
  </r>
  <r>
    <s v="CA-2020-161459"/>
    <x v="92"/>
    <s v="EB-13750"/>
    <s v="Edward Becker"/>
    <s v="United States"/>
    <x v="2"/>
    <x v="1"/>
    <s v="Adams Telephone Message Book W/Dividers/Space For Phone Numbers, 5 1/4&quot;X8 1/2&quot;, 200/Messages"/>
    <n v="170.08"/>
    <n v="6"/>
    <n v="15.336"/>
    <n v="9.0169332079021629"/>
  </r>
  <r>
    <s v="US-2019-169040"/>
    <x v="431"/>
    <s v="GT-14710"/>
    <s v="Greg Tran"/>
    <s v="United States"/>
    <x v="2"/>
    <x v="1"/>
    <s v="Ibico Plastic and Wire Spiral Binding Combs"/>
    <n v="47.207999999999998"/>
    <n v="7"/>
    <n v="15.342599999999999"/>
    <n v="32.5"/>
  </r>
  <r>
    <s v="CA-2019-156265"/>
    <x v="550"/>
    <s v="BF-11020"/>
    <s v="Barry Französisch"/>
    <s v="United States"/>
    <x v="2"/>
    <x v="2"/>
    <s v="Barricks Non-Folding Utility Table with Steel Legs, Laminate Tops"/>
    <n v="136.464"/>
    <n v="2"/>
    <n v="15.3522"/>
    <n v="11.25"/>
  </r>
  <r>
    <s v="CA-2019-109666"/>
    <x v="190"/>
    <s v="KM-16720"/>
    <s v="Kunst Miller"/>
    <s v="United States"/>
    <x v="0"/>
    <x v="1"/>
    <s v="Fiskars Softgrip Scissors"/>
    <n v="54.9"/>
    <n v="5"/>
    <n v="15.372"/>
    <n v="28.000000000000004"/>
  </r>
  <r>
    <s v="CA-2019-155565"/>
    <x v="283"/>
    <s v="EH-13765"/>
    <s v="Edward Hooks"/>
    <s v="United States"/>
    <x v="0"/>
    <x v="1"/>
    <s v="Fiskars Softgrip Scissors"/>
    <n v="54.9"/>
    <n v="5"/>
    <n v="15.372"/>
    <n v="28.000000000000004"/>
  </r>
  <r>
    <s v="CA-2020-104010"/>
    <x v="327"/>
    <s v="TD-20995"/>
    <s v="Tamara Dahlen"/>
    <s v="United States"/>
    <x v="0"/>
    <x v="1"/>
    <s v="Fiskars Softgrip Scissors"/>
    <n v="150.9"/>
    <n v="5"/>
    <n v="15.372"/>
    <n v="10.186878727634193"/>
  </r>
  <r>
    <s v="CA-2019-144911"/>
    <x v="134"/>
    <s v="RW-19630"/>
    <s v="Rob Williams"/>
    <s v="United States"/>
    <x v="3"/>
    <x v="0"/>
    <s v="Verbatim 25 GB 6x Blu-ray Single Layer Recordable Disc, 3/Pack"/>
    <n v="34.950000000000003"/>
    <n v="5"/>
    <n v="15.378"/>
    <n v="43.999999999999993"/>
  </r>
  <r>
    <s v="CA-2020-161053"/>
    <x v="10"/>
    <s v="JE-15745"/>
    <s v="Joel Eaton"/>
    <s v="United States"/>
    <x v="1"/>
    <x v="0"/>
    <s v="Verbatim 25 GB 6x Blu-ray Single Layer Recordable Disc, 3/Pack"/>
    <n v="131.94999999999999"/>
    <n v="5"/>
    <n v="15.378"/>
    <n v="11.654414550966276"/>
  </r>
  <r>
    <s v="US-2020-110149"/>
    <x v="409"/>
    <s v="WB-21850"/>
    <s v="William Brown"/>
    <s v="United States"/>
    <x v="0"/>
    <x v="2"/>
    <s v="Contract Clock, 14&quot;, Brown"/>
    <n v="384.92"/>
    <n v="5"/>
    <n v="15.385999999999999"/>
    <n v="3.9971942221760361"/>
  </r>
  <r>
    <s v="CA-2020-129833"/>
    <x v="356"/>
    <s v="HF-14995"/>
    <s v="Herbert Flentye"/>
    <s v="United States"/>
    <x v="3"/>
    <x v="1"/>
    <s v="Wirebound Message Books, Four 2 3/4 x 5 White Forms per Page"/>
    <n v="139.44999999999999"/>
    <n v="5"/>
    <n v="15.387"/>
    <n v="11.034062387952673"/>
  </r>
  <r>
    <s v="CA-2019-112256"/>
    <x v="138"/>
    <s v="CK-12205"/>
    <s v="Chloris Kastensmidt"/>
    <s v="United States"/>
    <x v="3"/>
    <x v="1"/>
    <s v="Boston 1645 Deluxe Heavier-Duty Electric Pencil Sharpener"/>
    <n v="175.92"/>
    <n v="5"/>
    <n v="15.393000000000001"/>
    <n v="8.75"/>
  </r>
  <r>
    <s v="CA-2019-103709"/>
    <x v="49"/>
    <s v="LP-17095"/>
    <s v="Liz Preis"/>
    <s v="United States"/>
    <x v="2"/>
    <x v="1"/>
    <s v="Xerox 1900"/>
    <n v="34.24"/>
    <n v="8"/>
    <n v="15.407999999999999"/>
    <n v="44.999999999999993"/>
  </r>
  <r>
    <s v="CA-2020-122175"/>
    <x v="198"/>
    <s v="CA-12775"/>
    <s v="Cynthia Arntzen"/>
    <s v="United States"/>
    <x v="0"/>
    <x v="2"/>
    <s v="DAX Cubicle Frames, 8-1/2 x 11"/>
    <n v="131.85"/>
    <n v="5"/>
    <n v="15.426"/>
    <n v="11.699658703071673"/>
  </r>
  <r>
    <s v="CA-2020-153843"/>
    <x v="52"/>
    <s v="SC-20380"/>
    <s v="Shahid Collister"/>
    <s v="United States"/>
    <x v="0"/>
    <x v="1"/>
    <s v="GBC VeloBind Cover Sets"/>
    <n v="139.88"/>
    <n v="2"/>
    <n v="15.44"/>
    <n v="11.03803259937089"/>
  </r>
  <r>
    <s v="CA-2020-148264"/>
    <x v="136"/>
    <s v="LF-17185"/>
    <s v="Luke Foster"/>
    <s v="United States"/>
    <x v="2"/>
    <x v="2"/>
    <s v="Tenex Traditional Chairmats for Hard Floors, Average Lip, 36&quot; x 48&quot;"/>
    <n v="157.9"/>
    <n v="2"/>
    <n v="15.468"/>
    <n v="9.7960734642178604"/>
  </r>
  <r>
    <s v="CA-2019-166674"/>
    <x v="442"/>
    <s v="RB-19360"/>
    <s v="Raymond Buch"/>
    <s v="United States"/>
    <x v="0"/>
    <x v="1"/>
    <s v="Newell 345"/>
    <n v="59.52"/>
    <n v="3"/>
    <n v="15.475199999999999"/>
    <n v="25.999999999999996"/>
  </r>
  <r>
    <s v="CA-2020-104885"/>
    <x v="304"/>
    <s v="DB-13555"/>
    <s v="Dorothy Badders"/>
    <s v="United States"/>
    <x v="0"/>
    <x v="1"/>
    <s v="Newell 34"/>
    <n v="134.52000000000001"/>
    <n v="3"/>
    <n v="15.475199999999999"/>
    <n v="11.50401427297056"/>
  </r>
  <r>
    <s v="CA-2020-147844"/>
    <x v="571"/>
    <s v="DD-13570"/>
    <s v="Dorothy Dickinson"/>
    <s v="United States"/>
    <x v="2"/>
    <x v="1"/>
    <s v="Newell 34"/>
    <n v="146.52000000000001"/>
    <n v="3"/>
    <n v="15.475199999999999"/>
    <n v="10.56183456183456"/>
  </r>
  <r>
    <s v="US-2020-103828"/>
    <x v="7"/>
    <s v="JK-15370"/>
    <s v="Jay Kimmel"/>
    <s v="United States"/>
    <x v="2"/>
    <x v="1"/>
    <s v="Newell 345"/>
    <n v="108.52"/>
    <n v="3"/>
    <n v="15.475199999999999"/>
    <n v="14.260228529303355"/>
  </r>
  <r>
    <s v="CA-2019-118052"/>
    <x v="387"/>
    <s v="BE-11455"/>
    <s v="Brad Eason"/>
    <s v="United States"/>
    <x v="0"/>
    <x v="1"/>
    <s v="Xerox 1951"/>
    <n v="49.567999999999998"/>
    <n v="2"/>
    <n v="15.49"/>
    <n v="31.25"/>
  </r>
  <r>
    <s v="CA-2020-129021"/>
    <x v="453"/>
    <s v="PO-18850"/>
    <s v="Patrick O'Brill"/>
    <s v="United States"/>
    <x v="1"/>
    <x v="1"/>
    <s v="IBM Multi-Purpose Copy Paper, 8 1/2 x 11&quot;, Case"/>
    <n v="179.56800000000001"/>
    <n v="2"/>
    <n v="15.49"/>
    <n v="8.6262585761382873"/>
  </r>
  <r>
    <s v="US-2020-124779"/>
    <x v="25"/>
    <s v="BF-11020"/>
    <s v="Barry Französisch"/>
    <s v="United States"/>
    <x v="3"/>
    <x v="1"/>
    <s v="Vinyl Coated Wire Paper Clips in Organizer Box, 800/Box"/>
    <n v="120.92"/>
    <n v="5"/>
    <n v="15.497999999999999"/>
    <n v="12.816738339397949"/>
  </r>
  <r>
    <s v="CA-2019-116799"/>
    <x v="17"/>
    <s v="JG-15310"/>
    <s v="Jason Gross"/>
    <s v="United States"/>
    <x v="3"/>
    <x v="1"/>
    <s v="Rediform Wirebound &quot;Phone Memo&quot; Message Book, 11 x 5-3/4"/>
    <n v="42.783999999999999"/>
    <n v="7"/>
    <n v="15.5092"/>
    <n v="36.25"/>
  </r>
  <r>
    <s v="CA-2020-109960"/>
    <x v="356"/>
    <s v="DB-13210"/>
    <s v="Dean Braden"/>
    <s v="United States"/>
    <x v="3"/>
    <x v="1"/>
    <s v="Ibico Plastic and Wire Spiral Binding Combs"/>
    <n v="149.72"/>
    <n v="4"/>
    <n v="15.511200000000001"/>
    <n v="10.360138925995191"/>
  </r>
  <r>
    <s v="CA-2020-150931"/>
    <x v="606"/>
    <s v="DP-13390"/>
    <s v="Dennis Pardue"/>
    <s v="United States"/>
    <x v="1"/>
    <x v="1"/>
    <s v="Wilson Jones Turn Tabs Binder Tool for Ring Binders"/>
    <n v="147.74"/>
    <n v="7"/>
    <n v="15.5204"/>
    <n v="10.505211858670638"/>
  </r>
  <r>
    <s v="CA-2019-157588"/>
    <x v="475"/>
    <s v="AR-10570"/>
    <s v="Anemone Ratner"/>
    <s v="United States"/>
    <x v="1"/>
    <x v="2"/>
    <s v="Howard Miller 13-3/4&quot; Diameter Brushed Chrome Round Wall Clock"/>
    <n v="51.75"/>
    <n v="1"/>
    <n v="15.525"/>
    <n v="30"/>
  </r>
  <r>
    <s v="CA-2020-160724"/>
    <x v="109"/>
    <s v="YS-21880"/>
    <s v="Yana Sorensen"/>
    <s v="United States"/>
    <x v="1"/>
    <x v="1"/>
    <s v="Ibico Covers for Plastic or Wire Binding Elements"/>
    <n v="150.5"/>
    <n v="3"/>
    <n v="15.525"/>
    <n v="10.3156146179402"/>
  </r>
  <r>
    <s v="CA-2020-156776"/>
    <x v="278"/>
    <s v="JL-15505"/>
    <s v="Jeremy Lonsdale"/>
    <s v="United States"/>
    <x v="2"/>
    <x v="2"/>
    <s v="Howard Miller 13-3/4&quot; Diameter Brushed Chrome Round Wall Clock"/>
    <n v="100.75"/>
    <n v="1"/>
    <n v="15.525"/>
    <n v="15.409429280397022"/>
  </r>
  <r>
    <s v="CA-2020-140186"/>
    <x v="86"/>
    <s v="PG-18820"/>
    <s v="Patrick Gardner"/>
    <s v="United States"/>
    <x v="2"/>
    <x v="2"/>
    <s v="Howard Miller 13-3/4&quot; Diameter Brushed Chrome Round Wall Clock"/>
    <n v="101.75"/>
    <n v="1"/>
    <n v="15.525"/>
    <n v="15.257985257985258"/>
  </r>
  <r>
    <s v="CA-2020-108294"/>
    <x v="409"/>
    <s v="LS-16975"/>
    <s v="Lindsay Shagiari"/>
    <s v="United States"/>
    <x v="3"/>
    <x v="1"/>
    <s v="Ibico Covers for Plastic or Wire Binding Elements"/>
    <n v="301.5"/>
    <n v="3"/>
    <n v="15.525"/>
    <n v="5.1492537313432845"/>
  </r>
  <r>
    <s v="CA-2020-166317"/>
    <x v="10"/>
    <s v="JE-15610"/>
    <s v="Jim Epp"/>
    <s v="United States"/>
    <x v="3"/>
    <x v="1"/>
    <s v="ACCOHIDE Binder by Acco"/>
    <n v="130.04"/>
    <n v="8"/>
    <n v="15.5288"/>
    <n v="11.941556444171026"/>
  </r>
  <r>
    <s v="CA-2020-167871"/>
    <x v="276"/>
    <s v="AF-10870"/>
    <s v="Art Ferguson"/>
    <s v="United States"/>
    <x v="1"/>
    <x v="1"/>
    <s v="Xerox 194"/>
    <n v="159.38399999999999"/>
    <n v="1"/>
    <n v="15.5344"/>
    <n v="9.7465241178537365"/>
  </r>
  <r>
    <s v="CA-2019-120558"/>
    <x v="490"/>
    <s v="RD-19810"/>
    <s v="Ross DeVincentis"/>
    <s v="United States"/>
    <x v="0"/>
    <x v="1"/>
    <s v="Xerox 226"/>
    <n v="32.4"/>
    <n v="5"/>
    <n v="15.552"/>
    <n v="48"/>
  </r>
  <r>
    <s v="CA-2019-113243"/>
    <x v="79"/>
    <s v="OT-18730"/>
    <s v="Olvera Toch"/>
    <s v="United States"/>
    <x v="2"/>
    <x v="1"/>
    <s v="Xerox 226"/>
    <n v="32.4"/>
    <n v="5"/>
    <n v="15.552"/>
    <n v="48"/>
  </r>
  <r>
    <s v="CA-2019-111682"/>
    <x v="80"/>
    <s v="TB-21055"/>
    <s v="Ted Butterfield"/>
    <s v="United States"/>
    <x v="0"/>
    <x v="1"/>
    <s v="Xerox 232"/>
    <n v="32.4"/>
    <n v="5"/>
    <n v="15.552"/>
    <n v="48"/>
  </r>
  <r>
    <s v="US-2019-111290"/>
    <x v="448"/>
    <s v="DK-13375"/>
    <s v="Dennis Kane"/>
    <s v="United States"/>
    <x v="3"/>
    <x v="1"/>
    <s v="Xerox 192"/>
    <n v="32.4"/>
    <n v="5"/>
    <n v="15.552"/>
    <n v="48"/>
  </r>
  <r>
    <s v="CA-2019-128671"/>
    <x v="607"/>
    <s v="MT-18070"/>
    <s v="Michelle Tran"/>
    <s v="United States"/>
    <x v="3"/>
    <x v="1"/>
    <s v="Xerox 202"/>
    <n v="32.4"/>
    <n v="5"/>
    <n v="15.552"/>
    <n v="48"/>
  </r>
  <r>
    <s v="CA-2019-113117"/>
    <x v="555"/>
    <s v="JP-15520"/>
    <s v="Jeremy Pistek"/>
    <s v="United States"/>
    <x v="2"/>
    <x v="1"/>
    <s v="Xerox 1931"/>
    <n v="32.4"/>
    <n v="5"/>
    <n v="15.552"/>
    <n v="48"/>
  </r>
  <r>
    <s v="CA-2019-142545"/>
    <x v="256"/>
    <s v="JD-15895"/>
    <s v="Jonathan Doherty"/>
    <s v="United States"/>
    <x v="0"/>
    <x v="1"/>
    <s v="Xerox 223"/>
    <n v="32.4"/>
    <n v="5"/>
    <n v="15.552"/>
    <n v="48"/>
  </r>
  <r>
    <s v="CA-2019-163384"/>
    <x v="214"/>
    <s v="CC-12430"/>
    <s v="Chuck Clark"/>
    <s v="United States"/>
    <x v="2"/>
    <x v="1"/>
    <s v="Xerox 1996"/>
    <n v="32.4"/>
    <n v="5"/>
    <n v="15.552"/>
    <n v="48"/>
  </r>
  <r>
    <s v="CA-2019-152646"/>
    <x v="284"/>
    <s v="TH-21235"/>
    <s v="Tiffany House"/>
    <s v="United States"/>
    <x v="2"/>
    <x v="1"/>
    <s v="Xerox 222"/>
    <n v="32.4"/>
    <n v="5"/>
    <n v="15.552"/>
    <n v="48"/>
  </r>
  <r>
    <s v="US-2020-167402"/>
    <x v="608"/>
    <s v="CP-12085"/>
    <s v="Cathy Prescott"/>
    <s v="United States"/>
    <x v="3"/>
    <x v="1"/>
    <s v="Xerox 23"/>
    <n v="121.4"/>
    <n v="5"/>
    <n v="15.552"/>
    <n v="12.810543657331136"/>
  </r>
  <r>
    <s v="CA-2020-128755"/>
    <x v="370"/>
    <s v="MK-18160"/>
    <s v="Mike Kennedy"/>
    <s v="United States"/>
    <x v="1"/>
    <x v="1"/>
    <s v="Xerox 23"/>
    <n v="130.4"/>
    <n v="5"/>
    <n v="15.552"/>
    <n v="11.92638036809816"/>
  </r>
  <r>
    <s v="US-2020-135986"/>
    <x v="446"/>
    <s v="PG-18895"/>
    <s v="Paul Gonzalez"/>
    <s v="United States"/>
    <x v="1"/>
    <x v="1"/>
    <s v="Xerox 230"/>
    <n v="129.4"/>
    <n v="5"/>
    <n v="15.552"/>
    <n v="12.018547140649149"/>
  </r>
  <r>
    <s v="CA-2020-142342"/>
    <x v="434"/>
    <s v="AJ-10795"/>
    <s v="Anthony Johnson"/>
    <s v="United States"/>
    <x v="2"/>
    <x v="1"/>
    <s v="Xerox 221"/>
    <n v="106.4"/>
    <n v="5"/>
    <n v="15.552"/>
    <n v="14.616541353383457"/>
  </r>
  <r>
    <s v="US-2020-148866"/>
    <x v="121"/>
    <s v="JM-15535"/>
    <s v="Jessica Myrick"/>
    <s v="United States"/>
    <x v="0"/>
    <x v="1"/>
    <s v="Xerox 228"/>
    <n v="128.4"/>
    <n v="5"/>
    <n v="15.552"/>
    <n v="12.11214953271028"/>
  </r>
  <r>
    <s v="CA-2020-102099"/>
    <x v="339"/>
    <s v="EP-13915"/>
    <s v="Emily Phan"/>
    <s v="United States"/>
    <x v="2"/>
    <x v="1"/>
    <s v="Xerox 213"/>
    <n v="723.4"/>
    <n v="5"/>
    <n v="15.552"/>
    <n v="2.1498479402820019"/>
  </r>
  <r>
    <s v="CA-2019-140018"/>
    <x v="284"/>
    <s v="CK-12205"/>
    <s v="Chloris Kastensmidt"/>
    <s v="United States"/>
    <x v="0"/>
    <x v="2"/>
    <s v="Computer Room Manger, 14&quot;"/>
    <n v="77.951999999999998"/>
    <n v="3"/>
    <n v="15.590400000000001"/>
    <n v="20"/>
  </r>
  <r>
    <s v="CA-2020-139353"/>
    <x v="259"/>
    <s v="JM-15250"/>
    <s v="Janet Martin"/>
    <s v="United States"/>
    <x v="1"/>
    <x v="2"/>
    <s v="Computer Room Manger, 14&quot;"/>
    <n v="177.952"/>
    <n v="3"/>
    <n v="15.590400000000001"/>
    <n v="8.7610142060780447"/>
  </r>
  <r>
    <s v="US-2019-157840"/>
    <x v="570"/>
    <s v="MC-17575"/>
    <s v="Matt Collins"/>
    <s v="United States"/>
    <x v="3"/>
    <x v="1"/>
    <s v="Strathmore Photo Mount Cards"/>
    <n v="33.9"/>
    <n v="5"/>
    <n v="15.593999999999999"/>
    <n v="46"/>
  </r>
  <r>
    <s v="US-2019-153129"/>
    <x v="386"/>
    <s v="FP-14320"/>
    <s v="Frank Preis"/>
    <s v="United States"/>
    <x v="2"/>
    <x v="1"/>
    <s v="Strathmore Photo Mount Cards"/>
    <n v="33.9"/>
    <n v="5"/>
    <n v="15.593999999999999"/>
    <n v="46"/>
  </r>
  <r>
    <s v="CA-2020-102610"/>
    <x v="1"/>
    <s v="CA-12265"/>
    <s v="Christina Anderson"/>
    <s v="United States"/>
    <x v="1"/>
    <x v="0"/>
    <s v="Logitech M510 Wireless Mouse"/>
    <n v="111.976"/>
    <n v="3"/>
    <n v="15.5961"/>
    <n v="13.92807387297278"/>
  </r>
  <r>
    <s v="CA-2020-130771"/>
    <x v="449"/>
    <s v="LA-16780"/>
    <s v="Laura Armstrong"/>
    <s v="United States"/>
    <x v="3"/>
    <x v="0"/>
    <s v="Cisco SPA301"/>
    <n v="151.792"/>
    <n v="1"/>
    <n v="15.599"/>
    <n v="10.27656266469906"/>
  </r>
  <r>
    <s v="US-2020-101840"/>
    <x v="602"/>
    <s v="SP-20545"/>
    <s v="Sibella Parks"/>
    <s v="United States"/>
    <x v="0"/>
    <x v="1"/>
    <s v="Acco Recycled 2&quot; Capacity Laser Printer Hanging Data Binders"/>
    <n v="134.24"/>
    <n v="4"/>
    <n v="15.606"/>
    <n v="11.62544696066746"/>
  </r>
  <r>
    <s v="CA-2019-123358"/>
    <x v="377"/>
    <s v="BT-11680"/>
    <s v="Brian Thompson"/>
    <s v="United States"/>
    <x v="2"/>
    <x v="1"/>
    <s v="GBC Prepunched Paper, 19-Hole, for Binding Systems, 24-lb"/>
    <n v="48.031999999999996"/>
    <n v="4"/>
    <n v="15.6104"/>
    <n v="32.5"/>
  </r>
  <r>
    <s v="CA-2020-121258"/>
    <x v="595"/>
    <s v="DB-13060"/>
    <s v="Dave Brooks"/>
    <s v="United States"/>
    <x v="2"/>
    <x v="2"/>
    <s v="Tenex B1-RE Series Chair Mats for Low Pile Carpets"/>
    <n v="106.96"/>
    <n v="2"/>
    <n v="15.6332"/>
    <n v="14.61593118922962"/>
  </r>
  <r>
    <s v="CA-2020-159464"/>
    <x v="352"/>
    <s v="TB-21355"/>
    <s v="Todd Boyes"/>
    <s v="United States"/>
    <x v="1"/>
    <x v="0"/>
    <s v="QVS USB Car Charger 2-Port 2.1Amp for iPod/iPhone/iPad/iPad 2/iPad 3"/>
    <n v="129.75"/>
    <n v="5"/>
    <n v="15.637499999999999"/>
    <n v="12.052023121387283"/>
  </r>
  <r>
    <s v="CA-2020-159464"/>
    <x v="352"/>
    <s v="TB-21355"/>
    <s v="Todd Boyes"/>
    <s v="United States"/>
    <x v="1"/>
    <x v="0"/>
    <s v="Apple EarPods with Remote and Mic"/>
    <n v="149.97999999999999"/>
    <n v="2"/>
    <n v="15.6744"/>
    <n v="10.45099346579544"/>
  </r>
  <r>
    <s v="CA-2019-109407"/>
    <x v="609"/>
    <s v="HG-14965"/>
    <s v="Henry Goldwyn"/>
    <s v="United States"/>
    <x v="1"/>
    <x v="1"/>
    <s v="XtraLife ClearVue Slant-D Ring Binders by Cardinal"/>
    <n v="31.36"/>
    <n v="4"/>
    <n v="15.68"/>
    <n v="50"/>
  </r>
  <r>
    <s v="CA-2019-137330"/>
    <x v="260"/>
    <s v="KB-16585"/>
    <s v="Ken Black"/>
    <s v="United States"/>
    <x v="3"/>
    <x v="1"/>
    <s v="Acco Six-Outlet Power Strip, 4' Cord Length"/>
    <n v="60.34"/>
    <n v="7"/>
    <n v="15.6884"/>
    <n v="25.999999999999996"/>
  </r>
  <r>
    <s v="CA-2020-141201"/>
    <x v="356"/>
    <s v="DB-12910"/>
    <s v="Daniel Byrd"/>
    <s v="United States"/>
    <x v="2"/>
    <x v="2"/>
    <s v="O'Sullivan 3-Shelf Heavy-Duty Bookcases"/>
    <n v="164.25700000000001"/>
    <n v="3"/>
    <n v="15.697800000000001"/>
    <n v="9.5568529803904863"/>
  </r>
  <r>
    <s v="CA-2019-105263"/>
    <x v="610"/>
    <s v="LM-17065"/>
    <s v="Liz MacKendrick"/>
    <s v="United States"/>
    <x v="0"/>
    <x v="1"/>
    <s v="Dixon Prang Watercolor Pencils, 10-Color Set with Brush"/>
    <n v="38.340000000000003"/>
    <n v="9"/>
    <n v="15.7194"/>
    <n v="41"/>
  </r>
  <r>
    <s v="CA-2019-110982"/>
    <x v="288"/>
    <s v="CK-12205"/>
    <s v="Chloris Kastensmidt"/>
    <s v="United States"/>
    <x v="2"/>
    <x v="1"/>
    <s v="Acco 6 Outlet Guardian Premium Surge Suppressor"/>
    <n v="58.24"/>
    <n v="4"/>
    <n v="15.7248"/>
    <n v="27"/>
  </r>
  <r>
    <s v="CA-2020-157854"/>
    <x v="592"/>
    <s v="DM-13345"/>
    <s v="Denise Monton"/>
    <s v="United States"/>
    <x v="1"/>
    <x v="2"/>
    <s v="Eldon Expressions Punched Metal &amp; Wood Desk Accessories, Black &amp; Cherry"/>
    <n v="126.28"/>
    <n v="6"/>
    <n v="15.7584"/>
    <n v="12.478935698447893"/>
  </r>
  <r>
    <s v="CA-2020-117947"/>
    <x v="243"/>
    <s v="NG-18355"/>
    <s v="Nat Gilpin"/>
    <s v="United States"/>
    <x v="0"/>
    <x v="2"/>
    <s v="DAX Metal Frame, Desktop, Stepped-Edge"/>
    <n v="134.47999999999999"/>
    <n v="2"/>
    <n v="15.7872"/>
    <n v="11.739440809042238"/>
  </r>
  <r>
    <s v="CA-2019-109365"/>
    <x v="65"/>
    <s v="XP-21865"/>
    <s v="Xylona Preis"/>
    <s v="United States"/>
    <x v="2"/>
    <x v="1"/>
    <s v="Avery Durable Plastic 1&quot; Binders"/>
    <n v="43.584000000000003"/>
    <n v="12"/>
    <n v="15.799200000000001"/>
    <n v="36.25"/>
  </r>
  <r>
    <s v="CA-2019-100244"/>
    <x v="349"/>
    <s v="GM-14695"/>
    <s v="Greg Maxwell"/>
    <s v="United States"/>
    <x v="2"/>
    <x v="1"/>
    <s v="Ibico Plastic Spiral Binding Combs"/>
    <n v="48.64"/>
    <n v="2"/>
    <n v="15.808"/>
    <n v="32.5"/>
  </r>
  <r>
    <s v="US-2019-128678"/>
    <x v="498"/>
    <s v="RB-19570"/>
    <s v="Rob Beeghly"/>
    <s v="United States"/>
    <x v="2"/>
    <x v="1"/>
    <s v="Cardinal Slant-D Ring Binder, Heavy Gauge Vinyl"/>
    <n v="48.664000000000001"/>
    <n v="7"/>
    <n v="15.815799999999999"/>
    <n v="32.499999999999993"/>
  </r>
  <r>
    <s v="CA-2019-138520"/>
    <x v="5"/>
    <s v="JL-15505"/>
    <s v="Jeremy Lonsdale"/>
    <s v="United States"/>
    <x v="0"/>
    <x v="1"/>
    <s v="Adams Phone Message Book, 200 Message Capacity, 8 1/16” x 11”"/>
    <n v="34.4"/>
    <n v="5"/>
    <n v="15.824"/>
    <n v="46"/>
  </r>
  <r>
    <s v="CA-2020-147844"/>
    <x v="571"/>
    <s v="DD-13570"/>
    <s v="Dorothy Dickinson"/>
    <s v="United States"/>
    <x v="2"/>
    <x v="1"/>
    <s v="Adams Phone Message Book, 200 Message Capacity, 8 1/16” x 11”"/>
    <n v="142.4"/>
    <n v="5"/>
    <n v="15.824"/>
    <n v="11.112359550561797"/>
  </r>
  <r>
    <s v="CA-2019-136686"/>
    <x v="329"/>
    <s v="RF-19840"/>
    <s v="Roy Französisch"/>
    <s v="United States"/>
    <x v="2"/>
    <x v="1"/>
    <s v="Belkin F9H710-06 7 Outlet SurgeMaster Surge Protector"/>
    <n v="56.52"/>
    <n v="3"/>
    <n v="15.8256"/>
    <n v="27.999999999999996"/>
  </r>
  <r>
    <s v="US-2020-158512"/>
    <x v="9"/>
    <s v="DA-13450"/>
    <s v="Dianna Arnett"/>
    <s v="United States"/>
    <x v="0"/>
    <x v="2"/>
    <s v="Flat Face Poster Frame"/>
    <n v="164.68"/>
    <n v="2"/>
    <n v="15.8256"/>
    <n v="9.6099101287345157"/>
  </r>
  <r>
    <s v="US-2020-117534"/>
    <x v="501"/>
    <s v="CV-12295"/>
    <s v="Christina VanderZanden"/>
    <s v="United States"/>
    <x v="2"/>
    <x v="0"/>
    <s v="Clearsounds A400"/>
    <n v="234.16800000000001"/>
    <n v="4"/>
    <n v="15.8376"/>
    <n v="6.7633493901814088"/>
  </r>
  <r>
    <s v="CA-2019-148208"/>
    <x v="180"/>
    <s v="BT-11530"/>
    <s v="Bradley Talbott"/>
    <s v="United States"/>
    <x v="0"/>
    <x v="0"/>
    <s v="Verbatim 25 GB 6x Blu-ray Single Layer Recordable Disc, 25/Pack"/>
    <n v="55.176000000000002"/>
    <n v="3"/>
    <n v="15.863099999999999"/>
    <n v="28.749999999999996"/>
  </r>
  <r>
    <s v="CA-2019-119963"/>
    <x v="313"/>
    <s v="SN-20710"/>
    <s v="Steve Nguyen"/>
    <s v="United States"/>
    <x v="3"/>
    <x v="1"/>
    <s v="Avery 4027 File Folder Labels for Dot Matrix Printers, 5000 Labels per Box, White"/>
    <n v="48.847999999999999"/>
    <n v="2"/>
    <n v="15.8756"/>
    <n v="32.5"/>
  </r>
  <r>
    <s v="CA-2020-140760"/>
    <x v="421"/>
    <s v="DO-13435"/>
    <s v="Denny Ordway"/>
    <s v="United States"/>
    <x v="2"/>
    <x v="1"/>
    <s v="Manila Recycled Extra-Heavyweight Clasp Envelopes, 6&quot; x 9&quot;"/>
    <n v="146.91999999999999"/>
    <n v="5"/>
    <n v="15.920999999999999"/>
    <n v="10.836509665123877"/>
  </r>
  <r>
    <s v="CA-2019-152555"/>
    <x v="98"/>
    <s v="ME-17320"/>
    <s v="Maria Etezadi"/>
    <s v="United States"/>
    <x v="3"/>
    <x v="1"/>
    <s v="Computer Printout Paper with Letter-Trim Perforations"/>
    <n v="45.527999999999999"/>
    <n v="3"/>
    <n v="15.934799999999999"/>
    <n v="35"/>
  </r>
  <r>
    <s v="CA-2020-158722"/>
    <x v="170"/>
    <s v="MA-17560"/>
    <s v="Matt Abelman"/>
    <s v="United States"/>
    <x v="0"/>
    <x v="1"/>
    <s v="Xerox 1887"/>
    <n v="138.52799999999999"/>
    <n v="3"/>
    <n v="15.934799999999999"/>
    <n v="11.502945252945253"/>
  </r>
  <r>
    <s v="CA-2019-111143"/>
    <x v="319"/>
    <s v="TT-21265"/>
    <s v="Tim Taslimi"/>
    <s v="United States"/>
    <x v="3"/>
    <x v="1"/>
    <s v="Acco 6 Outlet Guardian Premium Plus Surge Suppressor"/>
    <n v="54.96"/>
    <n v="3"/>
    <n v="15.9384"/>
    <n v="28.999999999999996"/>
  </r>
  <r>
    <s v="CA-2019-133697"/>
    <x v="326"/>
    <s v="CM-12445"/>
    <s v="Chuck Magee"/>
    <s v="United States"/>
    <x v="3"/>
    <x v="1"/>
    <s v="Black Print Carbonless Snap-Off Rapid Letter, 8 1/2&quot; x 7&quot;"/>
    <n v="51.015999999999998"/>
    <n v="7"/>
    <n v="15.942500000000001"/>
    <n v="31.25"/>
  </r>
  <r>
    <s v="CA-2019-115476"/>
    <x v="305"/>
    <s v="VM-21835"/>
    <s v="Vivian Mathis"/>
    <s v="United States"/>
    <x v="0"/>
    <x v="1"/>
    <s v="Acco Flexible ACCOHIDE Square Ring Data Binder, Dark Blue, 11 1/2&quot; X 14&quot; 7/8&quot;"/>
    <n v="32.54"/>
    <n v="2"/>
    <n v="15.944599999999999"/>
    <n v="49"/>
  </r>
  <r>
    <s v="CA-2019-119074"/>
    <x v="585"/>
    <s v="DS-13180"/>
    <s v="David Smith"/>
    <s v="United States"/>
    <x v="1"/>
    <x v="1"/>
    <s v="Acco Flexible ACCOHIDE Square Ring Data Binder, Dark Blue, 11 1/2&quot; X 14&quot; 7/8&quot;"/>
    <n v="32.54"/>
    <n v="2"/>
    <n v="15.944599999999999"/>
    <n v="49"/>
  </r>
  <r>
    <s v="CA-2019-146836"/>
    <x v="139"/>
    <s v="CC-12475"/>
    <s v="Cindy Chapman"/>
    <s v="United States"/>
    <x v="0"/>
    <x v="1"/>
    <s v="Poly Designer Cover &amp; Back"/>
    <n v="45.576000000000001"/>
    <n v="3"/>
    <n v="15.951599999999999"/>
    <n v="35"/>
  </r>
  <r>
    <s v="CA-2020-121559"/>
    <x v="167"/>
    <s v="HW-14935"/>
    <s v="Helen Wasserman"/>
    <s v="United States"/>
    <x v="3"/>
    <x v="0"/>
    <s v="Maxell LTO Ultrium - 800 GB"/>
    <n v="118.97"/>
    <n v="3"/>
    <n v="15.9543"/>
    <n v="13.410355551819785"/>
  </r>
  <r>
    <s v="CA-2019-149671"/>
    <x v="288"/>
    <s v="KB-16600"/>
    <s v="Ken Brennan"/>
    <s v="United States"/>
    <x v="2"/>
    <x v="1"/>
    <s v="Acme Box Cutter Scissors"/>
    <n v="61.38"/>
    <n v="6"/>
    <n v="15.9588"/>
    <n v="26"/>
  </r>
  <r>
    <s v="CA-2020-138611"/>
    <x v="244"/>
    <s v="CK-12595"/>
    <s v="Clytie Kelty"/>
    <s v="United States"/>
    <x v="0"/>
    <x v="0"/>
    <s v="PureGear Roll-On Screen Protector"/>
    <n v="154.94"/>
    <n v="10"/>
    <n v="15.992000000000001"/>
    <n v="10.321414741190139"/>
  </r>
  <r>
    <s v="CA-2019-165995"/>
    <x v="62"/>
    <s v="BG-11740"/>
    <s v="Bruce Geld"/>
    <s v="United States"/>
    <x v="2"/>
    <x v="2"/>
    <s v="Executive Impressions 10&quot; Spectator Wall Clock"/>
    <n v="47.04"/>
    <n v="4"/>
    <n v="15.993600000000001"/>
    <n v="34"/>
  </r>
  <r>
    <s v="CA-2020-118773"/>
    <x v="34"/>
    <s v="TP-21415"/>
    <s v="Tom Prescott"/>
    <s v="United States"/>
    <x v="3"/>
    <x v="0"/>
    <s v="Razer Kraken PRO Over Ear PC and Music Headset"/>
    <n v="2154.9839999999999"/>
    <n v="2"/>
    <n v="15.997999999999999"/>
    <n v="0.74237210113856988"/>
  </r>
  <r>
    <s v="CA-2019-123526"/>
    <x v="210"/>
    <s v="BV-11245"/>
    <s v="Benjamin Venier"/>
    <s v="United States"/>
    <x v="2"/>
    <x v="1"/>
    <s v="Xerox 1898"/>
    <n v="33.4"/>
    <n v="5"/>
    <n v="16.032"/>
    <n v="48.000000000000007"/>
  </r>
  <r>
    <s v="CA-2019-158617"/>
    <x v="381"/>
    <s v="AC-10660"/>
    <s v="Anna Chung"/>
    <s v="United States"/>
    <x v="3"/>
    <x v="1"/>
    <s v="Xerox 1895"/>
    <n v="35.880000000000003"/>
    <n v="6"/>
    <n v="16.146000000000001"/>
    <n v="45"/>
  </r>
  <r>
    <s v="US-2020-106145"/>
    <x v="191"/>
    <s v="RA-19885"/>
    <s v="Ruben Ausman"/>
    <s v="United States"/>
    <x v="2"/>
    <x v="1"/>
    <s v="Xerox 1895"/>
    <n v="117.88"/>
    <n v="6"/>
    <n v="16.146000000000001"/>
    <n v="13.696979979640314"/>
  </r>
  <r>
    <s v="US-2019-169040"/>
    <x v="431"/>
    <s v="GT-14710"/>
    <s v="Greg Tran"/>
    <s v="United States"/>
    <x v="2"/>
    <x v="1"/>
    <s v="Jet-Pak Recycled Peel 'N' Seal Padded Mailers"/>
    <n v="35.89"/>
    <n v="1"/>
    <n v="16.150500000000001"/>
    <n v="45"/>
  </r>
  <r>
    <s v="CA-2020-117422"/>
    <x v="168"/>
    <s v="FC-14245"/>
    <s v="Frank Carlisle"/>
    <s v="United States"/>
    <x v="0"/>
    <x v="1"/>
    <s v="Avanti 1.7 Cu. Ft. Refrigerator"/>
    <n v="190.56800000000001"/>
    <n v="2"/>
    <n v="16.1568"/>
    <n v="8.4782334914571162"/>
  </r>
  <r>
    <s v="CA-2020-104220"/>
    <x v="178"/>
    <s v="BV-11245"/>
    <s v="Benjamin Venier"/>
    <s v="United States"/>
    <x v="3"/>
    <x v="1"/>
    <s v="GBC Instant Report Kit"/>
    <n v="162.35"/>
    <n v="5"/>
    <n v="16.175000000000001"/>
    <n v="9.9630428087465361"/>
  </r>
  <r>
    <s v="CA-2020-161774"/>
    <x v="215"/>
    <s v="GT-14710"/>
    <s v="Greg Tran"/>
    <s v="United States"/>
    <x v="3"/>
    <x v="1"/>
    <s v="Xerox 1936"/>
    <n v="152.952"/>
    <n v="3"/>
    <n v="16.183800000000002"/>
    <n v="10.580966577749884"/>
  </r>
  <r>
    <s v="CA-2020-139353"/>
    <x v="259"/>
    <s v="JM-15250"/>
    <s v="Janet Martin"/>
    <s v="United States"/>
    <x v="1"/>
    <x v="1"/>
    <s v="Xerox 1936"/>
    <n v="146.952"/>
    <n v="3"/>
    <n v="16.183800000000002"/>
    <n v="11.01298383145517"/>
  </r>
  <r>
    <s v="CA-2020-154109"/>
    <x v="174"/>
    <s v="ML-17410"/>
    <s v="Maris LaWare"/>
    <s v="United States"/>
    <x v="0"/>
    <x v="1"/>
    <s v="Xerox 191"/>
    <n v="129.952"/>
    <n v="3"/>
    <n v="16.183800000000002"/>
    <n v="12.453675203151935"/>
  </r>
  <r>
    <s v="CA-2020-135860"/>
    <x v="265"/>
    <s v="JH-15985"/>
    <s v="Joseph Holt"/>
    <s v="United States"/>
    <x v="3"/>
    <x v="1"/>
    <s v="Advantus Push Pins, Aluminum Head"/>
    <n v="117.29"/>
    <n v="9"/>
    <n v="16.209900000000001"/>
    <n v="13.820359791968626"/>
  </r>
  <r>
    <s v="CA-2020-134880"/>
    <x v="396"/>
    <s v="TW-21025"/>
    <s v="Tamara Willingham"/>
    <s v="United States"/>
    <x v="2"/>
    <x v="1"/>
    <s v="Xerox 1882"/>
    <n v="122.78400000000001"/>
    <n v="1"/>
    <n v="16.234200000000001"/>
    <n v="13.221755277560595"/>
  </r>
  <r>
    <s v="US-2019-165078"/>
    <x v="77"/>
    <s v="MA-17995"/>
    <s v="Michelle Arnett"/>
    <s v="United States"/>
    <x v="3"/>
    <x v="1"/>
    <s v="Prismacolor Color Pencil Set"/>
    <n v="39.68"/>
    <n v="2"/>
    <n v="16.268799999999999"/>
    <n v="41"/>
  </r>
  <r>
    <s v="CA-2020-150910"/>
    <x v="67"/>
    <s v="JL-15130"/>
    <s v="Jack Lebron"/>
    <s v="United States"/>
    <x v="1"/>
    <x v="1"/>
    <s v="Holmes Replacement Filter for HEPA Air Cleaner, Large Room"/>
    <n v="338.24"/>
    <n v="5"/>
    <n v="16.291"/>
    <n v="4.816402554399243"/>
  </r>
  <r>
    <s v="CA-2020-154116"/>
    <x v="476"/>
    <s v="KM-16660"/>
    <s v="Khloe Miller"/>
    <s v="United States"/>
    <x v="2"/>
    <x v="1"/>
    <s v="Hoover Commercial SteamVac"/>
    <n v="329.32"/>
    <n v="4"/>
    <n v="16.295999999999999"/>
    <n v="4.9483784768614116"/>
  </r>
  <r>
    <s v="CA-2019-142762"/>
    <x v="282"/>
    <s v="LD-17005"/>
    <s v="Lisa DeCherney"/>
    <s v="United States"/>
    <x v="2"/>
    <x v="2"/>
    <s v="Eldon Image Series Desk Accessories, Ebony"/>
    <n v="37.049999999999997"/>
    <n v="3"/>
    <n v="16.302"/>
    <n v="44"/>
  </r>
  <r>
    <s v="CA-2020-135937"/>
    <x v="89"/>
    <s v="KM-16375"/>
    <s v="Katherine Murray"/>
    <s v="United States"/>
    <x v="2"/>
    <x v="2"/>
    <s v="Howard Miller 13&quot; Diameter Pewter Finish Round Wall Clock"/>
    <n v="118.70399999999999"/>
    <n v="2"/>
    <n v="16.3172"/>
    <n v="13.74612481466505"/>
  </r>
  <r>
    <s v="CA-2020-140186"/>
    <x v="86"/>
    <s v="PG-18820"/>
    <s v="Patrick Gardner"/>
    <s v="United States"/>
    <x v="2"/>
    <x v="1"/>
    <s v="Binding Machine Supplies"/>
    <n v="149.672"/>
    <n v="2"/>
    <n v="16.3352"/>
    <n v="10.913998610294511"/>
  </r>
  <r>
    <s v="CA-2020-140585"/>
    <x v="339"/>
    <s v="RA-19915"/>
    <s v="Russell Applegate"/>
    <s v="United States"/>
    <x v="2"/>
    <x v="1"/>
    <s v="Binding Machine Supplies"/>
    <n v="455.67200000000003"/>
    <n v="2"/>
    <n v="16.3352"/>
    <n v="3.5848592847486787"/>
  </r>
  <r>
    <s v="CA-2019-111682"/>
    <x v="80"/>
    <s v="TB-21055"/>
    <s v="Ted Butterfield"/>
    <s v="United States"/>
    <x v="0"/>
    <x v="1"/>
    <s v="Plastic Binding Combs"/>
    <n v="48.48"/>
    <n v="4"/>
    <n v="16.361999999999998"/>
    <n v="33.75"/>
  </r>
  <r>
    <s v="CA-2019-162082"/>
    <x v="291"/>
    <s v="JS-15880"/>
    <s v="John Stevenson"/>
    <s v="United States"/>
    <x v="3"/>
    <x v="1"/>
    <s v="BOSTON Ranger #55 Pencil Sharpener, Black"/>
    <n v="145.54400000000001"/>
    <n v="7"/>
    <n v="16.373699999999999"/>
    <n v="11.249999999999998"/>
  </r>
  <r>
    <s v="CA-2020-161333"/>
    <x v="345"/>
    <s v="JL-15835"/>
    <s v="John Lee"/>
    <s v="United States"/>
    <x v="2"/>
    <x v="1"/>
    <s v="Harmony HEPA Quiet Air Purifiers"/>
    <n v="291.8"/>
    <n v="4"/>
    <n v="16.38"/>
    <n v="5.6134338588074018"/>
  </r>
  <r>
    <s v="US-2020-130953"/>
    <x v="449"/>
    <s v="RF-19735"/>
    <s v="Roland Fjeld"/>
    <s v="United States"/>
    <x v="3"/>
    <x v="1"/>
    <s v="GBC Poly Designer Binding Covers"/>
    <n v="114.48"/>
    <n v="2"/>
    <n v="16.405200000000001"/>
    <n v="14.330188679245284"/>
  </r>
  <r>
    <s v="CA-2019-166443"/>
    <x v="56"/>
    <s v="LH-17020"/>
    <s v="Lisa Hazard"/>
    <s v="United States"/>
    <x v="2"/>
    <x v="2"/>
    <s v="Advantus Panel Wall Acrylic Frame"/>
    <n v="38.29"/>
    <n v="7"/>
    <n v="16.464700000000001"/>
    <n v="43.000000000000007"/>
  </r>
  <r>
    <s v="US-2020-115595"/>
    <x v="30"/>
    <s v="XP-21865"/>
    <s v="Xylona Preis"/>
    <s v="United States"/>
    <x v="2"/>
    <x v="1"/>
    <s v="Wirebound Message Books, 2 7/8&quot; x 5&quot;, 3 Forms per Page"/>
    <n v="136.19999999999999"/>
    <n v="5"/>
    <n v="16.544"/>
    <n v="12.146842878120411"/>
  </r>
  <r>
    <s v="CA-2020-168193"/>
    <x v="494"/>
    <s v="RM-19750"/>
    <s v="Roland Murray"/>
    <s v="United States"/>
    <x v="0"/>
    <x v="2"/>
    <s v="Westinghouse Floor Lamp with Metal Mesh Shade, Black"/>
    <n v="153.97"/>
    <n v="3"/>
    <n v="16.553100000000001"/>
    <n v="10.750860557251412"/>
  </r>
  <r>
    <s v="CA-2020-120999"/>
    <x v="8"/>
    <s v="LC-16930"/>
    <s v="Linda Cazamias"/>
    <s v="United States"/>
    <x v="3"/>
    <x v="0"/>
    <s v="Panasonic Kx-TS550"/>
    <n v="183.16800000000001"/>
    <n v="4"/>
    <n v="16.5564"/>
    <n v="9.0389150943396217"/>
  </r>
  <r>
    <s v="CA-2019-134376"/>
    <x v="226"/>
    <s v="TT-21265"/>
    <s v="Tim Taslimi"/>
    <s v="United States"/>
    <x v="0"/>
    <x v="1"/>
    <s v="Kensington 6 Outlet Guardian Standard Surge Protector"/>
    <n v="61.44"/>
    <n v="3"/>
    <n v="16.588799999999999"/>
    <n v="27"/>
  </r>
  <r>
    <s v="CA-2020-141481"/>
    <x v="206"/>
    <s v="ZD-21925"/>
    <s v="Zuschuss Donatelli"/>
    <s v="United States"/>
    <x v="2"/>
    <x v="1"/>
    <s v="Kensington 6 Outlet Guardian Standard Surge Protector"/>
    <n v="161.44"/>
    <n v="3"/>
    <n v="16.588799999999999"/>
    <n v="10.275520317145688"/>
  </r>
  <r>
    <s v="CA-2020-130351"/>
    <x v="372"/>
    <s v="RB-19570"/>
    <s v="Rob Beeghly"/>
    <s v="United States"/>
    <x v="3"/>
    <x v="1"/>
    <s v="Kensington 6 Outlet Guardian Standard Surge Protector"/>
    <n v="165.44"/>
    <n v="3"/>
    <n v="16.588799999999999"/>
    <n v="10.027079303675048"/>
  </r>
  <r>
    <s v="US-2020-139465"/>
    <x v="53"/>
    <s v="MR-17545"/>
    <s v="Mathew Reese"/>
    <s v="United States"/>
    <x v="0"/>
    <x v="1"/>
    <s v="Iris Project Case"/>
    <n v="170.84"/>
    <n v="8"/>
    <n v="16.598400000000002"/>
    <n v="9.7157574338562416"/>
  </r>
  <r>
    <s v="CA-2019-131205"/>
    <x v="478"/>
    <s v="AA-10645"/>
    <s v="Anna Andreadi"/>
    <s v="United States"/>
    <x v="1"/>
    <x v="2"/>
    <s v="Coloredge Poster Frame"/>
    <n v="42.6"/>
    <n v="3"/>
    <n v="16.614000000000001"/>
    <n v="39"/>
  </r>
  <r>
    <s v="CA-2020-118731"/>
    <x v="216"/>
    <s v="LP-17080"/>
    <s v="Liz Pelletier"/>
    <s v="United States"/>
    <x v="2"/>
    <x v="2"/>
    <s v="Coloredge Poster Frame"/>
    <n v="125.6"/>
    <n v="3"/>
    <n v="16.614000000000001"/>
    <n v="13.227707006369426"/>
  </r>
  <r>
    <s v="CA-2019-145583"/>
    <x v="27"/>
    <s v="LC-16885"/>
    <s v="Lena Creighton"/>
    <s v="United States"/>
    <x v="2"/>
    <x v="1"/>
    <s v="Xerox 1880"/>
    <n v="35.44"/>
    <n v="1"/>
    <n v="16.6568"/>
    <n v="47"/>
  </r>
  <r>
    <s v="CA-2020-102197"/>
    <x v="508"/>
    <s v="DK-13150"/>
    <s v="David Kendrick"/>
    <s v="United States"/>
    <x v="0"/>
    <x v="1"/>
    <s v="Xerox 188"/>
    <n v="293.02"/>
    <n v="3"/>
    <n v="16.669799999999999"/>
    <n v="5.6889632107023411"/>
  </r>
  <r>
    <s v="CA-2020-108441"/>
    <x v="375"/>
    <s v="SB-20190"/>
    <s v="Sarah Bern"/>
    <s v="United States"/>
    <x v="0"/>
    <x v="1"/>
    <s v="Boston 1730 StandUp Electric Pencil Sharpener"/>
    <n v="161.13999999999999"/>
    <n v="3"/>
    <n v="16.676400000000001"/>
    <n v="10.349013280377314"/>
  </r>
  <r>
    <s v="CA-2020-148404"/>
    <x v="232"/>
    <s v="Dp-13240"/>
    <s v="Dean percer"/>
    <s v="United States"/>
    <x v="1"/>
    <x v="0"/>
    <s v="Toshiba IPT2010-SD IP Telephone"/>
    <n v="235.38399999999999"/>
    <n v="2"/>
    <n v="16.678799999999999"/>
    <n v="7.0857832308058324"/>
  </r>
  <r>
    <s v="CA-2020-119746"/>
    <x v="254"/>
    <s v="CM-12385"/>
    <s v="Christopher Martinez"/>
    <s v="United States"/>
    <x v="3"/>
    <x v="0"/>
    <s v="Toshiba IPT2010-SD IP Telephone"/>
    <n v="235.38399999999999"/>
    <n v="2"/>
    <n v="16.678799999999999"/>
    <n v="7.0857832308058324"/>
  </r>
  <r>
    <s v="CA-2019-156748"/>
    <x v="515"/>
    <s v="BS-11755"/>
    <s v="Bruce Stewart"/>
    <s v="United States"/>
    <x v="3"/>
    <x v="1"/>
    <s v="REDIFORM Incoming/Outgoing Call Register, 11&quot; X 8 1/2&quot;, 100 Messages"/>
    <n v="33.36"/>
    <n v="4"/>
    <n v="16.68"/>
    <n v="50"/>
  </r>
  <r>
    <s v="US-2019-142685"/>
    <x v="489"/>
    <s v="MG-17695"/>
    <s v="Maureen Gnade"/>
    <s v="United States"/>
    <x v="0"/>
    <x v="1"/>
    <s v="Compact Automatic Electric Letter Opener"/>
    <n v="835.17"/>
    <n v="7"/>
    <n v="16.703399999999998"/>
    <n v="2"/>
  </r>
  <r>
    <s v="CA-2020-134796"/>
    <x v="390"/>
    <s v="FM-14380"/>
    <s v="Fred McMath"/>
    <s v="United States"/>
    <x v="3"/>
    <x v="0"/>
    <s v="Geemarc AmpliPOWER60"/>
    <n v="179.48"/>
    <n v="2"/>
    <n v="16.704000000000001"/>
    <n v="9.306886561176734"/>
  </r>
  <r>
    <s v="CA-2020-123491"/>
    <x v="177"/>
    <s v="JK-15205"/>
    <s v="Jamie Kunitz"/>
    <s v="United States"/>
    <x v="2"/>
    <x v="0"/>
    <s v="Geemarc AmpliPOWER60"/>
    <n v="194.48"/>
    <n v="2"/>
    <n v="16.704000000000001"/>
    <n v="8.5890580008227086"/>
  </r>
  <r>
    <s v="US-2019-157728"/>
    <x v="381"/>
    <s v="RC-19960"/>
    <s v="Ryan Crowe"/>
    <s v="United States"/>
    <x v="3"/>
    <x v="1"/>
    <s v="RSVP Cards &amp; Envelopes, Blank White, 8-1/2&quot; X 11&quot;, 24 Cards/25 Envelopes/Set"/>
    <n v="35.56"/>
    <n v="7"/>
    <n v="16.713200000000001"/>
    <n v="47"/>
  </r>
  <r>
    <s v="CA-2020-129910"/>
    <x v="392"/>
    <s v="ME-17320"/>
    <s v="Maria Etezadi"/>
    <s v="United States"/>
    <x v="1"/>
    <x v="1"/>
    <s v="Advantus 10-Drawer Portable Organizer, Chrome Metal Frame, Smoke Drawers"/>
    <n v="154.76"/>
    <n v="1"/>
    <n v="16.732800000000001"/>
    <n v="10.81209614887568"/>
  </r>
  <r>
    <s v="CA-2020-143567"/>
    <x v="88"/>
    <s v="TB-21175"/>
    <s v="Thomas Boland"/>
    <s v="United States"/>
    <x v="1"/>
    <x v="1"/>
    <s v="Super Decoflex Portable Personal File"/>
    <n v="104.92"/>
    <n v="4"/>
    <n v="16.7776"/>
    <n v="15.990850171559282"/>
  </r>
  <r>
    <s v="CA-2019-163328"/>
    <x v="56"/>
    <s v="TP-21565"/>
    <s v="Tracy Poddar"/>
    <s v="United States"/>
    <x v="2"/>
    <x v="1"/>
    <s v="Southworth 25% Cotton Premium Laser Paper and Envelopes"/>
    <n v="47.951999999999998"/>
    <n v="3"/>
    <n v="16.783200000000001"/>
    <n v="35"/>
  </r>
  <r>
    <s v="US-2019-131674"/>
    <x v="51"/>
    <s v="NC-18535"/>
    <s v="Nick Crebassa"/>
    <s v="United States"/>
    <x v="3"/>
    <x v="0"/>
    <s v="Memorex Micro Travel Drive 32 GB"/>
    <n v="58.415999999999997"/>
    <n v="2"/>
    <n v="16.794599999999999"/>
    <n v="28.749999999999996"/>
  </r>
  <r>
    <s v="CA-2020-124086"/>
    <x v="594"/>
    <s v="MP-18175"/>
    <s v="Mike Pelletier"/>
    <s v="United States"/>
    <x v="2"/>
    <x v="2"/>
    <s v="Bush Andora Bookcase, Maple/Graphite Gray Finish"/>
    <n v="226.983"/>
    <n v="2"/>
    <n v="16.7986"/>
    <n v="7.4008185635047559"/>
  </r>
  <r>
    <s v="CA-2020-126956"/>
    <x v="500"/>
    <s v="GT-14710"/>
    <s v="Greg Tran"/>
    <s v="United States"/>
    <x v="3"/>
    <x v="1"/>
    <s v="Advantus Plastic Paper Clips"/>
    <n v="156"/>
    <n v="7"/>
    <n v="16.8"/>
    <n v="10.76923076923077"/>
  </r>
  <r>
    <s v="CA-2020-140186"/>
    <x v="86"/>
    <s v="PG-18820"/>
    <s v="Patrick Gardner"/>
    <s v="United States"/>
    <x v="2"/>
    <x v="1"/>
    <s v="Advantus Plastic Paper Clips"/>
    <n v="149"/>
    <n v="7"/>
    <n v="16.8"/>
    <n v="11.275167785234899"/>
  </r>
  <r>
    <s v="CA-2019-125164"/>
    <x v="214"/>
    <s v="SH-19975"/>
    <s v="Sally Hughsby"/>
    <s v="United States"/>
    <x v="0"/>
    <x v="1"/>
    <s v="Wilson Jones Century Plastic Molded Ring Binders"/>
    <n v="49.847999999999999"/>
    <n v="3"/>
    <n v="16.823699999999999"/>
    <n v="33.75"/>
  </r>
  <r>
    <s v="CA-2019-118689"/>
    <x v="226"/>
    <s v="TC-20980"/>
    <s v="Tamara Chand"/>
    <s v="United States"/>
    <x v="3"/>
    <x v="1"/>
    <s v="Acco Pressboard Covers with Storage Hooks, 14 7/8&quot; x 11&quot;, Light Blue"/>
    <n v="34.369999999999997"/>
    <n v="7"/>
    <n v="16.8413"/>
    <n v="49.000000000000007"/>
  </r>
  <r>
    <s v="CA-2020-104647"/>
    <x v="447"/>
    <s v="CK-12595"/>
    <s v="Clytie Kelty"/>
    <s v="United States"/>
    <x v="2"/>
    <x v="1"/>
    <s v="Ampad Phone Message Book, Recycled, 400 Message Capacity, 5 ¾” x 11”"/>
    <n v="128.44"/>
    <n v="6"/>
    <n v="16.847999999999999"/>
    <n v="13.117408906882591"/>
  </r>
  <r>
    <s v="CA-2020-133823"/>
    <x v="40"/>
    <s v="LP-17080"/>
    <s v="Liz Pelletier"/>
    <s v="United States"/>
    <x v="2"/>
    <x v="1"/>
    <s v="Ampad Phone Message Book, Recycled, 400 Message Capacity, 5 ¾” x 11”"/>
    <n v="113.44"/>
    <n v="6"/>
    <n v="16.847999999999999"/>
    <n v="14.851904090267981"/>
  </r>
  <r>
    <s v="CA-2019-133711"/>
    <x v="127"/>
    <s v="MC-17425"/>
    <s v="Mark Cousins"/>
    <s v="United States"/>
    <x v="1"/>
    <x v="1"/>
    <s v="Wilson Jones DublLock D-Ring Binders"/>
    <n v="33.75"/>
    <n v="5"/>
    <n v="16.875"/>
    <n v="50"/>
  </r>
  <r>
    <s v="CA-2019-158575"/>
    <x v="313"/>
    <s v="SB-20290"/>
    <s v="Sean Braxton"/>
    <s v="United States"/>
    <x v="0"/>
    <x v="1"/>
    <s v="Holmes 99% HEPA Air Purifier"/>
    <n v="103.968"/>
    <n v="6"/>
    <n v="16.8948"/>
    <n v="16.25"/>
  </r>
  <r>
    <s v="CA-2020-132437"/>
    <x v="25"/>
    <s v="EM-14095"/>
    <s v="Eudokia Martin"/>
    <s v="United States"/>
    <x v="0"/>
    <x v="1"/>
    <s v="Adjustable Personal File Tote"/>
    <n v="165.12"/>
    <n v="4"/>
    <n v="16.9312"/>
    <n v="10.253875968992249"/>
  </r>
  <r>
    <s v="CA-2020-125101"/>
    <x v="494"/>
    <s v="SH-19975"/>
    <s v="Sally Hughsby"/>
    <s v="United States"/>
    <x v="2"/>
    <x v="1"/>
    <s v="File Shuttle II and Handi-File, Black"/>
    <n v="165.78"/>
    <n v="2"/>
    <n v="16.945"/>
    <n v="10.221377729521052"/>
  </r>
  <r>
    <s v="CA-2019-150350"/>
    <x v="95"/>
    <s v="MS-17770"/>
    <s v="Maxwell Schwartz"/>
    <s v="United States"/>
    <x v="2"/>
    <x v="1"/>
    <s v="Xerox 1978"/>
    <n v="34.68"/>
    <n v="6"/>
    <n v="16.993200000000002"/>
    <n v="49.000000000000007"/>
  </r>
  <r>
    <s v="CA-2020-133235"/>
    <x v="61"/>
    <s v="LH-16750"/>
    <s v="Larry Hughes"/>
    <s v="United States"/>
    <x v="1"/>
    <x v="0"/>
    <s v="Nortel Networks T7316 E Nt8 B27"/>
    <n v="317.95999999999998"/>
    <n v="5"/>
    <n v="16.997499999999999"/>
    <n v="5.3457982136117748"/>
  </r>
  <r>
    <s v="CA-2019-118913"/>
    <x v="203"/>
    <s v="AS-10240"/>
    <s v="Alan Shonely"/>
    <s v="United States"/>
    <x v="2"/>
    <x v="1"/>
    <s v="Fellowes Mighty 8 Compact Surge Protector"/>
    <n v="60.81"/>
    <n v="3"/>
    <n v="17.026800000000001"/>
    <n v="28.000000000000004"/>
  </r>
  <r>
    <s v="CA-2019-157588"/>
    <x v="475"/>
    <s v="AR-10570"/>
    <s v="Anemone Ratner"/>
    <s v="United States"/>
    <x v="1"/>
    <x v="1"/>
    <s v="Cardinal Holdit Data Disk Pockets"/>
    <n v="36.4"/>
    <n v="5"/>
    <n v="17.108000000000001"/>
    <n v="47"/>
  </r>
  <r>
    <s v="CA-2020-129462"/>
    <x v="360"/>
    <s v="JE-15745"/>
    <s v="Joel Eaton"/>
    <s v="United States"/>
    <x v="1"/>
    <x v="0"/>
    <s v="Clarity 53712"/>
    <n v="153.99"/>
    <n v="1"/>
    <n v="17.157399999999999"/>
    <n v="11.141892330670821"/>
  </r>
  <r>
    <s v="CA-2020-123981"/>
    <x v="11"/>
    <s v="RW-19630"/>
    <s v="Rob Williams"/>
    <s v="United States"/>
    <x v="0"/>
    <x v="0"/>
    <s v="Plantronics 81402"/>
    <n v="110.99"/>
    <n v="1"/>
    <n v="17.157399999999999"/>
    <n v="15.458509775655466"/>
  </r>
  <r>
    <s v="CA-2019-119935"/>
    <x v="214"/>
    <s v="KM-16225"/>
    <s v="Kalyca Meade"/>
    <s v="United States"/>
    <x v="3"/>
    <x v="2"/>
    <s v="3M Polarizing Light Filter Sleeves"/>
    <n v="37.299999999999997"/>
    <n v="2"/>
    <n v="17.158000000000001"/>
    <n v="46.000000000000007"/>
  </r>
  <r>
    <s v="US-2019-124163"/>
    <x v="81"/>
    <s v="SC-20695"/>
    <s v="Steve Chapman"/>
    <s v="United States"/>
    <x v="3"/>
    <x v="2"/>
    <s v="Eldon Expressions Mahogany Wood Desk Collection"/>
    <n v="68.64"/>
    <n v="11"/>
    <n v="17.16"/>
    <n v="25"/>
  </r>
  <r>
    <s v="CA-2020-110905"/>
    <x v="8"/>
    <s v="RW-19690"/>
    <s v="Robert Waldorf"/>
    <s v="United States"/>
    <x v="3"/>
    <x v="1"/>
    <s v="Fellowes Stor/Drawer Steel Plus Storage Drawers"/>
    <n v="300.29000000000002"/>
    <n v="3"/>
    <n v="17.177399999999999"/>
    <n v="5.7202704052749"/>
  </r>
  <r>
    <s v="US-2020-110604"/>
    <x v="403"/>
    <s v="JF-15295"/>
    <s v="Jason Fortune-"/>
    <s v="United States"/>
    <x v="2"/>
    <x v="2"/>
    <s v="24-Hour Round Wall Clock"/>
    <n v="141.96"/>
    <n v="2"/>
    <n v="17.1828"/>
    <n v="12.103972950126796"/>
  </r>
  <r>
    <s v="CA-2019-145548"/>
    <x v="373"/>
    <s v="EB-13750"/>
    <s v="Edward Becker"/>
    <s v="United States"/>
    <x v="0"/>
    <x v="1"/>
    <s v="Deluxe Heavy-Duty Vinyl Round Ring Binder"/>
    <n v="55.008000000000003"/>
    <n v="3"/>
    <n v="17.190000000000001"/>
    <n v="31.25"/>
  </r>
  <r>
    <s v="CA-2020-156818"/>
    <x v="543"/>
    <s v="JD-16015"/>
    <s v="Joy Daniels"/>
    <s v="United States"/>
    <x v="0"/>
    <x v="0"/>
    <s v="SanDisk Ultra 32 GB MicroSDHC Class 10 Memory Card"/>
    <n v="172.6"/>
    <n v="6"/>
    <n v="17.238"/>
    <n v="9.9872537659327918"/>
  </r>
  <r>
    <s v="CA-2020-133263"/>
    <x v="152"/>
    <s v="JE-15610"/>
    <s v="Jim Epp"/>
    <s v="United States"/>
    <x v="1"/>
    <x v="1"/>
    <s v="Ibico Recycled Grain-Textured Covers"/>
    <n v="118.54"/>
    <n v="1"/>
    <n v="17.27"/>
    <n v="14.568921882908722"/>
  </r>
  <r>
    <s v="CA-2019-158435"/>
    <x v="297"/>
    <s v="AG-10900"/>
    <s v="Arthur Gainer"/>
    <s v="United States"/>
    <x v="0"/>
    <x v="2"/>
    <s v="Eldon Advantage Chair Mats for Low to Medium Pile Carpets"/>
    <n v="173.24"/>
    <n v="4"/>
    <n v="17.324000000000002"/>
    <n v="10"/>
  </r>
  <r>
    <s v="CA-2019-137848"/>
    <x v="322"/>
    <s v="WB-21850"/>
    <s v="William Brown"/>
    <s v="United States"/>
    <x v="0"/>
    <x v="1"/>
    <s v="Square Ring Data Binders, Rigid 75 Pt. Covers, 11&quot; x 14-7/8&quot;"/>
    <n v="49.536000000000001"/>
    <n v="3"/>
    <n v="17.337599999999998"/>
    <n v="35"/>
  </r>
  <r>
    <s v="CA-2019-134775"/>
    <x v="256"/>
    <s v="AS-10285"/>
    <s v="Alejandro Savely"/>
    <s v="United States"/>
    <x v="2"/>
    <x v="1"/>
    <s v="Square Ring Data Binders, Rigid 75 Pt. Covers, 11&quot; x 14-7/8&quot;"/>
    <n v="49.536000000000001"/>
    <n v="3"/>
    <n v="17.337599999999998"/>
    <n v="35"/>
  </r>
  <r>
    <s v="US-2019-131149"/>
    <x v="48"/>
    <s v="LH-17155"/>
    <s v="Logan Haushalter"/>
    <s v="United States"/>
    <x v="3"/>
    <x v="1"/>
    <s v="Boston Heavy-Duty Trimline Electric Pencil Sharpeners"/>
    <n v="154.24"/>
    <n v="4"/>
    <n v="17.352"/>
    <n v="11.249999999999998"/>
  </r>
  <r>
    <s v="US-2020-162670"/>
    <x v="172"/>
    <s v="MF-18250"/>
    <s v="Monica Federle"/>
    <s v="United States"/>
    <x v="1"/>
    <x v="1"/>
    <s v="Personal Filing Tote with Lid, Black/Gray"/>
    <n v="294.04000000000002"/>
    <n v="4"/>
    <n v="17.371200000000002"/>
    <n v="5.9077676506597747"/>
  </r>
  <r>
    <s v="CA-2019-157266"/>
    <x v="154"/>
    <s v="TB-21280"/>
    <s v="Toby Braunhardt"/>
    <s v="United States"/>
    <x v="0"/>
    <x v="2"/>
    <s v="9-3/4 Diameter Round Wall Clock"/>
    <n v="41.37"/>
    <n v="3"/>
    <n v="17.375399999999999"/>
    <n v="42"/>
  </r>
  <r>
    <s v="CA-2020-143329"/>
    <x v="368"/>
    <s v="DL-13330"/>
    <s v="Denise Leinenbach"/>
    <s v="United States"/>
    <x v="2"/>
    <x v="2"/>
    <s v="9-3/4 Diameter Round Wall Clock"/>
    <n v="162.37"/>
    <n v="3"/>
    <n v="17.375399999999999"/>
    <n v="10.7011147379442"/>
  </r>
  <r>
    <s v="CA-2020-136511"/>
    <x v="248"/>
    <s v="MZ-17515"/>
    <s v="Mary Zewe"/>
    <s v="United States"/>
    <x v="0"/>
    <x v="1"/>
    <s v="Premier Electric Letter Opener"/>
    <n v="366.58"/>
    <n v="3"/>
    <n v="17.379000000000001"/>
    <n v="4.7408478367614171"/>
  </r>
  <r>
    <s v="US-2019-139087"/>
    <x v="395"/>
    <s v="DK-13375"/>
    <s v="Dennis Kane"/>
    <s v="United States"/>
    <x v="2"/>
    <x v="1"/>
    <s v="Home/Office Personal File Carts"/>
    <n v="69.52"/>
    <n v="2"/>
    <n v="17.38"/>
    <n v="25"/>
  </r>
  <r>
    <s v="CA-2019-158610"/>
    <x v="204"/>
    <s v="CK-12595"/>
    <s v="Clytie Kelty"/>
    <s v="United States"/>
    <x v="0"/>
    <x v="1"/>
    <s v="Home/Office Personal File Carts"/>
    <n v="69.52"/>
    <n v="2"/>
    <n v="17.38"/>
    <n v="25"/>
  </r>
  <r>
    <s v="CA-2020-150091"/>
    <x v="169"/>
    <s v="NP-18670"/>
    <s v="Nora Paige"/>
    <s v="United States"/>
    <x v="0"/>
    <x v="2"/>
    <s v="DAX Two-Tone Silver Metal Document Frame"/>
    <n v="133.47999999999999"/>
    <n v="2"/>
    <n v="17.406400000000001"/>
    <n v="13.040455498951156"/>
  </r>
  <r>
    <s v="CA-2020-115602"/>
    <x v="339"/>
    <s v="DJ-13630"/>
    <s v="Doug Jacobs"/>
    <s v="United States"/>
    <x v="0"/>
    <x v="1"/>
    <s v="Staples in misc. colors"/>
    <n v="394.82"/>
    <n v="6"/>
    <n v="17.469000000000001"/>
    <n v="4.4245478952434025"/>
  </r>
  <r>
    <s v="CA-2020-140963"/>
    <x v="255"/>
    <s v="MT-18070"/>
    <s v="Michelle Tran"/>
    <s v="United States"/>
    <x v="2"/>
    <x v="0"/>
    <s v="iHome FM Clock Radio with Lightning Dock"/>
    <n v="318.95999999999998"/>
    <n v="5"/>
    <n v="17.497499999999999"/>
    <n v="5.4857975921745679"/>
  </r>
  <r>
    <s v="CA-2020-130351"/>
    <x v="372"/>
    <s v="RB-19570"/>
    <s v="Rob Beeghly"/>
    <s v="United States"/>
    <x v="3"/>
    <x v="1"/>
    <s v="Southworth 100% Résumé Paper, 24lb."/>
    <n v="116.9"/>
    <n v="5"/>
    <n v="17.504999999999999"/>
    <n v="14.974337040205302"/>
  </r>
  <r>
    <s v="CA-2019-165015"/>
    <x v="611"/>
    <s v="BD-11725"/>
    <s v="Bruce Degenhardt"/>
    <s v="United States"/>
    <x v="0"/>
    <x v="1"/>
    <s v="Staple envelope"/>
    <n v="46.72"/>
    <n v="5"/>
    <n v="17.52"/>
    <n v="37.5"/>
  </r>
  <r>
    <s v="CA-2020-113278"/>
    <x v="325"/>
    <s v="HR-14770"/>
    <s v="Hallie Redmond"/>
    <s v="United States"/>
    <x v="3"/>
    <x v="1"/>
    <s v="Tenex Personal Project File with Scoop Front Design, Black"/>
    <n v="185.4"/>
    <n v="5"/>
    <n v="17.524000000000001"/>
    <n v="9.4519956850053948"/>
  </r>
  <r>
    <s v="CA-2020-102967"/>
    <x v="10"/>
    <s v="MG-17890"/>
    <s v="Michael Granlund"/>
    <s v="United States"/>
    <x v="0"/>
    <x v="1"/>
    <s v="Tenex Personal Project File with Scoop Front Design, Black"/>
    <n v="109.4"/>
    <n v="5"/>
    <n v="17.524000000000001"/>
    <n v="16.018281535648995"/>
  </r>
  <r>
    <s v="CA-2019-121034"/>
    <x v="441"/>
    <s v="JF-15565"/>
    <s v="Jill Fjeld"/>
    <s v="United States"/>
    <x v="3"/>
    <x v="1"/>
    <s v="Ink Jet Note and Greeting Cards, 8-1/2&quot; x 5-1/2&quot; Card Size"/>
    <n v="53.951999999999998"/>
    <n v="3"/>
    <n v="17.534400000000002"/>
    <n v="32.500000000000007"/>
  </r>
  <r>
    <s v="CA-2019-142405"/>
    <x v="335"/>
    <s v="SE-20110"/>
    <s v="Sanjit Engle"/>
    <s v="United States"/>
    <x v="2"/>
    <x v="1"/>
    <s v="Wilson Jones Turn Tabs Binder Tool for Ring Binders"/>
    <n v="53.984000000000002"/>
    <n v="14"/>
    <n v="17.544799999999999"/>
    <n v="32.499999999999993"/>
  </r>
  <r>
    <s v="CA-2019-138478"/>
    <x v="72"/>
    <s v="DP-13390"/>
    <s v="Dennis Pardue"/>
    <s v="United States"/>
    <x v="2"/>
    <x v="1"/>
    <s v="Xerox 193"/>
    <n v="35.880000000000003"/>
    <n v="6"/>
    <n v="17.581199999999999"/>
    <n v="48.999999999999993"/>
  </r>
  <r>
    <s v="CA-2020-148320"/>
    <x v="368"/>
    <s v="PG-18895"/>
    <s v="Paul Gonzalez"/>
    <s v="United States"/>
    <x v="2"/>
    <x v="1"/>
    <s v="Xerox 1992"/>
    <n v="118.88"/>
    <n v="6"/>
    <n v="17.581199999999999"/>
    <n v="14.789030955585464"/>
  </r>
  <r>
    <s v="CA-2020-119004"/>
    <x v="254"/>
    <s v="JM-15250"/>
    <s v="Janet Martin"/>
    <s v="United States"/>
    <x v="1"/>
    <x v="0"/>
    <s v="Memorex Mini Travel Drive 8 GB USB 2.0 Flash Drive"/>
    <n v="114.11199999999999"/>
    <n v="8"/>
    <n v="17.601600000000001"/>
    <n v="15.424845765563658"/>
  </r>
  <r>
    <s v="CA-2020-145429"/>
    <x v="102"/>
    <s v="SW-20455"/>
    <s v="Shaun Weien"/>
    <s v="United States"/>
    <x v="2"/>
    <x v="1"/>
    <s v="GBC Premium Transparent Covers with Diagonal Lined Pattern"/>
    <n v="115.352"/>
    <n v="3"/>
    <n v="17.623200000000001"/>
    <n v="15.277758513073028"/>
  </r>
  <r>
    <s v="CA-2020-102197"/>
    <x v="508"/>
    <s v="DK-13150"/>
    <s v="David Kendrick"/>
    <s v="United States"/>
    <x v="0"/>
    <x v="1"/>
    <s v="GBC Premium Transparent Covers with Diagonal Lined Pattern"/>
    <n v="489.35199999999998"/>
    <n v="3"/>
    <n v="17.623200000000001"/>
    <n v="3.6013340090568757"/>
  </r>
  <r>
    <s v="CA-2020-121125"/>
    <x v="380"/>
    <s v="MG-17890"/>
    <s v="Michael Granlund"/>
    <s v="United States"/>
    <x v="2"/>
    <x v="0"/>
    <s v="LG G3"/>
    <n v="180.792"/>
    <n v="1"/>
    <n v="17.639099999999999"/>
    <n v="9.7565710872162477"/>
  </r>
  <r>
    <s v="US-2019-117793"/>
    <x v="95"/>
    <s v="MA-17560"/>
    <s v="Matt Abelman"/>
    <s v="United States"/>
    <x v="3"/>
    <x v="1"/>
    <s v="Avery 515"/>
    <n v="37.590000000000003"/>
    <n v="3"/>
    <n v="17.667300000000001"/>
    <n v="47"/>
  </r>
  <r>
    <s v="CA-2020-133823"/>
    <x v="40"/>
    <s v="LP-17080"/>
    <s v="Liz Pelletier"/>
    <s v="United States"/>
    <x v="2"/>
    <x v="1"/>
    <s v="Avery 50"/>
    <n v="129.59"/>
    <n v="3"/>
    <n v="17.667300000000001"/>
    <n v="13.633227872521028"/>
  </r>
  <r>
    <s v="CA-2020-145807"/>
    <x v="34"/>
    <s v="SB-20190"/>
    <s v="Sarah Bern"/>
    <s v="United States"/>
    <x v="2"/>
    <x v="1"/>
    <s v="Sensible Storage WireTech Storage Systems"/>
    <n v="403.9"/>
    <n v="5"/>
    <n v="17.745000000000001"/>
    <n v="4.3934142114384755"/>
  </r>
  <r>
    <s v="CA-2020-161956"/>
    <x v="53"/>
    <s v="DR-12880"/>
    <s v="Dan Reichenbach"/>
    <s v="United States"/>
    <x v="2"/>
    <x v="1"/>
    <s v="Sensible Storage WireTech Storage Systems"/>
    <n v="378.9"/>
    <n v="5"/>
    <n v="17.745000000000001"/>
    <n v="4.6832937450514649"/>
  </r>
  <r>
    <s v="CA-2020-144064"/>
    <x v="388"/>
    <s v="CP-12085"/>
    <s v="Cathy Prescott"/>
    <s v="United States"/>
    <x v="3"/>
    <x v="1"/>
    <s v="Avery 505"/>
    <n v="137.36000000000001"/>
    <n v="4"/>
    <n v="17.760000000000002"/>
    <n v="12.92952824694234"/>
  </r>
  <r>
    <s v="CA-2019-158834"/>
    <x v="22"/>
    <s v="TW-21025"/>
    <s v="Tamara Willingham"/>
    <s v="United States"/>
    <x v="2"/>
    <x v="1"/>
    <s v="Belkin 7 Outlet SurgeMaster Surge Protector with Phone Protection"/>
    <n v="157.91999999999999"/>
    <n v="5"/>
    <n v="17.765999999999998"/>
    <n v="11.25"/>
  </r>
  <r>
    <s v="CA-2019-153661"/>
    <x v="26"/>
    <s v="SC-20725"/>
    <s v="Steven Cartwright"/>
    <s v="United States"/>
    <x v="2"/>
    <x v="1"/>
    <s v="GBC Wire Binding Strips"/>
    <n v="50.783999999999999"/>
    <n v="2"/>
    <n v="17.7744"/>
    <n v="35"/>
  </r>
  <r>
    <s v="CA-2020-163335"/>
    <x v="64"/>
    <s v="AG-10675"/>
    <s v="Anna Gayman"/>
    <s v="United States"/>
    <x v="1"/>
    <x v="1"/>
    <s v="Avery Durable Poly Binders"/>
    <n v="127.71"/>
    <n v="7"/>
    <n v="17.8066"/>
    <n v="13.942995849972595"/>
  </r>
  <r>
    <s v="CA-2019-165484"/>
    <x v="342"/>
    <s v="HK-14890"/>
    <s v="Heather Kirkland"/>
    <s v="United States"/>
    <x v="3"/>
    <x v="1"/>
    <s v="Xerox 1929"/>
    <n v="54.816000000000003"/>
    <n v="3"/>
    <n v="17.815200000000001"/>
    <n v="32.5"/>
  </r>
  <r>
    <s v="CA-2020-121909"/>
    <x v="192"/>
    <s v="EA-14035"/>
    <s v="Erin Ashbrook"/>
    <s v="United States"/>
    <x v="0"/>
    <x v="1"/>
    <s v="Xerox 1991"/>
    <n v="166.816"/>
    <n v="3"/>
    <n v="17.815200000000001"/>
    <n v="10.679551122194514"/>
  </r>
  <r>
    <s v="CA-2020-119284"/>
    <x v="267"/>
    <s v="TS-21205"/>
    <s v="Thomas Seio"/>
    <s v="United States"/>
    <x v="1"/>
    <x v="1"/>
    <s v="Hot File 7-Pocket, Floor Stand"/>
    <n v="160.77600000000001"/>
    <n v="1"/>
    <n v="17.847000000000001"/>
    <n v="11.100537393640842"/>
  </r>
  <r>
    <s v="CA-2019-120082"/>
    <x v="612"/>
    <s v="DK-12835"/>
    <s v="Damala Kotsonis"/>
    <s v="United States"/>
    <x v="0"/>
    <x v="1"/>
    <s v="Newell 319"/>
    <n v="59.52"/>
    <n v="3"/>
    <n v="17.856000000000002"/>
    <n v="30"/>
  </r>
  <r>
    <s v="CA-2019-129196"/>
    <x v="564"/>
    <s v="XP-21865"/>
    <s v="Xylona Preis"/>
    <s v="United States"/>
    <x v="3"/>
    <x v="0"/>
    <s v="Maxell 4.7GB DVD-R"/>
    <n v="68.111999999999995"/>
    <n v="3"/>
    <n v="17.8794"/>
    <n v="26.25"/>
  </r>
  <r>
    <s v="CA-2019-113733"/>
    <x v="83"/>
    <s v="LH-16900"/>
    <s v="Lena Hernandez"/>
    <s v="United States"/>
    <x v="1"/>
    <x v="0"/>
    <s v="Maxell 4.7GB DVD-R"/>
    <n v="68.111999999999995"/>
    <n v="3"/>
    <n v="17.8794"/>
    <n v="26.25"/>
  </r>
  <r>
    <s v="CA-2019-113978"/>
    <x v="81"/>
    <s v="TS-21505"/>
    <s v="Tony Sayre"/>
    <s v="United States"/>
    <x v="0"/>
    <x v="1"/>
    <s v="Hoover Shoulder Vac Commercial Portable Vacuum"/>
    <n v="286.25599999999997"/>
    <n v="1"/>
    <n v="17.890999999999998"/>
    <n v="6.25"/>
  </r>
  <r>
    <s v="CA-2020-157833"/>
    <x v="245"/>
    <s v="KD-16345"/>
    <s v="Katherine Ducich"/>
    <s v="United States"/>
    <x v="2"/>
    <x v="1"/>
    <s v="Trimflex Flexible Post Binders"/>
    <n v="187.31200000000001"/>
    <n v="3"/>
    <n v="17.959199999999999"/>
    <n v="9.587853421030152"/>
  </r>
  <r>
    <s v="US-2020-161935"/>
    <x v="38"/>
    <s v="JL-15835"/>
    <s v="John Lee"/>
    <s v="United States"/>
    <x v="0"/>
    <x v="1"/>
    <s v="SAFCO Mobile Desk Side File, Wire Frame"/>
    <n v="273.45600000000002"/>
    <n v="7"/>
    <n v="17.959199999999999"/>
    <n v="6.5674916622783908"/>
  </r>
  <r>
    <s v="CA-2020-122735"/>
    <x v="601"/>
    <s v="BD-11320"/>
    <s v="Bill Donatelli"/>
    <s v="United States"/>
    <x v="0"/>
    <x v="1"/>
    <s v="Xerox 1948"/>
    <n v="160.96"/>
    <n v="4"/>
    <n v="17.981999999999999"/>
    <n v="11.171719681908547"/>
  </r>
  <r>
    <s v="CA-2019-109666"/>
    <x v="190"/>
    <s v="KM-16720"/>
    <s v="Kunst Miller"/>
    <s v="United States"/>
    <x v="0"/>
    <x v="1"/>
    <s v="Panasonic KP-380BK Classic Electric Pencil Sharpener"/>
    <n v="71.959999999999994"/>
    <n v="2"/>
    <n v="17.989999999999998"/>
    <n v="25"/>
  </r>
  <r>
    <s v="US-2019-119298"/>
    <x v="0"/>
    <s v="EP-13915"/>
    <s v="Emily Phan"/>
    <s v="United States"/>
    <x v="1"/>
    <x v="0"/>
    <s v="OtterBox Defender Series Case - Samsung Galaxy S4"/>
    <n v="59.98"/>
    <n v="2"/>
    <n v="17.994"/>
    <n v="30"/>
  </r>
  <r>
    <s v="CA-2020-166898"/>
    <x v="183"/>
    <s v="KH-16630"/>
    <s v="Ken Heidel"/>
    <s v="United States"/>
    <x v="2"/>
    <x v="0"/>
    <s v="OtterBox Defender Series Case - Samsung Galaxy S4"/>
    <n v="175.952"/>
    <n v="6"/>
    <n v="17.994"/>
    <n v="10.226652723470037"/>
  </r>
  <r>
    <s v="US-2020-155999"/>
    <x v="278"/>
    <s v="JK-15370"/>
    <s v="Jay Kimmel"/>
    <s v="United States"/>
    <x v="2"/>
    <x v="0"/>
    <s v="GE DSL Phone Line Filter"/>
    <n v="195.96"/>
    <n v="5"/>
    <n v="17.9955"/>
    <n v="9.1832516840171472"/>
  </r>
  <r>
    <s v="CA-2019-121020"/>
    <x v="559"/>
    <s v="CG-12040"/>
    <s v="Catherine Glotzbach"/>
    <s v="United States"/>
    <x v="1"/>
    <x v="0"/>
    <s v="Apple iPhone 5C"/>
    <n v="239.976"/>
    <n v="3"/>
    <n v="17.998200000000001"/>
    <n v="7.5"/>
  </r>
  <r>
    <s v="CA-2019-167241"/>
    <x v="332"/>
    <s v="BD-11320"/>
    <s v="Bill Donatelli"/>
    <s v="United States"/>
    <x v="2"/>
    <x v="1"/>
    <s v="Rediform S.O.S. 1-Up Phone Message Bk, 4-1/4x3-1/16 Bk, 1 Form/Pg, 40 Messages/Bk, 3/Pk"/>
    <n v="37.520000000000003"/>
    <n v="4"/>
    <n v="18.009599999999999"/>
    <n v="47.999999999999993"/>
  </r>
  <r>
    <s v="CA-2020-120614"/>
    <x v="380"/>
    <s v="SM-20950"/>
    <s v="Suzanne McNair"/>
    <s v="United States"/>
    <x v="2"/>
    <x v="1"/>
    <s v="Rediform S.O.S. 1-Up Phone Message Bk, 4-1/4x3-1/16 Bk, 1 Form/Pg, 40 Messages/Bk, 3/Pk"/>
    <n v="106.52"/>
    <n v="4"/>
    <n v="18.009599999999999"/>
    <n v="16.907247465264739"/>
  </r>
  <r>
    <s v="CA-2020-156769"/>
    <x v="128"/>
    <s v="GZ-14470"/>
    <s v="Gary Zandusky"/>
    <s v="United States"/>
    <x v="1"/>
    <x v="1"/>
    <s v="Dixon Ticonderoga Core-Lock Colored Pencils"/>
    <n v="153.66"/>
    <n v="6"/>
    <n v="18.037800000000001"/>
    <n v="11.738773916438893"/>
  </r>
  <r>
    <s v="CA-2020-153871"/>
    <x v="33"/>
    <s v="RB-19435"/>
    <s v="Richard Bierner"/>
    <s v="United States"/>
    <x v="0"/>
    <x v="1"/>
    <s v="Fellowes Twister Kit, Gray/Clear, 3/pkg"/>
    <n v="323.2"/>
    <n v="5"/>
    <n v="18.09"/>
    <n v="5.5971534653465351"/>
  </r>
  <r>
    <s v="CA-2020-110212"/>
    <x v="28"/>
    <s v="SJ-20125"/>
    <s v="Sanjit Jacobs"/>
    <s v="United States"/>
    <x v="1"/>
    <x v="0"/>
    <s v="Maxell 74 Minute CDR, 10/Pack"/>
    <n v="997.9"/>
    <n v="5"/>
    <n v="18.093"/>
    <n v="1.8131075258041891"/>
  </r>
  <r>
    <s v="CA-2020-100111"/>
    <x v="495"/>
    <s v="SV-20365"/>
    <s v="Seth Vernon"/>
    <s v="United States"/>
    <x v="0"/>
    <x v="1"/>
    <s v="TOPS &quot;Important Message&quot; Pads, Canary, 4-1/4 x 5-1/2, 50 Sheets per Pad"/>
    <n v="142.52000000000001"/>
    <n v="9"/>
    <n v="18.104399999999998"/>
    <n v="12.703059219758629"/>
  </r>
  <r>
    <s v="CA-2019-126158"/>
    <x v="445"/>
    <s v="SC-20095"/>
    <s v="Sanjit Chand"/>
    <s v="United States"/>
    <x v="2"/>
    <x v="2"/>
    <s v="DMI Arturo Collection Mission-style Design Wood Chair"/>
    <n v="241.56800000000001"/>
    <n v="2"/>
    <n v="18.117599999999999"/>
    <n v="7.5"/>
  </r>
  <r>
    <s v="CA-2019-147109"/>
    <x v="45"/>
    <s v="AH-10075"/>
    <s v="Adam Hart"/>
    <s v="United States"/>
    <x v="3"/>
    <x v="1"/>
    <s v="Xerox 214"/>
    <n v="51.84"/>
    <n v="10"/>
    <n v="18.143999999999998"/>
    <n v="34.999999999999993"/>
  </r>
  <r>
    <s v="CA-2020-100111"/>
    <x v="495"/>
    <s v="SV-20365"/>
    <s v="Seth Vernon"/>
    <s v="United States"/>
    <x v="0"/>
    <x v="2"/>
    <s v="Hon Valutask Swivel Chairs"/>
    <n v="318.64600000000002"/>
    <n v="3"/>
    <n v="18.176400000000001"/>
    <n v="5.7042611550121451"/>
  </r>
  <r>
    <s v="CA-2020-118003"/>
    <x v="57"/>
    <s v="DO-13645"/>
    <s v="Doug O'Connell"/>
    <s v="United States"/>
    <x v="0"/>
    <x v="2"/>
    <s v="Global Low Back Tilter Chair"/>
    <n v="314.94"/>
    <n v="3"/>
    <n v="18.176400000000001"/>
    <n v="5.7713850257191845"/>
  </r>
  <r>
    <s v="CA-2020-105235"/>
    <x v="372"/>
    <s v="SM-20950"/>
    <s v="Suzanne McNair"/>
    <s v="United States"/>
    <x v="0"/>
    <x v="2"/>
    <s v="Seth Thomas 14&quot; Putty-Colored Wall Clock"/>
    <n v="143.68"/>
    <n v="2"/>
    <n v="18.190799999999999"/>
    <n v="12.660634743875276"/>
  </r>
  <r>
    <s v="CA-2019-158841"/>
    <x v="164"/>
    <s v="SE-20110"/>
    <s v="Sanjit Engle"/>
    <s v="United States"/>
    <x v="1"/>
    <x v="1"/>
    <s v="Presstex Flexible Ring Binders"/>
    <n v="36.4"/>
    <n v="8"/>
    <n v="18.2"/>
    <n v="50"/>
  </r>
  <r>
    <s v="CA-2019-154998"/>
    <x v="474"/>
    <s v="ES-14080"/>
    <s v="Erin Smith"/>
    <s v="United States"/>
    <x v="0"/>
    <x v="1"/>
    <s v="Xerox 1939"/>
    <n v="37.94"/>
    <n v="2"/>
    <n v="18.211200000000002"/>
    <n v="48.000000000000007"/>
  </r>
  <r>
    <s v="CA-2019-101161"/>
    <x v="27"/>
    <s v="BW-11110"/>
    <s v="Bart Watters"/>
    <s v="United States"/>
    <x v="0"/>
    <x v="1"/>
    <s v="Computer Printout Paper with Letter-Trim Perforations"/>
    <n v="37.94"/>
    <n v="2"/>
    <n v="18.211200000000002"/>
    <n v="48.000000000000007"/>
  </r>
  <r>
    <s v="CA-2019-135776"/>
    <x v="39"/>
    <s v="EH-13765"/>
    <s v="Edward Hooks"/>
    <s v="United States"/>
    <x v="2"/>
    <x v="1"/>
    <s v="Computer Printout Paper with Letter-Trim Perforations"/>
    <n v="37.94"/>
    <n v="2"/>
    <n v="18.211200000000002"/>
    <n v="48.000000000000007"/>
  </r>
  <r>
    <s v="CA-2020-118521"/>
    <x v="363"/>
    <s v="LF-17185"/>
    <s v="Luke Foster"/>
    <s v="United States"/>
    <x v="0"/>
    <x v="1"/>
    <s v="Xerox 1912"/>
    <n v="140.94"/>
    <n v="2"/>
    <n v="18.211200000000002"/>
    <n v="12.921243082162622"/>
  </r>
  <r>
    <s v="CA-2020-134565"/>
    <x v="206"/>
    <s v="TB-21400"/>
    <s v="Tom Boeckenhauer"/>
    <s v="United States"/>
    <x v="2"/>
    <x v="1"/>
    <s v="Xerox 1939"/>
    <n v="159.94"/>
    <n v="2"/>
    <n v="18.211200000000002"/>
    <n v="11.386269851194198"/>
  </r>
  <r>
    <s v="US-2020-148054"/>
    <x v="482"/>
    <s v="NZ-18565"/>
    <s v="Nick Zandusky"/>
    <s v="United States"/>
    <x v="2"/>
    <x v="1"/>
    <s v="Computer Printout Paper with Letter-Trim Perforations"/>
    <n v="120.94"/>
    <n v="2"/>
    <n v="18.211200000000002"/>
    <n v="15.058045311724824"/>
  </r>
  <r>
    <s v="CA-2019-157161"/>
    <x v="133"/>
    <s v="JD-15895"/>
    <s v="Jonathan Doherty"/>
    <s v="United States"/>
    <x v="1"/>
    <x v="0"/>
    <s v="Imation Secure Drive + Hardware Encrypted USB flash drive - 16 GB"/>
    <n v="75.98"/>
    <n v="2"/>
    <n v="18.235199999999999"/>
    <n v="23.999999999999996"/>
  </r>
  <r>
    <s v="CA-2019-101623"/>
    <x v="581"/>
    <s v="RR-19525"/>
    <s v="Rick Reed"/>
    <s v="United States"/>
    <x v="0"/>
    <x v="1"/>
    <s v="Staples"/>
    <n v="36.479999999999997"/>
    <n v="6"/>
    <n v="18.239999999999998"/>
    <n v="50"/>
  </r>
  <r>
    <s v="CA-2020-143021"/>
    <x v="4"/>
    <s v="AP-10720"/>
    <s v="Anne Pryor"/>
    <s v="United States"/>
    <x v="0"/>
    <x v="1"/>
    <s v="Acco Data Flex Cable Posts For Top &amp; Bottom Load Binders, 6&quot; Capacity"/>
    <n v="159.40799999999999"/>
    <n v="7"/>
    <n v="18.252500000000001"/>
    <n v="11.450178159189001"/>
  </r>
  <r>
    <s v="CA-2020-140949"/>
    <x v="294"/>
    <s v="DB-13405"/>
    <s v="Denny Blanton"/>
    <s v="United States"/>
    <x v="0"/>
    <x v="0"/>
    <s v="SanDisk Cruzer 32 GB USB Flash Drive"/>
    <n v="104.06"/>
    <n v="3"/>
    <n v="18.2592"/>
    <n v="17.546799923121277"/>
  </r>
  <r>
    <s v="CA-2020-119655"/>
    <x v="202"/>
    <s v="CV-12295"/>
    <s v="Christina VanderZanden"/>
    <s v="United States"/>
    <x v="3"/>
    <x v="1"/>
    <s v="Cardinal EasyOpen D-Ring Binders"/>
    <n v="128.56"/>
    <n v="4"/>
    <n v="18.28"/>
    <n v="14.219041692594898"/>
  </r>
  <r>
    <s v="CA-2019-166226"/>
    <x v="313"/>
    <s v="TC-21535"/>
    <s v="Tracy Collins"/>
    <s v="United States"/>
    <x v="2"/>
    <x v="1"/>
    <s v="Fellowes Command Center 5-outlet power strip"/>
    <n v="67.84"/>
    <n v="1"/>
    <n v="18.316800000000001"/>
    <n v="27"/>
  </r>
  <r>
    <s v="CA-2019-105753"/>
    <x v="326"/>
    <s v="LC-16960"/>
    <s v="Lindsay Castell"/>
    <s v="United States"/>
    <x v="1"/>
    <x v="2"/>
    <s v="Aluminum Document Frame"/>
    <n v="61.1"/>
    <n v="5"/>
    <n v="18.329999999999998"/>
    <n v="30"/>
  </r>
  <r>
    <s v="CA-2019-103730"/>
    <x v="104"/>
    <s v="SC-20725"/>
    <s v="Steven Cartwright"/>
    <s v="United States"/>
    <x v="0"/>
    <x v="2"/>
    <s v="Artistic Insta-Plaque"/>
    <n v="47.04"/>
    <n v="3"/>
    <n v="18.345600000000001"/>
    <n v="39"/>
  </r>
  <r>
    <s v="CA-2019-139941"/>
    <x v="104"/>
    <s v="CB-12415"/>
    <s v="Christy Brittain"/>
    <s v="United States"/>
    <x v="0"/>
    <x v="1"/>
    <s v="Bionaire 99.97% HEPA Air Cleaner"/>
    <n v="52.56"/>
    <n v="3"/>
    <n v="18.396000000000001"/>
    <n v="35"/>
  </r>
  <r>
    <s v="CA-2019-123666"/>
    <x v="315"/>
    <s v="SP-20545"/>
    <s v="Sibella Parks"/>
    <s v="United States"/>
    <x v="0"/>
    <x v="1"/>
    <s v="Gould Plastics 18-Pocket Panel Bin, 34w x 5-1/4d x 20-1/2h"/>
    <n v="459.95"/>
    <n v="5"/>
    <n v="18.398"/>
    <n v="4"/>
  </r>
  <r>
    <s v="CA-2019-145583"/>
    <x v="27"/>
    <s v="LC-16885"/>
    <s v="Lena Creighton"/>
    <s v="United States"/>
    <x v="2"/>
    <x v="1"/>
    <s v="Fiskars Softgrip Scissors"/>
    <n v="65.88"/>
    <n v="6"/>
    <n v="18.446400000000001"/>
    <n v="28.000000000000004"/>
  </r>
  <r>
    <s v="CA-2020-147725"/>
    <x v="97"/>
    <s v="LT-17110"/>
    <s v="Liz Thompson"/>
    <s v="United States"/>
    <x v="0"/>
    <x v="1"/>
    <s v="Boston Home &amp; Office Model 2000 Electric Pencil Sharpeners"/>
    <n v="150.94999999999999"/>
    <n v="3"/>
    <n v="18.446999999999999"/>
    <n v="12.220602848625372"/>
  </r>
  <r>
    <s v="CA-2020-150707"/>
    <x v="223"/>
    <s v="EL-13735"/>
    <s v="Ed Ludwig"/>
    <s v="United States"/>
    <x v="0"/>
    <x v="1"/>
    <s v="Acco PRESSTEX Data Binder with Storage Hooks, Dark Blue, 14 7/8&quot; X 11&quot;"/>
    <n v="150.66"/>
    <n v="7"/>
    <n v="18.453399999999998"/>
    <n v="12.248373821850524"/>
  </r>
  <r>
    <s v="CA-2020-141733"/>
    <x v="575"/>
    <s v="RW-19540"/>
    <s v="Rick Wilson"/>
    <s v="United States"/>
    <x v="3"/>
    <x v="1"/>
    <s v="Belkin Premiere Surge Master II 8-outlet surge protector"/>
    <n v="165.44399999999999"/>
    <n v="2"/>
    <n v="18.4604"/>
    <n v="11.158095790720727"/>
  </r>
  <r>
    <s v="CA-2019-101651"/>
    <x v="210"/>
    <s v="SC-20305"/>
    <s v="Sean Christensen"/>
    <s v="United States"/>
    <x v="2"/>
    <x v="2"/>
    <s v="Eldon 200 Class Desk Accessories, Smoke"/>
    <n v="43.96"/>
    <n v="7"/>
    <n v="18.463200000000001"/>
    <n v="42"/>
  </r>
  <r>
    <s v="CA-2019-151092"/>
    <x v="610"/>
    <s v="VG-21790"/>
    <s v="Vivek Gonzalez"/>
    <s v="United States"/>
    <x v="2"/>
    <x v="0"/>
    <s v="Panasonic KX-TG6844B Expandable Digital Cordless Telephone"/>
    <n v="211.16800000000001"/>
    <n v="4"/>
    <n v="18.4772"/>
    <n v="8.75"/>
  </r>
  <r>
    <s v="CA-2019-111213"/>
    <x v="442"/>
    <s v="FP-14320"/>
    <s v="Frank Preis"/>
    <s v="United States"/>
    <x v="0"/>
    <x v="1"/>
    <s v="Staple remover"/>
    <n v="63.84"/>
    <n v="8"/>
    <n v="18.5136"/>
    <n v="28.999999999999996"/>
  </r>
  <r>
    <s v="CA-2019-164511"/>
    <x v="319"/>
    <s v="DJ-13630"/>
    <s v="Doug Jacobs"/>
    <s v="United States"/>
    <x v="0"/>
    <x v="1"/>
    <s v="Advantus Rolling Storage Box"/>
    <n v="68.599999999999994"/>
    <n v="4"/>
    <n v="18.521999999999998"/>
    <n v="27"/>
  </r>
  <r>
    <s v="CA-2020-124576"/>
    <x v="61"/>
    <s v="HK-14890"/>
    <s v="Heather Kirkland"/>
    <s v="United States"/>
    <x v="2"/>
    <x v="1"/>
    <s v="GBC Prestige Therm-A-Bind Covers"/>
    <n v="161.89599999999999"/>
    <n v="2"/>
    <n v="18.5274"/>
    <n v="11.444013440727382"/>
  </r>
  <r>
    <s v="US-2020-120147"/>
    <x v="392"/>
    <s v="TB-21400"/>
    <s v="Tom Boeckenhauer"/>
    <s v="United States"/>
    <x v="2"/>
    <x v="0"/>
    <s v="AT&amp;T CL83451 4-Handset Telephone"/>
    <n v="188.792"/>
    <n v="1"/>
    <n v="18.539100000000001"/>
    <n v="9.8198546548582559"/>
  </r>
  <r>
    <s v="CA-2020-152786"/>
    <x v="590"/>
    <s v="GA-14725"/>
    <s v="Guy Armstrong"/>
    <s v="United States"/>
    <x v="1"/>
    <x v="1"/>
    <s v="Avery Non-Stick Binders"/>
    <n v="122.41"/>
    <n v="9"/>
    <n v="18.5886"/>
    <n v="15.185524058491954"/>
  </r>
  <r>
    <s v="CA-2020-132934"/>
    <x v="446"/>
    <s v="JE-15475"/>
    <s v="Jeremy Ellison"/>
    <s v="United States"/>
    <x v="0"/>
    <x v="1"/>
    <s v="Acco D-Ring Binder w/DublLock"/>
    <n v="147.31200000000001"/>
    <n v="3"/>
    <n v="18.6006"/>
    <n v="12.626669925057021"/>
  </r>
  <r>
    <s v="CA-2019-147473"/>
    <x v="323"/>
    <s v="NL-18310"/>
    <s v="Nancy Lomonaco"/>
    <s v="United States"/>
    <x v="2"/>
    <x v="1"/>
    <s v="Xerox 228"/>
    <n v="38.880000000000003"/>
    <n v="6"/>
    <n v="18.662400000000002"/>
    <n v="48.000000000000007"/>
  </r>
  <r>
    <s v="CA-2019-152534"/>
    <x v="295"/>
    <s v="DP-13105"/>
    <s v="Dave Poirier"/>
    <s v="United States"/>
    <x v="2"/>
    <x v="1"/>
    <s v="Xerox 202"/>
    <n v="38.880000000000003"/>
    <n v="6"/>
    <n v="18.662400000000002"/>
    <n v="48.000000000000007"/>
  </r>
  <r>
    <s v="CA-2019-119018"/>
    <x v="56"/>
    <s v="CW-11905"/>
    <s v="Carl Weiss"/>
    <s v="United States"/>
    <x v="2"/>
    <x v="1"/>
    <s v="Xerox 229"/>
    <n v="38.880000000000003"/>
    <n v="6"/>
    <n v="18.662400000000002"/>
    <n v="48.000000000000007"/>
  </r>
  <r>
    <s v="CA-2019-145919"/>
    <x v="60"/>
    <s v="HG-14965"/>
    <s v="Henry Goldwyn"/>
    <s v="United States"/>
    <x v="2"/>
    <x v="1"/>
    <s v="Eureka Recycled Copy Paper 8 1/2&quot; x 11&quot;, Ream"/>
    <n v="38.880000000000003"/>
    <n v="6"/>
    <n v="18.662400000000002"/>
    <n v="48.000000000000007"/>
  </r>
  <r>
    <s v="US-2020-114034"/>
    <x v="527"/>
    <s v="DL-13315"/>
    <s v="Delfina Latchford"/>
    <s v="United States"/>
    <x v="2"/>
    <x v="1"/>
    <s v="Xerox 1905"/>
    <n v="136.88"/>
    <n v="6"/>
    <n v="18.662400000000002"/>
    <n v="13.634132086499125"/>
  </r>
  <r>
    <s v="US-2020-155866"/>
    <x v="328"/>
    <s v="CC-12370"/>
    <s v="Christopher Conant"/>
    <s v="United States"/>
    <x v="0"/>
    <x v="1"/>
    <s v="Xerox 1905"/>
    <n v="157.88"/>
    <n v="6"/>
    <n v="18.662400000000002"/>
    <n v="11.820623258170764"/>
  </r>
  <r>
    <s v="CA-2020-122770"/>
    <x v="547"/>
    <s v="EP-13915"/>
    <s v="Emily Phan"/>
    <s v="United States"/>
    <x v="2"/>
    <x v="1"/>
    <s v="Xerox 1996"/>
    <n v="433.88"/>
    <n v="6"/>
    <n v="18.662400000000002"/>
    <n v="4.3012814603116079"/>
  </r>
  <r>
    <s v="CA-2019-112893"/>
    <x v="344"/>
    <s v="AT-10735"/>
    <s v="Annie Thurman"/>
    <s v="United States"/>
    <x v="2"/>
    <x v="1"/>
    <s v="VariCap6 Expandable Binder"/>
    <n v="55.36"/>
    <n v="4"/>
    <n v="18.684000000000001"/>
    <n v="33.75"/>
  </r>
  <r>
    <s v="CA-2019-101651"/>
    <x v="210"/>
    <s v="SC-20305"/>
    <s v="Sean Christensen"/>
    <s v="United States"/>
    <x v="2"/>
    <x v="1"/>
    <s v="Staple envelope"/>
    <n v="39.76"/>
    <n v="7"/>
    <n v="18.687200000000001"/>
    <n v="47"/>
  </r>
  <r>
    <s v="CA-2020-131954"/>
    <x v="263"/>
    <s v="DS-13030"/>
    <s v="Darrin Sayre"/>
    <s v="United States"/>
    <x v="2"/>
    <x v="2"/>
    <s v="O'Sullivan Cherrywood Estates Traditional Bookcase"/>
    <n v="106.98"/>
    <n v="1"/>
    <n v="18.695599999999999"/>
    <n v="17.475789867264908"/>
  </r>
  <r>
    <s v="US-2019-119046"/>
    <x v="337"/>
    <s v="EH-13765"/>
    <s v="Edward Hooks"/>
    <s v="United States"/>
    <x v="2"/>
    <x v="1"/>
    <s v="Acco PRESSTEX Data Binder with Storage Hooks, Dark Blue, 14 7/8&quot; X 11&quot;"/>
    <n v="51.648000000000003"/>
    <n v="12"/>
    <n v="18.7224"/>
    <n v="36.25"/>
  </r>
  <r>
    <s v="CA-2020-106782"/>
    <x v="493"/>
    <s v="LP-17095"/>
    <s v="Liz Preis"/>
    <s v="United States"/>
    <x v="3"/>
    <x v="1"/>
    <s v="Tennsco Single-Tier Lockers"/>
    <n v="541.34"/>
    <n v="1"/>
    <n v="18.766999999999999"/>
    <n v="3.4667676506446963"/>
  </r>
  <r>
    <s v="US-2020-169488"/>
    <x v="266"/>
    <s v="AA-10375"/>
    <s v="Allen Armold"/>
    <s v="United States"/>
    <x v="0"/>
    <x v="1"/>
    <s v="Xerox 191"/>
    <n v="144.96"/>
    <n v="2"/>
    <n v="18.781199999999998"/>
    <n v="12.956125827814569"/>
  </r>
  <r>
    <s v="CA-2020-158743"/>
    <x v="170"/>
    <s v="IG-15085"/>
    <s v="Ivan Gibson"/>
    <s v="United States"/>
    <x v="1"/>
    <x v="1"/>
    <s v="Xerox 1884"/>
    <n v="147.96"/>
    <n v="2"/>
    <n v="18.781199999999998"/>
    <n v="12.693430656934304"/>
  </r>
  <r>
    <s v="US-2020-166688"/>
    <x v="145"/>
    <s v="RD-19480"/>
    <s v="Rick Duston"/>
    <s v="United States"/>
    <x v="2"/>
    <x v="1"/>
    <s v="Fellowes Basic Home/Office Series Surge Protectors"/>
    <n v="158.9"/>
    <n v="5"/>
    <n v="18.821000000000002"/>
    <n v="11.844556324732537"/>
  </r>
  <r>
    <s v="US-2020-151127"/>
    <x v="195"/>
    <s v="RL-19615"/>
    <s v="Rob Lucas"/>
    <s v="United States"/>
    <x v="2"/>
    <x v="1"/>
    <s v="SANFORD Major Accent Highlighters"/>
    <n v="155.56"/>
    <n v="7"/>
    <n v="18.832799999999999"/>
    <n v="12.106454101311389"/>
  </r>
  <r>
    <s v="CA-2020-166926"/>
    <x v="265"/>
    <s v="SO-20335"/>
    <s v="Sean O'Donnell"/>
    <s v="United States"/>
    <x v="2"/>
    <x v="1"/>
    <s v="Xerox 1947"/>
    <n v="129.86000000000001"/>
    <n v="7"/>
    <n v="18.837"/>
    <n v="14.505621438472199"/>
  </r>
  <r>
    <s v="CA-2019-155992"/>
    <x v="131"/>
    <s v="CC-12220"/>
    <s v="Chris Cortes"/>
    <s v="United States"/>
    <x v="3"/>
    <x v="0"/>
    <s v="Plantronics Cordless Phone Headset with In-line Volume - M214C"/>
    <n v="69.900000000000006"/>
    <n v="2"/>
    <n v="18.873000000000001"/>
    <n v="27"/>
  </r>
  <r>
    <s v="CA-2019-157280"/>
    <x v="77"/>
    <s v="LW-17125"/>
    <s v="Liz Willingham"/>
    <s v="United States"/>
    <x v="1"/>
    <x v="0"/>
    <s v="Microsoft Natural Ergonomic Keyboard 4000"/>
    <n v="89.97"/>
    <n v="3"/>
    <n v="18.893699999999999"/>
    <n v="21"/>
  </r>
  <r>
    <s v="CA-2019-147536"/>
    <x v="386"/>
    <s v="AR-10510"/>
    <s v="Andrew Roberts"/>
    <s v="United States"/>
    <x v="0"/>
    <x v="0"/>
    <s v="Belkin F8E887 USB Wired Ergonomic Keyboard"/>
    <n v="89.97"/>
    <n v="3"/>
    <n v="18.893699999999999"/>
    <n v="21"/>
  </r>
  <r>
    <s v="US-2020-133361"/>
    <x v="215"/>
    <s v="AJ-10780"/>
    <s v="Anthony Jacobs"/>
    <s v="United States"/>
    <x v="0"/>
    <x v="0"/>
    <s v="Belkin F8E887 USB Wired Ergonomic Keyboard"/>
    <n v="111.97"/>
    <n v="3"/>
    <n v="18.893699999999999"/>
    <n v="16.873894793248191"/>
  </r>
  <r>
    <s v="CA-2020-105809"/>
    <x v="89"/>
    <s v="HW-14935"/>
    <s v="Helen Wasserman"/>
    <s v="United States"/>
    <x v="2"/>
    <x v="0"/>
    <s v="Logitech Mobile Speakerphone P710e - speaker phone"/>
    <n v="261.96800000000002"/>
    <n v="2"/>
    <n v="18.897200000000002"/>
    <n v="7.2135528003420273"/>
  </r>
  <r>
    <s v="CA-2019-158435"/>
    <x v="297"/>
    <s v="AG-10900"/>
    <s v="Arthur Gainer"/>
    <s v="United States"/>
    <x v="0"/>
    <x v="1"/>
    <s v="Acme Forged Steel Scissors with Black Enamel Handles"/>
    <n v="65.17"/>
    <n v="7"/>
    <n v="18.8993"/>
    <n v="28.999999999999996"/>
  </r>
  <r>
    <s v="CA-2020-124205"/>
    <x v="301"/>
    <s v="TC-21145"/>
    <s v="Theresa Coyne"/>
    <s v="United States"/>
    <x v="0"/>
    <x v="2"/>
    <s v="DAX Two-Tone Rosewood/Black Document Frame, Desktop, 5 x 7"/>
    <n v="165.4"/>
    <n v="5"/>
    <n v="18.96"/>
    <n v="11.463119709794437"/>
  </r>
  <r>
    <s v="CA-2020-108035"/>
    <x v="613"/>
    <s v="TT-21070"/>
    <s v="Ted Trevino"/>
    <s v="United States"/>
    <x v="1"/>
    <x v="2"/>
    <s v="Executive Impressions 13&quot; Chairman Wall Clock"/>
    <n v="122.52"/>
    <n v="5"/>
    <n v="19.035"/>
    <n v="15.536238981390794"/>
  </r>
  <r>
    <s v="CA-2020-112753"/>
    <x v="614"/>
    <s v="CC-12670"/>
    <s v="Craig Carreira"/>
    <s v="United States"/>
    <x v="2"/>
    <x v="1"/>
    <s v="Xerox 1930"/>
    <n v="138.88"/>
    <n v="6"/>
    <n v="19.051200000000001"/>
    <n v="13.717741935483874"/>
  </r>
  <r>
    <s v="CA-2020-163188"/>
    <x v="117"/>
    <s v="EC-14050"/>
    <s v="Erin Creighton"/>
    <s v="United States"/>
    <x v="3"/>
    <x v="1"/>
    <s v="Storex DuraTech Recycled Plastic Frosted Binders"/>
    <n v="142.16"/>
    <n v="9"/>
    <n v="19.079999999999998"/>
    <n v="13.421496904895891"/>
  </r>
  <r>
    <s v="CA-2020-140627"/>
    <x v="172"/>
    <s v="DK-12985"/>
    <s v="Darren Koutras"/>
    <s v="United States"/>
    <x v="1"/>
    <x v="2"/>
    <s v="Executive Impressions 14&quot; Two-Color Numerals Wall Clock"/>
    <n v="373.70400000000001"/>
    <n v="4"/>
    <n v="19.084800000000001"/>
    <n v="5.1069295485196839"/>
  </r>
  <r>
    <s v="CA-2020-122763"/>
    <x v="485"/>
    <s v="HG-14845"/>
    <s v="Harry Greene"/>
    <s v="United States"/>
    <x v="3"/>
    <x v="1"/>
    <s v="Easy-staple paper"/>
    <n v="169.70400000000001"/>
    <n v="2"/>
    <n v="19.137599999999999"/>
    <n v="11.277047093763256"/>
  </r>
  <r>
    <s v="US-2020-152569"/>
    <x v="403"/>
    <s v="JD-16015"/>
    <s v="Joy Daniels"/>
    <s v="United States"/>
    <x v="3"/>
    <x v="1"/>
    <s v="Xerox 1880"/>
    <n v="179.70400000000001"/>
    <n v="2"/>
    <n v="19.137599999999999"/>
    <n v="10.649512531718825"/>
  </r>
  <r>
    <s v="CA-2020-117821"/>
    <x v="375"/>
    <s v="HG-15025"/>
    <s v="Hunter Glantz"/>
    <s v="United States"/>
    <x v="0"/>
    <x v="0"/>
    <s v="Microsoft Sculpt Comfort Mouse"/>
    <n v="159.91999999999999"/>
    <n v="2"/>
    <n v="19.175999999999998"/>
    <n v="11.990995497748875"/>
  </r>
  <r>
    <s v="CA-2020-165904"/>
    <x v="68"/>
    <s v="HR-14770"/>
    <s v="Hallie Redmond"/>
    <s v="United States"/>
    <x v="1"/>
    <x v="0"/>
    <s v="AT&amp;T 1080 Corded phone"/>
    <n v="247.184"/>
    <n v="2"/>
    <n v="19.178599999999999"/>
    <n v="7.7588355233348434"/>
  </r>
  <r>
    <s v="CA-2019-140543"/>
    <x v="615"/>
    <s v="Co-12640"/>
    <s v="Corey-Lock"/>
    <s v="United States"/>
    <x v="1"/>
    <x v="1"/>
    <s v="Fellowes Bankers Box Stor/Drawer Steel Plus"/>
    <n v="191.88"/>
    <n v="6"/>
    <n v="19.187999999999999"/>
    <n v="10"/>
  </r>
  <r>
    <s v="CA-2019-119123"/>
    <x v="22"/>
    <s v="DB-13360"/>
    <s v="Dennis Bolton"/>
    <s v="United States"/>
    <x v="2"/>
    <x v="1"/>
    <s v="Cardinal EasyOpen D-Ring Binders"/>
    <n v="51.183999999999997"/>
    <n v="7"/>
    <n v="19.193999999999999"/>
    <n v="37.5"/>
  </r>
  <r>
    <s v="CA-2020-143378"/>
    <x v="121"/>
    <s v="JR-16210"/>
    <s v="Justin Ritter"/>
    <s v="United States"/>
    <x v="2"/>
    <x v="0"/>
    <s v="Mophie Juice Pack Helium for iPhone"/>
    <n v="216.976"/>
    <n v="3"/>
    <n v="19.197600000000001"/>
    <n v="8.8477988348941832"/>
  </r>
  <r>
    <s v="US-2020-158512"/>
    <x v="9"/>
    <s v="DA-13450"/>
    <s v="Dianna Arnett"/>
    <s v="United States"/>
    <x v="0"/>
    <x v="1"/>
    <s v="Xerox 195"/>
    <n v="138.08000000000001"/>
    <n v="6"/>
    <n v="19.238399999999999"/>
    <n v="13.932792584009269"/>
  </r>
  <r>
    <s v="CA-2020-102519"/>
    <x v="464"/>
    <s v="BM-11650"/>
    <s v="Brian Moss"/>
    <s v="United States"/>
    <x v="3"/>
    <x v="2"/>
    <s v="Howard Miller 13&quot; Diameter Goldtone Round Wall Clock"/>
    <n v="147.94"/>
    <n v="1"/>
    <n v="19.2454"/>
    <n v="13.008922536163309"/>
  </r>
  <r>
    <s v="CA-2020-143665"/>
    <x v="418"/>
    <s v="PO-19180"/>
    <s v="Philisse Overcash"/>
    <s v="United States"/>
    <x v="2"/>
    <x v="1"/>
    <s v="Avery 478"/>
    <n v="125.28"/>
    <n v="8"/>
    <n v="19.247199999999999"/>
    <n v="15.363346104725414"/>
  </r>
  <r>
    <s v="CA-2019-128671"/>
    <x v="607"/>
    <s v="MT-18070"/>
    <s v="Michelle Tran"/>
    <s v="United States"/>
    <x v="3"/>
    <x v="1"/>
    <s v="Avery Hanging File Binders"/>
    <n v="41.86"/>
    <n v="7"/>
    <n v="19.255600000000001"/>
    <n v="46"/>
  </r>
  <r>
    <s v="CA-2019-152632"/>
    <x v="484"/>
    <s v="JE-15475"/>
    <s v="Jeremy Ellison"/>
    <s v="United States"/>
    <x v="0"/>
    <x v="2"/>
    <s v="Electrix 20W Halogen Replacement Bulb for Zoom-In Desk Lamp"/>
    <n v="40.200000000000003"/>
    <n v="3"/>
    <n v="19.295999999999999"/>
    <n v="47.999999999999993"/>
  </r>
  <r>
    <s v="CA-2020-111556"/>
    <x v="216"/>
    <s v="CD-11920"/>
    <s v="Carlos Daly"/>
    <s v="United States"/>
    <x v="0"/>
    <x v="1"/>
    <s v="Boston KS Multi-Size Manual Pencil Sharpener"/>
    <n v="112.97"/>
    <n v="3"/>
    <n v="19.311599999999999"/>
    <n v="17.094449853943523"/>
  </r>
  <r>
    <s v="CA-2020-118360"/>
    <x v="311"/>
    <s v="JC-15775"/>
    <s v="John Castell"/>
    <s v="United States"/>
    <x v="0"/>
    <x v="1"/>
    <s v="Wirebound Message Books, Four 2 3/4 x 5 Forms per Page, 200 Sets per Book"/>
    <n v="117.93"/>
    <n v="9"/>
    <n v="19.3185"/>
    <n v="16.381327906385142"/>
  </r>
  <r>
    <s v="CA-2019-107615"/>
    <x v="604"/>
    <s v="RB-19645"/>
    <s v="Robert Barroso"/>
    <s v="United States"/>
    <x v="2"/>
    <x v="0"/>
    <s v="Logitech ClearChat Comfort/USB Headset H390"/>
    <n v="58.58"/>
    <n v="2"/>
    <n v="19.331399999999999"/>
    <n v="32.999999999999993"/>
  </r>
  <r>
    <s v="CA-2020-136364"/>
    <x v="371"/>
    <s v="MH-17455"/>
    <s v="Mark Hamilton"/>
    <s v="United States"/>
    <x v="0"/>
    <x v="2"/>
    <s v="Nu-Dell Executive Frame"/>
    <n v="104.008"/>
    <n v="9"/>
    <n v="19.339200000000002"/>
    <n v="18.593954311206833"/>
  </r>
  <r>
    <s v="CA-2019-149916"/>
    <x v="279"/>
    <s v="ED-13885"/>
    <s v="Emily Ducich"/>
    <s v="United States"/>
    <x v="2"/>
    <x v="1"/>
    <s v="Wilson Jones International Size A4 Ring Binders"/>
    <n v="55.36"/>
    <n v="4"/>
    <n v="19.376000000000001"/>
    <n v="35"/>
  </r>
  <r>
    <s v="CA-2020-121258"/>
    <x v="595"/>
    <s v="DB-13060"/>
    <s v="Dave Brooks"/>
    <s v="United States"/>
    <x v="2"/>
    <x v="0"/>
    <s v="Aastra 57i VoIP phone"/>
    <n v="301.57600000000002"/>
    <n v="2"/>
    <n v="19.3932"/>
    <n v="6.4306178210467673"/>
  </r>
  <r>
    <s v="CA-2020-142125"/>
    <x v="168"/>
    <s v="JB-15400"/>
    <s v="Jennifer Braxton"/>
    <s v="United States"/>
    <x v="3"/>
    <x v="1"/>
    <s v="GBC Instant Report Kit"/>
    <n v="171.82"/>
    <n v="6"/>
    <n v="19.41"/>
    <n v="11.296705854964499"/>
  </r>
  <r>
    <s v="CA-2019-121601"/>
    <x v="285"/>
    <s v="MO-17500"/>
    <s v="Mary O'Rourke"/>
    <s v="United States"/>
    <x v="3"/>
    <x v="1"/>
    <s v="Laser &amp; Ink Jet Business Envelopes"/>
    <n v="59.752000000000002"/>
    <n v="7"/>
    <n v="19.4194"/>
    <n v="32.499999999999993"/>
  </r>
  <r>
    <s v="CA-2019-138695"/>
    <x v="283"/>
    <s v="KC-16675"/>
    <s v="Kimberly Carter"/>
    <s v="United States"/>
    <x v="1"/>
    <x v="1"/>
    <s v="Great White Multi-Use Recycled Paper (20Lb. and 84 Bright)"/>
    <n v="62.192"/>
    <n v="13"/>
    <n v="19.434999999999999"/>
    <n v="31.25"/>
  </r>
  <r>
    <s v="CA-2019-113341"/>
    <x v="0"/>
    <s v="MH-17455"/>
    <s v="Mark Hamilton"/>
    <s v="United States"/>
    <x v="2"/>
    <x v="2"/>
    <s v="Padded Folding Chairs, Black, 4/Carton"/>
    <n v="194.352"/>
    <n v="3"/>
    <n v="19.435199999999998"/>
    <n v="10"/>
  </r>
  <r>
    <s v="US-2019-169040"/>
    <x v="431"/>
    <s v="GT-14710"/>
    <s v="Greg Tran"/>
    <s v="United States"/>
    <x v="2"/>
    <x v="1"/>
    <s v="GBC Standard Therm-A-Bind Covers"/>
    <n v="59.808"/>
    <n v="3"/>
    <n v="19.4376"/>
    <n v="32.5"/>
  </r>
  <r>
    <s v="CA-2020-132178"/>
    <x v="137"/>
    <s v="DB-12970"/>
    <s v="Darren Budd"/>
    <s v="United States"/>
    <x v="2"/>
    <x v="1"/>
    <s v="Multi-Use Personal File Cart and Caster Set, Three Stacking Bins"/>
    <n v="150.52000000000001"/>
    <n v="2"/>
    <n v="19.465599999999998"/>
    <n v="12.932234918947646"/>
  </r>
  <r>
    <s v="CA-2019-107104"/>
    <x v="127"/>
    <s v="MS-17365"/>
    <s v="Maribeth Schnelling"/>
    <s v="United States"/>
    <x v="2"/>
    <x v="1"/>
    <s v="Belkin F9S820V06 8 Outlet Surge"/>
    <n v="64.959999999999994"/>
    <n v="2"/>
    <n v="19.488"/>
    <n v="30.000000000000004"/>
  </r>
  <r>
    <s v="CA-2019-129686"/>
    <x v="134"/>
    <s v="GG-14650"/>
    <s v="Greg Guthrie"/>
    <s v="United States"/>
    <x v="3"/>
    <x v="0"/>
    <s v="Memorex Micro Travel Drive 8 GB"/>
    <n v="62.4"/>
    <n v="6"/>
    <n v="19.5"/>
    <n v="31.25"/>
  </r>
  <r>
    <s v="CA-2019-149314"/>
    <x v="429"/>
    <s v="GB-14530"/>
    <s v="George Bell"/>
    <s v="United States"/>
    <x v="2"/>
    <x v="2"/>
    <s v="Hon Deluxe Fabric Upholstered Stacking Chairs"/>
    <n v="195.184"/>
    <n v="1"/>
    <n v="19.5184"/>
    <n v="10"/>
  </r>
  <r>
    <s v="CA-2020-139199"/>
    <x v="356"/>
    <s v="DK-12835"/>
    <s v="Damala Kotsonis"/>
    <s v="United States"/>
    <x v="3"/>
    <x v="1"/>
    <s v="Wilson Jones Century Plastic Molded Ring Binders"/>
    <n v="130.54"/>
    <n v="2"/>
    <n v="19.523800000000001"/>
    <n v="14.95618201317604"/>
  </r>
  <r>
    <s v="CA-2020-145765"/>
    <x v="185"/>
    <s v="CM-11815"/>
    <s v="Candace McMahon"/>
    <s v="United States"/>
    <x v="2"/>
    <x v="0"/>
    <s v="Panasonic KX TS208W Corded phone"/>
    <n v="219.96"/>
    <n v="5"/>
    <n v="19.596"/>
    <n v="8.9088925259138012"/>
  </r>
  <r>
    <s v="CA-2020-166919"/>
    <x v="254"/>
    <s v="AH-10210"/>
    <s v="Alan Hwang"/>
    <s v="United States"/>
    <x v="3"/>
    <x v="0"/>
    <s v="Panasonic KX TS208W Corded phone"/>
    <n v="221.96"/>
    <n v="5"/>
    <n v="19.596"/>
    <n v="8.8286177689673817"/>
  </r>
  <r>
    <s v="CA-2019-130407"/>
    <x v="110"/>
    <s v="KD-16270"/>
    <s v="Karen Daniels"/>
    <s v="United States"/>
    <x v="0"/>
    <x v="1"/>
    <s v="Panasonic KP-150 Electric Pencil Sharpener"/>
    <n v="75.48"/>
    <n v="2"/>
    <n v="19.6248"/>
    <n v="26"/>
  </r>
  <r>
    <s v="CA-2019-116337"/>
    <x v="316"/>
    <s v="MC-17845"/>
    <s v="Michael Chen"/>
    <s v="United States"/>
    <x v="3"/>
    <x v="1"/>
    <s v="Mini 13-1/2 Capacity Data Binder Rack, Pearl"/>
    <n v="314.08800000000002"/>
    <n v="3"/>
    <n v="19.630500000000001"/>
    <n v="6.25"/>
  </r>
  <r>
    <s v="CA-2020-161046"/>
    <x v="512"/>
    <s v="CB-12535"/>
    <s v="Claudia Bergmann"/>
    <s v="United States"/>
    <x v="1"/>
    <x v="1"/>
    <s v="Laser &amp; Ink Jet Business Envelopes"/>
    <n v="130.68"/>
    <n v="4"/>
    <n v="19.6328"/>
    <n v="15.023569023569022"/>
  </r>
  <r>
    <s v="CA-2020-121804"/>
    <x v="321"/>
    <s v="LP-17095"/>
    <s v="Liz Preis"/>
    <s v="United States"/>
    <x v="1"/>
    <x v="1"/>
    <s v="Acco 6 Outlet Guardian Premium Surge Suppressor"/>
    <n v="110.8"/>
    <n v="5"/>
    <n v="19.655999999999999"/>
    <n v="17.740072202166065"/>
  </r>
  <r>
    <s v="CA-2019-103730"/>
    <x v="104"/>
    <s v="SC-20725"/>
    <s v="Steven Cartwright"/>
    <s v="United States"/>
    <x v="0"/>
    <x v="0"/>
    <s v="KLD Oscar II Style Snap-on Ultra Thin Side Flip Synthetic Leather Cover Case for HTC One HTC M7"/>
    <n v="68.040000000000006"/>
    <n v="7"/>
    <n v="19.7316"/>
    <n v="28.999999999999996"/>
  </r>
  <r>
    <s v="CA-2020-121048"/>
    <x v="38"/>
    <s v="TC-21295"/>
    <s v="Toby Carlisle"/>
    <s v="United States"/>
    <x v="2"/>
    <x v="0"/>
    <s v="Sony Micro Vault Click 8 GB USB 2.0 Flash Drive"/>
    <n v="150.97"/>
    <n v="3"/>
    <n v="19.735800000000001"/>
    <n v="13.07266344306816"/>
  </r>
  <r>
    <s v="CA-2019-145709"/>
    <x v="285"/>
    <s v="AH-10690"/>
    <s v="Anna Häberlin"/>
    <s v="United States"/>
    <x v="1"/>
    <x v="0"/>
    <s v="Samsung HM1900 Bluetooth Headset"/>
    <n v="52.68"/>
    <n v="3"/>
    <n v="19.754999999999999"/>
    <n v="37.5"/>
  </r>
  <r>
    <s v="CA-2020-122595"/>
    <x v="55"/>
    <s v="GM-14455"/>
    <s v="Gary Mitchum"/>
    <s v="United States"/>
    <x v="3"/>
    <x v="0"/>
    <s v="Samsung HM1900 Bluetooth Headset"/>
    <n v="500.68"/>
    <n v="3"/>
    <n v="19.754999999999999"/>
    <n v="3.9456339378445309"/>
  </r>
  <r>
    <s v="CA-2020-158169"/>
    <x v="557"/>
    <s v="JM-16195"/>
    <s v="Justin MacKendrick"/>
    <s v="United States"/>
    <x v="2"/>
    <x v="2"/>
    <s v="DAX Wood Document Frame"/>
    <n v="157.91999999999999"/>
    <n v="4"/>
    <n v="19.7712"/>
    <n v="12.519756838905776"/>
  </r>
  <r>
    <s v="CA-2019-118255"/>
    <x v="253"/>
    <s v="ON-18715"/>
    <s v="Odella Nelson"/>
    <s v="United States"/>
    <x v="3"/>
    <x v="0"/>
    <s v="Verbatim 25 GB 6x Blu-ray Single Layer Recordable Disc, 25/Pack"/>
    <n v="45.98"/>
    <n v="2"/>
    <n v="19.7714"/>
    <n v="43.000000000000007"/>
  </r>
  <r>
    <s v="US-2020-110646"/>
    <x v="184"/>
    <s v="JF-15190"/>
    <s v="Jamie Frazer"/>
    <s v="United States"/>
    <x v="0"/>
    <x v="0"/>
    <s v="Motorla HX550 Universal Bluetooth Headset"/>
    <n v="149.65"/>
    <n v="5"/>
    <n v="19.774999999999999"/>
    <n v="13.214166388239224"/>
  </r>
  <r>
    <s v="CA-2020-143259"/>
    <x v="423"/>
    <s v="PO-18865"/>
    <s v="Patrick O'Donnell"/>
    <s v="United States"/>
    <x v="0"/>
    <x v="1"/>
    <s v="Wilson Jones Legal Size Ring Binders"/>
    <n v="462.77600000000001"/>
    <n v="3"/>
    <n v="19.791"/>
    <n v="4.2765830553010531"/>
  </r>
  <r>
    <s v="CA-2020-136448"/>
    <x v="35"/>
    <s v="AS-10090"/>
    <s v="Adam Shillingsburg"/>
    <s v="United States"/>
    <x v="0"/>
    <x v="0"/>
    <s v="Logitech Trackman Marble Mouse"/>
    <n v="109.976"/>
    <n v="3"/>
    <n v="19.793399999999998"/>
    <n v="17.997926820397176"/>
  </r>
  <r>
    <s v="CA-2019-130638"/>
    <x v="426"/>
    <s v="SC-20095"/>
    <s v="Sanjit Chand"/>
    <s v="United States"/>
    <x v="2"/>
    <x v="2"/>
    <s v="Tenex Carpeted, Granite-Look or Clear Contemporary Contour Shape Chair Mats"/>
    <n v="282.83999999999997"/>
    <n v="4"/>
    <n v="19.7988"/>
    <n v="7.0000000000000009"/>
  </r>
  <r>
    <s v="CA-2019-132549"/>
    <x v="0"/>
    <s v="JK-15370"/>
    <s v="Jay Kimmel"/>
    <s v="United States"/>
    <x v="1"/>
    <x v="1"/>
    <s v="Sterilite Officeware Hinged File Box"/>
    <n v="73.36"/>
    <n v="7"/>
    <n v="19.807200000000002"/>
    <n v="27"/>
  </r>
  <r>
    <s v="CA-2020-149468"/>
    <x v="145"/>
    <s v="AR-10405"/>
    <s v="Allen Rosenblatt"/>
    <s v="United States"/>
    <x v="3"/>
    <x v="1"/>
    <s v="Square Ring Data Binders, Rigid 75 Pt. Covers, 11&quot; x 14-7/8&quot;"/>
    <n v="115.28"/>
    <n v="2"/>
    <n v="19.814399999999999"/>
    <n v="17.188063844552392"/>
  </r>
  <r>
    <s v="CA-2020-121195"/>
    <x v="437"/>
    <s v="NS-18505"/>
    <s v="Neola Schneider"/>
    <s v="United States"/>
    <x v="3"/>
    <x v="1"/>
    <s v="Economy Rollaway Files"/>
    <n v="523.32000000000005"/>
    <n v="2"/>
    <n v="19.824000000000002"/>
    <n v="3.7881219903691816"/>
  </r>
  <r>
    <s v="CA-2019-114482"/>
    <x v="284"/>
    <s v="DM-13345"/>
    <s v="Denise Monton"/>
    <s v="United States"/>
    <x v="3"/>
    <x v="1"/>
    <s v="Xerox 1987"/>
    <n v="40.46"/>
    <n v="7"/>
    <n v="19.825399999999998"/>
    <n v="48.999999999999993"/>
  </r>
  <r>
    <s v="US-2019-108455"/>
    <x v="118"/>
    <s v="MK-18160"/>
    <s v="Mike Kennedy"/>
    <s v="United States"/>
    <x v="2"/>
    <x v="1"/>
    <s v="HP Office Recycled Paper (20Lb. and 87 Bright)"/>
    <n v="40.46"/>
    <n v="7"/>
    <n v="19.825399999999998"/>
    <n v="48.999999999999993"/>
  </r>
  <r>
    <s v="CA-2020-158344"/>
    <x v="278"/>
    <s v="CC-12475"/>
    <s v="Cindy Chapman"/>
    <s v="United States"/>
    <x v="3"/>
    <x v="0"/>
    <s v="Memorex Micro Travel Drive 16 GB"/>
    <n v="104.96"/>
    <n v="4"/>
    <n v="19.8276"/>
    <n v="18.890625000000004"/>
  </r>
  <r>
    <s v="CA-2020-103506"/>
    <x v="548"/>
    <s v="LR-17035"/>
    <s v="Lisa Ryan"/>
    <s v="United States"/>
    <x v="0"/>
    <x v="1"/>
    <s v="Avery Address/Shipping Labels for Typewriters, 4&quot; x 2&quot;"/>
    <n v="158.4"/>
    <n v="4"/>
    <n v="19.872"/>
    <n v="12.545454545454545"/>
  </r>
  <r>
    <s v="US-2020-153948"/>
    <x v="174"/>
    <s v="FM-14290"/>
    <s v="Frank Merwin"/>
    <s v="United States"/>
    <x v="2"/>
    <x v="1"/>
    <s v="Avery 503"/>
    <n v="133.4"/>
    <n v="4"/>
    <n v="19.872"/>
    <n v="14.896551724137929"/>
  </r>
  <r>
    <s v="CA-2019-126004"/>
    <x v="430"/>
    <s v="BM-11140"/>
    <s v="Becky Martin"/>
    <s v="United States"/>
    <x v="0"/>
    <x v="1"/>
    <s v="Easy-staple paper"/>
    <n v="40.56"/>
    <n v="4"/>
    <n v="19.874400000000001"/>
    <n v="49"/>
  </r>
  <r>
    <s v="CA-2019-169824"/>
    <x v="329"/>
    <s v="NS-18640"/>
    <s v="Noel Staavos"/>
    <s v="United States"/>
    <x v="0"/>
    <x v="2"/>
    <s v="Eldon 500 Class Desk Accessories"/>
    <n v="60.35"/>
    <n v="5"/>
    <n v="19.915500000000002"/>
    <n v="33"/>
  </r>
  <r>
    <s v="CA-2020-140676"/>
    <x v="525"/>
    <s v="BF-11080"/>
    <s v="Bart Folk"/>
    <s v="United States"/>
    <x v="0"/>
    <x v="1"/>
    <s v="Adams Telephone Message Book w/Frequently-Called Numbers Space, 400 Messages per Book"/>
    <n v="142.9"/>
    <n v="5"/>
    <n v="19.95"/>
    <n v="13.960811756473056"/>
  </r>
  <r>
    <s v="CA-2019-105662"/>
    <x v="415"/>
    <s v="RB-19465"/>
    <s v="Rick Bensley"/>
    <s v="United States"/>
    <x v="1"/>
    <x v="0"/>
    <s v="Avaya 4621SW VoIP phone"/>
    <n v="177.48"/>
    <n v="3"/>
    <n v="19.9665"/>
    <n v="11.25"/>
  </r>
  <r>
    <s v="US-2019-139710"/>
    <x v="269"/>
    <s v="GM-14680"/>
    <s v="Greg Matthias"/>
    <s v="United States"/>
    <x v="2"/>
    <x v="0"/>
    <s v="Avaya 4621SW VoIP phone"/>
    <n v="177.48"/>
    <n v="3"/>
    <n v="19.9665"/>
    <n v="11.25"/>
  </r>
  <r>
    <s v="CA-2019-103107"/>
    <x v="455"/>
    <s v="RB-19465"/>
    <s v="Rick Bensley"/>
    <s v="United States"/>
    <x v="2"/>
    <x v="0"/>
    <s v="Avaya 4621SW VoIP phone"/>
    <n v="177.48"/>
    <n v="3"/>
    <n v="19.9665"/>
    <n v="11.25"/>
  </r>
  <r>
    <s v="CA-2019-148908"/>
    <x v="77"/>
    <s v="JH-15985"/>
    <s v="Joseph Holt"/>
    <s v="United States"/>
    <x v="2"/>
    <x v="1"/>
    <s v="GBC Twin Loop Wire Binding Elements"/>
    <n v="53.247999999999998"/>
    <n v="2"/>
    <n v="19.968"/>
    <n v="37.5"/>
  </r>
  <r>
    <s v="CA-2020-121580"/>
    <x v="201"/>
    <s v="ML-17410"/>
    <s v="Maris LaWare"/>
    <s v="United States"/>
    <x v="3"/>
    <x v="1"/>
    <s v="Satellite Sectional Post Binders"/>
    <n v="130.41"/>
    <n v="1"/>
    <n v="19.968599999999999"/>
    <n v="15.31216931216931"/>
  </r>
  <r>
    <s v="CA-2019-166653"/>
    <x v="381"/>
    <s v="NP-18685"/>
    <s v="Nora Pelletier"/>
    <s v="United States"/>
    <x v="0"/>
    <x v="1"/>
    <s v="Blue String-Tie &amp; Button Interoffice Envelopes, 10 x 13"/>
    <n v="63.968000000000004"/>
    <n v="2"/>
    <n v="19.989999999999998"/>
    <n v="31.249999999999993"/>
  </r>
  <r>
    <s v="US-2019-169369"/>
    <x v="329"/>
    <s v="EC-14050"/>
    <s v="Erin Creighton"/>
    <s v="United States"/>
    <x v="1"/>
    <x v="0"/>
    <s v="Case Logic 2.4GHz Wireless Keyboard"/>
    <n v="249.95"/>
    <n v="5"/>
    <n v="19.995999999999999"/>
    <n v="8"/>
  </r>
  <r>
    <s v="US-2019-146794"/>
    <x v="66"/>
    <s v="SH-19975"/>
    <s v="Sally Hughsby"/>
    <s v="United States"/>
    <x v="2"/>
    <x v="2"/>
    <s v="Bestar Classic Bookcase"/>
    <n v="424.95749999999998"/>
    <n v="5"/>
    <n v="19.998000000000001"/>
    <n v="4.7058823529411775"/>
  </r>
  <r>
    <s v="CA-2019-112102"/>
    <x v="231"/>
    <s v="BD-11605"/>
    <s v="Brian Dahlen"/>
    <s v="United States"/>
    <x v="1"/>
    <x v="1"/>
    <s v="Xerox 1945"/>
    <n v="40.99"/>
    <n v="1"/>
    <n v="20.085100000000001"/>
    <n v="49"/>
  </r>
  <r>
    <s v="CA-2020-109099"/>
    <x v="482"/>
    <s v="MM-18280"/>
    <s v="Muhammed MacIntyre"/>
    <s v="United States"/>
    <x v="0"/>
    <x v="1"/>
    <s v="Xerox 1893"/>
    <n v="125.99"/>
    <n v="1"/>
    <n v="20.085100000000001"/>
    <n v="15.941820779426941"/>
  </r>
  <r>
    <s v="CA-2020-104136"/>
    <x v="578"/>
    <s v="SF-20065"/>
    <s v="Sandra Flanagan"/>
    <s v="United States"/>
    <x v="0"/>
    <x v="1"/>
    <s v="Xerox 1893"/>
    <n v="174.99"/>
    <n v="1"/>
    <n v="20.085100000000001"/>
    <n v="11.477855877478712"/>
  </r>
  <r>
    <s v="CA-2020-127117"/>
    <x v="249"/>
    <s v="HM-14860"/>
    <s v="Harry Marie"/>
    <s v="United States"/>
    <x v="0"/>
    <x v="2"/>
    <s v="Tensor Computer Mounted Lamp"/>
    <n v="166.45"/>
    <n v="5"/>
    <n v="20.101500000000001"/>
    <n v="12.076599579453291"/>
  </r>
  <r>
    <s v="CA-2019-116379"/>
    <x v="316"/>
    <s v="LD-17005"/>
    <s v="Lisa DeCherney"/>
    <s v="United States"/>
    <x v="2"/>
    <x v="1"/>
    <s v="GBC VeloBinder Manual Binding System"/>
    <n v="57.584000000000003"/>
    <n v="2"/>
    <n v="20.154399999999999"/>
    <n v="35"/>
  </r>
  <r>
    <s v="CA-2019-136126"/>
    <x v="530"/>
    <s v="EH-14125"/>
    <s v="Eugene Hildebrand"/>
    <s v="United States"/>
    <x v="1"/>
    <x v="1"/>
    <s v="Acme Hot Forged Carbon Steel Scissors with Nickel-Plated Handles, 3 7/8&quot; Cut, 8&quot;L"/>
    <n v="69.5"/>
    <n v="5"/>
    <n v="20.155000000000001"/>
    <n v="29.000000000000004"/>
  </r>
  <r>
    <s v="CA-2020-165841"/>
    <x v="493"/>
    <s v="DB-13210"/>
    <s v="Dean Braden"/>
    <s v="United States"/>
    <x v="0"/>
    <x v="1"/>
    <s v="Acme Hot Forged Carbon Steel Scissors with Nickel-Plated Handles, 3 7/8&quot; Cut, 8&quot;L"/>
    <n v="383.5"/>
    <n v="5"/>
    <n v="20.155000000000001"/>
    <n v="5.2555410691003921"/>
  </r>
  <r>
    <s v="CA-2019-101336"/>
    <x v="394"/>
    <s v="CK-12760"/>
    <s v="Cyma Kinney"/>
    <s v="United States"/>
    <x v="0"/>
    <x v="1"/>
    <s v="Tenex File Box, Personal Filing Tote with Lid, Black"/>
    <n v="77.55"/>
    <n v="5"/>
    <n v="20.163"/>
    <n v="26"/>
  </r>
  <r>
    <s v="CA-2020-122035"/>
    <x v="384"/>
    <s v="EM-13825"/>
    <s v="Elizabeth Moffitt"/>
    <s v="United States"/>
    <x v="3"/>
    <x v="1"/>
    <s v="Avery Printable Repositionable Plastic Tabs"/>
    <n v="155"/>
    <n v="5"/>
    <n v="20.21"/>
    <n v="13.038709677419355"/>
  </r>
  <r>
    <s v="CA-2020-126396"/>
    <x v="25"/>
    <s v="AR-10345"/>
    <s v="Alex Russell"/>
    <s v="United States"/>
    <x v="3"/>
    <x v="0"/>
    <s v="Memorex Froggy Flash Drive 8 GB"/>
    <n v="153.19999999999999"/>
    <n v="6"/>
    <n v="20.234999999999999"/>
    <n v="13.20822454308094"/>
  </r>
  <r>
    <s v="CA-2020-132353"/>
    <x v="301"/>
    <s v="DB-13060"/>
    <s v="Dave Brooks"/>
    <s v="United States"/>
    <x v="3"/>
    <x v="0"/>
    <s v="Avaya 5420 Digital phone"/>
    <n v="368.976"/>
    <n v="3"/>
    <n v="20.2485"/>
    <n v="5.4877553011577991"/>
  </r>
  <r>
    <s v="CA-2019-149685"/>
    <x v="179"/>
    <s v="PM-19135"/>
    <s v="Peter McVee"/>
    <s v="United States"/>
    <x v="3"/>
    <x v="1"/>
    <s v="Avery 50"/>
    <n v="60.143999999999998"/>
    <n v="6"/>
    <n v="20.2986"/>
    <n v="33.75"/>
  </r>
  <r>
    <s v="CA-2020-125115"/>
    <x v="404"/>
    <s v="RD-19930"/>
    <s v="Russell D'Ascenzo"/>
    <s v="United States"/>
    <x v="3"/>
    <x v="0"/>
    <s v="Logitech MX Performance Wireless Mouse"/>
    <n v="126.736"/>
    <n v="3"/>
    <n v="20.343900000000001"/>
    <n v="16.052187223835375"/>
  </r>
  <r>
    <s v="US-2020-152898"/>
    <x v="183"/>
    <s v="CB-12025"/>
    <s v="Cassandra Brandow"/>
    <s v="United States"/>
    <x v="1"/>
    <x v="1"/>
    <s v="Hoover Commercial SteamVac"/>
    <n v="171.9"/>
    <n v="5"/>
    <n v="20.37"/>
    <n v="11.849912739965095"/>
  </r>
  <r>
    <s v="CA-2020-100111"/>
    <x v="495"/>
    <s v="SV-20365"/>
    <s v="Seth Vernon"/>
    <s v="United States"/>
    <x v="0"/>
    <x v="0"/>
    <s v="Logitech LS21 Speaker System - PC Multimedia - 2.1-CH - Wired"/>
    <n v="170.97"/>
    <n v="3"/>
    <n v="20.389800000000001"/>
    <n v="11.925951921389718"/>
  </r>
  <r>
    <s v="CA-2019-123120"/>
    <x v="478"/>
    <s v="CV-12295"/>
    <s v="Christina VanderZanden"/>
    <s v="United States"/>
    <x v="0"/>
    <x v="1"/>
    <s v="Plastic Binding Combs"/>
    <n v="60.6"/>
    <n v="5"/>
    <n v="20.452500000000001"/>
    <n v="33.75"/>
  </r>
  <r>
    <s v="CA-2019-126004"/>
    <x v="430"/>
    <s v="BM-11140"/>
    <s v="Becky Martin"/>
    <s v="United States"/>
    <x v="0"/>
    <x v="2"/>
    <s v="Eldon Delta Triangular Chair Mat, 52&quot; x 58&quot;, Clear"/>
    <n v="113.79"/>
    <n v="3"/>
    <n v="20.482199999999999"/>
    <n v="18"/>
  </r>
  <r>
    <s v="CA-2019-143749"/>
    <x v="444"/>
    <s v="AG-10300"/>
    <s v="Aleksandra Gannaway"/>
    <s v="United States"/>
    <x v="0"/>
    <x v="2"/>
    <s v="O'Sullivan 5-Shelf Heavy-Duty Bookcases"/>
    <n v="81.94"/>
    <n v="1"/>
    <n v="20.484999999999999"/>
    <n v="25"/>
  </r>
  <r>
    <s v="CA-2020-130631"/>
    <x v="218"/>
    <s v="BS-11755"/>
    <s v="Bruce Stewart"/>
    <s v="United States"/>
    <x v="2"/>
    <x v="2"/>
    <s v="Hand-Finished Solid Wood Document Frame"/>
    <n v="466.46"/>
    <n v="2"/>
    <n v="20.538"/>
    <n v="4.4029498778030272"/>
  </r>
  <r>
    <s v="CA-2020-169859"/>
    <x v="55"/>
    <s v="MP-18175"/>
    <s v="Mike Pelletier"/>
    <s v="United States"/>
    <x v="2"/>
    <x v="1"/>
    <s v="#10- 4 1/8&quot; x 9 1/2&quot; Recycled Envelopes"/>
    <n v="502.7"/>
    <n v="5"/>
    <n v="20.539000000000001"/>
    <n v="4.0857370200915062"/>
  </r>
  <r>
    <s v="CA-2019-115756"/>
    <x v="100"/>
    <s v="PK-19075"/>
    <s v="Pete Kriz"/>
    <s v="United States"/>
    <x v="3"/>
    <x v="1"/>
    <s v="Eldon Mobile Mega Data Cart  Mega Stackable  Add-On Trays"/>
    <n v="70.95"/>
    <n v="3"/>
    <n v="20.575500000000002"/>
    <n v="29.000000000000004"/>
  </r>
  <r>
    <s v="CA-2019-126529"/>
    <x v="357"/>
    <s v="DE-13255"/>
    <s v="Deanra Eno"/>
    <s v="United States"/>
    <x v="0"/>
    <x v="1"/>
    <s v="Xerox 1935"/>
    <n v="63.311999999999998"/>
    <n v="3"/>
    <n v="20.5764"/>
    <n v="32.5"/>
  </r>
  <r>
    <s v="US-2020-101721"/>
    <x v="548"/>
    <s v="MY-17380"/>
    <s v="Maribeth Yedwab"/>
    <s v="United States"/>
    <x v="3"/>
    <x v="1"/>
    <s v="Xerox 1909"/>
    <n v="145.31200000000001"/>
    <n v="3"/>
    <n v="20.5764"/>
    <n v="14.160151948909929"/>
  </r>
  <r>
    <s v="CA-2020-163160"/>
    <x v="114"/>
    <s v="TS-21610"/>
    <s v="Troy Staebel"/>
    <s v="United States"/>
    <x v="3"/>
    <x v="1"/>
    <s v="Easy-staple paper"/>
    <n v="102.312"/>
    <n v="3"/>
    <n v="20.5764"/>
    <n v="20.111423879896787"/>
  </r>
  <r>
    <s v="CA-2020-110310"/>
    <x v="396"/>
    <s v="NB-18655"/>
    <s v="Nona Balk"/>
    <s v="United States"/>
    <x v="1"/>
    <x v="1"/>
    <s v="Easy-staple paper"/>
    <n v="158.78399999999999"/>
    <n v="7"/>
    <n v="20.584199999999999"/>
    <n v="12.963648730350666"/>
  </r>
  <r>
    <s v="CA-2020-142888"/>
    <x v="341"/>
    <s v="BP-11230"/>
    <s v="Benjamin Patterson"/>
    <s v="United States"/>
    <x v="2"/>
    <x v="2"/>
    <s v="Safco Drafting Table"/>
    <n v="173.98"/>
    <n v="1"/>
    <n v="20.584199999999999"/>
    <n v="11.831359926428325"/>
  </r>
  <r>
    <s v="CA-2019-130778"/>
    <x v="319"/>
    <s v="ND-18370"/>
    <s v="Natalie DeCherney"/>
    <s v="United States"/>
    <x v="0"/>
    <x v="1"/>
    <s v="Recycled Desk Saver Line &quot;While You Were Out&quot; Book, 5 1/2&quot; X 4&quot;"/>
    <n v="44.75"/>
    <n v="5"/>
    <n v="20.585000000000001"/>
    <n v="46"/>
  </r>
  <r>
    <s v="US-2020-106705"/>
    <x v="408"/>
    <s v="PO-18850"/>
    <s v="Patrick O'Brill"/>
    <s v="United States"/>
    <x v="3"/>
    <x v="1"/>
    <s v="Recycled Desk Saver Line &quot;While You Were Out&quot; Book, 5 1/2&quot; X 4&quot;"/>
    <n v="270.75"/>
    <n v="5"/>
    <n v="20.585000000000001"/>
    <n v="7.6029547553093266"/>
  </r>
  <r>
    <s v="US-2020-116505"/>
    <x v="328"/>
    <s v="TB-21625"/>
    <s v="Trudy Brown"/>
    <s v="United States"/>
    <x v="0"/>
    <x v="1"/>
    <s v="Angle-D Binders with Locking Rings, Label Holders"/>
    <n v="135.80000000000001"/>
    <n v="6"/>
    <n v="20.585999999999999"/>
    <n v="15.159057437407949"/>
  </r>
  <r>
    <s v="CA-2020-123491"/>
    <x v="177"/>
    <s v="JK-15205"/>
    <s v="Jamie Kunitz"/>
    <s v="United States"/>
    <x v="2"/>
    <x v="1"/>
    <s v="Avery 500"/>
    <n v="151.86000000000001"/>
    <n v="6"/>
    <n v="20.6142"/>
    <n v="13.574476491505333"/>
  </r>
  <r>
    <s v="CA-2019-147137"/>
    <x v="455"/>
    <s v="AA-10645"/>
    <s v="Anna Andreadi"/>
    <s v="United States"/>
    <x v="2"/>
    <x v="1"/>
    <s v="Inter-Office Recycled Envelopes, Brown Kraft, Button-String,10&quot; x 13&quot; , 100/Box"/>
    <n v="43.96"/>
    <n v="2"/>
    <n v="20.661200000000001"/>
    <n v="47"/>
  </r>
  <r>
    <s v="US-2020-162670"/>
    <x v="172"/>
    <s v="MF-18250"/>
    <s v="Monica Federle"/>
    <s v="United States"/>
    <x v="1"/>
    <x v="1"/>
    <s v="Ink Jet Note and Greeting Cards, 8-1/2&quot; x 5-1/2&quot; Card Size"/>
    <n v="1237.96"/>
    <n v="2"/>
    <n v="20.6816"/>
    <n v="1.6706194061197455"/>
  </r>
  <r>
    <s v="CA-2020-162978"/>
    <x v="370"/>
    <s v="LW-16990"/>
    <s v="Lindsay Williams"/>
    <s v="United States"/>
    <x v="2"/>
    <x v="0"/>
    <s v="Motorola L804"/>
    <n v="232.96"/>
    <n v="5"/>
    <n v="20.695499999999999"/>
    <n v="8.8837139423076916"/>
  </r>
  <r>
    <s v="CA-2019-145583"/>
    <x v="27"/>
    <s v="LC-16885"/>
    <s v="Lena Creighton"/>
    <s v="United States"/>
    <x v="2"/>
    <x v="2"/>
    <s v="Longer-Life Soft White Bulbs"/>
    <n v="43.12"/>
    <n v="14"/>
    <n v="20.697600000000001"/>
    <n v="48.000000000000007"/>
  </r>
  <r>
    <s v="US-2019-108637"/>
    <x v="22"/>
    <s v="AB-10060"/>
    <s v="Adam Bellavance"/>
    <s v="United States"/>
    <x v="1"/>
    <x v="1"/>
    <s v="Ibico Covers for Plastic or Wire Binding Elements"/>
    <n v="46"/>
    <n v="4"/>
    <n v="20.7"/>
    <n v="45"/>
  </r>
  <r>
    <s v="CA-2020-117401"/>
    <x v="352"/>
    <s v="PP-18955"/>
    <s v="Paul Prost"/>
    <s v="United States"/>
    <x v="3"/>
    <x v="1"/>
    <s v="Universal Recycled Hanging Pressboard Report Binders, Letter Size"/>
    <n v="160.19"/>
    <n v="7"/>
    <n v="20.731200000000001"/>
    <n v="12.941631812222987"/>
  </r>
  <r>
    <s v="CA-2020-144904"/>
    <x v="222"/>
    <s v="KW-16435"/>
    <s v="Katrina Willman"/>
    <s v="United States"/>
    <x v="0"/>
    <x v="2"/>
    <s v="Eldon Wave Desk Accessories"/>
    <n v="164.12"/>
    <n v="8"/>
    <n v="20.732800000000001"/>
    <n v="12.632707774798929"/>
  </r>
  <r>
    <s v="US-2020-141852"/>
    <x v="407"/>
    <s v="JE-15745"/>
    <s v="Joel Eaton"/>
    <s v="United States"/>
    <x v="2"/>
    <x v="2"/>
    <s v="Eldon Wave Desk Accessories"/>
    <n v="156.12"/>
    <n v="8"/>
    <n v="20.732800000000001"/>
    <n v="13.280040994107098"/>
  </r>
  <r>
    <s v="CA-2019-154767"/>
    <x v="507"/>
    <s v="BP-11155"/>
    <s v="Becky Pak"/>
    <s v="United States"/>
    <x v="0"/>
    <x v="2"/>
    <s v="Global Armless Task Chair, Royal Blue"/>
    <n v="121.96"/>
    <n v="2"/>
    <n v="20.7332"/>
    <n v="17"/>
  </r>
  <r>
    <s v="CA-2020-117646"/>
    <x v="500"/>
    <s v="SC-20845"/>
    <s v="Sung Chung"/>
    <s v="United States"/>
    <x v="2"/>
    <x v="1"/>
    <s v="Recycled Data-Pak for Archival Bound Computer Printouts, 12-1/2 x 12-1/2 x 16"/>
    <n v="261.096"/>
    <n v="3"/>
    <n v="20.745899999999999"/>
    <n v="7.9456981340196702"/>
  </r>
  <r>
    <s v="CA-2020-162033"/>
    <x v="74"/>
    <s v="EM-14200"/>
    <s v="Evan Minnotte"/>
    <s v="United States"/>
    <x v="1"/>
    <x v="0"/>
    <s v="Memorex Froggy Flash Drive 8 GB"/>
    <n v="120.25"/>
    <n v="3"/>
    <n v="20.767499999999998"/>
    <n v="17.27027027027027"/>
  </r>
  <r>
    <s v="CA-2019-165848"/>
    <x v="41"/>
    <s v="EN-13780"/>
    <s v="Edward Nazzal"/>
    <s v="United States"/>
    <x v="0"/>
    <x v="2"/>
    <s v="Linden 10&quot; Round Wall Clock, Black"/>
    <n v="61.12"/>
    <n v="4"/>
    <n v="20.780799999999999"/>
    <n v="34"/>
  </r>
  <r>
    <s v="CA-2019-124667"/>
    <x v="373"/>
    <s v="BD-11770"/>
    <s v="Bryan Davis"/>
    <s v="United States"/>
    <x v="0"/>
    <x v="1"/>
    <s v="Safco Steel Mobile File Cart"/>
    <n v="83.36"/>
    <n v="1"/>
    <n v="20.84"/>
    <n v="25"/>
  </r>
  <r>
    <s v="CA-2020-160122"/>
    <x v="276"/>
    <s v="RD-19930"/>
    <s v="Russell D'Ascenzo"/>
    <s v="United States"/>
    <x v="3"/>
    <x v="1"/>
    <s v="Peel &amp; Seel Recycled Catalog Envelopes, Brown"/>
    <n v="166.584"/>
    <n v="6"/>
    <n v="20.844000000000001"/>
    <n v="12.512606252701342"/>
  </r>
  <r>
    <s v="CA-2020-117926"/>
    <x v="136"/>
    <s v="AS-10225"/>
    <s v="Alan Schoenberger"/>
    <s v="United States"/>
    <x v="2"/>
    <x v="1"/>
    <s v="Belkin 8-Outlet Premiere SurgeMaster II Surge Protectors"/>
    <n v="164.48"/>
    <n v="1"/>
    <n v="20.844000000000001"/>
    <n v="12.672665369649808"/>
  </r>
  <r>
    <s v="CA-2020-129378"/>
    <x v="435"/>
    <s v="NS-18505"/>
    <s v="Neola Schneider"/>
    <s v="United States"/>
    <x v="2"/>
    <x v="1"/>
    <s v="Storex Dura Pro Binders"/>
    <n v="152.77600000000001"/>
    <n v="13"/>
    <n v="20.849399999999999"/>
    <n v="13.647038801906058"/>
  </r>
  <r>
    <s v="CA-2019-155187"/>
    <x v="20"/>
    <s v="LA-16780"/>
    <s v="Laura Armstrong"/>
    <s v="United States"/>
    <x v="2"/>
    <x v="1"/>
    <s v="REDIFORM Incoming/Outgoing Call Register, 11&quot; X 8 1/2&quot;, 100 Messages"/>
    <n v="41.7"/>
    <n v="5"/>
    <n v="20.85"/>
    <n v="50"/>
  </r>
  <r>
    <s v="CA-2020-121048"/>
    <x v="38"/>
    <s v="TC-21295"/>
    <s v="Toby Carlisle"/>
    <s v="United States"/>
    <x v="2"/>
    <x v="1"/>
    <s v="BOSTON Model 1800 Electric Pencil Sharpeners, Putty/Woodgrain"/>
    <n v="103.92"/>
    <n v="4"/>
    <n v="20.8568"/>
    <n v="20.070053887605848"/>
  </r>
  <r>
    <s v="CA-2019-111794"/>
    <x v="131"/>
    <s v="HG-15025"/>
    <s v="Hunter Glantz"/>
    <s v="United States"/>
    <x v="3"/>
    <x v="0"/>
    <s v="Imation 16GB Mini TravelDrive USB 2.0 Flash Drive"/>
    <n v="79.512"/>
    <n v="3"/>
    <n v="20.8719"/>
    <n v="26.25"/>
  </r>
  <r>
    <s v="US-2020-105998"/>
    <x v="368"/>
    <s v="CR-12580"/>
    <s v="Clay Rozendal"/>
    <s v="United States"/>
    <x v="2"/>
    <x v="2"/>
    <s v="Chromcraft Round Conference Tables"/>
    <n v="1716.184"/>
    <n v="12"/>
    <n v="20.9148"/>
    <n v="1.2186805144436728"/>
  </r>
  <r>
    <s v="CA-2019-145982"/>
    <x v="351"/>
    <s v="TB-21055"/>
    <s v="Ted Butterfield"/>
    <s v="United States"/>
    <x v="0"/>
    <x v="2"/>
    <s v="SAFCO PlanMaster Heigh-Adjustable Drafting Table Base, 43w x 30d x 30-37h, Black"/>
    <n v="244.61500000000001"/>
    <n v="1"/>
    <n v="20.966999999999999"/>
    <n v="8.5714285714285694"/>
  </r>
  <r>
    <s v="CA-2020-167227"/>
    <x v="88"/>
    <s v="NP-18670"/>
    <s v="Nora Paige"/>
    <s v="United States"/>
    <x v="3"/>
    <x v="1"/>
    <s v="Black &amp; Decker Filter for Double Action Dustbuster Cordless Vac BLDV7210"/>
    <n v="110.9"/>
    <n v="10"/>
    <n v="20.975000000000001"/>
    <n v="18.913435527502255"/>
  </r>
  <r>
    <s v="CA-2019-106894"/>
    <x v="537"/>
    <s v="CA-12265"/>
    <s v="Christina Anderson"/>
    <s v="United States"/>
    <x v="1"/>
    <x v="0"/>
    <s v="Micro Innovations USB RF Wireless Keyboard with Mouse"/>
    <n v="100"/>
    <n v="4"/>
    <n v="21"/>
    <n v="21"/>
  </r>
  <r>
    <s v="CA-2019-169957"/>
    <x v="66"/>
    <s v="SN-20710"/>
    <s v="Steve Nguyen"/>
    <s v="United States"/>
    <x v="2"/>
    <x v="0"/>
    <s v="Micro Innovations USB RF Wireless Keyboard with Mouse"/>
    <n v="100"/>
    <n v="4"/>
    <n v="21"/>
    <n v="21"/>
  </r>
  <r>
    <s v="CA-2019-121748"/>
    <x v="559"/>
    <s v="VW-21775"/>
    <s v="Victoria Wilson"/>
    <s v="United States"/>
    <x v="2"/>
    <x v="0"/>
    <s v="Micro Innovations USB RF Wireless Keyboard with Mouse"/>
    <n v="100"/>
    <n v="4"/>
    <n v="21"/>
    <n v="21"/>
  </r>
  <r>
    <s v="CA-2019-140571"/>
    <x v="115"/>
    <s v="SJ-20125"/>
    <s v="Sanjit Jacobs"/>
    <s v="United States"/>
    <x v="1"/>
    <x v="1"/>
    <s v="Xerox 1964"/>
    <n v="45.68"/>
    <n v="2"/>
    <n v="21.012799999999999"/>
    <n v="46"/>
  </r>
  <r>
    <s v="CA-2019-125738"/>
    <x v="486"/>
    <s v="PB-18805"/>
    <s v="Patrick Bzostek"/>
    <s v="United States"/>
    <x v="2"/>
    <x v="1"/>
    <s v="Xerox 1982"/>
    <n v="45.68"/>
    <n v="2"/>
    <n v="21.012799999999999"/>
    <n v="46"/>
  </r>
  <r>
    <s v="CA-2020-124716"/>
    <x v="182"/>
    <s v="BD-11560"/>
    <s v="Brendan Dodson"/>
    <s v="United States"/>
    <x v="2"/>
    <x v="1"/>
    <s v="Xerox 1982"/>
    <n v="130.68"/>
    <n v="2"/>
    <n v="21.012799999999999"/>
    <n v="16.079583715947351"/>
  </r>
  <r>
    <s v="CA-2020-168172"/>
    <x v="574"/>
    <s v="SH-20395"/>
    <s v="Shahid Hopkins"/>
    <s v="United States"/>
    <x v="0"/>
    <x v="1"/>
    <s v="Acme 10&quot; Easy Grip Assistive Scissors"/>
    <n v="110.12"/>
    <n v="4"/>
    <n v="21.036000000000001"/>
    <n v="19.102796948783148"/>
  </r>
  <r>
    <s v="CA-2020-145142"/>
    <x v="402"/>
    <s v="MC-17605"/>
    <s v="Matt Connell"/>
    <s v="United States"/>
    <x v="3"/>
    <x v="2"/>
    <s v="Balt Solid Wood Rectangular Table"/>
    <n v="237.98"/>
    <n v="2"/>
    <n v="21.097999999999999"/>
    <n v="8.8654508782250598"/>
  </r>
  <r>
    <s v="CA-2020-138870"/>
    <x v="156"/>
    <s v="GA-14515"/>
    <s v="George Ashbrook"/>
    <s v="United States"/>
    <x v="2"/>
    <x v="2"/>
    <s v="DAX Copper Panel Document Frame, 5 x 7 Size"/>
    <n v="144.32"/>
    <n v="4"/>
    <n v="21.134399999999999"/>
    <n v="14.644124168514413"/>
  </r>
  <r>
    <s v="CA-2020-126550"/>
    <x v="616"/>
    <s v="RD-19720"/>
    <s v="Roger Demir"/>
    <s v="United States"/>
    <x v="3"/>
    <x v="1"/>
    <s v="Adjustable Personal File Tote"/>
    <n v="163.4"/>
    <n v="5"/>
    <n v="21.164000000000001"/>
    <n v="12.952264381884945"/>
  </r>
  <r>
    <s v="US-2019-115819"/>
    <x v="190"/>
    <s v="JO-15280"/>
    <s v="Jas O'Carroll"/>
    <s v="United States"/>
    <x v="2"/>
    <x v="1"/>
    <s v="Panasonic KP-4ABK Battery-Operated Pencil Sharpener"/>
    <n v="73.2"/>
    <n v="5"/>
    <n v="21.228000000000002"/>
    <n v="29.000000000000004"/>
  </r>
  <r>
    <s v="CA-2019-102498"/>
    <x v="617"/>
    <s v="JG-15160"/>
    <s v="James Galang"/>
    <s v="United States"/>
    <x v="1"/>
    <x v="1"/>
    <s v="Panasonic KP-4ABK Battery-Operated Pencil Sharpener"/>
    <n v="73.2"/>
    <n v="5"/>
    <n v="21.228000000000002"/>
    <n v="29.000000000000004"/>
  </r>
  <r>
    <s v="CA-2020-148145"/>
    <x v="46"/>
    <s v="SW-20275"/>
    <s v="Scott Williamson"/>
    <s v="United States"/>
    <x v="2"/>
    <x v="1"/>
    <s v="Deluxe Chalkboard Eraser Cleaner"/>
    <n v="112.2"/>
    <n v="4"/>
    <n v="21.251999999999999"/>
    <n v="18.941176470588232"/>
  </r>
  <r>
    <s v="CA-2020-140494"/>
    <x v="94"/>
    <s v="CM-11815"/>
    <s v="Candace McMahon"/>
    <s v="United States"/>
    <x v="2"/>
    <x v="0"/>
    <s v="Maxell LTO Ultrium - 800 GB"/>
    <n v="123.96"/>
    <n v="4"/>
    <n v="21.272400000000001"/>
    <n v="17.160696999031945"/>
  </r>
  <r>
    <s v="CA-2020-125451"/>
    <x v="122"/>
    <s v="AH-10075"/>
    <s v="Adam Hart"/>
    <s v="United States"/>
    <x v="0"/>
    <x v="1"/>
    <s v="Wirebound Message Book, 4 per Page"/>
    <n v="113.44"/>
    <n v="8"/>
    <n v="21.285599999999999"/>
    <n v="18.763751763046542"/>
  </r>
  <r>
    <s v="CA-2019-163972"/>
    <x v="569"/>
    <s v="MG-17890"/>
    <s v="Michael Granlund"/>
    <s v="United States"/>
    <x v="2"/>
    <x v="2"/>
    <s v="Safco Value Mate Steel Bookcase, Baked Enamel Finish on Steel, Black"/>
    <n v="120.666"/>
    <n v="2"/>
    <n v="21.294"/>
    <n v="17.647058823529413"/>
  </r>
  <r>
    <s v="CA-2019-152730"/>
    <x v="323"/>
    <s v="EM-14140"/>
    <s v="Eugene Moren"/>
    <s v="United States"/>
    <x v="3"/>
    <x v="2"/>
    <s v="DAX Charcoal/Nickel-Tone Document Frame, 5 x 7"/>
    <n v="47.4"/>
    <n v="5"/>
    <n v="21.33"/>
    <n v="44.999999999999993"/>
  </r>
  <r>
    <s v="CA-2020-144932"/>
    <x v="249"/>
    <s v="AB-10165"/>
    <s v="Alan Barnes"/>
    <s v="United States"/>
    <x v="0"/>
    <x v="1"/>
    <s v="Sanford Prismacolor Professional Thick Lead Art Pencils, 36-Color Set"/>
    <n v="121.85599999999999"/>
    <n v="3"/>
    <n v="21.340800000000002"/>
    <n v="17.513130252100844"/>
  </r>
  <r>
    <s v="US-2019-126452"/>
    <x v="43"/>
    <s v="SC-20230"/>
    <s v="Scot Coram"/>
    <s v="United States"/>
    <x v="2"/>
    <x v="1"/>
    <s v="Xerox 1928"/>
    <n v="47.52"/>
    <n v="9"/>
    <n v="21.384"/>
    <n v="44.999999999999993"/>
  </r>
  <r>
    <s v="CA-2019-109827"/>
    <x v="36"/>
    <s v="LW-16825"/>
    <s v="Laurel Workman"/>
    <s v="United States"/>
    <x v="2"/>
    <x v="0"/>
    <s v="Hypercom P1300 Pinpad"/>
    <n v="100.8"/>
    <n v="2"/>
    <n v="21.42"/>
    <n v="21.250000000000004"/>
  </r>
  <r>
    <s v="CA-2020-167626"/>
    <x v="140"/>
    <s v="MY-18295"/>
    <s v="Muhammed Yedwab"/>
    <s v="United States"/>
    <x v="3"/>
    <x v="0"/>
    <s v="Hypercom P1300 Pinpad"/>
    <n v="135.80000000000001"/>
    <n v="2"/>
    <n v="21.42"/>
    <n v="15.773195876288659"/>
  </r>
  <r>
    <s v="CA-2020-137876"/>
    <x v="105"/>
    <s v="DJ-13510"/>
    <s v="Don Jones"/>
    <s v="United States"/>
    <x v="2"/>
    <x v="2"/>
    <s v="Seth Thomas 16&quot; Steel Case Clock"/>
    <n v="151.96"/>
    <n v="2"/>
    <n v="21.436800000000002"/>
    <n v="14.106870229007635"/>
  </r>
  <r>
    <s v="CA-2020-104801"/>
    <x v="496"/>
    <s v="FH-14350"/>
    <s v="Fred Harton"/>
    <s v="United States"/>
    <x v="2"/>
    <x v="2"/>
    <s v="Tenex Contemporary Contur Chairmats for Low and Medium Pile Carpet, Computer, 39&quot; x 49&quot;"/>
    <n v="120.53"/>
    <n v="1"/>
    <n v="21.506"/>
    <n v="17.842860698581266"/>
  </r>
  <r>
    <s v="CA-2019-137729"/>
    <x v="415"/>
    <s v="BF-11005"/>
    <s v="Barry Franz"/>
    <s v="United States"/>
    <x v="2"/>
    <x v="0"/>
    <s v="Cisco Small Business SPA 502G VoIP phone"/>
    <n v="246.16800000000001"/>
    <n v="3"/>
    <n v="21.5397"/>
    <n v="8.75"/>
  </r>
  <r>
    <s v="CA-2020-120327"/>
    <x v="250"/>
    <s v="WB-21850"/>
    <s v="William Brown"/>
    <s v="United States"/>
    <x v="3"/>
    <x v="1"/>
    <s v="Vinyl Coated Wire Paper Clips in Organizer Box, 800/Box"/>
    <n v="133.91999999999999"/>
    <n v="4"/>
    <n v="21.5824"/>
    <n v="16.115890083632021"/>
  </r>
  <r>
    <s v="CA-2019-144400"/>
    <x v="618"/>
    <s v="AC-10420"/>
    <s v="Alyssa Crouse"/>
    <s v="United States"/>
    <x v="0"/>
    <x v="1"/>
    <s v="Recycled Interoffice Envelopes with String and Button Closure, 10 x 13"/>
    <n v="57.576000000000001"/>
    <n v="3"/>
    <n v="21.591000000000001"/>
    <n v="37.5"/>
  </r>
  <r>
    <s v="US-2020-145366"/>
    <x v="356"/>
    <s v="CA-12310"/>
    <s v="Christine Abelman"/>
    <s v="United States"/>
    <x v="0"/>
    <x v="1"/>
    <s v="Recycled Interoffice Envelopes with String and Button Closure, 10 x 13"/>
    <n v="157.57599999999999"/>
    <n v="3"/>
    <n v="21.591000000000001"/>
    <n v="13.701959689292787"/>
  </r>
  <r>
    <s v="CA-2019-113656"/>
    <x v="516"/>
    <s v="CB-12415"/>
    <s v="Christy Brittain"/>
    <s v="United States"/>
    <x v="2"/>
    <x v="2"/>
    <s v="DAX Cubicle Frames, 8-1/2 x 11"/>
    <n v="59.99"/>
    <n v="7"/>
    <n v="21.596399999999999"/>
    <n v="36"/>
  </r>
  <r>
    <s v="CA-2019-121748"/>
    <x v="559"/>
    <s v="VW-21775"/>
    <s v="Victoria Wilson"/>
    <s v="United States"/>
    <x v="2"/>
    <x v="0"/>
    <s v="Logitech VX Revolution Cordless Laser Mouse for Notebooks (Black)"/>
    <n v="359.98"/>
    <n v="2"/>
    <n v="21.598800000000001"/>
    <n v="6"/>
  </r>
  <r>
    <s v="CA-2019-137050"/>
    <x v="475"/>
    <s v="SW-20755"/>
    <s v="Steven Ward"/>
    <s v="United States"/>
    <x v="0"/>
    <x v="2"/>
    <s v="O'Sullivan 2-Door Barrister Bookcase in Odessa Pine"/>
    <n v="579.13599999999997"/>
    <n v="4"/>
    <n v="21.717600000000001"/>
    <n v="3.7500000000000004"/>
  </r>
  <r>
    <s v="CA-2019-108868"/>
    <x v="49"/>
    <s v="KB-16585"/>
    <s v="Ken Black"/>
    <s v="United States"/>
    <x v="3"/>
    <x v="0"/>
    <s v="Belkin SportFit Armband For iPhone 5s/5c, Fuchsia"/>
    <n v="59.96"/>
    <n v="5"/>
    <n v="21.735499999999998"/>
    <n v="36.25"/>
  </r>
  <r>
    <s v="CA-2019-154235"/>
    <x v="20"/>
    <s v="RD-19900"/>
    <s v="Ruben Dartt"/>
    <s v="United States"/>
    <x v="3"/>
    <x v="2"/>
    <s v="Deflect-o DuraMat Lighweight, Studded, Beveled Mat for Low Pile Carpeting"/>
    <n v="127.95"/>
    <n v="3"/>
    <n v="21.7515"/>
    <n v="17"/>
  </r>
  <r>
    <s v="CA-2020-129028"/>
    <x v="311"/>
    <s v="GB-14530"/>
    <s v="George Bell"/>
    <s v="United States"/>
    <x v="1"/>
    <x v="2"/>
    <s v="Deflect-o DuraMat Lighweight, Studded, Beveled Mat for Low Pile Carpeting"/>
    <n v="158.94999999999999"/>
    <n v="3"/>
    <n v="21.7515"/>
    <n v="13.684491978609625"/>
  </r>
  <r>
    <s v="CA-2019-148852"/>
    <x v="154"/>
    <s v="SV-20785"/>
    <s v="Stewart Visinsky"/>
    <s v="United States"/>
    <x v="2"/>
    <x v="1"/>
    <s v="Xerox 1946"/>
    <n v="45.36"/>
    <n v="7"/>
    <n v="21.7728"/>
    <n v="48"/>
  </r>
  <r>
    <s v="CA-2019-152730"/>
    <x v="323"/>
    <s v="EM-14140"/>
    <s v="Eugene Moren"/>
    <s v="United States"/>
    <x v="3"/>
    <x v="1"/>
    <s v="Xerox 217"/>
    <n v="45.36"/>
    <n v="7"/>
    <n v="21.7728"/>
    <n v="48"/>
  </r>
  <r>
    <s v="CA-2019-131289"/>
    <x v="83"/>
    <s v="SP-20620"/>
    <s v="Stefania Perrino"/>
    <s v="United States"/>
    <x v="2"/>
    <x v="1"/>
    <s v="Xerox 204"/>
    <n v="45.36"/>
    <n v="7"/>
    <n v="21.7728"/>
    <n v="48"/>
  </r>
  <r>
    <s v="US-2019-116729"/>
    <x v="36"/>
    <s v="GK-14620"/>
    <s v="Grace Kelly"/>
    <s v="United States"/>
    <x v="2"/>
    <x v="1"/>
    <s v="Xerox 225"/>
    <n v="45.36"/>
    <n v="7"/>
    <n v="21.7728"/>
    <n v="48"/>
  </r>
  <r>
    <s v="CA-2020-106859"/>
    <x v="52"/>
    <s v="BF-11215"/>
    <s v="Benjamin Farhat"/>
    <s v="United States"/>
    <x v="2"/>
    <x v="1"/>
    <s v="Xerox 230"/>
    <n v="124.36"/>
    <n v="7"/>
    <n v="21.7728"/>
    <n v="17.507880347378581"/>
  </r>
  <r>
    <s v="CA-2020-108749"/>
    <x v="525"/>
    <s v="DJ-13510"/>
    <s v="Don Jones"/>
    <s v="United States"/>
    <x v="0"/>
    <x v="1"/>
    <s v="Xerox 209"/>
    <n v="138.36000000000001"/>
    <n v="7"/>
    <n v="21.7728"/>
    <n v="15.736339982653943"/>
  </r>
  <r>
    <s v="CA-2020-118542"/>
    <x v="265"/>
    <s v="CC-12550"/>
    <s v="Clay Cheatham"/>
    <s v="United States"/>
    <x v="2"/>
    <x v="1"/>
    <s v="Xerox 1905"/>
    <n v="130.36000000000001"/>
    <n v="7"/>
    <n v="21.7728"/>
    <n v="16.702055845351332"/>
  </r>
  <r>
    <s v="CA-2019-148593"/>
    <x v="414"/>
    <s v="BD-11320"/>
    <s v="Bill Donatelli"/>
    <s v="United States"/>
    <x v="2"/>
    <x v="1"/>
    <s v="Wirebound Message Books, Four 2 3/4&quot; x 5&quot; Forms per Page, 600 Sets per Book"/>
    <n v="46.35"/>
    <n v="5"/>
    <n v="21.784500000000001"/>
    <n v="47"/>
  </r>
  <r>
    <s v="CA-2019-133795"/>
    <x v="60"/>
    <s v="JE-15475"/>
    <s v="Jeremy Ellison"/>
    <s v="United States"/>
    <x v="2"/>
    <x v="0"/>
    <s v="SanDisk Cruzer 64 GB USB Flash Drive"/>
    <n v="72.64"/>
    <n v="2"/>
    <n v="21.792000000000002"/>
    <n v="30.000000000000004"/>
  </r>
  <r>
    <s v="CA-2020-100111"/>
    <x v="495"/>
    <s v="SV-20365"/>
    <s v="Seth Vernon"/>
    <s v="United States"/>
    <x v="0"/>
    <x v="0"/>
    <s v="SanDisk Cruzer 64 GB USB Flash Drive"/>
    <n v="113.64"/>
    <n v="2"/>
    <n v="21.792000000000002"/>
    <n v="19.176346356916579"/>
  </r>
  <r>
    <s v="CA-2020-143035"/>
    <x v="378"/>
    <s v="CC-12430"/>
    <s v="Chuck Clark"/>
    <s v="United States"/>
    <x v="0"/>
    <x v="2"/>
    <s v="Magnifier Swing Arm Lamp"/>
    <n v="118.92"/>
    <n v="4"/>
    <n v="21.819199999999999"/>
    <n v="18.347796838210563"/>
  </r>
  <r>
    <s v="US-2019-110156"/>
    <x v="319"/>
    <s v="EH-13945"/>
    <s v="Eric Hoffmann"/>
    <s v="United States"/>
    <x v="3"/>
    <x v="1"/>
    <s v="Staples"/>
    <n v="58.368000000000002"/>
    <n v="12"/>
    <n v="21.888000000000002"/>
    <n v="37.5"/>
  </r>
  <r>
    <s v="CA-2020-135069"/>
    <x v="404"/>
    <s v="BS-11755"/>
    <s v="Bruce Stewart"/>
    <s v="United States"/>
    <x v="0"/>
    <x v="1"/>
    <s v="Tripp Lite Isotel 6 Outlet Surge Protector with Fax/Modem Protection"/>
    <n v="240.10400000000001"/>
    <n v="4"/>
    <n v="21.949200000000001"/>
    <n v="9.1415386665778158"/>
  </r>
  <r>
    <s v="CA-2019-128818"/>
    <x v="619"/>
    <s v="CJ-12010"/>
    <s v="Caroline Jumper"/>
    <s v="United States"/>
    <x v="0"/>
    <x v="0"/>
    <s v="SanDisk Ultra 64 GB MicroSDHC Class 10 Memory Card"/>
    <n v="199.95"/>
    <n v="5"/>
    <n v="21.994499999999999"/>
    <n v="11"/>
  </r>
  <r>
    <s v="CA-2020-166128"/>
    <x v="320"/>
    <s v="LW-17215"/>
    <s v="Luke Weiss"/>
    <s v="United States"/>
    <x v="2"/>
    <x v="0"/>
    <s v="SanDisk Ultra 64 GB MicroSDHC Class 10 Memory Card"/>
    <n v="225.95"/>
    <n v="5"/>
    <n v="21.994499999999999"/>
    <n v="9.7342332374419129"/>
  </r>
  <r>
    <s v="US-2020-139577"/>
    <x v="435"/>
    <s v="TN-21040"/>
    <s v="Tanja Norvell"/>
    <s v="United States"/>
    <x v="2"/>
    <x v="0"/>
    <s v="Sony 32GB Class 10 Micro SDHC R40 Memory Card"/>
    <n v="146.75"/>
    <n v="5"/>
    <n v="21.997499999999999"/>
    <n v="14.989778534923337"/>
  </r>
  <r>
    <s v="CA-2020-163321"/>
    <x v="278"/>
    <s v="FM-14380"/>
    <s v="Fred McMath"/>
    <s v="United States"/>
    <x v="1"/>
    <x v="0"/>
    <s v="Logitech G700s Rechargeable Gaming Mouse"/>
    <n v="100.992"/>
    <n v="1"/>
    <n v="21.997800000000002"/>
    <n v="21.781725285171103"/>
  </r>
  <r>
    <s v="CA-2020-148922"/>
    <x v="409"/>
    <s v="SU-20665"/>
    <s v="Stephanie Ulpright"/>
    <s v="United States"/>
    <x v="1"/>
    <x v="1"/>
    <s v="Avery Metallic Poly Binders"/>
    <n v="354.84"/>
    <n v="8"/>
    <n v="22.0032"/>
    <n v="6.2008792695299286"/>
  </r>
  <r>
    <s v="CA-2020-134810"/>
    <x v="513"/>
    <s v="MC-17605"/>
    <s v="Matt Connell"/>
    <s v="United States"/>
    <x v="1"/>
    <x v="1"/>
    <s v="Tyvek  Top-Opening Peel &amp; Seel Envelopes, Plain White"/>
    <n v="134.232"/>
    <n v="3"/>
    <n v="22.015799999999999"/>
    <n v="16.401305202932235"/>
  </r>
  <r>
    <s v="CA-2019-167682"/>
    <x v="158"/>
    <s v="ZD-21925"/>
    <s v="Zuschuss Donatelli"/>
    <s v="United States"/>
    <x v="3"/>
    <x v="2"/>
    <s v="Seth Thomas 13 1/2&quot; Wall Clock"/>
    <n v="71.12"/>
    <n v="4"/>
    <n v="22.0472"/>
    <n v="31"/>
  </r>
  <r>
    <s v="CA-2020-149944"/>
    <x v="151"/>
    <s v="MB-17305"/>
    <s v="Maria Bertelson"/>
    <s v="United States"/>
    <x v="2"/>
    <x v="1"/>
    <s v="Fellowes Superior 10 Outlet Split Surge Protector"/>
    <n v="126.12"/>
    <n v="2"/>
    <n v="22.0748"/>
    <n v="17.503013003488739"/>
  </r>
  <r>
    <s v="CA-2020-102771"/>
    <x v="152"/>
    <s v="DO-13435"/>
    <s v="Denny Ordway"/>
    <s v="United States"/>
    <x v="0"/>
    <x v="0"/>
    <s v="Spigen Samsung Galaxy S5 Case Wallet"/>
    <n v="124.95"/>
    <n v="5"/>
    <n v="22.087"/>
    <n v="17.676670668267306"/>
  </r>
  <r>
    <s v="CA-2020-166184"/>
    <x v="473"/>
    <s v="HR-14830"/>
    <s v="Harold Ryan"/>
    <s v="United States"/>
    <x v="0"/>
    <x v="1"/>
    <s v="#10 White Business Envelopes,4 1/8 x 9 1/2"/>
    <n v="152.01"/>
    <n v="3"/>
    <n v="22.0947"/>
    <n v="14.535030590092756"/>
  </r>
  <r>
    <s v="CA-2020-117212"/>
    <x v="595"/>
    <s v="BT-11530"/>
    <s v="Bradley Talbott"/>
    <s v="United States"/>
    <x v="2"/>
    <x v="1"/>
    <s v="Kensington 6 Outlet Guardian Standard Surge Protector"/>
    <n v="110.92"/>
    <n v="4"/>
    <n v="22.118400000000001"/>
    <n v="19.940858276235122"/>
  </r>
  <r>
    <s v="CA-2019-132143"/>
    <x v="19"/>
    <s v="FM-14215"/>
    <s v="Filia McAdams"/>
    <s v="United States"/>
    <x v="0"/>
    <x v="1"/>
    <s v="Adams Phone Message Book, 200 Message Capacity, 8 1/16” x 11”"/>
    <n v="48.16"/>
    <n v="7"/>
    <n v="22.153600000000001"/>
    <n v="46.000000000000007"/>
  </r>
  <r>
    <s v="CA-2019-108630"/>
    <x v="313"/>
    <s v="BE-11410"/>
    <s v="Bobby Elias"/>
    <s v="United States"/>
    <x v="2"/>
    <x v="1"/>
    <s v="Recycled Premium Regency Composition Covers"/>
    <n v="61.12"/>
    <n v="5"/>
    <n v="22.155999999999999"/>
    <n v="36.25"/>
  </r>
  <r>
    <s v="CA-2019-125850"/>
    <x v="180"/>
    <s v="FP-14320"/>
    <s v="Frank Preis"/>
    <s v="United States"/>
    <x v="2"/>
    <x v="1"/>
    <s v="Avery 475"/>
    <n v="44.4"/>
    <n v="3"/>
    <n v="22.2"/>
    <n v="50"/>
  </r>
  <r>
    <s v="CA-2019-128818"/>
    <x v="619"/>
    <s v="CJ-12010"/>
    <s v="Caroline Jumper"/>
    <s v="United States"/>
    <x v="0"/>
    <x v="1"/>
    <s v="Alphabetical Labels for Top Tab Filing"/>
    <n v="44.4"/>
    <n v="3"/>
    <n v="22.2"/>
    <n v="50"/>
  </r>
  <r>
    <s v="CA-2020-169691"/>
    <x v="267"/>
    <s v="Dp-13240"/>
    <s v="Dean percer"/>
    <s v="United States"/>
    <x v="3"/>
    <x v="1"/>
    <s v="Avery 490"/>
    <n v="152.4"/>
    <n v="3"/>
    <n v="22.2"/>
    <n v="14.566929133858267"/>
  </r>
  <r>
    <s v="CA-2020-137463"/>
    <x v="505"/>
    <s v="KM-16225"/>
    <s v="Kalyca Meade"/>
    <s v="United States"/>
    <x v="2"/>
    <x v="1"/>
    <s v="Avery 475"/>
    <n v="602.4"/>
    <n v="3"/>
    <n v="22.2"/>
    <n v="3.6852589641434266"/>
  </r>
  <r>
    <s v="CA-2020-113908"/>
    <x v="132"/>
    <s v="KN-16390"/>
    <s v="Katherine Nockton"/>
    <s v="United States"/>
    <x v="0"/>
    <x v="1"/>
    <s v="Xerox 188"/>
    <n v="139.36000000000001"/>
    <n v="4"/>
    <n v="22.226400000000002"/>
    <n v="15.948909299655567"/>
  </r>
  <r>
    <s v="US-2020-153948"/>
    <x v="174"/>
    <s v="FM-14290"/>
    <s v="Frank Merwin"/>
    <s v="United States"/>
    <x v="2"/>
    <x v="1"/>
    <s v="Easy-staple paper"/>
    <n v="119.36"/>
    <n v="4"/>
    <n v="22.226400000000002"/>
    <n v="18.621313672922255"/>
  </r>
  <r>
    <s v="CA-2020-152709"/>
    <x v="232"/>
    <s v="DB-13210"/>
    <s v="Dean Braden"/>
    <s v="United States"/>
    <x v="3"/>
    <x v="1"/>
    <s v="SAFCO Mobile Desk Side File, Wire Frame"/>
    <n v="103.52"/>
    <n v="2"/>
    <n v="22.235199999999999"/>
    <n v="21.479134466769708"/>
  </r>
  <r>
    <s v="CA-2019-154081"/>
    <x v="308"/>
    <s v="JE-15610"/>
    <s v="Jim Epp"/>
    <s v="United States"/>
    <x v="2"/>
    <x v="0"/>
    <s v="Nortel Business Series Terminal T7208 Digital phone"/>
    <n v="222.38399999999999"/>
    <n v="2"/>
    <n v="22.238399999999999"/>
    <n v="10"/>
  </r>
  <r>
    <s v="CA-2020-146031"/>
    <x v="449"/>
    <s v="GM-14440"/>
    <s v="Gary McGarr"/>
    <s v="United States"/>
    <x v="0"/>
    <x v="1"/>
    <s v="Sanford Liquid Accent Highlighters"/>
    <n v="155.12"/>
    <n v="9"/>
    <n v="22.244399999999999"/>
    <n v="14.340123775141825"/>
  </r>
  <r>
    <s v="CA-2020-109701"/>
    <x v="18"/>
    <s v="AM-10360"/>
    <s v="Alice McCarthy"/>
    <s v="United States"/>
    <x v="2"/>
    <x v="1"/>
    <s v="Fellowes Advanced Computer Series Surge Protectors"/>
    <n v="120.47"/>
    <n v="3"/>
    <n v="22.2516"/>
    <n v="18.470656595002904"/>
  </r>
  <r>
    <s v="CA-2019-144792"/>
    <x v="354"/>
    <s v="KD-16615"/>
    <s v="Ken Dana"/>
    <s v="United States"/>
    <x v="2"/>
    <x v="2"/>
    <s v="12-1/2 Diameter Round Wall Clock"/>
    <n v="111.88800000000001"/>
    <n v="7"/>
    <n v="22.377600000000001"/>
    <n v="20"/>
  </r>
  <r>
    <s v="CA-2020-104388"/>
    <x v="42"/>
    <s v="DK-12835"/>
    <s v="Damala Kotsonis"/>
    <s v="United States"/>
    <x v="3"/>
    <x v="0"/>
    <s v="Anker 36W 4-Port USB Wall Charger Travel Power Adapter for iPhone 5s 5c 5"/>
    <n v="156.96"/>
    <n v="4"/>
    <n v="22.3888"/>
    <n v="14.26401630988787"/>
  </r>
  <r>
    <s v="CA-2020-102407"/>
    <x v="356"/>
    <s v="AT-10435"/>
    <s v="Alyssa Tate"/>
    <s v="United States"/>
    <x v="2"/>
    <x v="2"/>
    <s v="Bevis 36 x 72 Conference Tables"/>
    <n v="908.32799999999997"/>
    <n v="9"/>
    <n v="22.408200000000001"/>
    <n v="2.4669722831400112"/>
  </r>
  <r>
    <s v="CA-2020-119809"/>
    <x v="243"/>
    <s v="YS-21880"/>
    <s v="Yana Sorensen"/>
    <s v="United States"/>
    <x v="2"/>
    <x v="2"/>
    <s v="Contract Clock, 14&quot;, Brown"/>
    <n v="101.94"/>
    <n v="3"/>
    <n v="22.419599999999999"/>
    <n v="21.992937021777514"/>
  </r>
  <r>
    <s v="CA-2020-138149"/>
    <x v="146"/>
    <s v="WB-21850"/>
    <s v="William Brown"/>
    <s v="United States"/>
    <x v="2"/>
    <x v="0"/>
    <s v="Enermax Briskie RF Wireless Keyboard and Mouse Combo"/>
    <n v="164.31"/>
    <n v="3"/>
    <n v="22.4316"/>
    <n v="13.65199926967318"/>
  </r>
  <r>
    <s v="CA-2019-141397"/>
    <x v="295"/>
    <s v="RC-19825"/>
    <s v="Roy Collins"/>
    <s v="United States"/>
    <x v="2"/>
    <x v="1"/>
    <s v="Xerox 1898"/>
    <n v="46.76"/>
    <n v="7"/>
    <n v="22.444800000000001"/>
    <n v="48.000000000000007"/>
  </r>
  <r>
    <s v="CA-2020-111556"/>
    <x v="216"/>
    <s v="CD-11920"/>
    <s v="Carlos Daly"/>
    <s v="United States"/>
    <x v="0"/>
    <x v="1"/>
    <s v="Xerox 1968"/>
    <n v="115.76"/>
    <n v="7"/>
    <n v="22.444800000000001"/>
    <n v="19.389080856945405"/>
  </r>
  <r>
    <s v="CA-2020-140949"/>
    <x v="294"/>
    <s v="DB-13405"/>
    <s v="Denny Blanton"/>
    <s v="United States"/>
    <x v="0"/>
    <x v="1"/>
    <s v="Lumber Crayons"/>
    <n v="125.1"/>
    <n v="6"/>
    <n v="22.457999999999998"/>
    <n v="17.952038369304557"/>
  </r>
  <r>
    <s v="CA-2019-144554"/>
    <x v="316"/>
    <s v="DM-13345"/>
    <s v="Denise Monton"/>
    <s v="United States"/>
    <x v="0"/>
    <x v="0"/>
    <s v="Plantronics Audio 478 Stereo USB Headset"/>
    <n v="119.976"/>
    <n v="3"/>
    <n v="22.4955"/>
    <n v="18.75"/>
  </r>
  <r>
    <s v="CA-2019-140417"/>
    <x v="81"/>
    <s v="KE-16420"/>
    <s v="Katrina Edelman"/>
    <s v="United States"/>
    <x v="2"/>
    <x v="1"/>
    <s v="REDIFORM Incoming/Outgoing Call Register, 11&quot; X 8 1/2&quot;, 100 Messages"/>
    <n v="60.048000000000002"/>
    <n v="9"/>
    <n v="22.518000000000001"/>
    <n v="37.5"/>
  </r>
  <r>
    <s v="CA-2019-154690"/>
    <x v="332"/>
    <s v="CC-12370"/>
    <s v="Christopher Conant"/>
    <s v="United States"/>
    <x v="1"/>
    <x v="2"/>
    <s v="Hon Olson Stacker Stools"/>
    <n v="225.29599999999999"/>
    <n v="2"/>
    <n v="22.529599999999999"/>
    <n v="10"/>
  </r>
  <r>
    <s v="CA-2020-145429"/>
    <x v="102"/>
    <s v="SW-20455"/>
    <s v="Shaun Weien"/>
    <s v="United States"/>
    <x v="2"/>
    <x v="2"/>
    <s v="Hon Olson Stacker Stools"/>
    <n v="256.29599999999999"/>
    <n v="2"/>
    <n v="22.529599999999999"/>
    <n v="8.7904610294347147"/>
  </r>
  <r>
    <s v="CA-2020-160983"/>
    <x v="620"/>
    <s v="GB-14530"/>
    <s v="George Bell"/>
    <s v="United States"/>
    <x v="0"/>
    <x v="1"/>
    <s v="Things To Do Today Pad"/>
    <n v="146.96"/>
    <n v="8"/>
    <n v="22.540800000000001"/>
    <n v="15.3380511703865"/>
  </r>
  <r>
    <s v="CA-2019-146941"/>
    <x v="528"/>
    <s v="DL-13315"/>
    <s v="Delfina Latchford"/>
    <s v="United States"/>
    <x v="0"/>
    <x v="1"/>
    <s v="Fellowes Personal Hanging Folder Files, Navy"/>
    <n v="80.58"/>
    <n v="6"/>
    <n v="22.5624"/>
    <n v="28.000000000000004"/>
  </r>
  <r>
    <s v="CA-2019-137337"/>
    <x v="277"/>
    <s v="GB-14575"/>
    <s v="Giulietta Baptist"/>
    <s v="United States"/>
    <x v="0"/>
    <x v="1"/>
    <s v="Satellite Sectional Post Binders"/>
    <n v="69.456000000000003"/>
    <n v="2"/>
    <n v="22.5732"/>
    <n v="32.5"/>
  </r>
  <r>
    <s v="CA-2020-109701"/>
    <x v="18"/>
    <s v="AM-10360"/>
    <s v="Alice McCarthy"/>
    <s v="United States"/>
    <x v="2"/>
    <x v="1"/>
    <s v="Satellite Sectional Post Binders"/>
    <n v="104.456"/>
    <n v="2"/>
    <n v="22.5732"/>
    <n v="21.610247376885962"/>
  </r>
  <r>
    <s v="CA-2019-149223"/>
    <x v="410"/>
    <s v="ER-13855"/>
    <s v="Elpida Rittenbach"/>
    <s v="United States"/>
    <x v="3"/>
    <x v="1"/>
    <s v="Fellowes Basic Home/Office Series Surge Protectors"/>
    <n v="77.88"/>
    <n v="6"/>
    <n v="22.5852"/>
    <n v="29.000000000000004"/>
  </r>
  <r>
    <s v="CA-2019-158568"/>
    <x v="159"/>
    <s v="RB-19465"/>
    <s v="Rick Bensley"/>
    <s v="United States"/>
    <x v="3"/>
    <x v="1"/>
    <s v="Avery Personal Creations Heavyweight Cards"/>
    <n v="64.623999999999995"/>
    <n v="7"/>
    <n v="22.618400000000001"/>
    <n v="35"/>
  </r>
  <r>
    <s v="US-2020-103828"/>
    <x v="7"/>
    <s v="JK-15370"/>
    <s v="Jay Kimmel"/>
    <s v="United States"/>
    <x v="2"/>
    <x v="1"/>
    <s v="Staple holder"/>
    <n v="119.79"/>
    <n v="7"/>
    <n v="22.6233"/>
    <n v="18.885800150262959"/>
  </r>
  <r>
    <s v="US-2020-163790"/>
    <x v="88"/>
    <s v="NL-18310"/>
    <s v="Nancy Lomonaco"/>
    <s v="United States"/>
    <x v="2"/>
    <x v="1"/>
    <s v="Space Solutions Commercial Steel Shelving"/>
    <n v="466.55"/>
    <n v="7"/>
    <n v="22.627500000000001"/>
    <n v="4.8499624906226559"/>
  </r>
  <r>
    <s v="CA-2020-125381"/>
    <x v="458"/>
    <s v="SG-20605"/>
    <s v="Speros Goranitis"/>
    <s v="United States"/>
    <x v="2"/>
    <x v="0"/>
    <s v="Sony 64GB Class 10 Micro SDHC R40 Memory Card"/>
    <n v="133.97"/>
    <n v="3"/>
    <n v="22.6737"/>
    <n v="16.92446070015675"/>
  </r>
  <r>
    <s v="CA-2019-130162"/>
    <x v="256"/>
    <s v="JH-15910"/>
    <s v="Jonathan Howell"/>
    <s v="United States"/>
    <x v="2"/>
    <x v="0"/>
    <s v="Adtran 1202752G1"/>
    <n v="302.37599999999998"/>
    <n v="3"/>
    <n v="22.6782"/>
    <n v="7.5000000000000009"/>
  </r>
  <r>
    <s v="CA-2019-160745"/>
    <x v="111"/>
    <s v="AR-10825"/>
    <s v="Anthony Rawles"/>
    <s v="United States"/>
    <x v="2"/>
    <x v="0"/>
    <s v="AT&amp;T TR1909W"/>
    <n v="302.37599999999998"/>
    <n v="3"/>
    <n v="22.6782"/>
    <n v="7.5000000000000009"/>
  </r>
  <r>
    <s v="CA-2019-100202"/>
    <x v="235"/>
    <s v="BD-11620"/>
    <s v="Brian DeCherney"/>
    <s v="United States"/>
    <x v="2"/>
    <x v="0"/>
    <s v="Adtran 1202752G1"/>
    <n v="302.37599999999998"/>
    <n v="3"/>
    <n v="22.6782"/>
    <n v="7.5000000000000009"/>
  </r>
  <r>
    <s v="US-2020-116897"/>
    <x v="355"/>
    <s v="JG-15160"/>
    <s v="James Galang"/>
    <s v="United States"/>
    <x v="2"/>
    <x v="0"/>
    <s v="Nokia Lumia 925"/>
    <n v="342.37599999999998"/>
    <n v="3"/>
    <n v="22.6782"/>
    <n v="6.6237703577353564"/>
  </r>
  <r>
    <s v="CA-2020-118885"/>
    <x v="218"/>
    <s v="JG-15160"/>
    <s v="James Galang"/>
    <s v="United States"/>
    <x v="2"/>
    <x v="0"/>
    <s v="Adtran 1202752G1"/>
    <n v="156.376"/>
    <n v="3"/>
    <n v="22.6782"/>
    <n v="14.502353302297028"/>
  </r>
  <r>
    <s v="US-2020-104451"/>
    <x v="287"/>
    <s v="MM-18055"/>
    <s v="Michelle Moray"/>
    <s v="United States"/>
    <x v="2"/>
    <x v="1"/>
    <s v="Fellowes Mighty 8 Compact Surge Protector"/>
    <n v="114.08"/>
    <n v="4"/>
    <n v="22.702400000000001"/>
    <n v="19.900420757363253"/>
  </r>
  <r>
    <s v="CA-2020-169859"/>
    <x v="55"/>
    <s v="MP-18175"/>
    <s v="Mike Pelletier"/>
    <s v="United States"/>
    <x v="2"/>
    <x v="1"/>
    <s v="Wilson Jones Clip &amp; Carry Folder Binder Tool for Ring Binders, Clear"/>
    <n v="391.96"/>
    <n v="14"/>
    <n v="22.736000000000001"/>
    <n v="5.8005918971323611"/>
  </r>
  <r>
    <s v="CA-2019-128867"/>
    <x v="65"/>
    <s v="CL-12565"/>
    <s v="Clay Ludtke"/>
    <s v="United States"/>
    <x v="3"/>
    <x v="1"/>
    <s v="Hunt PowerHouse Electric Pencil Sharpener, Blue"/>
    <n v="75.959999999999994"/>
    <n v="2"/>
    <n v="22.788"/>
    <n v="30.000000000000004"/>
  </r>
  <r>
    <s v="CA-2020-126074"/>
    <x v="11"/>
    <s v="RF-19735"/>
    <s v="Roland Fjeld"/>
    <s v="United States"/>
    <x v="3"/>
    <x v="1"/>
    <s v="Avery Hi-Liter EverBold Pen Style Fluorescent Highlighters, 4/Pack"/>
    <n v="106.98"/>
    <n v="7"/>
    <n v="22.792000000000002"/>
    <n v="21.304916806879792"/>
  </r>
  <r>
    <s v="CA-2020-137498"/>
    <x v="37"/>
    <s v="LC-17050"/>
    <s v="Liz Carlisle"/>
    <s v="United States"/>
    <x v="2"/>
    <x v="1"/>
    <s v="Astroparche Fine Business Paper"/>
    <n v="145.52000000000001"/>
    <n v="9"/>
    <n v="22.8096"/>
    <n v="15.674546454095657"/>
  </r>
  <r>
    <s v="CA-2020-169691"/>
    <x v="267"/>
    <s v="Dp-13240"/>
    <s v="Dean percer"/>
    <s v="United States"/>
    <x v="3"/>
    <x v="1"/>
    <s v="Tenex Personal Self-Stacking Standard File Box, Black/Gray"/>
    <n v="106.55"/>
    <n v="5"/>
    <n v="22.828499999999998"/>
    <n v="21.425152510558423"/>
  </r>
  <r>
    <s v="CA-2019-126158"/>
    <x v="445"/>
    <s v="SC-20095"/>
    <s v="Sanjit Chand"/>
    <s v="United States"/>
    <x v="2"/>
    <x v="2"/>
    <s v="Deflect-O Glasstique Clear Desk Accessories"/>
    <n v="69.3"/>
    <n v="9"/>
    <n v="22.869"/>
    <n v="33"/>
  </r>
  <r>
    <s v="CA-2019-128412"/>
    <x v="528"/>
    <s v="AP-10915"/>
    <s v="Arthur Prichep"/>
    <s v="United States"/>
    <x v="2"/>
    <x v="1"/>
    <s v="Holmes HEPA Air Purifier"/>
    <n v="65.34"/>
    <n v="3"/>
    <n v="22.869"/>
    <n v="35"/>
  </r>
  <r>
    <s v="CA-2020-108749"/>
    <x v="525"/>
    <s v="DJ-13510"/>
    <s v="Don Jones"/>
    <s v="United States"/>
    <x v="0"/>
    <x v="1"/>
    <s v="Aluminum Screw Posts"/>
    <n v="150.78"/>
    <n v="3"/>
    <n v="22.89"/>
    <n v="15.181058495821729"/>
  </r>
  <r>
    <s v="CA-2019-149902"/>
    <x v="442"/>
    <s v="DW-13540"/>
    <s v="Don Weiss"/>
    <s v="United States"/>
    <x v="0"/>
    <x v="1"/>
    <s v="Boston 16801 Nautilus Battery Pencil Sharpener"/>
    <n v="88.04"/>
    <n v="4"/>
    <n v="22.8904"/>
    <n v="25.999999999999996"/>
  </r>
  <r>
    <s v="CA-2020-129294"/>
    <x v="160"/>
    <s v="KD-16615"/>
    <s v="Ken Dana"/>
    <s v="United States"/>
    <x v="2"/>
    <x v="1"/>
    <s v="XtraLife ClearVue Slant-D Ring Binder, White, 3&quot;"/>
    <n v="136.464"/>
    <n v="6"/>
    <n v="22.9008"/>
    <n v="16.781568765388673"/>
  </r>
  <r>
    <s v="CA-2019-109925"/>
    <x v="264"/>
    <s v="IM-15070"/>
    <s v="Irene Maddox"/>
    <s v="United States"/>
    <x v="2"/>
    <x v="1"/>
    <s v="Eldon Portable Mobile Manager"/>
    <n v="84.84"/>
    <n v="3"/>
    <n v="22.9068"/>
    <n v="27"/>
  </r>
  <r>
    <s v="CA-2019-122019"/>
    <x v="268"/>
    <s v="CD-11920"/>
    <s v="Carlos Daly"/>
    <s v="United States"/>
    <x v="3"/>
    <x v="1"/>
    <s v="Belkin 8 Outlet Surge Protector"/>
    <n v="81.96"/>
    <n v="2"/>
    <n v="22.948799999999999"/>
    <n v="28.000000000000004"/>
  </r>
  <r>
    <s v="CA-2020-167150"/>
    <x v="409"/>
    <s v="BP-11185"/>
    <s v="Ben Peterman"/>
    <s v="United States"/>
    <x v="2"/>
    <x v="1"/>
    <s v="Wilson Jones Ledger-Size, Piano-Hinge Binder, 2&quot;, Blue"/>
    <n v="147.56800000000001"/>
    <n v="2"/>
    <n v="22.948799999999999"/>
    <n v="15.551339043695108"/>
  </r>
  <r>
    <s v="CA-2020-143252"/>
    <x v="339"/>
    <s v="HE-14800"/>
    <s v="Harold Engle"/>
    <s v="United States"/>
    <x v="3"/>
    <x v="2"/>
    <s v="Tensor Track Tree Floor Lamp"/>
    <n v="432.95"/>
    <n v="5"/>
    <n v="22.988499999999998"/>
    <n v="5.3097355352812095"/>
  </r>
  <r>
    <s v="US-2019-155768"/>
    <x v="212"/>
    <s v="LB-16795"/>
    <s v="Laurel Beltran"/>
    <s v="United States"/>
    <x v="2"/>
    <x v="1"/>
    <s v="Xerox 1886"/>
    <n v="47.9"/>
    <n v="1"/>
    <n v="22.992000000000001"/>
    <n v="48.000000000000007"/>
  </r>
  <r>
    <s v="CA-2019-135776"/>
    <x v="39"/>
    <s v="EH-13765"/>
    <s v="Edward Hooks"/>
    <s v="United States"/>
    <x v="2"/>
    <x v="1"/>
    <s v="Xerox 1911"/>
    <n v="47.9"/>
    <n v="1"/>
    <n v="22.992000000000001"/>
    <n v="48.000000000000007"/>
  </r>
  <r>
    <s v="CA-2020-158379"/>
    <x v="10"/>
    <s v="JA-15970"/>
    <s v="Joseph Airdo"/>
    <s v="United States"/>
    <x v="0"/>
    <x v="0"/>
    <s v="Logitech Wireless Marathon Mouse M705"/>
    <n v="110.98399999999999"/>
    <n v="2"/>
    <n v="22.9954"/>
    <n v="20.719563180278239"/>
  </r>
  <r>
    <s v="US-2019-168095"/>
    <x v="596"/>
    <s v="MC-17425"/>
    <s v="Mark Cousins"/>
    <s v="United States"/>
    <x v="2"/>
    <x v="2"/>
    <s v="Bevis Steel Folding Chairs"/>
    <n v="230.28"/>
    <n v="3"/>
    <n v="23.027999999999999"/>
    <n v="10"/>
  </r>
  <r>
    <s v="CA-2020-161956"/>
    <x v="53"/>
    <s v="DR-12880"/>
    <s v="Dan Reichenbach"/>
    <s v="United States"/>
    <x v="2"/>
    <x v="2"/>
    <s v="Bevis Steel Folding Chairs"/>
    <n v="261.27999999999997"/>
    <n v="3"/>
    <n v="23.027999999999999"/>
    <n v="8.8135333741579913"/>
  </r>
  <r>
    <s v="CA-2019-129714"/>
    <x v="391"/>
    <s v="AB-10060"/>
    <s v="Adam Bellavance"/>
    <s v="United States"/>
    <x v="0"/>
    <x v="1"/>
    <s v="Xerox 1881"/>
    <n v="49.12"/>
    <n v="4"/>
    <n v="23.086400000000001"/>
    <n v="47"/>
  </r>
  <r>
    <s v="US-2019-169369"/>
    <x v="329"/>
    <s v="EC-14050"/>
    <s v="Erin Creighton"/>
    <s v="United States"/>
    <x v="1"/>
    <x v="1"/>
    <s v="Xerox 1907"/>
    <n v="49.12"/>
    <n v="4"/>
    <n v="23.086400000000001"/>
    <n v="47"/>
  </r>
  <r>
    <s v="US-2020-146822"/>
    <x v="175"/>
    <s v="AG-10675"/>
    <s v="Anna Gayman"/>
    <s v="United States"/>
    <x v="1"/>
    <x v="1"/>
    <s v="Easy-staple paper"/>
    <n v="147.12"/>
    <n v="4"/>
    <n v="23.086400000000001"/>
    <n v="15.692224034801521"/>
  </r>
  <r>
    <s v="CA-2020-147564"/>
    <x v="11"/>
    <s v="BP-11155"/>
    <s v="Becky Pak"/>
    <s v="United States"/>
    <x v="0"/>
    <x v="1"/>
    <s v="Xerox 1907"/>
    <n v="138.12"/>
    <n v="4"/>
    <n v="23.086400000000001"/>
    <n v="16.714740805097016"/>
  </r>
  <r>
    <s v="CA-2020-111689"/>
    <x v="21"/>
    <s v="HP-14815"/>
    <s v="Harold Pawlan"/>
    <s v="United States"/>
    <x v="0"/>
    <x v="1"/>
    <s v="Lock-Up Easel 'Spel-Binder'"/>
    <n v="106.47199999999999"/>
    <n v="3"/>
    <n v="23.109300000000001"/>
    <n v="21.704579607784208"/>
  </r>
  <r>
    <s v="CA-2020-113208"/>
    <x v="74"/>
    <s v="ML-18040"/>
    <s v="Michelle Lonsdale"/>
    <s v="United States"/>
    <x v="3"/>
    <x v="2"/>
    <s v="Career Cubicle Clock, 8 1/4&quot;, Black"/>
    <n v="105.84"/>
    <n v="3"/>
    <n v="23.119199999999999"/>
    <n v="21.843537414965986"/>
  </r>
  <r>
    <s v="CA-2020-144883"/>
    <x v="44"/>
    <s v="BO-11350"/>
    <s v="Bill Overfelt"/>
    <s v="United States"/>
    <x v="3"/>
    <x v="1"/>
    <s v="Avery 495"/>
    <n v="149.4"/>
    <n v="8"/>
    <n v="23.184000000000001"/>
    <n v="15.518072289156626"/>
  </r>
  <r>
    <s v="CA-2020-167640"/>
    <x v="494"/>
    <s v="FC-14245"/>
    <s v="Frank Carlisle"/>
    <s v="United States"/>
    <x v="2"/>
    <x v="0"/>
    <s v="Digium D40 VoIP phone"/>
    <n v="253.38399999999999"/>
    <n v="2"/>
    <n v="23.2182"/>
    <n v="9.1632462981088008"/>
  </r>
  <r>
    <s v="CA-2019-128531"/>
    <x v="289"/>
    <s v="NS-18505"/>
    <s v="Neola Schneider"/>
    <s v="United States"/>
    <x v="3"/>
    <x v="1"/>
    <s v="Xerox 1925"/>
    <n v="74.352000000000004"/>
    <n v="3"/>
    <n v="23.234999999999999"/>
    <n v="31.25"/>
  </r>
  <r>
    <s v="US-2020-141677"/>
    <x v="74"/>
    <s v="HK-14890"/>
    <s v="Heather Kirkland"/>
    <s v="United States"/>
    <x v="3"/>
    <x v="1"/>
    <s v="Xerox 1951"/>
    <n v="116.352"/>
    <n v="3"/>
    <n v="23.234999999999999"/>
    <n v="19.96957508250825"/>
  </r>
  <r>
    <s v="CA-2020-162712"/>
    <x v="614"/>
    <s v="NK-18490"/>
    <s v="Neil Knudson"/>
    <s v="United States"/>
    <x v="3"/>
    <x v="1"/>
    <s v="Xerox 1925"/>
    <n v="123.352"/>
    <n v="3"/>
    <n v="23.234999999999999"/>
    <n v="18.836338283935401"/>
  </r>
  <r>
    <s v="CA-2020-115882"/>
    <x v="97"/>
    <s v="DB-13555"/>
    <s v="Dorothy Badders"/>
    <s v="United States"/>
    <x v="1"/>
    <x v="1"/>
    <s v="Xerox 1988"/>
    <n v="102.352"/>
    <n v="3"/>
    <n v="23.234999999999999"/>
    <n v="22.701070814444268"/>
  </r>
  <r>
    <s v="CA-2020-160031"/>
    <x v="57"/>
    <s v="LT-16765"/>
    <s v="Larry Tron"/>
    <s v="United States"/>
    <x v="0"/>
    <x v="1"/>
    <s v="IBM Multi-Purpose Copy Paper, 8 1/2 x 11&quot;, Case"/>
    <n v="178.352"/>
    <n v="3"/>
    <n v="23.234999999999999"/>
    <n v="13.027608325109894"/>
  </r>
  <r>
    <s v="CA-2020-149706"/>
    <x v="33"/>
    <s v="AS-10285"/>
    <s v="Alejandro Savely"/>
    <s v="United States"/>
    <x v="3"/>
    <x v="0"/>
    <s v="Enermax Briskie RF Wireless Keyboard and Mouse Combo"/>
    <n v="440.31200000000001"/>
    <n v="7"/>
    <n v="23.2624"/>
    <n v="5.2831628481622124"/>
  </r>
  <r>
    <s v="CA-2019-153269"/>
    <x v="531"/>
    <s v="PS-18760"/>
    <s v="Pamela Stobb"/>
    <s v="United States"/>
    <x v="0"/>
    <x v="1"/>
    <s v="GBC Binding covers"/>
    <n v="51.8"/>
    <n v="4"/>
    <n v="23.31"/>
    <n v="45"/>
  </r>
  <r>
    <s v="CA-2020-143798"/>
    <x v="409"/>
    <s v="AW-10840"/>
    <s v="Anthony Witt"/>
    <s v="United States"/>
    <x v="0"/>
    <x v="2"/>
    <s v="Electrix Halogen Magnifier Lamp"/>
    <n v="536.88"/>
    <n v="2"/>
    <n v="23.315999999999999"/>
    <n v="4.3428699150648189"/>
  </r>
  <r>
    <s v="CA-2020-130211"/>
    <x v="126"/>
    <s v="BD-11620"/>
    <s v="Brian DeCherney"/>
    <s v="United States"/>
    <x v="3"/>
    <x v="1"/>
    <s v="Fellowes Recycled Storage Drawers"/>
    <n v="343.09"/>
    <n v="3"/>
    <n v="23.316299999999998"/>
    <n v="6.7959719024162757"/>
  </r>
  <r>
    <s v="CA-2020-161200"/>
    <x v="574"/>
    <s v="SV-20365"/>
    <s v="Seth Vernon"/>
    <s v="United States"/>
    <x v="1"/>
    <x v="2"/>
    <s v="O'Sullivan 2-Shelf Heavy-Duty Bookcases"/>
    <n v="190.74"/>
    <n v="3"/>
    <n v="23.3184"/>
    <n v="12.225228059138093"/>
  </r>
  <r>
    <s v="US-2019-147340"/>
    <x v="20"/>
    <s v="EB-13750"/>
    <s v="Edward Becker"/>
    <s v="United States"/>
    <x v="2"/>
    <x v="2"/>
    <s v="Nu-Dell Executive Frame"/>
    <n v="63.2"/>
    <n v="5"/>
    <n v="23.384"/>
    <n v="37"/>
  </r>
  <r>
    <s v="CA-2019-115756"/>
    <x v="100"/>
    <s v="PK-19075"/>
    <s v="Pete Kriz"/>
    <s v="United States"/>
    <x v="3"/>
    <x v="1"/>
    <s v="Fellowes Bankers Box Staxonsteel Drawer File/Stacking System"/>
    <n v="194.94"/>
    <n v="3"/>
    <n v="23.392800000000001"/>
    <n v="12.000000000000002"/>
  </r>
  <r>
    <s v="CA-2019-133340"/>
    <x v="260"/>
    <s v="LH-17155"/>
    <s v="Logan Haushalter"/>
    <s v="United States"/>
    <x v="3"/>
    <x v="1"/>
    <s v="Holmes Replacement Filter for HEPA Air Cleaner, Very Large Room, HEPA Filter"/>
    <n v="61.929000000000002"/>
    <n v="1"/>
    <n v="23.395399999999999"/>
    <n v="37.777777777777779"/>
  </r>
  <r>
    <s v="CA-2020-135587"/>
    <x v="3"/>
    <s v="BH-11710"/>
    <s v="Brosina Hoffman"/>
    <s v="United States"/>
    <x v="1"/>
    <x v="0"/>
    <s v="Memorex Micro Travel Drive 8 GB"/>
    <n v="126"/>
    <n v="4"/>
    <n v="23.4"/>
    <n v="18.571428571428569"/>
  </r>
  <r>
    <s v="CA-2019-104150"/>
    <x v="621"/>
    <s v="AG-10330"/>
    <s v="Alex Grayson"/>
    <s v="United States"/>
    <x v="3"/>
    <x v="0"/>
    <s v="Sony Micro Vault Click 4 GB USB 2.0 Flash Drive"/>
    <n v="167.28"/>
    <n v="12"/>
    <n v="23.4192"/>
    <n v="13.999999999999998"/>
  </r>
  <r>
    <s v="CA-2019-155138"/>
    <x v="49"/>
    <s v="JM-15580"/>
    <s v="Jill Matthias"/>
    <s v="United States"/>
    <x v="1"/>
    <x v="1"/>
    <s v="Petty Cash Envelope"/>
    <n v="64.703999999999994"/>
    <n v="3"/>
    <n v="23.455200000000001"/>
    <n v="36.250000000000007"/>
  </r>
  <r>
    <s v="CA-2019-113516"/>
    <x v="49"/>
    <s v="VM-21685"/>
    <s v="Valerie Mitchum"/>
    <s v="United States"/>
    <x v="2"/>
    <x v="1"/>
    <s v="Premium Transparent Presentation Covers by GBC"/>
    <n v="67.135999999999996"/>
    <n v="4"/>
    <n v="23.497599999999998"/>
    <n v="35"/>
  </r>
  <r>
    <s v="CA-2019-150077"/>
    <x v="539"/>
    <s v="MS-17365"/>
    <s v="Maribeth Schnelling"/>
    <s v="United States"/>
    <x v="0"/>
    <x v="0"/>
    <s v="AT&amp;T 17929 Lendline Telephone"/>
    <n v="90.48"/>
    <n v="2"/>
    <n v="23.524799999999999"/>
    <n v="25.999999999999996"/>
  </r>
  <r>
    <s v="CA-2020-114055"/>
    <x v="141"/>
    <s v="MH-18115"/>
    <s v="Mick Hernandez"/>
    <s v="United States"/>
    <x v="1"/>
    <x v="0"/>
    <s v="AT&amp;T 17929 Lendline Telephone"/>
    <n v="352.48"/>
    <n v="2"/>
    <n v="23.524799999999999"/>
    <n v="6.674080798910575"/>
  </r>
  <r>
    <s v="CA-2020-145877"/>
    <x v="311"/>
    <s v="AS-10090"/>
    <s v="Adam Shillingsburg"/>
    <s v="United States"/>
    <x v="3"/>
    <x v="1"/>
    <s v="Hanging Personal Folder File"/>
    <n v="111.2"/>
    <n v="6"/>
    <n v="23.55"/>
    <n v="21.178057553956833"/>
  </r>
  <r>
    <s v="US-2020-133361"/>
    <x v="215"/>
    <s v="AJ-10780"/>
    <s v="Anthony Jacobs"/>
    <s v="United States"/>
    <x v="0"/>
    <x v="2"/>
    <s v="Office Star - Contemporary Task Swivel chair with Loop Arms, Charcoal"/>
    <n v="298.95999999999998"/>
    <n v="2"/>
    <n v="23.5764"/>
    <n v="7.8861386138613865"/>
  </r>
  <r>
    <s v="CA-2019-149965"/>
    <x v="295"/>
    <s v="BS-11365"/>
    <s v="Bill Shonely"/>
    <s v="United States"/>
    <x v="3"/>
    <x v="2"/>
    <s v="Executive Impressions 13&quot; Clairmont Wall Clock"/>
    <n v="57.69"/>
    <n v="3"/>
    <n v="23.652899999999999"/>
    <n v="41"/>
  </r>
  <r>
    <s v="CA-2020-121853"/>
    <x v="71"/>
    <s v="DB-13660"/>
    <s v="Duane Benoit"/>
    <s v="United States"/>
    <x v="2"/>
    <x v="1"/>
    <s v="Ibico Plastic Spiral Binding Combs"/>
    <n v="122.96"/>
    <n v="3"/>
    <n v="23.712"/>
    <n v="19.284320104098896"/>
  </r>
  <r>
    <s v="CA-2019-138282"/>
    <x v="427"/>
    <s v="AH-10690"/>
    <s v="Anna Häberlin"/>
    <s v="United States"/>
    <x v="2"/>
    <x v="1"/>
    <s v="Staple holder"/>
    <n v="87.84"/>
    <n v="8"/>
    <n v="23.716799999999999"/>
    <n v="26.999999999999996"/>
  </r>
  <r>
    <s v="CA-2019-148852"/>
    <x v="154"/>
    <s v="SV-20785"/>
    <s v="Stewart Visinsky"/>
    <s v="United States"/>
    <x v="2"/>
    <x v="0"/>
    <s v="Cisco SPA508G"/>
    <n v="211.16800000000001"/>
    <n v="4"/>
    <n v="23.756399999999999"/>
    <n v="11.249999999999998"/>
  </r>
  <r>
    <s v="CA-2020-127474"/>
    <x v="275"/>
    <s v="RD-19810"/>
    <s v="Ross DeVincentis"/>
    <s v="United States"/>
    <x v="3"/>
    <x v="1"/>
    <s v="Xerox 1893"/>
    <n v="159.584"/>
    <n v="2"/>
    <n v="23.7742"/>
    <n v="14.897608782835373"/>
  </r>
  <r>
    <s v="CA-2020-169404"/>
    <x v="262"/>
    <s v="NC-18625"/>
    <s v="Noah Childs"/>
    <s v="United States"/>
    <x v="0"/>
    <x v="1"/>
    <s v="Xerox 1893"/>
    <n v="115.584"/>
    <n v="2"/>
    <n v="23.7742"/>
    <n v="20.568763842746403"/>
  </r>
  <r>
    <s v="CA-2019-168354"/>
    <x v="204"/>
    <s v="RH-19510"/>
    <s v="Rick Huthwaite"/>
    <s v="United States"/>
    <x v="0"/>
    <x v="1"/>
    <s v="JM Magazine Binder"/>
    <n v="49.53"/>
    <n v="3"/>
    <n v="23.7744"/>
    <n v="48"/>
  </r>
  <r>
    <s v="US-2020-107888"/>
    <x v="417"/>
    <s v="CC-12220"/>
    <s v="Chris Cortes"/>
    <s v="United States"/>
    <x v="2"/>
    <x v="2"/>
    <s v="Tenex &quot;The Solids&quot; Textured Chair Mats"/>
    <n v="186.92"/>
    <n v="2"/>
    <n v="23.7864"/>
    <n v="12.725444040231116"/>
  </r>
  <r>
    <s v="CA-2019-152121"/>
    <x v="134"/>
    <s v="CC-12670"/>
    <s v="Craig Carreira"/>
    <s v="United States"/>
    <x v="2"/>
    <x v="0"/>
    <s v="Motorola Moto X"/>
    <n v="271.99200000000002"/>
    <n v="1"/>
    <n v="23.799299999999999"/>
    <n v="8.75"/>
  </r>
  <r>
    <s v="CA-2020-133641"/>
    <x v="215"/>
    <s v="EJ-14155"/>
    <s v="Eva Jacobs"/>
    <s v="United States"/>
    <x v="1"/>
    <x v="1"/>
    <s v="Fashion Color Clasp Envelopes"/>
    <n v="130.69"/>
    <n v="9"/>
    <n v="23.8581"/>
    <n v="18.255490091055169"/>
  </r>
  <r>
    <s v="CA-2019-163804"/>
    <x v="118"/>
    <s v="DB-13270"/>
    <s v="Deborah Brumfield"/>
    <s v="United States"/>
    <x v="0"/>
    <x v="2"/>
    <s v="Eldon 500 Class Desk Accessories"/>
    <n v="72.42"/>
    <n v="6"/>
    <n v="23.898599999999998"/>
    <n v="32.999999999999993"/>
  </r>
  <r>
    <s v="US-2020-152492"/>
    <x v="333"/>
    <s v="AH-10585"/>
    <s v="Angele Hood"/>
    <s v="United States"/>
    <x v="1"/>
    <x v="2"/>
    <s v="Global Comet Stacking Armless Chair"/>
    <n v="288.24"/>
    <n v="1"/>
    <n v="23.923999999999999"/>
    <n v="8.3000277546489034"/>
  </r>
  <r>
    <s v="CA-2020-155159"/>
    <x v="92"/>
    <s v="DL-13315"/>
    <s v="Delfina Latchford"/>
    <s v="United States"/>
    <x v="1"/>
    <x v="1"/>
    <s v="Wirebound Message Book, 4 per Page"/>
    <n v="150.87"/>
    <n v="9"/>
    <n v="23.946300000000001"/>
    <n v="15.872141578842713"/>
  </r>
  <r>
    <s v="CA-2019-101161"/>
    <x v="27"/>
    <s v="BW-11110"/>
    <s v="Bart Watters"/>
    <s v="United States"/>
    <x v="0"/>
    <x v="1"/>
    <s v="Fellowes Bases and Tops For Staxonsteel/High-Stak Systems"/>
    <n v="99.87"/>
    <n v="3"/>
    <n v="23.968800000000002"/>
    <n v="24.000000000000004"/>
  </r>
  <r>
    <s v="US-2020-143175"/>
    <x v="230"/>
    <s v="GA-14515"/>
    <s v="George Ashbrook"/>
    <s v="United States"/>
    <x v="2"/>
    <x v="1"/>
    <s v="Fellowes Bases and Tops For Staxonsteel/High-Stak Systems"/>
    <n v="119.87"/>
    <n v="3"/>
    <n v="23.968800000000002"/>
    <n v="19.99566196713106"/>
  </r>
  <r>
    <s v="CA-2020-100825"/>
    <x v="37"/>
    <s v="KD-16495"/>
    <s v="Keith Dawkins"/>
    <s v="United States"/>
    <x v="2"/>
    <x v="1"/>
    <s v="Fellowes Bases and Tops For Staxonsteel/High-Stak Systems"/>
    <n v="133.87"/>
    <n v="3"/>
    <n v="23.968800000000002"/>
    <n v="17.904534249645181"/>
  </r>
  <r>
    <s v="CA-2020-155957"/>
    <x v="197"/>
    <s v="CC-12610"/>
    <s v="Corey Catlett"/>
    <s v="United States"/>
    <x v="0"/>
    <x v="1"/>
    <s v="Fellowes Superior 10 Outlet Split Surge Protector"/>
    <n v="242.136"/>
    <n v="7"/>
    <n v="23.977799999999998"/>
    <n v="9.9026167112696992"/>
  </r>
  <r>
    <s v="CA-2020-157448"/>
    <x v="417"/>
    <s v="LC-16885"/>
    <s v="Lena Creighton"/>
    <s v="United States"/>
    <x v="2"/>
    <x v="2"/>
    <s v="Eldon Radial Chair Mat for Low to Medium Pile Carpets"/>
    <n v="145.94"/>
    <n v="3"/>
    <n v="23.988"/>
    <n v="16.43689187337262"/>
  </r>
  <r>
    <s v="CA-2020-118367"/>
    <x v="259"/>
    <s v="LO-17170"/>
    <s v="Lori Olson"/>
    <s v="United States"/>
    <x v="0"/>
    <x v="1"/>
    <s v="Recycled Interoffice Envelopes with String and Button Closure, 10 x 13"/>
    <n v="162.97999999999999"/>
    <n v="2"/>
    <n v="23.99"/>
    <n v="14.719597496625353"/>
  </r>
  <r>
    <s v="CA-2019-122019"/>
    <x v="268"/>
    <s v="CD-11920"/>
    <s v="Carlos Daly"/>
    <s v="United States"/>
    <x v="3"/>
    <x v="2"/>
    <s v="Executive Impressions 10&quot; Spectator Wall Clock"/>
    <n v="70.56"/>
    <n v="6"/>
    <n v="23.990400000000001"/>
    <n v="34"/>
  </r>
  <r>
    <s v="US-2020-102904"/>
    <x v="14"/>
    <s v="CB-12025"/>
    <s v="Cassandra Brandow"/>
    <s v="United States"/>
    <x v="1"/>
    <x v="0"/>
    <s v="Anker Ultrathin Bluetooth Wireless Keyboard Aluminum Cover with Stand"/>
    <n v="253.92"/>
    <n v="8"/>
    <n v="23.992000000000001"/>
    <n v="9.4486452425960952"/>
  </r>
  <r>
    <s v="CA-2019-154018"/>
    <x v="27"/>
    <s v="HA-14920"/>
    <s v="Helen Andreada"/>
    <s v="United States"/>
    <x v="3"/>
    <x v="0"/>
    <s v="Razer Kraken PRO Over Ear PC and Music Headset"/>
    <n v="191.976"/>
    <n v="3"/>
    <n v="23.997"/>
    <n v="12.5"/>
  </r>
  <r>
    <s v="CA-2019-110086"/>
    <x v="99"/>
    <s v="BD-11320"/>
    <s v="Bill Donatelli"/>
    <s v="United States"/>
    <x v="2"/>
    <x v="0"/>
    <s v="Polycom CX300 Desktop Phone USB VoIP phone"/>
    <n v="239.98400000000001"/>
    <n v="2"/>
    <n v="23.9984"/>
    <n v="10"/>
  </r>
  <r>
    <s v="US-2020-114657"/>
    <x v="417"/>
    <s v="MH-18115"/>
    <s v="Mick Hernandez"/>
    <s v="United States"/>
    <x v="0"/>
    <x v="0"/>
    <s v="Hewlett-Packard 300S Scientific Calculator"/>
    <n v="182.44"/>
    <n v="4"/>
    <n v="24.122399999999999"/>
    <n v="13.22210041657531"/>
  </r>
  <r>
    <s v="CA-2020-123351"/>
    <x v="362"/>
    <s v="KT-16480"/>
    <s v="Kean Thornton"/>
    <s v="United States"/>
    <x v="1"/>
    <x v="1"/>
    <s v="APC 7 Outlet Network SurgeArrest Surge Protector"/>
    <n v="125.48"/>
    <n v="1"/>
    <n v="24.143999999999998"/>
    <n v="19.241313356710229"/>
  </r>
  <r>
    <s v="CA-2019-165330"/>
    <x v="111"/>
    <s v="WB-21850"/>
    <s v="William Brown"/>
    <s v="United States"/>
    <x v="2"/>
    <x v="1"/>
    <s v="Fellowes 8 Outlet Superior Workstation Surge Protector"/>
    <n v="83.42"/>
    <n v="2"/>
    <n v="24.191800000000001"/>
    <n v="28.999999999999996"/>
  </r>
  <r>
    <s v="CA-2019-156251"/>
    <x v="108"/>
    <s v="TS-21160"/>
    <s v="Theresa Swint"/>
    <s v="United States"/>
    <x v="3"/>
    <x v="2"/>
    <s v="O'Sullivan Living Dimensions 2-Shelf Bookcases"/>
    <n v="241.96"/>
    <n v="2"/>
    <n v="24.196000000000002"/>
    <n v="10"/>
  </r>
  <r>
    <s v="CA-2019-162187"/>
    <x v="111"/>
    <s v="NS-18640"/>
    <s v="Noel Staavos"/>
    <s v="United States"/>
    <x v="0"/>
    <x v="1"/>
    <s v="Belkin 325VA UPS Surge Protector, 6'"/>
    <n v="387.13600000000002"/>
    <n v="4"/>
    <n v="24.196000000000002"/>
    <n v="6.25"/>
  </r>
  <r>
    <s v="CA-2020-102925"/>
    <x v="181"/>
    <s v="CD-12280"/>
    <s v="Christina DeMoss"/>
    <s v="United States"/>
    <x v="0"/>
    <x v="2"/>
    <s v="Harbour Creations 67200 Series Stacking Chairs"/>
    <n v="166.124"/>
    <n v="2"/>
    <n v="24.2012"/>
    <n v="14.568153909128121"/>
  </r>
  <r>
    <s v="CA-2019-131576"/>
    <x v="358"/>
    <s v="RD-19585"/>
    <s v="Rob Dowd"/>
    <s v="United States"/>
    <x v="3"/>
    <x v="1"/>
    <s v="Ibico Standard Transparent Covers"/>
    <n v="49.44"/>
    <n v="3"/>
    <n v="24.2256"/>
    <n v="49.000000000000007"/>
  </r>
  <r>
    <s v="CA-2020-128335"/>
    <x v="86"/>
    <s v="JA-15970"/>
    <s v="Joseph Airdo"/>
    <s v="United States"/>
    <x v="0"/>
    <x v="1"/>
    <s v="Speediset Carbonless Redi-Letter 7&quot; x 8 1/2&quot;"/>
    <n v="128.55000000000001"/>
    <n v="5"/>
    <n v="24.2285"/>
    <n v="18.84753014391287"/>
  </r>
  <r>
    <s v="CA-2019-108735"/>
    <x v="544"/>
    <s v="JM-15535"/>
    <s v="Jessica Myrick"/>
    <s v="United States"/>
    <x v="2"/>
    <x v="2"/>
    <s v="Bush Westfield Collection Bookcases, Fully Assembled"/>
    <n v="257.49900000000002"/>
    <n v="3"/>
    <n v="24.235199999999999"/>
    <n v="9.4117647058823515"/>
  </r>
  <r>
    <s v="CA-2020-111759"/>
    <x v="526"/>
    <s v="MR-17545"/>
    <s v="Mathew Reese"/>
    <s v="United States"/>
    <x v="2"/>
    <x v="1"/>
    <s v="Easy-staple paper"/>
    <n v="165.76"/>
    <n v="2"/>
    <n v="24.269600000000001"/>
    <n v="14.641409266409266"/>
  </r>
  <r>
    <s v="CA-2019-112697"/>
    <x v="60"/>
    <s v="AH-10195"/>
    <s v="Alan Haines"/>
    <s v="United States"/>
    <x v="1"/>
    <x v="1"/>
    <s v="Acco 7-Outlet Masterpiece Power Center, Wihtout Fax/Phone Line Protection"/>
    <n v="194.52799999999999"/>
    <n v="2"/>
    <n v="24.315999999999999"/>
    <n v="12.5"/>
  </r>
  <r>
    <s v="US-2020-128118"/>
    <x v="225"/>
    <s v="MY-17380"/>
    <s v="Maribeth Yedwab"/>
    <s v="United States"/>
    <x v="1"/>
    <x v="1"/>
    <s v="Peel &amp; Seel Recycled Catalog Envelopes, Brown"/>
    <n v="106.848"/>
    <n v="7"/>
    <n v="24.318000000000001"/>
    <n v="22.759433962264154"/>
  </r>
  <r>
    <s v="CA-2020-137022"/>
    <x v="417"/>
    <s v="SW-20275"/>
    <s v="Scott Williamson"/>
    <s v="United States"/>
    <x v="2"/>
    <x v="1"/>
    <s v="Tennsco Regal Shelving Units"/>
    <n v="847.28"/>
    <n v="8"/>
    <n v="24.3384"/>
    <n v="2.8725332829761121"/>
  </r>
  <r>
    <s v="US-2020-105935"/>
    <x v="497"/>
    <s v="BD-11500"/>
    <s v="Bradley Drucker"/>
    <s v="United States"/>
    <x v="1"/>
    <x v="2"/>
    <s v="Artistic Insta-Plaque"/>
    <n v="100.72"/>
    <n v="4"/>
    <n v="24.460799999999999"/>
    <n v="24.285941223193007"/>
  </r>
  <r>
    <s v="CA-2020-164756"/>
    <x v="406"/>
    <s v="SS-20140"/>
    <s v="Saphhira Shifley"/>
    <s v="United States"/>
    <x v="1"/>
    <x v="1"/>
    <s v="Post-it “Important Message” Note Pad, Neon Colors, 50 Sheets/Pad"/>
    <n v="137.96"/>
    <n v="7"/>
    <n v="24.460799999999999"/>
    <n v="17.730356625108726"/>
  </r>
  <r>
    <s v="CA-2019-135265"/>
    <x v="270"/>
    <s v="CC-12370"/>
    <s v="Christopher Conant"/>
    <s v="United States"/>
    <x v="2"/>
    <x v="1"/>
    <s v="Xerox 1942"/>
    <n v="48.94"/>
    <n v="1"/>
    <n v="24.47"/>
    <n v="50"/>
  </r>
  <r>
    <s v="CA-2020-108910"/>
    <x v="64"/>
    <s v="KC-16540"/>
    <s v="Kelly Collister"/>
    <s v="United States"/>
    <x v="0"/>
    <x v="2"/>
    <s v="Howard Miller 13&quot; Diameter Pewter Finish Round Wall Clock"/>
    <n v="129.05600000000001"/>
    <n v="3"/>
    <n v="24.4758"/>
    <n v="18.965255393007684"/>
  </r>
  <r>
    <s v="CA-2019-113845"/>
    <x v="165"/>
    <s v="FA-14230"/>
    <s v="Frank Atkinson"/>
    <s v="United States"/>
    <x v="1"/>
    <x v="0"/>
    <s v="Grandstream GXP2100 Mainstream Business Phone"/>
    <n v="244.768"/>
    <n v="4"/>
    <n v="24.476800000000001"/>
    <n v="10"/>
  </r>
  <r>
    <s v="CA-2019-105494"/>
    <x v="214"/>
    <s v="PC-18745"/>
    <s v="Pamela Coakley"/>
    <s v="United States"/>
    <x v="2"/>
    <x v="1"/>
    <s v="Binding Machine Supplies"/>
    <n v="70.007999999999996"/>
    <n v="3"/>
    <n v="24.502800000000001"/>
    <n v="35"/>
  </r>
  <r>
    <s v="CA-2019-159373"/>
    <x v="22"/>
    <s v="LT-17110"/>
    <s v="Liz Thompson"/>
    <s v="United States"/>
    <x v="3"/>
    <x v="1"/>
    <s v="TOPS Carbonless Receipt Book, Four 2-3/4 x 7-1/4 Money Receipts per Page"/>
    <n v="70.08"/>
    <n v="5"/>
    <n v="24.527999999999999"/>
    <n v="35"/>
  </r>
  <r>
    <s v="CA-2019-152072"/>
    <x v="322"/>
    <s v="Dp-13240"/>
    <s v="Dean percer"/>
    <s v="United States"/>
    <x v="0"/>
    <x v="1"/>
    <s v="Quality Park Security Envelopes"/>
    <n v="52.34"/>
    <n v="2"/>
    <n v="24.599799999999998"/>
    <n v="46.999999999999993"/>
  </r>
  <r>
    <s v="CA-2020-113355"/>
    <x v="265"/>
    <s v="SJ-20215"/>
    <s v="Sarah Jordon"/>
    <s v="United States"/>
    <x v="3"/>
    <x v="0"/>
    <s v="Cisco SPA112 2 Port Phone Adapter"/>
    <n v="229.8"/>
    <n v="5"/>
    <n v="24.727499999999999"/>
    <n v="10.760443864229764"/>
  </r>
  <r>
    <s v="US-2019-165078"/>
    <x v="77"/>
    <s v="MA-17995"/>
    <s v="Michelle Arnett"/>
    <s v="United States"/>
    <x v="3"/>
    <x v="1"/>
    <s v="Avery 503"/>
    <n v="51.75"/>
    <n v="5"/>
    <n v="24.84"/>
    <n v="48"/>
  </r>
  <r>
    <s v="CA-2020-168396"/>
    <x v="230"/>
    <s v="BD-11725"/>
    <s v="Bruce Degenhardt"/>
    <s v="United States"/>
    <x v="2"/>
    <x v="1"/>
    <s v="Avery 473"/>
    <n v="147.75"/>
    <n v="5"/>
    <n v="24.84"/>
    <n v="16.81218274111675"/>
  </r>
  <r>
    <s v="US-2020-109253"/>
    <x v="500"/>
    <s v="PR-18880"/>
    <s v="Patrick Ryan"/>
    <s v="United States"/>
    <x v="2"/>
    <x v="1"/>
    <s v="Avery Address/Shipping Labels for Typewriters, 4&quot; x 2&quot;"/>
    <n v="186.75"/>
    <n v="5"/>
    <n v="24.84"/>
    <n v="13.301204819277107"/>
  </r>
  <r>
    <s v="CA-2019-156748"/>
    <x v="515"/>
    <s v="BS-11755"/>
    <s v="Bruce Stewart"/>
    <s v="United States"/>
    <x v="3"/>
    <x v="1"/>
    <s v="Sensible Storage WireTech Storage Systems"/>
    <n v="496.86"/>
    <n v="7"/>
    <n v="24.843"/>
    <n v="5"/>
  </r>
  <r>
    <s v="CA-2019-102561"/>
    <x v="241"/>
    <s v="NK-18490"/>
    <s v="Neil Knudson"/>
    <s v="United States"/>
    <x v="0"/>
    <x v="1"/>
    <s v="Steel Personal Filing/Posting Tote"/>
    <n v="284.08"/>
    <n v="10"/>
    <n v="24.856999999999999"/>
    <n v="8.75"/>
  </r>
  <r>
    <s v="US-2020-110604"/>
    <x v="403"/>
    <s v="JF-15295"/>
    <s v="Jason Fortune-"/>
    <s v="United States"/>
    <x v="2"/>
    <x v="2"/>
    <s v="SAFCO Arco Folding Chair"/>
    <n v="265.95999999999998"/>
    <n v="1"/>
    <n v="24.858000000000001"/>
    <n v="9.3465182734245751"/>
  </r>
  <r>
    <s v="CA-2019-146423"/>
    <x v="123"/>
    <s v="BT-11680"/>
    <s v="Brian Thompson"/>
    <s v="United States"/>
    <x v="0"/>
    <x v="1"/>
    <s v="Xerox 209"/>
    <n v="51.84"/>
    <n v="8"/>
    <n v="24.883199999999999"/>
    <n v="47.999999999999993"/>
  </r>
  <r>
    <s v="CA-2019-114307"/>
    <x v="448"/>
    <s v="MF-17665"/>
    <s v="Maureen Fritzler"/>
    <s v="United States"/>
    <x v="0"/>
    <x v="1"/>
    <s v="Xerox 216"/>
    <n v="51.84"/>
    <n v="8"/>
    <n v="24.883199999999999"/>
    <n v="47.999999999999993"/>
  </r>
  <r>
    <s v="CA-2020-110443"/>
    <x v="341"/>
    <s v="CK-12205"/>
    <s v="Chloris Kastensmidt"/>
    <s v="United States"/>
    <x v="2"/>
    <x v="1"/>
    <s v="Xerox 209"/>
    <n v="100.84"/>
    <n v="8"/>
    <n v="24.883199999999999"/>
    <n v="24.675922253074177"/>
  </r>
  <r>
    <s v="CA-2019-100153"/>
    <x v="503"/>
    <s v="KH-16630"/>
    <s v="Ken Heidel"/>
    <s v="United States"/>
    <x v="3"/>
    <x v="0"/>
    <s v="Memorex Mini Travel Drive 16 GB USB 2.0 Flash Drive"/>
    <n v="63.88"/>
    <n v="4"/>
    <n v="24.9132"/>
    <n v="38.999999999999993"/>
  </r>
  <r>
    <s v="US-2020-133081"/>
    <x v="91"/>
    <s v="PV-18985"/>
    <s v="Paul Van Hugh"/>
    <s v="United States"/>
    <x v="0"/>
    <x v="0"/>
    <s v="Memorex Mini Travel Drive 16 GB USB 2.0 Flash Drive"/>
    <n v="108.88"/>
    <n v="4"/>
    <n v="24.9132"/>
    <n v="22.881337252020572"/>
  </r>
  <r>
    <s v="CA-2019-123120"/>
    <x v="478"/>
    <s v="CV-12295"/>
    <s v="Christina VanderZanden"/>
    <s v="United States"/>
    <x v="0"/>
    <x v="2"/>
    <s v="Howard Miller 16&quot; Diameter Gallery Wall Clock"/>
    <n v="63.94"/>
    <n v="1"/>
    <n v="24.936599999999999"/>
    <n v="39"/>
  </r>
  <r>
    <s v="CA-2020-107825"/>
    <x v="276"/>
    <s v="NB-18655"/>
    <s v="Nona Balk"/>
    <s v="United States"/>
    <x v="3"/>
    <x v="1"/>
    <s v="Decoflex Hanging Personal Folder File, Blue"/>
    <n v="142.52000000000001"/>
    <n v="6"/>
    <n v="24.980399999999999"/>
    <n v="17.527645242772945"/>
  </r>
  <r>
    <s v="CA-2019-140613"/>
    <x v="448"/>
    <s v="KN-16705"/>
    <s v="Kristina Nunn"/>
    <s v="United States"/>
    <x v="2"/>
    <x v="1"/>
    <s v="Fiskars 8&quot; Scissors, 2/Pack"/>
    <n v="86.2"/>
    <n v="5"/>
    <n v="24.998000000000001"/>
    <n v="28.999999999999996"/>
  </r>
  <r>
    <s v="CA-2020-107629"/>
    <x v="55"/>
    <s v="DB-13060"/>
    <s v="Dave Brooks"/>
    <s v="United States"/>
    <x v="3"/>
    <x v="1"/>
    <s v="Prismacolor Color Pencil Set"/>
    <n v="407.23200000000003"/>
    <n v="6"/>
    <n v="24.9984"/>
    <n v="6.1386138613861387"/>
  </r>
  <r>
    <s v="US-2020-160465"/>
    <x v="102"/>
    <s v="SW-20350"/>
    <s v="Sean Wendt"/>
    <s v="United States"/>
    <x v="0"/>
    <x v="1"/>
    <s v="Letter Size File"/>
    <n v="272.32"/>
    <n v="7"/>
    <n v="25.010999999999999"/>
    <n v="9.1844153936545236"/>
  </r>
  <r>
    <s v="CA-2020-135937"/>
    <x v="89"/>
    <s v="KM-16375"/>
    <s v="Katherine Murray"/>
    <s v="United States"/>
    <x v="2"/>
    <x v="0"/>
    <s v="Toshiba IPT2010-SD IP Telephone"/>
    <n v="358.57600000000002"/>
    <n v="3"/>
    <n v="25.0182"/>
    <n v="6.9770982999419928"/>
  </r>
  <r>
    <s v="CA-2020-142328"/>
    <x v="3"/>
    <s v="TC-21535"/>
    <s v="Tracy Collins"/>
    <s v="United States"/>
    <x v="2"/>
    <x v="1"/>
    <s v="REDIFORM Incoming/Outgoing Call Register, 11&quot; X 8 1/2&quot;, 100 Messages"/>
    <n v="159.04"/>
    <n v="6"/>
    <n v="25.02"/>
    <n v="15.731891348088531"/>
  </r>
  <r>
    <s v="CA-2020-137323"/>
    <x v="244"/>
    <s v="PW-19030"/>
    <s v="Pauline Webber"/>
    <s v="United States"/>
    <x v="0"/>
    <x v="1"/>
    <s v="Letter/Legal File Tote with Clear Snap-On Lid, Black Granite"/>
    <n v="131.36000000000001"/>
    <n v="6"/>
    <n v="25.053599999999999"/>
    <n v="19.072472594397073"/>
  </r>
  <r>
    <s v="CA-2019-121377"/>
    <x v="283"/>
    <s v="TN-21040"/>
    <s v="Tanja Norvell"/>
    <s v="United States"/>
    <x v="3"/>
    <x v="0"/>
    <s v="Wilson Electronics DB Pro Signal Booster"/>
    <n v="286.39999999999998"/>
    <n v="1"/>
    <n v="25.06"/>
    <n v="8.75"/>
  </r>
  <r>
    <s v="CA-2019-145548"/>
    <x v="373"/>
    <s v="EB-13750"/>
    <s v="Edward Becker"/>
    <s v="United States"/>
    <x v="0"/>
    <x v="1"/>
    <s v="Boston School Pro Electric Pencil Sharpener, 1670"/>
    <n v="92.94"/>
    <n v="3"/>
    <n v="25.093800000000002"/>
    <n v="27"/>
  </r>
  <r>
    <s v="US-2020-132675"/>
    <x v="64"/>
    <s v="KF-16285"/>
    <s v="Karen Ferguson"/>
    <s v="United States"/>
    <x v="1"/>
    <x v="0"/>
    <s v="Plantronics Encore H101 Dual Earpieces Headset"/>
    <n v="106.9"/>
    <n v="2"/>
    <n v="25.172000000000001"/>
    <n v="23.547240411599628"/>
  </r>
  <r>
    <s v="US-2019-117387"/>
    <x v="484"/>
    <s v="PA-19060"/>
    <s v="Pete Armstrong"/>
    <s v="United States"/>
    <x v="2"/>
    <x v="1"/>
    <s v="Avery Legal 4-Ring Binder"/>
    <n v="67.135999999999996"/>
    <n v="4"/>
    <n v="25.175999999999998"/>
    <n v="37.5"/>
  </r>
  <r>
    <s v="US-2019-110156"/>
    <x v="319"/>
    <s v="EH-13945"/>
    <s v="Eric Hoffmann"/>
    <s v="United States"/>
    <x v="3"/>
    <x v="0"/>
    <s v="invisibleSHIELD by ZAGG Smudge-Free Screen Protector"/>
    <n v="71.959999999999994"/>
    <n v="5"/>
    <n v="25.186"/>
    <n v="35"/>
  </r>
  <r>
    <s v="CA-2020-136007"/>
    <x v="447"/>
    <s v="AC-10615"/>
    <s v="Ann Chong"/>
    <s v="United States"/>
    <x v="2"/>
    <x v="0"/>
    <s v="invisibleSHIELD by ZAGG Smudge-Free Screen Protector"/>
    <n v="884.96"/>
    <n v="5"/>
    <n v="25.186"/>
    <n v="2.8460043391791716"/>
  </r>
  <r>
    <s v="US-2019-144351"/>
    <x v="296"/>
    <s v="RC-19960"/>
    <s v="Ryan Crowe"/>
    <s v="United States"/>
    <x v="0"/>
    <x v="0"/>
    <s v="BlueLounge Milo Smartphone Stand, White/Metallic"/>
    <n v="89.97"/>
    <n v="3"/>
    <n v="25.191600000000001"/>
    <n v="28.000000000000004"/>
  </r>
  <r>
    <s v="CA-2019-133340"/>
    <x v="260"/>
    <s v="LH-17155"/>
    <s v="Logan Haushalter"/>
    <s v="United States"/>
    <x v="3"/>
    <x v="0"/>
    <s v="Logitech Trackman Marble Mouse"/>
    <n v="59.98"/>
    <n v="2"/>
    <n v="25.191600000000001"/>
    <n v="42.000000000000007"/>
  </r>
  <r>
    <s v="CA-2019-165330"/>
    <x v="111"/>
    <s v="WB-21850"/>
    <s v="William Brown"/>
    <s v="United States"/>
    <x v="2"/>
    <x v="0"/>
    <s v="Microsoft Natural Ergonomic Keyboard 4000"/>
    <n v="119.96"/>
    <n v="4"/>
    <n v="25.191600000000001"/>
    <n v="21.000000000000004"/>
  </r>
  <r>
    <s v="CA-2020-158407"/>
    <x v="318"/>
    <s v="LW-16990"/>
    <s v="Lindsay Williams"/>
    <s v="United States"/>
    <x v="1"/>
    <x v="0"/>
    <s v="Innergie mMini Combo Duo USB Travel Charging Kit"/>
    <n v="161.98400000000001"/>
    <n v="2"/>
    <n v="25.194400000000002"/>
    <n v="15.553634926906362"/>
  </r>
  <r>
    <s v="US-2019-164189"/>
    <x v="70"/>
    <s v="DR-12880"/>
    <s v="Dan Reichenbach"/>
    <s v="United States"/>
    <x v="2"/>
    <x v="0"/>
    <s v="BlackBerry Q10"/>
    <n v="403.16800000000001"/>
    <n v="4"/>
    <n v="25.198"/>
    <n v="6.25"/>
  </r>
  <r>
    <s v="CA-2020-166317"/>
    <x v="10"/>
    <s v="JE-15610"/>
    <s v="Jim Epp"/>
    <s v="United States"/>
    <x v="3"/>
    <x v="0"/>
    <s v="AT&amp;T CL82213"/>
    <n v="136.97"/>
    <n v="3"/>
    <n v="25.221299999999999"/>
    <n v="18.413740235087975"/>
  </r>
  <r>
    <s v="CA-2020-138289"/>
    <x v="324"/>
    <s v="AR-10540"/>
    <s v="Andy Reiter"/>
    <s v="United States"/>
    <x v="3"/>
    <x v="1"/>
    <s v="TOPS Money Receipt Book, Consecutively Numbered in Red,"/>
    <n v="167.07"/>
    <n v="7"/>
    <n v="25.2315"/>
    <n v="15.102352307416053"/>
  </r>
  <r>
    <s v="CA-2019-143609"/>
    <x v="111"/>
    <s v="DB-13270"/>
    <s v="Deborah Brumfield"/>
    <s v="United States"/>
    <x v="2"/>
    <x v="2"/>
    <s v="Global Fabric Manager's Chair, Dark Gray"/>
    <n v="403.92"/>
    <n v="5"/>
    <n v="25.245000000000001"/>
    <n v="6.25"/>
  </r>
  <r>
    <s v="CA-2019-160486"/>
    <x v="353"/>
    <s v="EH-14185"/>
    <s v="Evan Henry"/>
    <s v="United States"/>
    <x v="1"/>
    <x v="1"/>
    <s v="Embossed Ink Jet Note Cards"/>
    <n v="72.224000000000004"/>
    <n v="4"/>
    <n v="25.278400000000001"/>
    <n v="35"/>
  </r>
  <r>
    <s v="CA-2019-140382"/>
    <x v="489"/>
    <s v="RD-19900"/>
    <s v="Ruben Dartt"/>
    <s v="United States"/>
    <x v="2"/>
    <x v="1"/>
    <s v="Mobile Personal File Cube"/>
    <n v="93.68"/>
    <n v="4"/>
    <n v="25.293600000000001"/>
    <n v="27"/>
  </r>
  <r>
    <s v="CA-2020-153080"/>
    <x v="195"/>
    <s v="EH-13945"/>
    <s v="Eric Hoffmann"/>
    <s v="United States"/>
    <x v="2"/>
    <x v="0"/>
    <s v="Maxell 74 Minute CDR, 10/Pack"/>
    <n v="113.46"/>
    <n v="7"/>
    <n v="25.330200000000001"/>
    <n v="22.325224748810154"/>
  </r>
  <r>
    <s v="CA-2019-121671"/>
    <x v="395"/>
    <s v="AA-10480"/>
    <s v="Andrew Allen"/>
    <s v="United States"/>
    <x v="3"/>
    <x v="1"/>
    <s v="Xerox 1993"/>
    <n v="51.84"/>
    <n v="8"/>
    <n v="25.401599999999998"/>
    <n v="48.999999999999993"/>
  </r>
  <r>
    <s v="CA-2020-106859"/>
    <x v="52"/>
    <s v="BF-11215"/>
    <s v="Benjamin Farhat"/>
    <s v="United States"/>
    <x v="2"/>
    <x v="1"/>
    <s v="SimpliFile Personal File, Black Granite, 15w x 6-15/16d x 11-1/4h"/>
    <n v="105.8"/>
    <n v="8"/>
    <n v="25.423999999999999"/>
    <n v="24.030245746691872"/>
  </r>
  <r>
    <s v="CA-2020-138548"/>
    <x v="44"/>
    <s v="JG-15160"/>
    <s v="James Galang"/>
    <s v="United States"/>
    <x v="0"/>
    <x v="1"/>
    <s v="Fellowes Premier Superior Surge Suppressor, 10-Outlet, With Phone and Remote"/>
    <n v="144.84"/>
    <n v="2"/>
    <n v="25.438400000000001"/>
    <n v="17.563104114885391"/>
  </r>
  <r>
    <s v="CA-2020-140186"/>
    <x v="86"/>
    <s v="PG-18820"/>
    <s v="Patrick Gardner"/>
    <s v="United States"/>
    <x v="2"/>
    <x v="1"/>
    <s v="Fellowes Premier Superior Surge Suppressor, 10-Outlet, With Phone and Remote"/>
    <n v="115.84"/>
    <n v="2"/>
    <n v="25.438400000000001"/>
    <n v="21.959944751381215"/>
  </r>
  <r>
    <s v="CA-2020-143063"/>
    <x v="622"/>
    <s v="IL-15100"/>
    <s v="Ivan Liston"/>
    <s v="United States"/>
    <x v="3"/>
    <x v="2"/>
    <s v="Tenex Traditional Chairmats for Medium Pile Carpet, Standard Lip, 36&quot; x 48&quot;"/>
    <n v="139.30000000000001"/>
    <n v="2"/>
    <n v="25.472999999999999"/>
    <n v="18.286432160804019"/>
  </r>
  <r>
    <s v="US-2020-108343"/>
    <x v="384"/>
    <s v="AR-10825"/>
    <s v="Anthony Rawles"/>
    <s v="United States"/>
    <x v="0"/>
    <x v="2"/>
    <s v="Office Star - Task Chair with Contemporary Loop Arms"/>
    <n v="194.76400000000001"/>
    <n v="2"/>
    <n v="25.474399999999999"/>
    <n v="13.079624571276005"/>
  </r>
  <r>
    <s v="CA-2019-134775"/>
    <x v="256"/>
    <s v="AS-10285"/>
    <s v="Alejandro Savely"/>
    <s v="United States"/>
    <x v="2"/>
    <x v="1"/>
    <s v="Southworth Structures Collection"/>
    <n v="50.96"/>
    <n v="7"/>
    <n v="25.48"/>
    <n v="50"/>
  </r>
  <r>
    <s v="CA-2019-164399"/>
    <x v="300"/>
    <s v="DW-13480"/>
    <s v="Dianna Wilson"/>
    <s v="United States"/>
    <x v="2"/>
    <x v="0"/>
    <s v="Panasonic KX TS3282W Corded phone"/>
    <n v="203.976"/>
    <n v="3"/>
    <n v="25.497"/>
    <n v="12.5"/>
  </r>
  <r>
    <s v="US-2020-115301"/>
    <x v="449"/>
    <s v="VG-21790"/>
    <s v="Vivek Gonzalez"/>
    <s v="United States"/>
    <x v="2"/>
    <x v="2"/>
    <s v="Bush Westfield Collection Bookcases, Medium Cherry Finish"/>
    <n v="149.96"/>
    <n v="2"/>
    <n v="25.511199999999999"/>
    <n v="17.01200320085356"/>
  </r>
  <r>
    <s v="US-2020-136189"/>
    <x v="3"/>
    <s v="DC-13285"/>
    <s v="Debra Catini"/>
    <s v="United States"/>
    <x v="1"/>
    <x v="2"/>
    <s v="DAX Wood Document Frame."/>
    <n v="123.38"/>
    <n v="6"/>
    <n v="25.537800000000001"/>
    <n v="20.69849246231156"/>
  </r>
  <r>
    <s v="CA-2019-155166"/>
    <x v="386"/>
    <s v="BB-11545"/>
    <s v="Brenda Bowman"/>
    <s v="United States"/>
    <x v="0"/>
    <x v="2"/>
    <s v="Novimex Turbo Task Chair"/>
    <n v="212.94"/>
    <n v="3"/>
    <n v="25.552800000000001"/>
    <n v="12.000000000000002"/>
  </r>
  <r>
    <s v="CA-2020-102946"/>
    <x v="54"/>
    <s v="VP-21730"/>
    <s v="Victor Preis"/>
    <s v="United States"/>
    <x v="2"/>
    <x v="1"/>
    <s v="Tuf-Vin Binders"/>
    <n v="117.792"/>
    <n v="3"/>
    <n v="25.579799999999999"/>
    <n v="21.716075794621027"/>
  </r>
  <r>
    <s v="US-2020-103247"/>
    <x v="188"/>
    <s v="PO-19195"/>
    <s v="Phillina Ober"/>
    <s v="United States"/>
    <x v="0"/>
    <x v="1"/>
    <s v="Tuf-Vin Binders"/>
    <n v="182.792"/>
    <n v="3"/>
    <n v="25.579799999999999"/>
    <n v="13.993938465578362"/>
  </r>
  <r>
    <s v="CA-2020-157980"/>
    <x v="3"/>
    <s v="SH-20395"/>
    <s v="Shahid Hopkins"/>
    <s v="United States"/>
    <x v="0"/>
    <x v="0"/>
    <s v="Logitech G602 Wireless Gaming Mouse"/>
    <n v="142.98400000000001"/>
    <n v="2"/>
    <n v="25.596800000000002"/>
    <n v="17.901863145526772"/>
  </r>
  <r>
    <s v="US-2020-159205"/>
    <x v="152"/>
    <s v="DB-12910"/>
    <s v="Daniel Byrd"/>
    <s v="United States"/>
    <x v="1"/>
    <x v="2"/>
    <s v="Advantus Panel Wall Certificate Holder - 8.5x11"/>
    <n v="103"/>
    <n v="5"/>
    <n v="25.62"/>
    <n v="24.873786407766989"/>
  </r>
  <r>
    <s v="US-2019-146570"/>
    <x v="389"/>
    <s v="SN-20710"/>
    <s v="Steve Nguyen"/>
    <s v="United States"/>
    <x v="1"/>
    <x v="1"/>
    <s v="Boston KS Multi-Size Manual Pencil Sharpener"/>
    <n v="91.96"/>
    <n v="4"/>
    <n v="25.748799999999999"/>
    <n v="28.000000000000004"/>
  </r>
  <r>
    <s v="US-2020-141509"/>
    <x v="86"/>
    <s v="SC-20575"/>
    <s v="Sonia Cooley"/>
    <s v="United States"/>
    <x v="2"/>
    <x v="1"/>
    <s v="Newell 334"/>
    <n v="149.19999999999999"/>
    <n v="5"/>
    <n v="25.792000000000002"/>
    <n v="17.286863270777484"/>
  </r>
  <r>
    <s v="CA-2020-146493"/>
    <x v="167"/>
    <s v="CV-12805"/>
    <s v="Cynthia Voltz"/>
    <s v="United States"/>
    <x v="3"/>
    <x v="1"/>
    <s v="GBC Standard Recycled Report Covers, Clear Plastic Sheets"/>
    <n v="140.9"/>
    <n v="5"/>
    <n v="25.872"/>
    <n v="18.361958836053937"/>
  </r>
  <r>
    <s v="CA-2020-134810"/>
    <x v="513"/>
    <s v="MC-17605"/>
    <s v="Matt Connell"/>
    <s v="United States"/>
    <x v="1"/>
    <x v="2"/>
    <s v="Harbour Creations Steel Folding Chair"/>
    <n v="240"/>
    <n v="3"/>
    <n v="25.875"/>
    <n v="10.78125"/>
  </r>
  <r>
    <s v="CA-2020-156776"/>
    <x v="278"/>
    <s v="JL-15505"/>
    <s v="Jeremy Lonsdale"/>
    <s v="United States"/>
    <x v="2"/>
    <x v="2"/>
    <s v="Global Enterprise Series Seating Low-Back Swivel/Tilt Chairs"/>
    <n v="257.18400000000003"/>
    <n v="1"/>
    <n v="25.898"/>
    <n v="10.069833271121063"/>
  </r>
  <r>
    <s v="CA-2020-122105"/>
    <x v="47"/>
    <s v="CJ-12010"/>
    <s v="Caroline Jumper"/>
    <s v="United States"/>
    <x v="2"/>
    <x v="1"/>
    <s v="Bulldog Vacuum Base Pencil Sharpener"/>
    <n v="125.92"/>
    <n v="8"/>
    <n v="25.898399999999999"/>
    <n v="20.567344345616263"/>
  </r>
  <r>
    <s v="CA-2019-130162"/>
    <x v="256"/>
    <s v="JH-15910"/>
    <s v="Jonathan Howell"/>
    <s v="United States"/>
    <x v="2"/>
    <x v="1"/>
    <s v="Personal Filing Tote with Lid, Black/Gray"/>
    <n v="93.06"/>
    <n v="6"/>
    <n v="26.056799999999999"/>
    <n v="27.999999999999996"/>
  </r>
  <r>
    <s v="CA-2019-122728"/>
    <x v="586"/>
    <s v="EB-13930"/>
    <s v="Eric Barreto"/>
    <s v="United States"/>
    <x v="2"/>
    <x v="1"/>
    <s v="Home/Office Personal File Carts"/>
    <n v="104.28"/>
    <n v="3"/>
    <n v="26.07"/>
    <n v="25"/>
  </r>
  <r>
    <s v="CA-2020-118199"/>
    <x v="513"/>
    <s v="LB-16795"/>
    <s v="Laurel Beltran"/>
    <s v="United States"/>
    <x v="2"/>
    <x v="1"/>
    <s v="Home/Office Personal File Carts"/>
    <n v="139.28"/>
    <n v="3"/>
    <n v="26.07"/>
    <n v="18.717690982194142"/>
  </r>
  <r>
    <s v="US-2020-157224"/>
    <x v="97"/>
    <s v="JB-16000"/>
    <s v="Joy Bell-"/>
    <s v="United States"/>
    <x v="2"/>
    <x v="1"/>
    <s v="Avery 48"/>
    <n v="106.7"/>
    <n v="9"/>
    <n v="26.082000000000001"/>
    <n v="24.444236176194938"/>
  </r>
  <r>
    <s v="CA-2019-120355"/>
    <x v="99"/>
    <s v="MM-17260"/>
    <s v="Magdelene Morse"/>
    <s v="United States"/>
    <x v="0"/>
    <x v="2"/>
    <s v="DAX Two-Tone Silver Metal Document Frame"/>
    <n v="60.72"/>
    <n v="3"/>
    <n v="26.1096"/>
    <n v="43"/>
  </r>
  <r>
    <s v="CA-2020-127460"/>
    <x v="579"/>
    <s v="FG-14260"/>
    <s v="Frank Gastineau"/>
    <s v="United States"/>
    <x v="3"/>
    <x v="1"/>
    <s v="Fellowes Mobile File Cart, Black"/>
    <n v="325.464"/>
    <n v="6"/>
    <n v="26.115600000000001"/>
    <n v="8.0241132659833347"/>
  </r>
  <r>
    <s v="CA-2020-117023"/>
    <x v="278"/>
    <s v="JW-15955"/>
    <s v="Joni Wasserman"/>
    <s v="United States"/>
    <x v="0"/>
    <x v="1"/>
    <s v="Staples in misc. colors"/>
    <n v="133.80000000000001"/>
    <n v="10"/>
    <n v="26.2"/>
    <n v="19.581464872944693"/>
  </r>
  <r>
    <s v="US-2020-125717"/>
    <x v="189"/>
    <s v="DS-13030"/>
    <s v="Darrin Sayre"/>
    <s v="United States"/>
    <x v="2"/>
    <x v="1"/>
    <s v="Kensington 7 Outlet MasterPiece HOMEOFFICE Power Control Center"/>
    <n v="254.792"/>
    <n v="2"/>
    <n v="26.224"/>
    <n v="10.292316870231405"/>
  </r>
  <r>
    <s v="US-2019-125969"/>
    <x v="264"/>
    <s v="LS-16975"/>
    <s v="Lindsay Shagiari"/>
    <s v="United States"/>
    <x v="2"/>
    <x v="2"/>
    <s v="Eldon Cleatmat Plus Chair Mats for High Pile Carpets"/>
    <n v="238.56"/>
    <n v="3"/>
    <n v="26.241599999999998"/>
    <n v="10.999999999999998"/>
  </r>
  <r>
    <s v="CA-2020-122007"/>
    <x v="46"/>
    <s v="JK-15325"/>
    <s v="Jason Klamczynski"/>
    <s v="United States"/>
    <x v="2"/>
    <x v="1"/>
    <s v="Fellowes Basic Home/Office Series Surge Protectors"/>
    <n v="136.86000000000001"/>
    <n v="7"/>
    <n v="26.349399999999999"/>
    <n v="19.252813093672362"/>
  </r>
  <r>
    <s v="CA-2020-140676"/>
    <x v="525"/>
    <s v="BF-11080"/>
    <s v="Bart Folk"/>
    <s v="United States"/>
    <x v="0"/>
    <x v="1"/>
    <s v="Fellowes Basic Home/Office Series Surge Protectors"/>
    <n v="137.86000000000001"/>
    <n v="7"/>
    <n v="26.349399999999999"/>
    <n v="19.113158276512401"/>
  </r>
  <r>
    <s v="CA-2020-106033"/>
    <x v="545"/>
    <s v="FG-14260"/>
    <s v="Frank Gastineau"/>
    <s v="United States"/>
    <x v="2"/>
    <x v="1"/>
    <s v="Panasonic KP-310 Heavy-Duty Electric Pencil Sharpener"/>
    <n v="114.92"/>
    <n v="4"/>
    <n v="26.376000000000001"/>
    <n v="22.951618517229377"/>
  </r>
  <r>
    <s v="CA-2019-108581"/>
    <x v="295"/>
    <s v="EA-14035"/>
    <s v="Erin Ashbrook"/>
    <s v="United States"/>
    <x v="3"/>
    <x v="0"/>
    <s v="Logitech Trackman Marble Mouse"/>
    <n v="95.968000000000004"/>
    <n v="4"/>
    <n v="26.391200000000001"/>
    <n v="27.500000000000004"/>
  </r>
  <r>
    <s v="CA-2020-168109"/>
    <x v="142"/>
    <s v="JK-15640"/>
    <s v="Jim Kriz"/>
    <s v="United States"/>
    <x v="2"/>
    <x v="0"/>
    <s v="Logitech 910-002974 M325 Wireless Mouse for Web Scrolling"/>
    <n v="144.97999999999999"/>
    <n v="2"/>
    <n v="26.391200000000001"/>
    <n v="18.203338391502278"/>
  </r>
  <r>
    <s v="CA-2020-132262"/>
    <x v="362"/>
    <s v="ML-18265"/>
    <s v="Muhammed Lee"/>
    <s v="United States"/>
    <x v="2"/>
    <x v="0"/>
    <s v="Logitech M510 Wireless Mouse"/>
    <n v="122.98"/>
    <n v="2"/>
    <n v="26.3934"/>
    <n v="21.46153846153846"/>
  </r>
  <r>
    <s v="CA-2020-115994"/>
    <x v="599"/>
    <s v="BT-11305"/>
    <s v="Beth Thompson"/>
    <s v="United States"/>
    <x v="2"/>
    <x v="0"/>
    <s v="Logitech G13 Programmable Gameboard with LCD Display"/>
    <n v="284.97000000000003"/>
    <n v="3"/>
    <n v="26.396699999999999"/>
    <n v="9.262975050005263"/>
  </r>
  <r>
    <s v="CA-2019-164574"/>
    <x v="307"/>
    <s v="RH-19555"/>
    <s v="Ritsa Hightower"/>
    <s v="United States"/>
    <x v="1"/>
    <x v="1"/>
    <s v="Fellowes High-Stak Drawer Files"/>
    <n v="704.76"/>
    <n v="5"/>
    <n v="26.4285"/>
    <n v="3.75"/>
  </r>
  <r>
    <s v="CA-2020-100335"/>
    <x v="266"/>
    <s v="NF-18595"/>
    <s v="Nicole Fjeld"/>
    <s v="United States"/>
    <x v="3"/>
    <x v="1"/>
    <s v="Easy-staple paper"/>
    <n v="157.00800000000001"/>
    <n v="9"/>
    <n v="26.465399999999999"/>
    <n v="16.856083766432281"/>
  </r>
  <r>
    <s v="CA-2020-136651"/>
    <x v="327"/>
    <s v="JF-15355"/>
    <s v="Jay Fein"/>
    <s v="United States"/>
    <x v="2"/>
    <x v="2"/>
    <s v="DAX Two-Tone Rosewood/Black Document Frame, Desktop, 5 x 7"/>
    <n v="112.36"/>
    <n v="7"/>
    <n v="26.544"/>
    <n v="23.624065503737985"/>
  </r>
  <r>
    <s v="CA-2020-104927"/>
    <x v="67"/>
    <s v="AG-10330"/>
    <s v="Alex Grayson"/>
    <s v="United States"/>
    <x v="3"/>
    <x v="1"/>
    <s v="Xerox 1887"/>
    <n v="473.88"/>
    <n v="5"/>
    <n v="26.558"/>
    <n v="5.604372414957373"/>
  </r>
  <r>
    <s v="US-2020-169502"/>
    <x v="488"/>
    <s v="MG-17650"/>
    <s v="Matthew Grinstein"/>
    <s v="United States"/>
    <x v="3"/>
    <x v="1"/>
    <s v="Acco 6 Outlet Guardian Premium Plus Surge Suppressor"/>
    <n v="109.6"/>
    <n v="5"/>
    <n v="26.564"/>
    <n v="24.237226277372265"/>
  </r>
  <r>
    <s v="CA-2020-106747"/>
    <x v="142"/>
    <s v="TS-21505"/>
    <s v="Tony Sayre"/>
    <s v="United States"/>
    <x v="0"/>
    <x v="2"/>
    <s v="Luxo Professional Combination Clamp-On Lamps"/>
    <n v="150.30000000000001"/>
    <n v="1"/>
    <n v="26.597999999999999"/>
    <n v="17.696606786427143"/>
  </r>
  <r>
    <s v="CA-2019-131835"/>
    <x v="395"/>
    <s v="MC-17590"/>
    <s v="Matt Collister"/>
    <s v="United States"/>
    <x v="0"/>
    <x v="1"/>
    <s v="Eaton Premium Continuous-Feed Paper, 25% Cotton, Letter Size, White, 1000 Shts/Box"/>
    <n v="55.48"/>
    <n v="1"/>
    <n v="26.630400000000002"/>
    <n v="48.000000000000007"/>
  </r>
  <r>
    <s v="CA-2020-133648"/>
    <x v="390"/>
    <s v="ML-17755"/>
    <s v="Max Ludwig"/>
    <s v="United States"/>
    <x v="2"/>
    <x v="1"/>
    <s v="Alphabetical Labels for Top Tab Filing"/>
    <n v="113.04"/>
    <n v="6"/>
    <n v="26.64"/>
    <n v="23.566878980891719"/>
  </r>
  <r>
    <s v="CA-2019-145583"/>
    <x v="27"/>
    <s v="LC-16885"/>
    <s v="Lena Creighton"/>
    <s v="United States"/>
    <x v="2"/>
    <x v="1"/>
    <s v="GBC Wire Binding Strips"/>
    <n v="76.176000000000002"/>
    <n v="3"/>
    <n v="26.6616"/>
    <n v="35"/>
  </r>
  <r>
    <s v="CA-2020-126074"/>
    <x v="11"/>
    <s v="RF-19735"/>
    <s v="Roland Fjeld"/>
    <s v="United States"/>
    <x v="3"/>
    <x v="1"/>
    <s v="GBC Durable Plastic Covers"/>
    <n v="139.05000000000001"/>
    <n v="3"/>
    <n v="26.702999999999999"/>
    <n v="19.203883495145629"/>
  </r>
  <r>
    <s v="CA-2020-164756"/>
    <x v="406"/>
    <s v="SS-20140"/>
    <s v="Saphhira Shifley"/>
    <s v="United States"/>
    <x v="1"/>
    <x v="0"/>
    <s v="I Need's 3d Hello Kitty Hybrid Silicone Case Cover for HTC One X 4g with 3d Hello Kitty Stylus Pen Green/pink"/>
    <n v="136.68"/>
    <n v="8"/>
    <n v="26.790400000000002"/>
    <n v="19.600819432250514"/>
  </r>
  <r>
    <s v="US-2019-144057"/>
    <x v="119"/>
    <s v="CV-12805"/>
    <s v="Cynthia Voltz"/>
    <s v="United States"/>
    <x v="3"/>
    <x v="1"/>
    <s v="Xerox 1911"/>
    <n v="76.64"/>
    <n v="2"/>
    <n v="26.824000000000002"/>
    <n v="35"/>
  </r>
  <r>
    <s v="US-2019-113985"/>
    <x v="118"/>
    <s v="KD-16495"/>
    <s v="Keith Dawkins"/>
    <s v="United States"/>
    <x v="2"/>
    <x v="1"/>
    <s v="Holmes Cool Mist Humidifier for the Whole House with 8-Gallon Output per Day, Extended Life Filter"/>
    <n v="59.7"/>
    <n v="3"/>
    <n v="26.864999999999998"/>
    <n v="44.999999999999993"/>
  </r>
  <r>
    <s v="CA-2020-142636"/>
    <x v="368"/>
    <s v="KC-16675"/>
    <s v="Kimberly Carter"/>
    <s v="United States"/>
    <x v="2"/>
    <x v="2"/>
    <s v="Global Deluxe Office Fabric Chairs"/>
    <n v="325.13600000000002"/>
    <n v="4"/>
    <n v="26.874400000000001"/>
    <n v="8.265587323458492"/>
  </r>
  <r>
    <s v="CA-2019-166380"/>
    <x v="323"/>
    <s v="EB-13750"/>
    <s v="Edward Becker"/>
    <s v="United States"/>
    <x v="1"/>
    <x v="0"/>
    <s v="Sony Micro Vault Click 16 GB USB 2.0 Flash Drive"/>
    <n v="111.98"/>
    <n v="2"/>
    <n v="26.8752"/>
    <n v="24"/>
  </r>
  <r>
    <s v="CA-2019-167416"/>
    <x v="310"/>
    <s v="JM-15580"/>
    <s v="Jill Matthias"/>
    <s v="United States"/>
    <x v="2"/>
    <x v="1"/>
    <s v="Manila Recycled Extra-Heavyweight Clasp Envelopes, 6&quot; x 9&quot;"/>
    <n v="54.9"/>
    <n v="5"/>
    <n v="26.901"/>
    <n v="49"/>
  </r>
  <r>
    <s v="CA-2020-102659"/>
    <x v="356"/>
    <s v="LW-17215"/>
    <s v="Luke Weiss"/>
    <s v="United States"/>
    <x v="3"/>
    <x v="1"/>
    <s v="GBC Imprintable Covers"/>
    <n v="129.9"/>
    <n v="5"/>
    <n v="26.901"/>
    <n v="20.709006928406463"/>
  </r>
  <r>
    <s v="US-2019-163461"/>
    <x v="398"/>
    <s v="BT-11440"/>
    <s v="Bobby Trafton"/>
    <s v="United States"/>
    <x v="3"/>
    <x v="1"/>
    <s v="Xerox 1937"/>
    <n v="76.864000000000004"/>
    <n v="2"/>
    <n v="26.9024"/>
    <n v="35"/>
  </r>
  <r>
    <s v="CA-2020-161774"/>
    <x v="215"/>
    <s v="GT-14710"/>
    <s v="Greg Tran"/>
    <s v="United States"/>
    <x v="3"/>
    <x v="1"/>
    <s v="Xerox 1937"/>
    <n v="100.864"/>
    <n v="2"/>
    <n v="26.9024"/>
    <n v="26.671954314720814"/>
  </r>
  <r>
    <s v="US-2019-155103"/>
    <x v="118"/>
    <s v="JF-15190"/>
    <s v="Jamie Frazer"/>
    <s v="United States"/>
    <x v="0"/>
    <x v="1"/>
    <s v="Green Bar Computer Printout Paper"/>
    <n v="54.96"/>
    <n v="1"/>
    <n v="26.930399999999999"/>
    <n v="49"/>
  </r>
  <r>
    <s v="CA-2020-131807"/>
    <x v="188"/>
    <s v="GG-14650"/>
    <s v="Greg Guthrie"/>
    <s v="United States"/>
    <x v="2"/>
    <x v="2"/>
    <s v="DAX Clear Channel Poster Frame"/>
    <n v="108.9"/>
    <n v="5"/>
    <n v="26.972999999999999"/>
    <n v="24.76859504132231"/>
  </r>
  <r>
    <s v="CA-2020-108574"/>
    <x v="232"/>
    <s v="MG-18145"/>
    <s v="Mike Gockenbach"/>
    <s v="United States"/>
    <x v="2"/>
    <x v="0"/>
    <s v="Square Credit Card Reader, 4 1/2&quot; x 4 1/2&quot; x 1&quot;, White"/>
    <n v="119.92"/>
    <n v="10"/>
    <n v="26.972999999999999"/>
    <n v="22.492494996664441"/>
  </r>
  <r>
    <s v="CA-2019-140774"/>
    <x v="100"/>
    <s v="BE-11455"/>
    <s v="Brad Eason"/>
    <s v="United States"/>
    <x v="3"/>
    <x v="1"/>
    <s v="Panasonic KP-380BK Classic Electric Pencil Sharpener"/>
    <n v="107.94"/>
    <n v="3"/>
    <n v="26.984999999999999"/>
    <n v="25"/>
  </r>
  <r>
    <s v="CA-2020-119284"/>
    <x v="267"/>
    <s v="TS-21205"/>
    <s v="Thomas Seio"/>
    <s v="United States"/>
    <x v="1"/>
    <x v="0"/>
    <s v="HTC One"/>
    <n v="249.976"/>
    <n v="3"/>
    <n v="26.997299999999999"/>
    <n v="10.799956795852401"/>
  </r>
  <r>
    <s v="US-2019-169040"/>
    <x v="431"/>
    <s v="GT-14710"/>
    <s v="Greg Tran"/>
    <s v="United States"/>
    <x v="2"/>
    <x v="0"/>
    <s v="Google Nexus 5"/>
    <n v="431.976"/>
    <n v="3"/>
    <n v="26.9985"/>
    <n v="6.25"/>
  </r>
  <r>
    <s v="CA-2019-148740"/>
    <x v="82"/>
    <s v="AH-10690"/>
    <s v="Anna Häberlin"/>
    <s v="United States"/>
    <x v="2"/>
    <x v="0"/>
    <s v="Polycom SoundPoint IP 450 VoIP phone"/>
    <n v="361.37599999999998"/>
    <n v="2"/>
    <n v="27.103200000000001"/>
    <n v="7.5000000000000009"/>
  </r>
  <r>
    <s v="CA-2020-161130"/>
    <x v="368"/>
    <s v="BF-11275"/>
    <s v="Beth Fritzler"/>
    <s v="United States"/>
    <x v="1"/>
    <x v="0"/>
    <s v="Polycom SoundPoint IP 450 VoIP phone"/>
    <n v="377.37599999999998"/>
    <n v="2"/>
    <n v="27.103200000000001"/>
    <n v="7.1820147545153912"/>
  </r>
  <r>
    <s v="US-2019-139486"/>
    <x v="340"/>
    <s v="LH-17155"/>
    <s v="Logan Haushalter"/>
    <s v="United States"/>
    <x v="2"/>
    <x v="0"/>
    <s v="Imation 16GB Mini TravelDrive USB 2.0 Flash Drive"/>
    <n v="66.260000000000005"/>
    <n v="2"/>
    <n v="27.166599999999999"/>
    <n v="41"/>
  </r>
  <r>
    <s v="CA-2020-128370"/>
    <x v="8"/>
    <s v="FH-14275"/>
    <s v="Frank Hawley"/>
    <s v="United States"/>
    <x v="2"/>
    <x v="2"/>
    <s v="DMI Arturo Collection Mission-style Design Wood Chair"/>
    <n v="382.35199999999998"/>
    <n v="3"/>
    <n v="27.176400000000001"/>
    <n v="7.1076913420094572"/>
  </r>
  <r>
    <s v="US-2019-103674"/>
    <x v="431"/>
    <s v="AP-10720"/>
    <s v="Anne Pryor"/>
    <s v="United States"/>
    <x v="2"/>
    <x v="0"/>
    <s v="Avaya 5410 Digital phone"/>
    <n v="271.95999999999998"/>
    <n v="5"/>
    <n v="27.196000000000002"/>
    <n v="10.000000000000002"/>
  </r>
  <r>
    <s v="CA-2020-104885"/>
    <x v="304"/>
    <s v="DB-13555"/>
    <s v="Dorothy Badders"/>
    <s v="United States"/>
    <x v="0"/>
    <x v="1"/>
    <s v="Staple envelope"/>
    <n v="156.96"/>
    <n v="7"/>
    <n v="27.241199999999999"/>
    <n v="17.355504587155963"/>
  </r>
  <r>
    <s v="CA-2020-117947"/>
    <x v="243"/>
    <s v="NG-18355"/>
    <s v="Nat Gilpin"/>
    <s v="United States"/>
    <x v="0"/>
    <x v="2"/>
    <s v="Seth Thomas 14&quot; Putty-Colored Wall Clock"/>
    <n v="111.02"/>
    <n v="3"/>
    <n v="27.286200000000001"/>
    <n v="24.577733741668169"/>
  </r>
  <r>
    <s v="CA-2020-152310"/>
    <x v="557"/>
    <s v="DK-12895"/>
    <s v="Dana Kaydos"/>
    <s v="United States"/>
    <x v="2"/>
    <x v="0"/>
    <s v="Grandstream GXP1160 VoIP phone"/>
    <n v="282.62400000000002"/>
    <n v="8"/>
    <n v="27.295200000000001"/>
    <n v="9.6577785326086953"/>
  </r>
  <r>
    <s v="CA-2019-142545"/>
    <x v="256"/>
    <s v="JD-15895"/>
    <s v="Jonathan Doherty"/>
    <s v="United States"/>
    <x v="0"/>
    <x v="1"/>
    <s v="Xerox 1939"/>
    <n v="56.91"/>
    <n v="3"/>
    <n v="27.316800000000001"/>
    <n v="48.000000000000007"/>
  </r>
  <r>
    <s v="CA-2020-118731"/>
    <x v="216"/>
    <s v="LP-17080"/>
    <s v="Liz Pelletier"/>
    <s v="United States"/>
    <x v="2"/>
    <x v="1"/>
    <s v="GBC Prepunched Paper, 19-Hole, for Binding Systems, 24-lb"/>
    <n v="122.056"/>
    <n v="7"/>
    <n v="27.318200000000001"/>
    <n v="22.381693648816938"/>
  </r>
  <r>
    <s v="CA-2020-103443"/>
    <x v="93"/>
    <s v="AT-10735"/>
    <s v="Annie Thurman"/>
    <s v="United States"/>
    <x v="0"/>
    <x v="2"/>
    <s v="Deflect-o Glass Clear Studded Chair Mats"/>
    <n v="486.36"/>
    <n v="2"/>
    <n v="27.359200000000001"/>
    <n v="5.6252981330701539"/>
  </r>
  <r>
    <s v="CA-2020-156951"/>
    <x v="435"/>
    <s v="EB-13840"/>
    <s v="Ellis Ballard"/>
    <s v="United States"/>
    <x v="2"/>
    <x v="1"/>
    <s v="GBC White Gloss Covers, Plain Front"/>
    <n v="119.08799999999999"/>
    <n v="7"/>
    <n v="27.3672"/>
    <n v="22.980652962515116"/>
  </r>
  <r>
    <s v="CA-2020-117457"/>
    <x v="136"/>
    <s v="KH-16510"/>
    <s v="Keith Herrera"/>
    <s v="United States"/>
    <x v="2"/>
    <x v="1"/>
    <s v="Xerox 1908"/>
    <n v="159.97999999999999"/>
    <n v="1"/>
    <n v="27.430199999999999"/>
    <n v="17.146018252281536"/>
  </r>
  <r>
    <s v="US-2019-157728"/>
    <x v="381"/>
    <s v="RC-19960"/>
    <s v="Ryan Crowe"/>
    <s v="United States"/>
    <x v="3"/>
    <x v="0"/>
    <s v="Panasonic KX TS208W Corded phone"/>
    <n v="97.98"/>
    <n v="2"/>
    <n v="27.4344"/>
    <n v="27.999999999999996"/>
  </r>
  <r>
    <s v="CA-2020-145779"/>
    <x v="128"/>
    <s v="DB-13615"/>
    <s v="Doug Bickford"/>
    <s v="United States"/>
    <x v="2"/>
    <x v="1"/>
    <s v="Xerox 1883"/>
    <n v="122.416"/>
    <n v="4"/>
    <n v="27.435199999999998"/>
    <n v="22.411449483727615"/>
  </r>
  <r>
    <s v="CA-2019-115525"/>
    <x v="445"/>
    <s v="RR-19525"/>
    <s v="Rick Reed"/>
    <s v="United States"/>
    <x v="0"/>
    <x v="1"/>
    <s v="Tripp Lite Isotel 6 Outlet Surge Protector with Fax/Modem Protection"/>
    <n v="243.88"/>
    <n v="5"/>
    <n v="27.436499999999999"/>
    <n v="11.25"/>
  </r>
  <r>
    <s v="CA-2020-122035"/>
    <x v="384"/>
    <s v="EM-13825"/>
    <s v="Elizabeth Moffitt"/>
    <s v="United States"/>
    <x v="3"/>
    <x v="2"/>
    <s v="Novimex Fabric Task Chair"/>
    <n v="218.94"/>
    <n v="3"/>
    <n v="27.440999999999999"/>
    <n v="12.533570841326391"/>
  </r>
  <r>
    <s v="US-2019-147711"/>
    <x v="19"/>
    <s v="HF-14995"/>
    <s v="Herbert Flentye"/>
    <s v="United States"/>
    <x v="0"/>
    <x v="1"/>
    <s v="Avery 486"/>
    <n v="58.48"/>
    <n v="8"/>
    <n v="27.485600000000002"/>
    <n v="47"/>
  </r>
  <r>
    <s v="CA-2020-100748"/>
    <x v="124"/>
    <s v="RB-19795"/>
    <s v="Ross Baird"/>
    <s v="United States"/>
    <x v="2"/>
    <x v="1"/>
    <s v="Self-Adhesive Address Labels for Typewriters by Universal"/>
    <n v="142.47999999999999"/>
    <n v="8"/>
    <n v="27.485600000000002"/>
    <n v="19.290847838293097"/>
  </r>
  <r>
    <s v="CA-2020-120222"/>
    <x v="458"/>
    <s v="LL-16840"/>
    <s v="Lauren Leatherbury"/>
    <s v="United States"/>
    <x v="2"/>
    <x v="1"/>
    <s v="Surelock Post Binders"/>
    <n v="164.34399999999999"/>
    <n v="3"/>
    <n v="27.504000000000001"/>
    <n v="16.735627707734995"/>
  </r>
  <r>
    <s v="US-2019-115441"/>
    <x v="445"/>
    <s v="SH-19975"/>
    <s v="Sally Hughsby"/>
    <s v="United States"/>
    <x v="3"/>
    <x v="2"/>
    <s v="Eldon Expressions Desk Accessory, Wood Photo Frame, Mahogany"/>
    <n v="95.2"/>
    <n v="5"/>
    <n v="27.608000000000001"/>
    <n v="28.999999999999996"/>
  </r>
  <r>
    <s v="CA-2020-109589"/>
    <x v="493"/>
    <s v="BD-11635"/>
    <s v="Brian Derr"/>
    <s v="United States"/>
    <x v="1"/>
    <x v="0"/>
    <s v="Memorex Froggy Flash Drive 8 GB"/>
    <n v="315"/>
    <n v="4"/>
    <n v="27.69"/>
    <n v="8.7904761904761894"/>
  </r>
  <r>
    <s v="CA-2020-152933"/>
    <x v="169"/>
    <s v="MG-17650"/>
    <s v="Matthew Grinstein"/>
    <s v="United States"/>
    <x v="3"/>
    <x v="0"/>
    <s v="Clarity 53712"/>
    <n v="403.54399999999998"/>
    <n v="7"/>
    <n v="27.715800000000002"/>
    <n v="6.8680986459964721"/>
  </r>
  <r>
    <s v="CA-2020-127285"/>
    <x v="177"/>
    <s v="MM-18055"/>
    <s v="Michelle Moray"/>
    <s v="United States"/>
    <x v="2"/>
    <x v="1"/>
    <s v="GBC Velobind Prepunched Cover Sets, Regency Series"/>
    <n v="119.752"/>
    <n v="3"/>
    <n v="27.734999999999999"/>
    <n v="23.160364753824574"/>
  </r>
  <r>
    <s v="CA-2019-129238"/>
    <x v="558"/>
    <s v="SC-20050"/>
    <s v="Sample Company A"/>
    <s v="United States"/>
    <x v="2"/>
    <x v="1"/>
    <s v="Easy-staple paper"/>
    <n v="56.7"/>
    <n v="5"/>
    <n v="27.783000000000001"/>
    <n v="49"/>
  </r>
  <r>
    <s v="CA-2019-154767"/>
    <x v="507"/>
    <s v="BP-11155"/>
    <s v="Becky Pak"/>
    <s v="United States"/>
    <x v="0"/>
    <x v="1"/>
    <s v="Xerox 1960"/>
    <n v="61.96"/>
    <n v="2"/>
    <n v="27.882000000000001"/>
    <n v="45"/>
  </r>
  <r>
    <s v="US-2019-162026"/>
    <x v="179"/>
    <s v="JE-15745"/>
    <s v="Joel Eaton"/>
    <s v="United States"/>
    <x v="2"/>
    <x v="1"/>
    <s v="Xerox 1925"/>
    <n v="61.96"/>
    <n v="2"/>
    <n v="27.882000000000001"/>
    <n v="45"/>
  </r>
  <r>
    <s v="US-2020-143770"/>
    <x v="485"/>
    <s v="RD-19720"/>
    <s v="Roger Demir"/>
    <s v="United States"/>
    <x v="0"/>
    <x v="1"/>
    <s v="Xerox 1988"/>
    <n v="145.96"/>
    <n v="2"/>
    <n v="27.882000000000001"/>
    <n v="19.102493833927102"/>
  </r>
  <r>
    <s v="CA-2020-167661"/>
    <x v="188"/>
    <s v="MP-18175"/>
    <s v="Mike Pelletier"/>
    <s v="United States"/>
    <x v="2"/>
    <x v="1"/>
    <s v="Xerox 1951"/>
    <n v="144.96"/>
    <n v="2"/>
    <n v="27.882000000000001"/>
    <n v="19.234271523178808"/>
  </r>
  <r>
    <s v="CA-2020-147207"/>
    <x v="96"/>
    <s v="TS-21655"/>
    <s v="Trudy Schmidt"/>
    <s v="United States"/>
    <x v="3"/>
    <x v="1"/>
    <s v="Dual Level, Single-Width Filing Carts"/>
    <n v="415.14400000000001"/>
    <n v="3"/>
    <n v="27.910799999999998"/>
    <n v="6.7231611199969166"/>
  </r>
  <r>
    <s v="CA-2020-133074"/>
    <x v="362"/>
    <s v="DB-13615"/>
    <s v="Doug Bickford"/>
    <s v="United States"/>
    <x v="2"/>
    <x v="1"/>
    <s v="Adams Telephone Message Book w/Frequently-Called Numbers Space, 400 Messages per Book"/>
    <n v="165.86"/>
    <n v="7"/>
    <n v="27.93"/>
    <n v="16.839503195466055"/>
  </r>
  <r>
    <s v="CA-2020-140949"/>
    <x v="294"/>
    <s v="DB-13405"/>
    <s v="Denny Blanton"/>
    <s v="United States"/>
    <x v="0"/>
    <x v="1"/>
    <s v="Neat Ideas Personal Hanging Folder Files, Black"/>
    <n v="127.44"/>
    <n v="8"/>
    <n v="27.9344"/>
    <n v="21.919648462021343"/>
  </r>
  <r>
    <s v="CA-2019-117919"/>
    <x v="351"/>
    <s v="TB-21355"/>
    <s v="Todd Boyes"/>
    <s v="United States"/>
    <x v="3"/>
    <x v="1"/>
    <s v="Southworth 25% Cotton Premium Laser Paper and Envelopes"/>
    <n v="79.92"/>
    <n v="5"/>
    <n v="27.972000000000001"/>
    <n v="35"/>
  </r>
  <r>
    <s v="CA-2020-133718"/>
    <x v="548"/>
    <s v="TB-21520"/>
    <s v="Tracy Blumstein"/>
    <s v="United States"/>
    <x v="2"/>
    <x v="1"/>
    <s v="Weyerhaeuser First Choice Laser/Copy Paper (20Lb. and 88 Bright)"/>
    <n v="165.32"/>
    <n v="9"/>
    <n v="27.993600000000001"/>
    <n v="16.932978466005324"/>
  </r>
  <r>
    <s v="CA-2019-152163"/>
    <x v="471"/>
    <s v="JF-15355"/>
    <s v="Jay Fein"/>
    <s v="United States"/>
    <x v="1"/>
    <x v="1"/>
    <s v="Binding Machine Supplies"/>
    <n v="58.34"/>
    <n v="2"/>
    <n v="28.0032"/>
    <n v="48"/>
  </r>
  <r>
    <s v="US-2020-132297"/>
    <x v="355"/>
    <s v="DW-13480"/>
    <s v="Dianna Wilson"/>
    <s v="United States"/>
    <x v="1"/>
    <x v="1"/>
    <s v="Binding Machine Supplies"/>
    <n v="165.34"/>
    <n v="2"/>
    <n v="28.0032"/>
    <n v="16.936736421918472"/>
  </r>
  <r>
    <s v="CA-2019-128818"/>
    <x v="619"/>
    <s v="CJ-12010"/>
    <s v="Caroline Jumper"/>
    <s v="United States"/>
    <x v="0"/>
    <x v="2"/>
    <s v="Staple-based wall hangings"/>
    <n v="63.68"/>
    <n v="8"/>
    <n v="28.019200000000001"/>
    <n v="44"/>
  </r>
  <r>
    <s v="CA-2020-117324"/>
    <x v="136"/>
    <s v="JP-15520"/>
    <s v="Jeremy Pistek"/>
    <s v="United States"/>
    <x v="3"/>
    <x v="1"/>
    <s v="Avery 4027 File Folder Labels for Dot Matrix Printers, 5000 Labels per Box, White"/>
    <n v="163.06"/>
    <n v="2"/>
    <n v="28.087599999999998"/>
    <n v="17.225315834662087"/>
  </r>
  <r>
    <s v="US-2020-161193"/>
    <x v="216"/>
    <s v="BT-11680"/>
    <s v="Brian Thompson"/>
    <s v="United States"/>
    <x v="0"/>
    <x v="2"/>
    <s v="Floodlight Indoor Halogen Bulbs, 1 Bulb per Pack, 60 Watts"/>
    <n v="127.6"/>
    <n v="5"/>
    <n v="28.13"/>
    <n v="22.045454545454547"/>
  </r>
  <r>
    <s v="CA-2019-154739"/>
    <x v="528"/>
    <s v="LH-17155"/>
    <s v="Logan Haushalter"/>
    <s v="United States"/>
    <x v="2"/>
    <x v="2"/>
    <s v="Global Leather Highback Executive Chair with Pneumatic Height Adjustment, Black"/>
    <n v="321.56799999999998"/>
    <n v="2"/>
    <n v="28.1372"/>
    <n v="8.75"/>
  </r>
  <r>
    <s v="CA-2020-152142"/>
    <x v="244"/>
    <s v="LW-16990"/>
    <s v="Lindsay Williams"/>
    <s v="United States"/>
    <x v="2"/>
    <x v="2"/>
    <s v="Global Leather Highback Executive Chair with Pneumatic Height Adjustment, Black"/>
    <n v="334.56799999999998"/>
    <n v="2"/>
    <n v="28.1372"/>
    <n v="8.4100093254585016"/>
  </r>
  <r>
    <s v="US-2019-167472"/>
    <x v="428"/>
    <s v="CK-12595"/>
    <s v="Clytie Kelty"/>
    <s v="United States"/>
    <x v="1"/>
    <x v="1"/>
    <s v="Xerox 191"/>
    <n v="59.94"/>
    <n v="3"/>
    <n v="28.171800000000001"/>
    <n v="47"/>
  </r>
  <r>
    <s v="US-2020-153948"/>
    <x v="174"/>
    <s v="FM-14290"/>
    <s v="Frank Merwin"/>
    <s v="United States"/>
    <x v="2"/>
    <x v="1"/>
    <s v="Xerox 191"/>
    <n v="142.94"/>
    <n v="3"/>
    <n v="28.171800000000001"/>
    <n v="19.708828879250039"/>
  </r>
  <r>
    <s v="CA-2020-153787"/>
    <x v="234"/>
    <s v="AT-10735"/>
    <s v="Annie Thurman"/>
    <s v="United States"/>
    <x v="2"/>
    <x v="1"/>
    <s v="Belkin Premiere Surge Master II 8-outlet surge protector"/>
    <n v="139.16"/>
    <n v="2"/>
    <n v="28.176400000000001"/>
    <n v="20.247484909456741"/>
  </r>
  <r>
    <s v="CA-2020-137918"/>
    <x v="86"/>
    <s v="JK-15730"/>
    <s v="Joe Kamberova"/>
    <s v="United States"/>
    <x v="2"/>
    <x v="1"/>
    <s v="Acme Hot Forged Carbon Steel Scissors with Nickel-Plated Handles, 3 7/8&quot; Cut, 8&quot;L"/>
    <n v="109.3"/>
    <n v="7"/>
    <n v="28.216999999999999"/>
    <n v="25.816102470265324"/>
  </r>
  <r>
    <s v="CA-2019-160304"/>
    <x v="623"/>
    <s v="BM-11575"/>
    <s v="Brendan Murry"/>
    <s v="United States"/>
    <x v="0"/>
    <x v="2"/>
    <s v="Bush Westfield Collection Bookcases, Medium Cherry Finish"/>
    <n v="73.94"/>
    <n v="1"/>
    <n v="28.2668"/>
    <n v="38.229375169055992"/>
  </r>
  <r>
    <s v="US-2019-108504"/>
    <x v="251"/>
    <s v="PP-18955"/>
    <s v="Paul Prost"/>
    <s v="United States"/>
    <x v="1"/>
    <x v="0"/>
    <s v="Plantronics Cordless Phone Headset with In-line Volume - M214C"/>
    <n v="104.85"/>
    <n v="3"/>
    <n v="28.3095"/>
    <n v="27"/>
  </r>
  <r>
    <s v="CA-2020-100111"/>
    <x v="495"/>
    <s v="SV-20365"/>
    <s v="Seth Vernon"/>
    <s v="United States"/>
    <x v="0"/>
    <x v="0"/>
    <s v="Plantronics Cordless Phone Headset with In-line Volume - M214C"/>
    <n v="124.85"/>
    <n v="3"/>
    <n v="28.3095"/>
    <n v="22.674809771726075"/>
  </r>
  <r>
    <s v="CA-2020-151911"/>
    <x v="105"/>
    <s v="DL-13495"/>
    <s v="Dionis Lloyd"/>
    <s v="United States"/>
    <x v="0"/>
    <x v="1"/>
    <s v="#10-4 1/8&quot; x 9 1/2&quot; Premium Diagonal Seam Envelopes"/>
    <n v="109.96"/>
    <n v="4"/>
    <n v="28.332000000000001"/>
    <n v="25.765732993815938"/>
  </r>
  <r>
    <s v="CA-2019-101448"/>
    <x v="374"/>
    <s v="EB-13930"/>
    <s v="Eric Barreto"/>
    <s v="United States"/>
    <x v="3"/>
    <x v="1"/>
    <s v="Flexible Leather- Look Classic Collection Ring Binder"/>
    <n v="56.82"/>
    <n v="3"/>
    <n v="28.41"/>
    <n v="50"/>
  </r>
  <r>
    <s v="CA-2020-159226"/>
    <x v="458"/>
    <s v="RL-19615"/>
    <s v="Rob Lucas"/>
    <s v="United States"/>
    <x v="2"/>
    <x v="2"/>
    <s v="Bush Westfield Collection Bookcases, Medium Cherry Finish"/>
    <n v="367.98099999999999"/>
    <n v="7"/>
    <n v="28.4102"/>
    <n v="7.7205616594335034"/>
  </r>
  <r>
    <s v="CA-2019-126732"/>
    <x v="110"/>
    <s v="LR-16915"/>
    <s v="Lena Radford"/>
    <s v="United States"/>
    <x v="2"/>
    <x v="2"/>
    <s v="Chromcraft Rectangular Conference Tables"/>
    <n v="568.72799999999995"/>
    <n v="3"/>
    <n v="28.436399999999999"/>
    <n v="5"/>
  </r>
  <r>
    <s v="US-2020-109253"/>
    <x v="500"/>
    <s v="PR-18880"/>
    <s v="Patrick Ryan"/>
    <s v="United States"/>
    <x v="2"/>
    <x v="2"/>
    <s v="Chromcraft Rectangular Conference Tables"/>
    <n v="590.72799999999995"/>
    <n v="3"/>
    <n v="28.436399999999999"/>
    <n v="4.8137890873633893"/>
  </r>
  <r>
    <s v="CA-2020-122595"/>
    <x v="55"/>
    <s v="GM-14455"/>
    <s v="Gary Mitchum"/>
    <s v="United States"/>
    <x v="3"/>
    <x v="0"/>
    <s v="Kensington Expert Mouse Optical USB Trackball for PC or Mac"/>
    <n v="197.976"/>
    <n v="3"/>
    <n v="28.497"/>
    <n v="14.394168990180628"/>
  </r>
  <r>
    <s v="CA-2019-125206"/>
    <x v="379"/>
    <s v="LR-16915"/>
    <s v="Lena Radford"/>
    <s v="United States"/>
    <x v="2"/>
    <x v="1"/>
    <s v="Recycled Steel Personal File for Hanging File Folders"/>
    <n v="114.46"/>
    <n v="2"/>
    <n v="28.614999999999998"/>
    <n v="25"/>
  </r>
  <r>
    <s v="CA-2020-132682"/>
    <x v="207"/>
    <s v="TH-21235"/>
    <s v="Tiffany House"/>
    <s v="United States"/>
    <x v="3"/>
    <x v="0"/>
    <s v="ClearOne Communications CHAT 70 OC Speaker Phone"/>
    <n v="413.57600000000002"/>
    <n v="3"/>
    <n v="28.618200000000002"/>
    <n v="6.9196955335899561"/>
  </r>
  <r>
    <s v="US-2020-116897"/>
    <x v="355"/>
    <s v="JG-15160"/>
    <s v="James Galang"/>
    <s v="United States"/>
    <x v="2"/>
    <x v="1"/>
    <s v="Fellowes Stor/Drawer Steel Plus Storage Drawers"/>
    <n v="515.15"/>
    <n v="5"/>
    <n v="28.629000000000001"/>
    <n v="5.5574104629719505"/>
  </r>
  <r>
    <s v="CA-2020-132682"/>
    <x v="207"/>
    <s v="TH-21235"/>
    <s v="Tiffany House"/>
    <s v="United States"/>
    <x v="3"/>
    <x v="1"/>
    <s v="Easy-staple paper"/>
    <n v="175.05600000000001"/>
    <n v="3"/>
    <n v="28.706399999999999"/>
    <n v="16.398409651768574"/>
  </r>
  <r>
    <s v="CA-2020-147403"/>
    <x v="8"/>
    <s v="KH-16630"/>
    <s v="Ken Heidel"/>
    <s v="United States"/>
    <x v="0"/>
    <x v="1"/>
    <s v="Xerox 1906"/>
    <n v="133.05600000000001"/>
    <n v="3"/>
    <n v="28.706399999999999"/>
    <n v="21.574675324675322"/>
  </r>
  <r>
    <s v="CA-2019-125318"/>
    <x v="428"/>
    <s v="RC-19825"/>
    <s v="Roy Collins"/>
    <s v="United States"/>
    <x v="3"/>
    <x v="0"/>
    <s v="Cisco Small Business SPA 502G VoIP phone"/>
    <n v="328.22399999999999"/>
    <n v="4"/>
    <n v="28.7196"/>
    <n v="8.75"/>
  </r>
  <r>
    <s v="CA-2019-112102"/>
    <x v="231"/>
    <s v="BD-11605"/>
    <s v="Brian Dahlen"/>
    <s v="United States"/>
    <x v="1"/>
    <x v="1"/>
    <s v="Globe Weis Peel &amp; Seel First Class Envelopes"/>
    <n v="63.9"/>
    <n v="5"/>
    <n v="28.754999999999999"/>
    <n v="45"/>
  </r>
  <r>
    <s v="CA-2020-127180"/>
    <x v="126"/>
    <s v="TA-21385"/>
    <s v="Tom Ashbrook"/>
    <s v="United States"/>
    <x v="0"/>
    <x v="1"/>
    <s v="Globe Weis Peel &amp; Seel First Class Envelopes"/>
    <n v="140.9"/>
    <n v="5"/>
    <n v="28.754999999999999"/>
    <n v="20.408090844570616"/>
  </r>
  <r>
    <s v="US-2020-118087"/>
    <x v="37"/>
    <s v="SP-20620"/>
    <s v="Stefania Perrino"/>
    <s v="United States"/>
    <x v="0"/>
    <x v="0"/>
    <s v="Microsoft Sculpt Comfort Mouse"/>
    <n v="136.88"/>
    <n v="3"/>
    <n v="28.763999999999999"/>
    <n v="21.014026884862655"/>
  </r>
  <r>
    <s v="CA-2019-145982"/>
    <x v="351"/>
    <s v="TB-21055"/>
    <s v="Ted Butterfield"/>
    <s v="United States"/>
    <x v="0"/>
    <x v="0"/>
    <s v="PureGear Roll-On Screen Protector"/>
    <n v="59.97"/>
    <n v="3"/>
    <n v="28.785599999999999"/>
    <n v="48"/>
  </r>
  <r>
    <s v="US-2020-162124"/>
    <x v="128"/>
    <s v="JF-15490"/>
    <s v="Jeremy Farry"/>
    <s v="United States"/>
    <x v="3"/>
    <x v="0"/>
    <s v="Kensington Orbit Wireless Mobile Trackball for PC and Mac"/>
    <n v="231.96799999999999"/>
    <n v="4"/>
    <n v="28.795200000000001"/>
    <n v="12.413436336046352"/>
  </r>
  <r>
    <s v="CA-2020-159688"/>
    <x v="575"/>
    <s v="AB-10060"/>
    <s v="Adam Bellavance"/>
    <s v="United States"/>
    <x v="2"/>
    <x v="0"/>
    <s v="Logitech G600 MMO Gaming Mouse"/>
    <n v="171.99"/>
    <n v="1"/>
    <n v="28.796399999999998"/>
    <n v="16.743066457352171"/>
  </r>
  <r>
    <s v="CA-2020-163629"/>
    <x v="328"/>
    <s v="RA-19885"/>
    <s v="Ruben Ausman"/>
    <s v="United States"/>
    <x v="1"/>
    <x v="0"/>
    <s v="Logitech G430 Surround Sound Gaming Headset with Dolby 7.1 Technology"/>
    <n v="145.99"/>
    <n v="1"/>
    <n v="28.796399999999998"/>
    <n v="19.724912665251043"/>
  </r>
  <r>
    <s v="CA-2019-137848"/>
    <x v="322"/>
    <s v="WB-21850"/>
    <s v="William Brown"/>
    <s v="United States"/>
    <x v="0"/>
    <x v="1"/>
    <s v="Xerox 1959"/>
    <n v="60.12"/>
    <n v="9"/>
    <n v="28.857600000000001"/>
    <n v="48.000000000000007"/>
  </r>
  <r>
    <s v="CA-2019-157161"/>
    <x v="133"/>
    <s v="JD-15895"/>
    <s v="Jonathan Doherty"/>
    <s v="United States"/>
    <x v="1"/>
    <x v="1"/>
    <s v="HP Office Paper (20Lb. and 87 Bright)"/>
    <n v="60.12"/>
    <n v="9"/>
    <n v="28.857600000000001"/>
    <n v="48.000000000000007"/>
  </r>
  <r>
    <s v="CA-2019-125738"/>
    <x v="486"/>
    <s v="PB-18805"/>
    <s v="Patrick Bzostek"/>
    <s v="United States"/>
    <x v="2"/>
    <x v="1"/>
    <s v="Xerox 1986"/>
    <n v="60.12"/>
    <n v="9"/>
    <n v="28.857600000000001"/>
    <n v="48.000000000000007"/>
  </r>
  <r>
    <s v="CA-2020-148264"/>
    <x v="136"/>
    <s v="LF-17185"/>
    <s v="Luke Foster"/>
    <s v="United States"/>
    <x v="2"/>
    <x v="1"/>
    <s v="Xerox 1968"/>
    <n v="101.12"/>
    <n v="9"/>
    <n v="28.857600000000001"/>
    <n v="28.537974683544302"/>
  </r>
  <r>
    <s v="CA-2019-158694"/>
    <x v="214"/>
    <s v="AI-10855"/>
    <s v="Arianne Irving"/>
    <s v="United States"/>
    <x v="2"/>
    <x v="1"/>
    <s v="Xerox 1933"/>
    <n v="61.4"/>
    <n v="5"/>
    <n v="28.858000000000001"/>
    <n v="47"/>
  </r>
  <r>
    <s v="CA-2020-123022"/>
    <x v="140"/>
    <s v="SC-20050"/>
    <s v="Sample Company A"/>
    <s v="United States"/>
    <x v="2"/>
    <x v="1"/>
    <s v="Square Ring Data Binders, Rigid 75 Pt. Covers, 11&quot; x 14-7/8&quot;"/>
    <n v="113.56"/>
    <n v="5"/>
    <n v="28.896000000000001"/>
    <n v="25.44557942937654"/>
  </r>
  <r>
    <s v="CA-2020-142342"/>
    <x v="434"/>
    <s v="AJ-10795"/>
    <s v="Anthony Johnson"/>
    <s v="United States"/>
    <x v="2"/>
    <x v="1"/>
    <s v="Peel &amp; Seel Recycled Catalog Envelopes, Brown"/>
    <n v="100.9"/>
    <n v="5"/>
    <n v="28.95"/>
    <n v="28.691774033696728"/>
  </r>
  <r>
    <s v="US-2019-168410"/>
    <x v="272"/>
    <s v="BV-11245"/>
    <s v="Benjamin Venier"/>
    <s v="United States"/>
    <x v="0"/>
    <x v="2"/>
    <s v="9-3/4 Diameter Round Wall Clock"/>
    <n v="68.95"/>
    <n v="5"/>
    <n v="28.959"/>
    <n v="42"/>
  </r>
  <r>
    <s v="CA-2019-145919"/>
    <x v="60"/>
    <s v="HG-14965"/>
    <s v="Henry Goldwyn"/>
    <s v="United States"/>
    <x v="2"/>
    <x v="1"/>
    <s v="Premier Electric Letter Opener"/>
    <n v="579.29999999999995"/>
    <n v="5"/>
    <n v="28.965"/>
    <n v="5"/>
  </r>
  <r>
    <s v="CA-2019-137673"/>
    <x v="100"/>
    <s v="ML-17395"/>
    <s v="Marina Lichtenstein"/>
    <s v="United States"/>
    <x v="2"/>
    <x v="0"/>
    <s v="HP Standard 104 key PS/2 Keyboard"/>
    <n v="116"/>
    <n v="8"/>
    <n v="29"/>
    <n v="25"/>
  </r>
  <r>
    <s v="CA-2020-139913"/>
    <x v="122"/>
    <s v="JC-16105"/>
    <s v="Julie Creighton"/>
    <s v="United States"/>
    <x v="0"/>
    <x v="2"/>
    <s v="Eldon 200 Class Desk Accessories, Smoke"/>
    <n v="141.08000000000001"/>
    <n v="11"/>
    <n v="29.0136"/>
    <n v="20.565352991210659"/>
  </r>
  <r>
    <s v="CA-2019-114972"/>
    <x v="65"/>
    <s v="PF-19225"/>
    <s v="Phillip Flathmann"/>
    <s v="United States"/>
    <x v="2"/>
    <x v="0"/>
    <s v="Kensington K72356US Mouse-in-a-Box USB Desktop Mouse"/>
    <n v="82.95"/>
    <n v="5"/>
    <n v="29.032499999999999"/>
    <n v="35"/>
  </r>
  <r>
    <s v="CA-2020-123624"/>
    <x v="14"/>
    <s v="SE-20110"/>
    <s v="Sanjit Engle"/>
    <s v="United States"/>
    <x v="2"/>
    <x v="0"/>
    <s v="Kensington K72356US Mouse-in-a-Box USB Desktop Mouse"/>
    <n v="151.94999999999999"/>
    <n v="5"/>
    <n v="29.032499999999999"/>
    <n v="19.106614017769001"/>
  </r>
  <r>
    <s v="CA-2019-115756"/>
    <x v="100"/>
    <s v="PK-19075"/>
    <s v="Pete Kriz"/>
    <s v="United States"/>
    <x v="3"/>
    <x v="2"/>
    <s v="Office Star - Ergonomically Designed Knee Chair"/>
    <n v="242.94"/>
    <n v="3"/>
    <n v="29.152799999999999"/>
    <n v="12"/>
  </r>
  <r>
    <s v="CA-2020-100230"/>
    <x v="33"/>
    <s v="AA-10375"/>
    <s v="Allen Armold"/>
    <s v="United States"/>
    <x v="0"/>
    <x v="0"/>
    <s v="Dexim XPower Skin Super-Thin Power Case for iPhone 5 - Black"/>
    <n v="333.98"/>
    <n v="2"/>
    <n v="29.245000000000001"/>
    <n v="8.7565123660099395"/>
  </r>
  <r>
    <s v="CA-2019-145177"/>
    <x v="214"/>
    <s v="PP-18955"/>
    <s v="Paul Prost"/>
    <s v="United States"/>
    <x v="0"/>
    <x v="1"/>
    <s v="Eureka The Boss Plus 12-Amp Hard Box Upright Vacuum, Red"/>
    <n v="334.88"/>
    <n v="4"/>
    <n v="29.302"/>
    <n v="8.75"/>
  </r>
  <r>
    <s v="CA-2020-161333"/>
    <x v="345"/>
    <s v="JL-15835"/>
    <s v="John Lee"/>
    <s v="United States"/>
    <x v="2"/>
    <x v="2"/>
    <s v="Howard Miller 11-1/2&quot; Diameter Grantwood Wall Clock"/>
    <n v="107.26"/>
    <n v="2"/>
    <n v="29.328399999999998"/>
    <n v="27.3432780160358"/>
  </r>
  <r>
    <s v="CA-2019-155516"/>
    <x v="72"/>
    <s v="MK-17905"/>
    <s v="Michael Kennedy"/>
    <s v="United States"/>
    <x v="0"/>
    <x v="1"/>
    <s v="Pizazz Global Quick File"/>
    <n v="104.79"/>
    <n v="7"/>
    <n v="29.341200000000001"/>
    <n v="27.999999999999996"/>
  </r>
  <r>
    <s v="CA-2020-144750"/>
    <x v="500"/>
    <s v="DL-13495"/>
    <s v="Dionis Lloyd"/>
    <s v="United States"/>
    <x v="2"/>
    <x v="1"/>
    <s v="Xerox 1941"/>
    <n v="100.88"/>
    <n v="1"/>
    <n v="29.358000000000001"/>
    <n v="29.101903251387789"/>
  </r>
  <r>
    <s v="CA-2019-124149"/>
    <x v="567"/>
    <s v="MJ-17740"/>
    <s v="Max Jones"/>
    <s v="United States"/>
    <x v="0"/>
    <x v="1"/>
    <s v="Xerox 1942"/>
    <n v="78.304000000000002"/>
    <n v="2"/>
    <n v="29.364000000000001"/>
    <n v="37.5"/>
  </r>
  <r>
    <s v="US-2020-164147"/>
    <x v="345"/>
    <s v="DW-13585"/>
    <s v="Dorothy Wardle"/>
    <s v="United States"/>
    <x v="0"/>
    <x v="1"/>
    <s v="Xerox 1916"/>
    <n v="2109.3040000000001"/>
    <n v="2"/>
    <n v="29.364000000000001"/>
    <n v="1.3921179687707415"/>
  </r>
  <r>
    <s v="CA-2020-156622"/>
    <x v="254"/>
    <s v="JP-15460"/>
    <s v="Jennifer Patt"/>
    <s v="United States"/>
    <x v="3"/>
    <x v="1"/>
    <s v="Xerox 1942"/>
    <n v="102.304"/>
    <n v="2"/>
    <n v="29.364000000000001"/>
    <n v="28.702690021895528"/>
  </r>
  <r>
    <s v="CA-2020-148691"/>
    <x v="299"/>
    <s v="CS-12460"/>
    <s v="Chuck Sachs"/>
    <s v="United States"/>
    <x v="0"/>
    <x v="1"/>
    <s v="GBC Premium Transparent Covers with Diagonal Lined Pattern"/>
    <n v="116.92"/>
    <n v="5"/>
    <n v="29.372"/>
    <n v="25.121450564488541"/>
  </r>
  <r>
    <s v="CA-2020-156958"/>
    <x v="372"/>
    <s v="PB-18805"/>
    <s v="Patrick Bzostek"/>
    <s v="United States"/>
    <x v="2"/>
    <x v="1"/>
    <s v="GBC Premium Transparent Covers with Diagonal Lined Pattern"/>
    <n v="150.91999999999999"/>
    <n v="5"/>
    <n v="29.372"/>
    <n v="19.461966604823751"/>
  </r>
  <r>
    <s v="CA-2019-138478"/>
    <x v="72"/>
    <s v="DP-13390"/>
    <s v="Dennis Pardue"/>
    <s v="United States"/>
    <x v="2"/>
    <x v="1"/>
    <s v="Panasonic KP-150 Electric Pencil Sharpener"/>
    <n v="113.22"/>
    <n v="3"/>
    <n v="29.437200000000001"/>
    <n v="26"/>
  </r>
  <r>
    <s v="CA-2020-131303"/>
    <x v="24"/>
    <s v="EP-13915"/>
    <s v="Emily Phan"/>
    <s v="United States"/>
    <x v="2"/>
    <x v="1"/>
    <s v="Round Specialty Laser Printer Labels"/>
    <n v="101.65"/>
    <n v="5"/>
    <n v="29.445499999999999"/>
    <n v="28.967535661583867"/>
  </r>
  <r>
    <s v="CA-2020-153822"/>
    <x v="121"/>
    <s v="AB-10105"/>
    <s v="Adrian Barton"/>
    <s v="United States"/>
    <x v="2"/>
    <x v="0"/>
    <s v="Polycom VoiceStation 500 Conference phone"/>
    <n v="511.92"/>
    <n v="2"/>
    <n v="29.495000000000001"/>
    <n v="5.761642444131895"/>
  </r>
  <r>
    <s v="CA-2020-128328"/>
    <x v="568"/>
    <s v="PO-18865"/>
    <s v="Patrick O'Donnell"/>
    <s v="United States"/>
    <x v="3"/>
    <x v="0"/>
    <s v="Logitech MX Performance Wireless Mouse"/>
    <n v="122.78"/>
    <n v="2"/>
    <n v="29.518599999999999"/>
    <n v="24.041863495683337"/>
  </r>
  <r>
    <s v="CA-2019-127194"/>
    <x v="528"/>
    <s v="BW-11110"/>
    <s v="Bart Watters"/>
    <s v="United States"/>
    <x v="0"/>
    <x v="1"/>
    <s v="Adams Phone Message Book, Professional, 400 Message Capacity, 5 3/6” x 11”"/>
    <n v="62.82"/>
    <n v="9"/>
    <n v="29.525400000000001"/>
    <n v="47"/>
  </r>
  <r>
    <s v="CA-2020-104731"/>
    <x v="102"/>
    <s v="AM-10705"/>
    <s v="Anne McFarland"/>
    <s v="United States"/>
    <x v="1"/>
    <x v="1"/>
    <s v="Berol Giant Pencil Sharpener"/>
    <n v="117.94"/>
    <n v="6"/>
    <n v="29.5626"/>
    <n v="25.065796167542821"/>
  </r>
  <r>
    <s v="CA-2020-167668"/>
    <x v="128"/>
    <s v="TC-21295"/>
    <s v="Toby Carlisle"/>
    <s v="United States"/>
    <x v="0"/>
    <x v="1"/>
    <s v="Avery 505"/>
    <n v="108.2"/>
    <n v="4"/>
    <n v="29.6"/>
    <n v="27.35674676524954"/>
  </r>
  <r>
    <s v="CA-2019-145177"/>
    <x v="214"/>
    <s v="PP-18955"/>
    <s v="Paul Prost"/>
    <s v="United States"/>
    <x v="0"/>
    <x v="2"/>
    <s v="DAX Natural Wood-Tone Poster Frame"/>
    <n v="148.28800000000001"/>
    <n v="7"/>
    <n v="29.657599999999999"/>
    <n v="20"/>
  </r>
  <r>
    <s v="CA-2020-119284"/>
    <x v="267"/>
    <s v="TS-21205"/>
    <s v="Thomas Seio"/>
    <s v="United States"/>
    <x v="1"/>
    <x v="1"/>
    <s v="Xerox 1955"/>
    <n v="125.36"/>
    <n v="5"/>
    <n v="29.692"/>
    <n v="23.68538608806637"/>
  </r>
  <r>
    <s v="CA-2020-156664"/>
    <x v="339"/>
    <s v="BP-11290"/>
    <s v="Beth Paige"/>
    <s v="United States"/>
    <x v="0"/>
    <x v="1"/>
    <s v="Xerox Color Copier Paper, 11&quot; x 17&quot;, Ream"/>
    <n v="344.36"/>
    <n v="5"/>
    <n v="29.692"/>
    <n v="8.622371936345683"/>
  </r>
  <r>
    <s v="CA-2019-162313"/>
    <x v="134"/>
    <s v="VB-21745"/>
    <s v="Victoria Brennan"/>
    <s v="United States"/>
    <x v="3"/>
    <x v="1"/>
    <s v="Euro-Pro Shark Turbo Vacuum"/>
    <n v="167.292"/>
    <n v="6"/>
    <n v="29.7408"/>
    <n v="17.777777777777779"/>
  </r>
  <r>
    <s v="CA-2019-141019"/>
    <x v="220"/>
    <s v="LH-17155"/>
    <s v="Logan Haushalter"/>
    <s v="United States"/>
    <x v="0"/>
    <x v="2"/>
    <s v="GE 48&quot; Fluorescent Tube, Cool White Energy Saver, 34 Watts, 30/Box"/>
    <n v="79.384"/>
    <n v="1"/>
    <n v="29.768999999999998"/>
    <n v="37.5"/>
  </r>
  <r>
    <s v="CA-2019-113831"/>
    <x v="323"/>
    <s v="AH-10690"/>
    <s v="Anna Häberlin"/>
    <s v="United States"/>
    <x v="1"/>
    <x v="1"/>
    <s v="Avery 473"/>
    <n v="62.1"/>
    <n v="6"/>
    <n v="29.808"/>
    <n v="48"/>
  </r>
  <r>
    <s v="US-2019-135720"/>
    <x v="111"/>
    <s v="FM-14380"/>
    <s v="Fred McMath"/>
    <s v="United States"/>
    <x v="2"/>
    <x v="0"/>
    <s v="Imation 32GB Pocket Pro USB 3.0 Flash Drive - 32 GB - Black - 1 P ..."/>
    <n v="119.8"/>
    <n v="5"/>
    <n v="29.95"/>
    <n v="25"/>
  </r>
  <r>
    <s v="CA-2020-168655"/>
    <x v="169"/>
    <s v="ML-18040"/>
    <s v="Michelle Lonsdale"/>
    <s v="United States"/>
    <x v="2"/>
    <x v="1"/>
    <s v="GBC Twin Loop Wire Binding Elements"/>
    <n v="105.872"/>
    <n v="3"/>
    <n v="29.952000000000002"/>
    <n v="28.290766208251476"/>
  </r>
  <r>
    <s v="CA-2019-133123"/>
    <x v="410"/>
    <s v="KB-16315"/>
    <s v="Karl Braun"/>
    <s v="United States"/>
    <x v="1"/>
    <x v="1"/>
    <s v="Blue String-Tie &amp; Button Interoffice Envelopes, 10 x 13"/>
    <n v="95.951999999999998"/>
    <n v="3"/>
    <n v="29.984999999999999"/>
    <n v="31.25"/>
  </r>
  <r>
    <s v="US-2020-107384"/>
    <x v="57"/>
    <s v="TP-21130"/>
    <s v="Theone Pippenger"/>
    <s v="United States"/>
    <x v="3"/>
    <x v="0"/>
    <s v="First Data TMFD35 PIN Pad"/>
    <n v="161.80000000000001"/>
    <n v="1"/>
    <n v="29.988"/>
    <n v="18.533992583436341"/>
  </r>
  <r>
    <s v="CA-2019-133550"/>
    <x v="247"/>
    <s v="KL-16645"/>
    <s v="Ken Lonsdale"/>
    <s v="United States"/>
    <x v="3"/>
    <x v="2"/>
    <s v="Eldon ClusterMat Chair Mat with Cordless Antistatic Protection"/>
    <n v="272.94"/>
    <n v="3"/>
    <n v="30.023399999999999"/>
    <n v="11"/>
  </r>
  <r>
    <s v="US-2019-135720"/>
    <x v="111"/>
    <s v="FM-14380"/>
    <s v="Fred McMath"/>
    <s v="United States"/>
    <x v="2"/>
    <x v="0"/>
    <s v="Jabra SPEAK 410"/>
    <n v="300.76799999999997"/>
    <n v="4"/>
    <n v="30.076799999999999"/>
    <n v="10"/>
  </r>
  <r>
    <s v="US-2019-108098"/>
    <x v="487"/>
    <s v="CP-12340"/>
    <s v="Christine Phan"/>
    <s v="United States"/>
    <x v="2"/>
    <x v="0"/>
    <s v="WD My Passport Ultra 500GB Portable External Hard Drive"/>
    <n v="177"/>
    <n v="3"/>
    <n v="30.09"/>
    <n v="17"/>
  </r>
  <r>
    <s v="CA-2020-115105"/>
    <x v="602"/>
    <s v="BD-11770"/>
    <s v="Bryan Davis"/>
    <s v="United States"/>
    <x v="0"/>
    <x v="2"/>
    <s v="Atlantic Metals Mobile 5-Shelf Bookcases, Custom Colors"/>
    <n v="256.78399999999999"/>
    <n v="1"/>
    <n v="30.097999999999999"/>
    <n v="11.721135273225746"/>
  </r>
  <r>
    <s v="CA-2020-136651"/>
    <x v="327"/>
    <s v="JF-15355"/>
    <s v="Jay Fein"/>
    <s v="United States"/>
    <x v="2"/>
    <x v="1"/>
    <s v="GBC Durable Plastic Covers"/>
    <n v="113.88"/>
    <n v="6"/>
    <n v="30.186"/>
    <n v="26.506849315068493"/>
  </r>
  <r>
    <s v="CA-2019-108616"/>
    <x v="479"/>
    <s v="JK-15730"/>
    <s v="Joe Kamberova"/>
    <s v="United States"/>
    <x v="1"/>
    <x v="1"/>
    <s v="Premium Transparent Presentation Covers by GBC"/>
    <n v="62.94"/>
    <n v="3"/>
    <n v="30.211200000000002"/>
    <n v="48.000000000000007"/>
  </r>
  <r>
    <s v="CA-2020-138464"/>
    <x v="526"/>
    <s v="VF-21715"/>
    <s v="Vicky Freymann"/>
    <s v="United States"/>
    <x v="2"/>
    <x v="1"/>
    <s v="GBC VeloBinder Manual Binding System"/>
    <n v="122.376"/>
    <n v="3"/>
    <n v="30.2316"/>
    <n v="24.703863502647579"/>
  </r>
  <r>
    <s v="CA-2019-111913"/>
    <x v="376"/>
    <s v="LC-16930"/>
    <s v="Linda Cazamias"/>
    <s v="United States"/>
    <x v="2"/>
    <x v="0"/>
    <s v="Mitel 5320 IP Phone VoIP phone"/>
    <n v="302.38400000000001"/>
    <n v="2"/>
    <n v="30.238399999999999"/>
    <n v="10"/>
  </r>
  <r>
    <s v="CA-2019-129868"/>
    <x v="386"/>
    <s v="MC-18130"/>
    <s v="Mike Caudle"/>
    <s v="United States"/>
    <x v="2"/>
    <x v="0"/>
    <s v="Mitel 5320 IP Phone VoIP phone"/>
    <n v="302.38400000000001"/>
    <n v="2"/>
    <n v="30.238399999999999"/>
    <n v="10"/>
  </r>
  <r>
    <s v="CA-2019-100244"/>
    <x v="349"/>
    <s v="GM-14695"/>
    <s v="Greg Maxwell"/>
    <s v="United States"/>
    <x v="2"/>
    <x v="1"/>
    <s v="Strathmore Photo Frame Cards"/>
    <n v="65.790000000000006"/>
    <n v="9"/>
    <n v="30.263400000000001"/>
    <n v="46"/>
  </r>
  <r>
    <s v="CA-2019-135776"/>
    <x v="39"/>
    <s v="EH-13765"/>
    <s v="Edward Hooks"/>
    <s v="United States"/>
    <x v="2"/>
    <x v="1"/>
    <s v="Staple envelope"/>
    <n v="61.96"/>
    <n v="2"/>
    <n v="30.360399999999998"/>
    <n v="49"/>
  </r>
  <r>
    <s v="CA-2019-113551"/>
    <x v="399"/>
    <s v="NF-18385"/>
    <s v="Natalie Fritzler"/>
    <s v="United States"/>
    <x v="3"/>
    <x v="1"/>
    <s v="Advantus Motivational Note Cards"/>
    <n v="83.84"/>
    <n v="8"/>
    <n v="30.391999999999999"/>
    <n v="36.25"/>
  </r>
  <r>
    <s v="CA-2020-122035"/>
    <x v="384"/>
    <s v="EM-13825"/>
    <s v="Elizabeth Moffitt"/>
    <s v="United States"/>
    <x v="3"/>
    <x v="1"/>
    <s v="Cardinal Slant-D Ring Binders"/>
    <n v="144.83000000000001"/>
    <n v="7"/>
    <n v="30.414999999999999"/>
    <n v="21.000483325277912"/>
  </r>
  <r>
    <s v="CA-2019-146934"/>
    <x v="308"/>
    <s v="AF-10870"/>
    <s v="Art Ferguson"/>
    <s v="United States"/>
    <x v="0"/>
    <x v="0"/>
    <s v="SanDisk Cruzer 32 GB USB Flash Drive"/>
    <n v="95.1"/>
    <n v="5"/>
    <n v="30.431999999999999"/>
    <n v="32"/>
  </r>
  <r>
    <s v="CA-2019-151561"/>
    <x v="391"/>
    <s v="PG-18820"/>
    <s v="Patrick Gardner"/>
    <s v="United States"/>
    <x v="0"/>
    <x v="0"/>
    <s v="Memorex Mini Travel Drive 64 GB USB 2.0 Flash Drive"/>
    <n v="72.48"/>
    <n v="2"/>
    <n v="30.441600000000001"/>
    <n v="42"/>
  </r>
  <r>
    <s v="CA-2019-162159"/>
    <x v="338"/>
    <s v="CR-12625"/>
    <s v="Corey Roper"/>
    <s v="United States"/>
    <x v="1"/>
    <x v="2"/>
    <s v="Global Value Mid-Back Manager's Chair, Gray"/>
    <n v="121.78"/>
    <n v="2"/>
    <n v="30.445"/>
    <n v="25"/>
  </r>
  <r>
    <s v="CA-2020-160423"/>
    <x v="263"/>
    <s v="PS-19045"/>
    <s v="Penelope Sewall"/>
    <s v="United States"/>
    <x v="1"/>
    <x v="1"/>
    <s v="Fellowes Mobile File Cart, Black"/>
    <n v="388.20800000000003"/>
    <n v="7"/>
    <n v="30.4682"/>
    <n v="7.8484214647817661"/>
  </r>
  <r>
    <s v="CA-2020-145233"/>
    <x v="265"/>
    <s v="DV-13465"/>
    <s v="Dianna Vittorini"/>
    <s v="United States"/>
    <x v="2"/>
    <x v="0"/>
    <s v="Jabra BIZ 2300 Duo QD Duo Corded Headset"/>
    <n v="449.36799999999999"/>
    <n v="4"/>
    <n v="30.477599999999999"/>
    <n v="6.7823253992273598"/>
  </r>
  <r>
    <s v="US-2020-107272"/>
    <x v="181"/>
    <s v="TS-21610"/>
    <s v="Troy Staebel"/>
    <s v="United States"/>
    <x v="2"/>
    <x v="1"/>
    <s v="Trav-L-File Heavy-Duty Shuttle II, Black"/>
    <n v="253.99199999999999"/>
    <n v="7"/>
    <n v="30.498999999999999"/>
    <n v="12.007858515228827"/>
  </r>
  <r>
    <s v="US-2020-116652"/>
    <x v="301"/>
    <s v="RD-19480"/>
    <s v="Rick Duston"/>
    <s v="United States"/>
    <x v="2"/>
    <x v="1"/>
    <s v="Belkin 5 Outlet SurgeMaster Power Centers"/>
    <n v="153.96"/>
    <n v="2"/>
    <n v="30.508800000000001"/>
    <n v="19.816056118472332"/>
  </r>
  <r>
    <s v="CA-2019-169887"/>
    <x v="506"/>
    <s v="MS-17530"/>
    <s v="MaryBeth Skach"/>
    <s v="United States"/>
    <x v="2"/>
    <x v="2"/>
    <s v="Linden 12&quot; Wall Clock With Oak Frame"/>
    <n v="101.94"/>
    <n v="3"/>
    <n v="30.582000000000001"/>
    <n v="30"/>
  </r>
  <r>
    <s v="CA-2020-120376"/>
    <x v="67"/>
    <s v="TP-21130"/>
    <s v="Theone Pippenger"/>
    <s v="United States"/>
    <x v="3"/>
    <x v="0"/>
    <s v="Logitech Gaming G510s - Keyboard"/>
    <n v="469.99"/>
    <n v="1"/>
    <n v="30.596399999999999"/>
    <n v="6.5100108512947079"/>
  </r>
  <r>
    <s v="CA-2020-128363"/>
    <x v="7"/>
    <s v="DC-12850"/>
    <s v="Dan Campbell"/>
    <s v="United States"/>
    <x v="1"/>
    <x v="1"/>
    <s v="Belkin Premiere Surge Master II 8-outlet surge protector"/>
    <n v="314.048"/>
    <n v="7"/>
    <n v="30.605399999999999"/>
    <n v="9.7454529243937227"/>
  </r>
  <r>
    <s v="CA-2020-133263"/>
    <x v="152"/>
    <s v="JE-15610"/>
    <s v="Jim Epp"/>
    <s v="United States"/>
    <x v="1"/>
    <x v="1"/>
    <s v="Avery Recycled Flexi-View Covers for Binding Systems"/>
    <n v="156.12"/>
    <n v="4"/>
    <n v="30.7776"/>
    <n v="19.714066102997695"/>
  </r>
  <r>
    <s v="US-2019-167472"/>
    <x v="428"/>
    <s v="CK-12595"/>
    <s v="Clytie Kelty"/>
    <s v="United States"/>
    <x v="1"/>
    <x v="1"/>
    <s v="Trimflex Flexible Post Binders"/>
    <n v="64.14"/>
    <n v="3"/>
    <n v="30.787199999999999"/>
    <n v="48"/>
  </r>
  <r>
    <s v="CA-2019-128818"/>
    <x v="619"/>
    <s v="CJ-12010"/>
    <s v="Caroline Jumper"/>
    <s v="United States"/>
    <x v="0"/>
    <x v="1"/>
    <s v="GBC Twin Loop Wire Binding Elements, 9/16&quot; Spine, Black"/>
    <n v="85.231999999999999"/>
    <n v="7"/>
    <n v="30.896599999999999"/>
    <n v="36.25"/>
  </r>
  <r>
    <s v="US-2019-134656"/>
    <x v="624"/>
    <s v="MM-18280"/>
    <s v="Muhammed MacIntyre"/>
    <s v="United States"/>
    <x v="3"/>
    <x v="1"/>
    <s v="Xerox 1960"/>
    <n v="99.135999999999996"/>
    <n v="4"/>
    <n v="30.98"/>
    <n v="31.25"/>
  </r>
  <r>
    <s v="CA-2020-112844"/>
    <x v="14"/>
    <s v="SP-20620"/>
    <s v="Stefania Perrino"/>
    <s v="United States"/>
    <x v="0"/>
    <x v="2"/>
    <s v="Deflect-o EconoMat Nonstudded, No Bevel Mat"/>
    <n v="186.95"/>
    <n v="3"/>
    <n v="30.99"/>
    <n v="16.576624765980206"/>
  </r>
  <r>
    <s v="CA-2019-106278"/>
    <x v="110"/>
    <s v="BM-11140"/>
    <s v="Becky Martin"/>
    <s v="United States"/>
    <x v="2"/>
    <x v="1"/>
    <s v="Inter-Office Recycled Envelopes, Brown Kraft, Button-String,10&quot; x 13&quot; , 100/Box"/>
    <n v="65.94"/>
    <n v="3"/>
    <n v="30.991800000000001"/>
    <n v="47"/>
  </r>
  <r>
    <s v="CA-2019-114209"/>
    <x v="340"/>
    <s v="AS-10285"/>
    <s v="Alejandro Savely"/>
    <s v="United States"/>
    <x v="3"/>
    <x v="1"/>
    <s v="Southworth 100% Cotton The Best Paper"/>
    <n v="82.656000000000006"/>
    <n v="9"/>
    <n v="30.995999999999999"/>
    <n v="37.499999999999993"/>
  </r>
  <r>
    <s v="CA-2019-162943"/>
    <x v="617"/>
    <s v="DB-12970"/>
    <s v="Darren Budd"/>
    <s v="United States"/>
    <x v="0"/>
    <x v="2"/>
    <s v="Office Star - Contemporary Swivel Chair with Padded Adjustable Arms and Flex Back"/>
    <n v="253.76400000000001"/>
    <n v="2"/>
    <n v="31.015599999999999"/>
    <n v="12.222222222222221"/>
  </r>
  <r>
    <s v="US-2019-147711"/>
    <x v="19"/>
    <s v="HF-14995"/>
    <s v="Herbert Flentye"/>
    <s v="United States"/>
    <x v="0"/>
    <x v="2"/>
    <s v="Sauder Camden County Collection Libraries, Planked Cherry Finish"/>
    <n v="344.94"/>
    <n v="3"/>
    <n v="31.044599999999999"/>
    <n v="9"/>
  </r>
  <r>
    <s v="US-2019-153815"/>
    <x v="264"/>
    <s v="KL-16555"/>
    <s v="Kelly Lampkin"/>
    <s v="United States"/>
    <x v="1"/>
    <x v="1"/>
    <s v="Eaton Premium Continuous-Feed Paper, 25% Cotton, Letter Size, White, 1000 Shts/Box"/>
    <n v="88.768000000000001"/>
    <n v="2"/>
    <n v="31.0688"/>
    <n v="35"/>
  </r>
  <r>
    <s v="CA-2020-121538"/>
    <x v="24"/>
    <s v="RH-19495"/>
    <s v="Rick Hansen"/>
    <s v="United States"/>
    <x v="2"/>
    <x v="1"/>
    <s v="Eaton Premium Continuous-Feed Paper, 25% Cotton, Letter Size, White, 1000 Shts/Box"/>
    <n v="137.768"/>
    <n v="2"/>
    <n v="31.0688"/>
    <n v="22.551535915452064"/>
  </r>
  <r>
    <s v="CA-2020-101805"/>
    <x v="265"/>
    <s v="SH-19975"/>
    <s v="Sally Hughsby"/>
    <s v="United States"/>
    <x v="2"/>
    <x v="2"/>
    <s v="Eldon Wave Desk Accessories"/>
    <n v="106.68"/>
    <n v="12"/>
    <n v="31.0992"/>
    <n v="29.151856017997744"/>
  </r>
  <r>
    <s v="CA-2020-140949"/>
    <x v="294"/>
    <s v="DB-13405"/>
    <s v="Denny Blanton"/>
    <s v="United States"/>
    <x v="0"/>
    <x v="0"/>
    <s v="Cisco SPA525G2 IP Phone - Wireless"/>
    <n v="144.69999999999999"/>
    <n v="6"/>
    <n v="31.122"/>
    <n v="21.507947477539737"/>
  </r>
  <r>
    <s v="CA-2020-118213"/>
    <x v="181"/>
    <s v="AB-10060"/>
    <s v="Adam Bellavance"/>
    <s v="United States"/>
    <x v="3"/>
    <x v="1"/>
    <s v="Strathmore Photo Mount Cards"/>
    <n v="102.8"/>
    <n v="10"/>
    <n v="31.187999999999999"/>
    <n v="30.338521400778212"/>
  </r>
  <r>
    <s v="US-2019-103674"/>
    <x v="431"/>
    <s v="AP-10720"/>
    <s v="Anne Pryor"/>
    <s v="United States"/>
    <x v="2"/>
    <x v="0"/>
    <s v="Cisco SPA301"/>
    <n v="249.584"/>
    <n v="2"/>
    <n v="31.198"/>
    <n v="12.5"/>
  </r>
  <r>
    <s v="CA-2019-113733"/>
    <x v="83"/>
    <s v="LH-16900"/>
    <s v="Lena Hernandez"/>
    <s v="United States"/>
    <x v="1"/>
    <x v="0"/>
    <s v="Cisco SPA301"/>
    <n v="249.584"/>
    <n v="2"/>
    <n v="31.198"/>
    <n v="12.5"/>
  </r>
  <r>
    <s v="CA-2020-159667"/>
    <x v="407"/>
    <s v="PM-19135"/>
    <s v="Peter McVee"/>
    <s v="United States"/>
    <x v="1"/>
    <x v="0"/>
    <s v="Motorola L703CM"/>
    <n v="36.167999999999999"/>
    <n v="4"/>
    <n v="31.198"/>
    <n v="86.258571112585713"/>
  </r>
  <r>
    <s v="CA-2019-126732"/>
    <x v="110"/>
    <s v="LR-16915"/>
    <s v="Lena Radford"/>
    <s v="United States"/>
    <x v="2"/>
    <x v="2"/>
    <s v="Ultra Door Pull Handle"/>
    <n v="94.68"/>
    <n v="9"/>
    <n v="31.244399999999999"/>
    <n v="32.999999999999993"/>
  </r>
  <r>
    <s v="CA-2020-112956"/>
    <x v="500"/>
    <s v="TH-21550"/>
    <s v="Tracy Hopkins"/>
    <s v="United States"/>
    <x v="0"/>
    <x v="2"/>
    <s v="Seth Thomas 12&quot; Clock w/ Goldtone Case"/>
    <n v="122.92"/>
    <n v="4"/>
    <n v="31.252800000000001"/>
    <n v="25.425317279531402"/>
  </r>
  <r>
    <s v="US-2020-108343"/>
    <x v="384"/>
    <s v="AR-10825"/>
    <s v="Anthony Rawles"/>
    <s v="United States"/>
    <x v="0"/>
    <x v="2"/>
    <s v="Tenex B1-RE Series Chair Mats for Low Pile Carpets"/>
    <n v="232.92"/>
    <n v="4"/>
    <n v="31.266400000000001"/>
    <n v="13.423664777606046"/>
  </r>
  <r>
    <s v="CA-2020-117457"/>
    <x v="136"/>
    <s v="KH-16510"/>
    <s v="Keith Herrera"/>
    <s v="United States"/>
    <x v="2"/>
    <x v="2"/>
    <s v="O'Sullivan 4-Shelf Bookcase in Odessa Pine"/>
    <n v="359.82900000000001"/>
    <n v="13"/>
    <n v="31.454799999999999"/>
    <n v="8.7415967028783115"/>
  </r>
  <r>
    <s v="CA-2019-105662"/>
    <x v="415"/>
    <s v="RB-19465"/>
    <s v="Rick Bensley"/>
    <s v="United States"/>
    <x v="1"/>
    <x v="1"/>
    <s v="Snap-A-Way Black Print Carbonless Speed Message, No Reply Area, Duplicate"/>
    <n v="93.248000000000005"/>
    <n v="4"/>
    <n v="31.4712"/>
    <n v="33.75"/>
  </r>
  <r>
    <s v="CA-2020-102974"/>
    <x v="121"/>
    <s v="DP-13105"/>
    <s v="Dave Poirier"/>
    <s v="United States"/>
    <x v="2"/>
    <x v="0"/>
    <s v="Microsoft Natural Ergonomic Keyboard 4000"/>
    <n v="177.95"/>
    <n v="5"/>
    <n v="31.4895"/>
    <n v="17.69570103961787"/>
  </r>
  <r>
    <s v="CA-2020-137463"/>
    <x v="505"/>
    <s v="KM-16225"/>
    <s v="Kalyca Meade"/>
    <s v="United States"/>
    <x v="2"/>
    <x v="0"/>
    <s v="Microsoft Natural Ergonomic Keyboard 4000"/>
    <n v="378.95"/>
    <n v="5"/>
    <n v="31.4895"/>
    <n v="8.3096714606148563"/>
  </r>
  <r>
    <s v="CA-2019-152457"/>
    <x v="460"/>
    <s v="SC-20695"/>
    <s v="Steve Chapman"/>
    <s v="United States"/>
    <x v="3"/>
    <x v="1"/>
    <s v="Xerox 1991"/>
    <n v="68.52"/>
    <n v="3"/>
    <n v="31.519200000000001"/>
    <n v="46"/>
  </r>
  <r>
    <s v="CA-2020-107132"/>
    <x v="334"/>
    <s v="SC-20260"/>
    <s v="Scott Cohen"/>
    <s v="United States"/>
    <x v="0"/>
    <x v="1"/>
    <s v="Xerox 1991"/>
    <n v="112.52"/>
    <n v="3"/>
    <n v="31.519200000000001"/>
    <n v="28.012086740135089"/>
  </r>
  <r>
    <s v="CA-2019-146171"/>
    <x v="253"/>
    <s v="JP-16135"/>
    <s v="Julie Prescott"/>
    <s v="United States"/>
    <x v="1"/>
    <x v="2"/>
    <s v="Executive Impressions 13&quot; Clairmont Wall Clock"/>
    <n v="76.92"/>
    <n v="4"/>
    <n v="31.537199999999999"/>
    <n v="41"/>
  </r>
  <r>
    <s v="CA-2019-133368"/>
    <x v="625"/>
    <s v="AG-10675"/>
    <s v="Anna Gayman"/>
    <s v="United States"/>
    <x v="1"/>
    <x v="2"/>
    <s v="Electrix Fluorescent Magnifier Lamps &amp; Weighted Base"/>
    <n v="315.77600000000001"/>
    <n v="8"/>
    <n v="31.5776"/>
    <n v="10"/>
  </r>
  <r>
    <s v="CA-2020-157091"/>
    <x v="334"/>
    <s v="DB-13405"/>
    <s v="Denny Blanton"/>
    <s v="United States"/>
    <x v="3"/>
    <x v="2"/>
    <s v="Eldon Antistatic Chair Mats for Low to Medium Pile Carpets"/>
    <n v="536.45000000000005"/>
    <n v="5"/>
    <n v="31.587"/>
    <n v="5.8881536023860557"/>
  </r>
  <r>
    <s v="CA-2020-145128"/>
    <x v="112"/>
    <s v="SM-20320"/>
    <s v="Sean Miller"/>
    <s v="United States"/>
    <x v="3"/>
    <x v="2"/>
    <s v="Eldon Antistatic Chair Mats for Low to Medium Pile Carpets"/>
    <n v="536.45000000000005"/>
    <n v="5"/>
    <n v="31.587"/>
    <n v="5.8881536023860557"/>
  </r>
  <r>
    <s v="CA-2019-106558"/>
    <x v="600"/>
    <s v="DL-13495"/>
    <s v="Dionis Lloyd"/>
    <s v="United States"/>
    <x v="1"/>
    <x v="0"/>
    <s v="First Data FD10 PIN Pad"/>
    <n v="316"/>
    <n v="4"/>
    <n v="31.6"/>
    <n v="10"/>
  </r>
  <r>
    <s v="CA-2019-160745"/>
    <x v="111"/>
    <s v="AR-10825"/>
    <s v="Anthony Rawles"/>
    <s v="United States"/>
    <x v="2"/>
    <x v="0"/>
    <s v="First Data FD10 PIN Pad"/>
    <n v="316"/>
    <n v="4"/>
    <n v="31.6"/>
    <n v="10"/>
  </r>
  <r>
    <s v="US-2020-123862"/>
    <x v="413"/>
    <s v="JF-15190"/>
    <s v="Jamie Frazer"/>
    <s v="United States"/>
    <x v="2"/>
    <x v="1"/>
    <s v="Acme Galleria Hot Forged Steel Scissors with Colored Handles"/>
    <n v="156.11000000000001"/>
    <n v="7"/>
    <n v="31.931899999999999"/>
    <n v="20.454743450131314"/>
  </r>
  <r>
    <s v="CA-2020-123638"/>
    <x v="588"/>
    <s v="MA-17995"/>
    <s v="Michelle Arnett"/>
    <s v="United States"/>
    <x v="0"/>
    <x v="2"/>
    <s v="Situations Contoured Folding Chairs, 4/Set"/>
    <n v="228.64599999999999"/>
    <n v="3"/>
    <n v="31.940999999999999"/>
    <n v="13.969629908242437"/>
  </r>
  <r>
    <s v="CA-2019-134789"/>
    <x v="5"/>
    <s v="CK-12325"/>
    <s v="Christine Kargatis"/>
    <s v="United States"/>
    <x v="1"/>
    <x v="2"/>
    <s v="Eldon Radial Chair Mat for Low to Medium Pile Carpets"/>
    <n v="159.91999999999999"/>
    <n v="4"/>
    <n v="31.984000000000002"/>
    <n v="20.000000000000004"/>
  </r>
  <r>
    <s v="CA-2020-117324"/>
    <x v="136"/>
    <s v="JP-15520"/>
    <s v="Jeremy Pistek"/>
    <s v="United States"/>
    <x v="3"/>
    <x v="0"/>
    <s v="Logitech G105 Gaming Keyboard"/>
    <n v="201.11"/>
    <n v="3"/>
    <n v="32.059800000000003"/>
    <n v="15.941425090746359"/>
  </r>
  <r>
    <s v="CA-2019-104157"/>
    <x v="445"/>
    <s v="MT-17815"/>
    <s v="Meg Tillman"/>
    <s v="United States"/>
    <x v="1"/>
    <x v="1"/>
    <s v="Advantus Motivational Note Cards"/>
    <n v="65.5"/>
    <n v="5"/>
    <n v="32.094999999999999"/>
    <n v="49"/>
  </r>
  <r>
    <s v="CA-2019-146682"/>
    <x v="452"/>
    <s v="KW-16435"/>
    <s v="Katrina Willman"/>
    <s v="United States"/>
    <x v="3"/>
    <x v="2"/>
    <s v="Electrix 20W Halogen Replacement Bulb for Zoom-In Desk Lamp"/>
    <n v="67"/>
    <n v="5"/>
    <n v="32.159999999999997"/>
    <n v="47.999999999999993"/>
  </r>
  <r>
    <s v="CA-2020-159352"/>
    <x v="590"/>
    <s v="KB-16585"/>
    <s v="Ken Black"/>
    <s v="United States"/>
    <x v="0"/>
    <x v="0"/>
    <s v="PowerGen Dual USB Car Charger"/>
    <n v="102.93"/>
    <n v="7"/>
    <n v="32.1678"/>
    <n v="31.252113086563682"/>
  </r>
  <r>
    <s v="CA-2019-153836"/>
    <x v="481"/>
    <s v="EH-13765"/>
    <s v="Edward Hooks"/>
    <s v="United States"/>
    <x v="0"/>
    <x v="1"/>
    <s v="Boston KS Multi-Size Manual Pencil Sharpener"/>
    <n v="114.95"/>
    <n v="5"/>
    <n v="32.186"/>
    <n v="27.999999999999996"/>
  </r>
  <r>
    <s v="CA-2020-137414"/>
    <x v="11"/>
    <s v="CM-12115"/>
    <s v="Chad McGuire"/>
    <s v="United States"/>
    <x v="2"/>
    <x v="0"/>
    <s v="Ricoh - Ink Collector Unit for GX3000 Series Printers"/>
    <n v="380.16"/>
    <n v="11"/>
    <n v="32.301499999999997"/>
    <n v="8.496817129629628"/>
  </r>
  <r>
    <s v="US-2020-163300"/>
    <x v="301"/>
    <s v="ES-14020"/>
    <s v="Erica Smith"/>
    <s v="United States"/>
    <x v="2"/>
    <x v="0"/>
    <s v="Panasonic KX-TG6844B Expandable Digital Cordless Telephone"/>
    <n v="416.54399999999998"/>
    <n v="7"/>
    <n v="32.335099999999997"/>
    <n v="7.7627093416301749"/>
  </r>
  <r>
    <s v="CA-2020-126067"/>
    <x v="488"/>
    <s v="KN-16705"/>
    <s v="Kristina Nunn"/>
    <s v="United States"/>
    <x v="2"/>
    <x v="1"/>
    <s v="GBC Standard Therm-A-Bind Covers"/>
    <n v="143.68"/>
    <n v="5"/>
    <n v="32.396000000000001"/>
    <n v="22.547327394209354"/>
  </r>
  <r>
    <s v="CA-2019-103982"/>
    <x v="17"/>
    <s v="AA-10315"/>
    <s v="Alex Avila"/>
    <s v="United States"/>
    <x v="3"/>
    <x v="0"/>
    <s v="Polycom VVX 310 VoIP phone"/>
    <n v="431.976"/>
    <n v="3"/>
    <n v="32.398200000000003"/>
    <n v="7.5000000000000009"/>
  </r>
  <r>
    <s v="US-2019-139262"/>
    <x v="272"/>
    <s v="LC-16960"/>
    <s v="Lindsay Castell"/>
    <s v="United States"/>
    <x v="1"/>
    <x v="1"/>
    <s v="Standard Rollaway File with Lock"/>
    <n v="432.45600000000002"/>
    <n v="3"/>
    <n v="32.434199999999997"/>
    <n v="7.4999999999999982"/>
  </r>
  <r>
    <s v="CA-2019-133368"/>
    <x v="625"/>
    <s v="AG-10675"/>
    <s v="Anna Gayman"/>
    <s v="United States"/>
    <x v="1"/>
    <x v="1"/>
    <s v="Xerox 1882"/>
    <n v="89.567999999999998"/>
    <n v="2"/>
    <n v="32.468400000000003"/>
    <n v="36.250000000000007"/>
  </r>
  <r>
    <s v="CA-2019-145177"/>
    <x v="214"/>
    <s v="PP-18955"/>
    <s v="Paul Prost"/>
    <s v="United States"/>
    <x v="0"/>
    <x v="1"/>
    <s v="Xerox 1882"/>
    <n v="89.567999999999998"/>
    <n v="2"/>
    <n v="32.468400000000003"/>
    <n v="36.250000000000007"/>
  </r>
  <r>
    <s v="CA-2020-142174"/>
    <x v="163"/>
    <s v="DP-13000"/>
    <s v="Darren Powers"/>
    <s v="United States"/>
    <x v="3"/>
    <x v="1"/>
    <s v="Xerox 1934"/>
    <n v="134.56800000000001"/>
    <n v="2"/>
    <n v="32.468400000000003"/>
    <n v="24.127875869448904"/>
  </r>
  <r>
    <s v="CA-2019-160108"/>
    <x v="83"/>
    <s v="AG-10900"/>
    <s v="Arthur Gainer"/>
    <s v="United States"/>
    <x v="3"/>
    <x v="2"/>
    <s v="Bush Westfield Collection Bookcases, Dark Cherry Finish"/>
    <n v="405.86"/>
    <n v="7"/>
    <n v="32.468800000000002"/>
    <n v="8"/>
  </r>
  <r>
    <s v="CA-2019-158694"/>
    <x v="214"/>
    <s v="AI-10855"/>
    <s v="Arianne Irving"/>
    <s v="United States"/>
    <x v="2"/>
    <x v="1"/>
    <s v="Embossed Ink Jet Note Cards"/>
    <n v="67.709999999999994"/>
    <n v="3"/>
    <n v="32.500799999999998"/>
    <n v="48.000000000000007"/>
  </r>
  <r>
    <s v="CA-2019-142097"/>
    <x v="486"/>
    <s v="QJ-19255"/>
    <s v="Quincy Jones"/>
    <s v="United States"/>
    <x v="1"/>
    <x v="1"/>
    <s v="#10 Self-Seal White Envelopes"/>
    <n v="66.540000000000006"/>
    <n v="6"/>
    <n v="32.604599999999998"/>
    <n v="48.999999999999993"/>
  </r>
  <r>
    <s v="CA-2020-136350"/>
    <x v="47"/>
    <s v="GA-14515"/>
    <s v="George Ashbrook"/>
    <s v="United States"/>
    <x v="0"/>
    <x v="2"/>
    <s v="Global Deluxe Office Fabric Chairs"/>
    <n v="190.76400000000001"/>
    <n v="2"/>
    <n v="32.633200000000002"/>
    <n v="17.106581954666499"/>
  </r>
  <r>
    <s v="CA-2020-146269"/>
    <x v="482"/>
    <s v="MH-17455"/>
    <s v="Mark Hamilton"/>
    <s v="United States"/>
    <x v="3"/>
    <x v="1"/>
    <s v="Adjustable Depth Letter/Legal Cart"/>
    <n v="300.33600000000001"/>
    <n v="2"/>
    <n v="32.662799999999997"/>
    <n v="10.875419530126257"/>
  </r>
  <r>
    <s v="CA-2020-155607"/>
    <x v="197"/>
    <s v="FG-14260"/>
    <s v="Frank Gastineau"/>
    <s v="United States"/>
    <x v="0"/>
    <x v="1"/>
    <s v="Binding Machine Supplies"/>
    <n v="135.34399999999999"/>
    <n v="4"/>
    <n v="32.670400000000001"/>
    <n v="24.138787090672658"/>
  </r>
  <r>
    <s v="CA-2020-107174"/>
    <x v="174"/>
    <s v="AB-10060"/>
    <s v="Adam Bellavance"/>
    <s v="United States"/>
    <x v="2"/>
    <x v="0"/>
    <s v="SanDisk Cruzer 64 GB USB Flash Drive"/>
    <n v="135.96"/>
    <n v="3"/>
    <n v="32.688000000000002"/>
    <n v="24.042365401588704"/>
  </r>
  <r>
    <s v="CA-2020-133046"/>
    <x v="411"/>
    <s v="DK-13375"/>
    <s v="Dennis Kane"/>
    <s v="United States"/>
    <x v="2"/>
    <x v="0"/>
    <s v="Sony Micro Vault Click 8 GB USB 2.0 Flash Drive"/>
    <n v="274.95"/>
    <n v="5"/>
    <n v="32.893000000000001"/>
    <n v="11.963266048372432"/>
  </r>
  <r>
    <s v="CA-2019-125738"/>
    <x v="486"/>
    <s v="PB-18805"/>
    <s v="Patrick Bzostek"/>
    <s v="United States"/>
    <x v="2"/>
    <x v="1"/>
    <s v="Recycled Desk Saver Line &quot;While You Were Out&quot; Book, 5 1/2&quot; X 4&quot;"/>
    <n v="71.599999999999994"/>
    <n v="8"/>
    <n v="32.936"/>
    <n v="46"/>
  </r>
  <r>
    <s v="CA-2020-143658"/>
    <x v="626"/>
    <s v="SR-20425"/>
    <s v="Sharelle Roach"/>
    <s v="United States"/>
    <x v="0"/>
    <x v="1"/>
    <s v="Panasonic KP-310 Heavy-Duty Electric Pencil Sharpener"/>
    <n v="119.9"/>
    <n v="5"/>
    <n v="32.97"/>
    <n v="27.497914929107587"/>
  </r>
  <r>
    <s v="CA-2019-124590"/>
    <x v="300"/>
    <s v="SP-20920"/>
    <s v="Susan Pistek"/>
    <s v="United States"/>
    <x v="0"/>
    <x v="1"/>
    <s v="Holmes Replacement Filter for HEPA Air Cleaner, Very Large Room, HEPA Filter"/>
    <n v="110.096"/>
    <n v="2"/>
    <n v="33.028799999999997"/>
    <n v="30"/>
  </r>
  <r>
    <s v="US-2020-106145"/>
    <x v="191"/>
    <s v="RA-19885"/>
    <s v="Ruben Ausman"/>
    <s v="United States"/>
    <x v="2"/>
    <x v="1"/>
    <s v="Staple envelope"/>
    <n v="181.88"/>
    <n v="6"/>
    <n v="33.064799999999998"/>
    <n v="18.179458983945455"/>
  </r>
  <r>
    <s v="CA-2020-163097"/>
    <x v="53"/>
    <s v="SF-20200"/>
    <s v="Sarah Foster"/>
    <s v="United States"/>
    <x v="2"/>
    <x v="2"/>
    <s v="Flat Face Poster Frame"/>
    <n v="167.57599999999999"/>
    <n v="8"/>
    <n v="33.1584"/>
    <n v="19.78708168234115"/>
  </r>
  <r>
    <s v="CA-2019-115378"/>
    <x v="313"/>
    <s v="AJ-10945"/>
    <s v="Ashley Jarboe"/>
    <s v="United States"/>
    <x v="3"/>
    <x v="2"/>
    <s v="Novimex Swivel Fabric Task Chair"/>
    <n v="301.95999999999998"/>
    <n v="2"/>
    <n v="33.215600000000002"/>
    <n v="11.000000000000002"/>
  </r>
  <r>
    <s v="CA-2020-140088"/>
    <x v="185"/>
    <s v="PO-18865"/>
    <s v="Patrick O'Donnell"/>
    <s v="United States"/>
    <x v="1"/>
    <x v="2"/>
    <s v="Novimex Swivel Fabric Task Chair"/>
    <n v="323.95999999999998"/>
    <n v="2"/>
    <n v="33.215600000000002"/>
    <n v="10.252994196814424"/>
  </r>
  <r>
    <s v="CA-2020-151484"/>
    <x v="202"/>
    <s v="CV-12805"/>
    <s v="Cynthia Voltz"/>
    <s v="United States"/>
    <x v="0"/>
    <x v="1"/>
    <s v="Deluxe Rollaway Locking File with Drawer"/>
    <n v="348.70400000000001"/>
    <n v="1"/>
    <n v="33.270400000000002"/>
    <n v="9.5411581169129125"/>
  </r>
  <r>
    <s v="CA-2020-132346"/>
    <x v="117"/>
    <s v="PK-19075"/>
    <s v="Pete Kriz"/>
    <s v="United States"/>
    <x v="0"/>
    <x v="1"/>
    <s v="Holmes Odor Grabber"/>
    <n v="127.94"/>
    <n v="7"/>
    <n v="33.310200000000002"/>
    <n v="26.035798030326717"/>
  </r>
  <r>
    <s v="CA-2020-158729"/>
    <x v="90"/>
    <s v="AC-10450"/>
    <s v="Amy Cox"/>
    <s v="United States"/>
    <x v="1"/>
    <x v="1"/>
    <s v="Martin Yale Chadless Opener Electric Letter Opener"/>
    <n v="2029.62"/>
    <n v="2"/>
    <n v="33.312399999999997"/>
    <n v="1.6413121668095505"/>
  </r>
  <r>
    <s v="CA-2019-106460"/>
    <x v="542"/>
    <s v="GT-14710"/>
    <s v="Greg Tran"/>
    <s v="United States"/>
    <x v="2"/>
    <x v="1"/>
    <s v="Xerox 1880"/>
    <n v="70.88"/>
    <n v="2"/>
    <n v="33.313600000000001"/>
    <n v="47"/>
  </r>
  <r>
    <s v="CA-2019-158869"/>
    <x v="610"/>
    <s v="AH-10690"/>
    <s v="Anna Häberlin"/>
    <s v="United States"/>
    <x v="0"/>
    <x v="1"/>
    <s v="Easy-staple paper"/>
    <n v="70.88"/>
    <n v="2"/>
    <n v="33.313600000000001"/>
    <n v="47"/>
  </r>
  <r>
    <s v="CA-2019-133550"/>
    <x v="247"/>
    <s v="KL-16645"/>
    <s v="Ken Lonsdale"/>
    <s v="United States"/>
    <x v="3"/>
    <x v="0"/>
    <s v="Polycom SoundPoint Pro SE-225 Corded phone"/>
    <n v="118.99"/>
    <n v="1"/>
    <n v="33.3172"/>
    <n v="28.000000000000004"/>
  </r>
  <r>
    <s v="CA-2020-144848"/>
    <x v="499"/>
    <s v="DS-13030"/>
    <s v="Darrin Sayre"/>
    <s v="United States"/>
    <x v="0"/>
    <x v="0"/>
    <s v="LG Electronics Tone+ HBS-730 Bluetooth Headset"/>
    <n v="145.02000000000001"/>
    <n v="2"/>
    <n v="33.325600000000001"/>
    <n v="22.980002758240243"/>
  </r>
  <r>
    <s v="CA-2020-104885"/>
    <x v="304"/>
    <s v="DB-13555"/>
    <s v="Dorothy Badders"/>
    <s v="United States"/>
    <x v="0"/>
    <x v="1"/>
    <s v="Easy-staple paper"/>
    <n v="109.04"/>
    <n v="6"/>
    <n v="33.339599999999997"/>
    <n v="30.575568598679382"/>
  </r>
  <r>
    <s v="CA-2019-156265"/>
    <x v="550"/>
    <s v="BF-11020"/>
    <s v="Barry Französisch"/>
    <s v="United States"/>
    <x v="2"/>
    <x v="0"/>
    <s v="Nortel Business Series Terminal T7208 Digital phone"/>
    <n v="333.57600000000002"/>
    <n v="3"/>
    <n v="33.357599999999998"/>
    <n v="10"/>
  </r>
  <r>
    <s v="CA-2020-168228"/>
    <x v="224"/>
    <s v="AP-10915"/>
    <s v="Arthur Prichep"/>
    <s v="United States"/>
    <x v="2"/>
    <x v="1"/>
    <s v="Boston School Pro Electric Pencil Sharpener, 1670"/>
    <n v="169.92"/>
    <n v="4"/>
    <n v="33.458399999999997"/>
    <n v="19.690677966101696"/>
  </r>
  <r>
    <s v="CA-2020-117947"/>
    <x v="243"/>
    <s v="NG-18355"/>
    <s v="Nat Gilpin"/>
    <s v="United States"/>
    <x v="0"/>
    <x v="1"/>
    <s v="Recycled Easel Ring Binders"/>
    <n v="140.42400000000001"/>
    <n v="9"/>
    <n v="33.57"/>
    <n v="23.90616988548966"/>
  </r>
  <r>
    <s v="CA-2019-140081"/>
    <x v="295"/>
    <s v="CG-12040"/>
    <s v="Catherine Glotzbach"/>
    <s v="United States"/>
    <x v="0"/>
    <x v="1"/>
    <s v="Sanyo 2.5 Cubic Foot Mid-Size Office Refrigerators"/>
    <n v="447.69600000000003"/>
    <n v="2"/>
    <n v="33.577199999999998"/>
    <n v="7.5"/>
  </r>
  <r>
    <s v="CA-2020-144827"/>
    <x v="493"/>
    <s v="SE-20110"/>
    <s v="Sanjit Engle"/>
    <s v="United States"/>
    <x v="2"/>
    <x v="1"/>
    <s v="Fellowes Mobile File Cart, Black"/>
    <n v="334.36"/>
    <n v="2"/>
    <n v="33.577199999999998"/>
    <n v="10.042229931810025"/>
  </r>
  <r>
    <s v="US-2020-121251"/>
    <x v="74"/>
    <s v="GM-14440"/>
    <s v="Gary McGarr"/>
    <s v="United States"/>
    <x v="0"/>
    <x v="0"/>
    <s v="Nokia Lumia 521 (T-Mobile)"/>
    <n v="167.96"/>
    <n v="4"/>
    <n v="33.588799999999999"/>
    <n v="19.998094784472492"/>
  </r>
  <r>
    <s v="CA-2020-132521"/>
    <x v="71"/>
    <s v="DW-13540"/>
    <s v="Don Weiss"/>
    <s v="United States"/>
    <x v="2"/>
    <x v="1"/>
    <s v="Belkin 8 Outlet SurgeMaster II Gold Surge Protector"/>
    <n v="137.96"/>
    <n v="2"/>
    <n v="33.588799999999999"/>
    <n v="24.346767178892431"/>
  </r>
  <r>
    <s v="CA-2020-152856"/>
    <x v="25"/>
    <s v="RS-19765"/>
    <s v="Roland Schwarz"/>
    <s v="United States"/>
    <x v="0"/>
    <x v="0"/>
    <s v="Memorex Micro Travel Drive 32 GB"/>
    <n v="133.83199999999999"/>
    <n v="4"/>
    <n v="33.589199999999998"/>
    <n v="25.09803335525136"/>
  </r>
  <r>
    <s v="CA-2019-145730"/>
    <x v="17"/>
    <s v="CC-12220"/>
    <s v="Chris Cortes"/>
    <s v="United States"/>
    <x v="3"/>
    <x v="0"/>
    <s v="Canon PC170 Desktop Personal Copier"/>
    <n v="287.91000000000003"/>
    <n v="3"/>
    <n v="33.589500000000001"/>
    <n v="11.666666666666666"/>
  </r>
  <r>
    <s v="CA-2019-130225"/>
    <x v="106"/>
    <s v="RC-19960"/>
    <s v="Ryan Crowe"/>
    <s v="United States"/>
    <x v="3"/>
    <x v="1"/>
    <s v="Cameo Buff Policy Envelopes"/>
    <n v="99.567999999999998"/>
    <n v="2"/>
    <n v="33.604199999999999"/>
    <n v="33.75"/>
  </r>
  <r>
    <s v="CA-2020-155712"/>
    <x v="304"/>
    <s v="KD-16615"/>
    <s v="Ken Dana"/>
    <s v="United States"/>
    <x v="2"/>
    <x v="1"/>
    <s v="Catalog Binders with Expanding Posts"/>
    <n v="128.648"/>
    <n v="2"/>
    <n v="33.64"/>
    <n v="26.148871338847091"/>
  </r>
  <r>
    <s v="CA-2020-131954"/>
    <x v="263"/>
    <s v="DS-13030"/>
    <s v="Darrin Sayre"/>
    <s v="United States"/>
    <x v="2"/>
    <x v="1"/>
    <s v="Wilson Jones Century Plastic Molded Ring Binders"/>
    <n v="116.696"/>
    <n v="6"/>
    <n v="33.647399999999998"/>
    <n v="28.833379036128058"/>
  </r>
  <r>
    <s v="CA-2019-156503"/>
    <x v="487"/>
    <s v="NC-18415"/>
    <s v="Nathan Cano"/>
    <s v="United States"/>
    <x v="1"/>
    <x v="1"/>
    <s v="Xerox 1944"/>
    <n v="93.024000000000001"/>
    <n v="3"/>
    <n v="33.721200000000003"/>
    <n v="36.250000000000007"/>
  </r>
  <r>
    <s v="CA-2019-101161"/>
    <x v="27"/>
    <s v="BW-11110"/>
    <s v="Bart Watters"/>
    <s v="United States"/>
    <x v="0"/>
    <x v="2"/>
    <s v="Howard Miller Distant Time Traveler Alarm Clock"/>
    <n v="82.26"/>
    <n v="3"/>
    <n v="33.726599999999998"/>
    <n v="40.999999999999993"/>
  </r>
  <r>
    <s v="CA-2019-113726"/>
    <x v="289"/>
    <s v="SC-20680"/>
    <s v="Steve Carroll"/>
    <s v="United States"/>
    <x v="2"/>
    <x v="2"/>
    <s v="Howard Miller Distant Time Traveler Alarm Clock"/>
    <n v="82.26"/>
    <n v="3"/>
    <n v="33.726599999999998"/>
    <n v="40.999999999999993"/>
  </r>
  <r>
    <s v="US-2019-126431"/>
    <x v="471"/>
    <s v="SU-20665"/>
    <s v="Stephanie Ulpright"/>
    <s v="United States"/>
    <x v="0"/>
    <x v="1"/>
    <s v="Southworth 25% Cotton Antique Laid Paper &amp; Envelopes"/>
    <n v="75.06"/>
    <n v="9"/>
    <n v="33.777000000000001"/>
    <n v="45"/>
  </r>
  <r>
    <s v="US-2019-141544"/>
    <x v="62"/>
    <s v="PO-18850"/>
    <s v="Patrick O'Brill"/>
    <s v="United States"/>
    <x v="0"/>
    <x v="1"/>
    <s v="Round Specialty Laser Printer Labels"/>
    <n v="100.24"/>
    <n v="10"/>
    <n v="33.831000000000003"/>
    <n v="33.75"/>
  </r>
  <r>
    <s v="CA-2019-118745"/>
    <x v="335"/>
    <s v="SV-20365"/>
    <s v="Seth Vernon"/>
    <s v="United States"/>
    <x v="2"/>
    <x v="2"/>
    <s v="Bretford Rectangular Conference Table Tops"/>
    <n v="902.71199999999999"/>
    <n v="3"/>
    <n v="33.851700000000001"/>
    <n v="3.75"/>
  </r>
  <r>
    <s v="CA-2019-129868"/>
    <x v="386"/>
    <s v="MC-18130"/>
    <s v="Mike Caudle"/>
    <s v="United States"/>
    <x v="2"/>
    <x v="2"/>
    <s v="Bretford Rectangular Conference Table Tops"/>
    <n v="902.71199999999999"/>
    <n v="3"/>
    <n v="33.851700000000001"/>
    <n v="3.75"/>
  </r>
  <r>
    <s v="US-2019-113985"/>
    <x v="118"/>
    <s v="KD-16495"/>
    <s v="Keith Dawkins"/>
    <s v="United States"/>
    <x v="2"/>
    <x v="1"/>
    <s v="Satellite Sectional Post Binders"/>
    <n v="104.184"/>
    <n v="3"/>
    <n v="33.8598"/>
    <n v="32.5"/>
  </r>
  <r>
    <s v="CA-2020-125472"/>
    <x v="380"/>
    <s v="BD-11725"/>
    <s v="Bruce Degenhardt"/>
    <s v="United States"/>
    <x v="1"/>
    <x v="2"/>
    <s v="Sauder Camden County Barrister Bookcase, Planked Cherry Finish"/>
    <n v="276.95999999999998"/>
    <n v="2"/>
    <n v="33.874400000000001"/>
    <n v="12.230791450028887"/>
  </r>
  <r>
    <s v="CA-2019-112739"/>
    <x v="110"/>
    <s v="RD-19810"/>
    <s v="Ross DeVincentis"/>
    <s v="United States"/>
    <x v="3"/>
    <x v="0"/>
    <s v="Logitech MX Performance Wireless Mouse"/>
    <n v="159.56"/>
    <n v="5"/>
    <n v="33.906500000000001"/>
    <n v="21.25"/>
  </r>
  <r>
    <s v="CA-2019-158155"/>
    <x v="139"/>
    <s v="EH-13765"/>
    <s v="Edward Hooks"/>
    <s v="United States"/>
    <x v="0"/>
    <x v="1"/>
    <s v="Vinyl Sectional Post Binders"/>
    <n v="90.48"/>
    <n v="3"/>
    <n v="33.93"/>
    <n v="37.5"/>
  </r>
  <r>
    <s v="CA-2020-108854"/>
    <x v="136"/>
    <s v="DM-13345"/>
    <s v="Denise Monton"/>
    <s v="United States"/>
    <x v="2"/>
    <x v="1"/>
    <s v="Vinyl Sectional Post Binders"/>
    <n v="104.48"/>
    <n v="3"/>
    <n v="33.93"/>
    <n v="32.475114854517614"/>
  </r>
  <r>
    <s v="CA-2020-145219"/>
    <x v="437"/>
    <s v="RM-19675"/>
    <s v="Robert Marley"/>
    <s v="United States"/>
    <x v="2"/>
    <x v="1"/>
    <s v="Vinyl Sectional Post Binders"/>
    <n v="471.48"/>
    <n v="3"/>
    <n v="33.93"/>
    <n v="7.1964876558920841"/>
  </r>
  <r>
    <s v="CA-2019-164091"/>
    <x v="186"/>
    <s v="LA-16780"/>
    <s v="Laura Armstrong"/>
    <s v="United States"/>
    <x v="0"/>
    <x v="2"/>
    <s v="C-Line Cubicle Keepers Polyproplyene Holder w/Velcro Back, 8-1/2x11, 25/Bx"/>
    <n v="109.48"/>
    <n v="2"/>
    <n v="33.938800000000001"/>
    <n v="31"/>
  </r>
  <r>
    <s v="CA-2020-145226"/>
    <x v="136"/>
    <s v="DL-13315"/>
    <s v="Delfina Latchford"/>
    <s v="United States"/>
    <x v="0"/>
    <x v="2"/>
    <s v="C-Line Cubicle Keepers Polyproplyene Holder w/Velcro Back, 8-1/2x11, 25/Bx"/>
    <n v="143.47999999999999"/>
    <n v="2"/>
    <n v="33.938800000000001"/>
    <n v="23.654028436018958"/>
  </r>
  <r>
    <s v="CA-2020-166198"/>
    <x v="69"/>
    <s v="JW-15955"/>
    <s v="Joni Wasserman"/>
    <s v="United States"/>
    <x v="2"/>
    <x v="2"/>
    <s v="Eldon Advantage Foldable Chair Mats for Low Pile Carpets"/>
    <n v="185.6"/>
    <n v="3"/>
    <n v="34.146000000000001"/>
    <n v="18.397629310344829"/>
  </r>
  <r>
    <s v="US-2020-130687"/>
    <x v="266"/>
    <s v="PF-19225"/>
    <s v="Phillip Flathmann"/>
    <s v="United States"/>
    <x v="2"/>
    <x v="0"/>
    <s v="Konftel 250 Conference phone - Charcoal black"/>
    <n v="485.71199999999999"/>
    <n v="2"/>
    <n v="34.178400000000003"/>
    <n v="7.0367625259412998"/>
  </r>
  <r>
    <s v="CA-2020-164756"/>
    <x v="406"/>
    <s v="SS-20140"/>
    <s v="Saphhira Shifley"/>
    <s v="United States"/>
    <x v="1"/>
    <x v="1"/>
    <s v="Hunt PowerHouse Electric Pencil Sharpener, Blue"/>
    <n v="155.94"/>
    <n v="3"/>
    <n v="34.182000000000002"/>
    <n v="21.919969218930362"/>
  </r>
  <r>
    <s v="US-2020-142188"/>
    <x v="183"/>
    <s v="JF-15415"/>
    <s v="Jennifer Ferguson"/>
    <s v="United States"/>
    <x v="2"/>
    <x v="1"/>
    <s v="Xerox 1894"/>
    <n v="108.28"/>
    <n v="11"/>
    <n v="34.214399999999998"/>
    <n v="31.598079054303657"/>
  </r>
  <r>
    <s v="CA-2019-149979"/>
    <x v="273"/>
    <s v="RA-19915"/>
    <s v="Russell Applegate"/>
    <s v="United States"/>
    <x v="1"/>
    <x v="1"/>
    <s v="Eldon Mobile Mega Data Cart  Mega Stackable  Add-On Trays"/>
    <n v="118.25"/>
    <n v="5"/>
    <n v="34.292499999999997"/>
    <n v="28.999999999999996"/>
  </r>
  <r>
    <s v="CA-2020-122798"/>
    <x v="240"/>
    <s v="SV-20935"/>
    <s v="Susan Vittorini"/>
    <s v="United States"/>
    <x v="2"/>
    <x v="1"/>
    <s v="Eldon Mobile Mega Data Cart  Mega Stackable  Add-On Trays"/>
    <n v="453.25"/>
    <n v="5"/>
    <n v="34.292499999999997"/>
    <n v="7.5659128516271368"/>
  </r>
  <r>
    <s v="US-2019-168095"/>
    <x v="596"/>
    <s v="MC-17425"/>
    <s v="Mark Cousins"/>
    <s v="United States"/>
    <x v="2"/>
    <x v="1"/>
    <s v="Xerox 1909"/>
    <n v="105.52"/>
    <n v="5"/>
    <n v="34.293999999999997"/>
    <n v="32.499999999999993"/>
  </r>
  <r>
    <s v="CA-2020-121489"/>
    <x v="500"/>
    <s v="CM-11815"/>
    <s v="Candace McMahon"/>
    <s v="United States"/>
    <x v="2"/>
    <x v="1"/>
    <s v="Fellowes Stor/Drawer Steel Plus Storage Drawers"/>
    <n v="612.58000000000004"/>
    <n v="6"/>
    <n v="34.354799999999997"/>
    <n v="5.6082144372979847"/>
  </r>
  <r>
    <s v="CA-2019-116547"/>
    <x v="577"/>
    <s v="KB-16585"/>
    <s v="Ken Black"/>
    <s v="United States"/>
    <x v="2"/>
    <x v="2"/>
    <s v="24-Hour Round Wall Clock"/>
    <n v="79.92"/>
    <n v="4"/>
    <n v="34.365600000000001"/>
    <n v="43"/>
  </r>
  <r>
    <s v="CA-2019-126004"/>
    <x v="430"/>
    <s v="BM-11140"/>
    <s v="Becky Martin"/>
    <s v="United States"/>
    <x v="0"/>
    <x v="0"/>
    <s v="Enermax Aurora Lite Keyboard"/>
    <n v="78.150000000000006"/>
    <n v="1"/>
    <n v="34.386000000000003"/>
    <n v="44"/>
  </r>
  <r>
    <s v="CA-2020-116953"/>
    <x v="298"/>
    <s v="SV-20935"/>
    <s v="Susan Vittorini"/>
    <s v="United States"/>
    <x v="2"/>
    <x v="0"/>
    <s v="AT&amp;T 841000 Phone"/>
    <n v="601"/>
    <n v="10"/>
    <n v="34.5"/>
    <n v="5.7404326123128113"/>
  </r>
  <r>
    <s v="US-2019-140158"/>
    <x v="285"/>
    <s v="DR-12940"/>
    <s v="Daniel Raglin"/>
    <s v="United States"/>
    <x v="0"/>
    <x v="1"/>
    <s v="Letter Size File"/>
    <n v="119.1"/>
    <n v="3"/>
    <n v="34.539000000000001"/>
    <n v="29.000000000000004"/>
  </r>
  <r>
    <s v="US-2020-107888"/>
    <x v="417"/>
    <s v="CC-12220"/>
    <s v="Chris Cortes"/>
    <s v="United States"/>
    <x v="2"/>
    <x v="1"/>
    <s v="Xerox 1933"/>
    <n v="155.68"/>
    <n v="6"/>
    <n v="34.629600000000003"/>
    <n v="22.244090441932173"/>
  </r>
  <r>
    <s v="CA-2020-130764"/>
    <x v="396"/>
    <s v="JO-15145"/>
    <s v="Jack O'Briant"/>
    <s v="United States"/>
    <x v="2"/>
    <x v="0"/>
    <s v="Jackery Bar Premium Fast-charging Portable Charger"/>
    <n v="118.84"/>
    <n v="4"/>
    <n v="34.741999999999997"/>
    <n v="29.234264557388084"/>
  </r>
  <r>
    <s v="CA-2020-107748"/>
    <x v="409"/>
    <s v="AG-10330"/>
    <s v="Alex Grayson"/>
    <s v="United States"/>
    <x v="2"/>
    <x v="0"/>
    <s v="Jackery Bar Premium Fast-charging Portable Charger"/>
    <n v="440.84"/>
    <n v="4"/>
    <n v="34.741999999999997"/>
    <n v="7.8808638054622984"/>
  </r>
  <r>
    <s v="CA-2020-119578"/>
    <x v="67"/>
    <s v="JG-15310"/>
    <s v="Jason Gross"/>
    <s v="United States"/>
    <x v="0"/>
    <x v="1"/>
    <s v="Premier Electric Letter Opener"/>
    <n v="144.16"/>
    <n v="6"/>
    <n v="34.758000000000003"/>
    <n v="24.110710321864598"/>
  </r>
  <r>
    <s v="CA-2020-164826"/>
    <x v="240"/>
    <s v="JF-15415"/>
    <s v="Jennifer Ferguson"/>
    <s v="United States"/>
    <x v="0"/>
    <x v="1"/>
    <s v="Avery 473"/>
    <n v="292.45"/>
    <n v="7"/>
    <n v="34.776000000000003"/>
    <n v="11.891263463839973"/>
  </r>
  <r>
    <s v="CA-2019-133711"/>
    <x v="127"/>
    <s v="MC-17425"/>
    <s v="Mark Cousins"/>
    <s v="United States"/>
    <x v="1"/>
    <x v="1"/>
    <s v="Easy-staple paper"/>
    <n v="70.98"/>
    <n v="7"/>
    <n v="34.780200000000001"/>
    <n v="49"/>
  </r>
  <r>
    <s v="CA-2019-129280"/>
    <x v="101"/>
    <s v="SM-20905"/>
    <s v="Susan MacKendrick"/>
    <s v="United States"/>
    <x v="0"/>
    <x v="0"/>
    <s v="Imation 16GB Mini TravelDrive USB 2.0 Flash Drive"/>
    <n v="132.52000000000001"/>
    <n v="5"/>
    <n v="34.786499999999997"/>
    <n v="26.249999999999996"/>
  </r>
  <r>
    <s v="US-2020-130687"/>
    <x v="266"/>
    <s v="PF-19225"/>
    <s v="Phillip Flathmann"/>
    <s v="United States"/>
    <x v="2"/>
    <x v="2"/>
    <s v="DAX Two-Tone Silver Metal Document Frame"/>
    <n v="115.96"/>
    <n v="4"/>
    <n v="34.812800000000003"/>
    <n v="30.021386685063817"/>
  </r>
  <r>
    <s v="CA-2019-106950"/>
    <x v="110"/>
    <s v="JE-15715"/>
    <s v="Joe Elijah"/>
    <s v="United States"/>
    <x v="1"/>
    <x v="1"/>
    <s v="Belkin F9M820V08 8 Outlet Surge"/>
    <n v="309.45600000000002"/>
    <n v="9"/>
    <n v="34.813800000000001"/>
    <n v="11.249999999999998"/>
  </r>
  <r>
    <s v="CA-2020-122175"/>
    <x v="198"/>
    <s v="CA-12775"/>
    <s v="Cynthia Arntzen"/>
    <s v="United States"/>
    <x v="0"/>
    <x v="0"/>
    <s v="Maxell Pro 80 Minute CD-R, 10/Pack"/>
    <n v="137.4"/>
    <n v="5"/>
    <n v="34.96"/>
    <n v="25.443959243085878"/>
  </r>
  <r>
    <s v="CA-2019-112830"/>
    <x v="428"/>
    <s v="LP-17095"/>
    <s v="Liz Preis"/>
    <s v="United States"/>
    <x v="0"/>
    <x v="2"/>
    <s v="Electrix Halogen Magnifier Lamp"/>
    <n v="466.32"/>
    <n v="3"/>
    <n v="34.973999999999997"/>
    <n v="7.5"/>
  </r>
  <r>
    <s v="CA-2019-108105"/>
    <x v="75"/>
    <s v="GW-14605"/>
    <s v="Giulietta Weimer"/>
    <s v="United States"/>
    <x v="1"/>
    <x v="2"/>
    <s v="Eldon Cleatmat Plus Chair Mats for High Pile Carpets"/>
    <n v="318.08"/>
    <n v="4"/>
    <n v="34.988799999999998"/>
    <n v="11"/>
  </r>
  <r>
    <s v="CA-2019-162138"/>
    <x v="567"/>
    <s v="GK-14620"/>
    <s v="Grace Kelly"/>
    <s v="United States"/>
    <x v="2"/>
    <x v="0"/>
    <s v="Logitech Wireless Headset h800"/>
    <n v="99.99"/>
    <n v="1"/>
    <n v="34.996499999999997"/>
    <n v="35"/>
  </r>
  <r>
    <s v="CA-2020-143063"/>
    <x v="622"/>
    <s v="IL-15100"/>
    <s v="Ivan Liston"/>
    <s v="United States"/>
    <x v="3"/>
    <x v="1"/>
    <s v="Staple envelope"/>
    <n v="169.08"/>
    <n v="6"/>
    <n v="35.04"/>
    <n v="20.723917672107873"/>
  </r>
  <r>
    <s v="CA-2019-146325"/>
    <x v="359"/>
    <s v="DS-13180"/>
    <s v="David Smith"/>
    <s v="United States"/>
    <x v="2"/>
    <x v="1"/>
    <s v="Tenex Personal Project File with Scoop Front Design, Black"/>
    <n v="134.80000000000001"/>
    <n v="10"/>
    <n v="35.048000000000002"/>
    <n v="26"/>
  </r>
  <r>
    <s v="CA-2019-156748"/>
    <x v="515"/>
    <s v="BS-11755"/>
    <s v="Bruce Stewart"/>
    <s v="United States"/>
    <x v="3"/>
    <x v="2"/>
    <s v="High-Back Leather Manager's Chair"/>
    <n v="389.97"/>
    <n v="3"/>
    <n v="35.097299999999997"/>
    <n v="8.9999999999999982"/>
  </r>
  <r>
    <s v="US-2020-120418"/>
    <x v="206"/>
    <s v="BC-11125"/>
    <s v="Becky Castell"/>
    <s v="United States"/>
    <x v="2"/>
    <x v="2"/>
    <s v="Global Leather Executive Chair"/>
    <n v="308.79199999999997"/>
    <n v="1"/>
    <n v="35.098999999999997"/>
    <n v="11.366550946915723"/>
  </r>
  <r>
    <s v="CA-2019-160220"/>
    <x v="326"/>
    <s v="JS-16030"/>
    <s v="Joy Smith"/>
    <s v="United States"/>
    <x v="3"/>
    <x v="0"/>
    <s v="iKross Bluetooth Portable Keyboard + Cell Phone Stand Holder + Brush for Apple iPhone 5S 5C 5, 4S 4"/>
    <n v="125.7"/>
    <n v="6"/>
    <n v="35.195999999999998"/>
    <n v="27.999999999999996"/>
  </r>
  <r>
    <s v="US-2019-108497"/>
    <x v="129"/>
    <s v="MH-17290"/>
    <s v="Marc Harrigan"/>
    <s v="United States"/>
    <x v="2"/>
    <x v="2"/>
    <s v="Bush Heritage Pine Collection 5-Shelf Bookcase, Albany Pine Finish, *Special Order"/>
    <n v="599.16499999999996"/>
    <n v="5"/>
    <n v="35.244999999999997"/>
    <n v="5.8823529411764701"/>
  </r>
  <r>
    <s v="CA-2019-152730"/>
    <x v="323"/>
    <s v="EM-14140"/>
    <s v="Eugene Moren"/>
    <s v="United States"/>
    <x v="3"/>
    <x v="0"/>
    <s v="VTech DS6151"/>
    <n v="125.99"/>
    <n v="1"/>
    <n v="35.277200000000001"/>
    <n v="28.000000000000004"/>
  </r>
  <r>
    <s v="CA-2020-144862"/>
    <x v="265"/>
    <s v="EH-14005"/>
    <s v="Erica Hernandez"/>
    <s v="United States"/>
    <x v="0"/>
    <x v="1"/>
    <s v="Quality Park Security Envelopes"/>
    <n v="138.68"/>
    <n v="5"/>
    <n v="35.329500000000003"/>
    <n v="25.47555523507355"/>
  </r>
  <r>
    <s v="CA-2020-150189"/>
    <x v="526"/>
    <s v="VG-21790"/>
    <s v="Vivek Gonzalez"/>
    <s v="United States"/>
    <x v="2"/>
    <x v="1"/>
    <s v="Avery 485"/>
    <n v="104.18"/>
    <n v="6"/>
    <n v="35.334600000000002"/>
    <n v="33.916874640046075"/>
  </r>
  <r>
    <s v="CA-2020-108553"/>
    <x v="327"/>
    <s v="SK-19990"/>
    <s v="Sally Knutson"/>
    <s v="United States"/>
    <x v="0"/>
    <x v="1"/>
    <s v="Tripp Lite Isotel 6 Outlet Surge Protector with Fax/Modem Protection"/>
    <n v="163.94"/>
    <n v="2"/>
    <n v="35.3626"/>
    <n v="21.570452604611443"/>
  </r>
  <r>
    <s v="CA-2020-100412"/>
    <x v="67"/>
    <s v="SR-20425"/>
    <s v="Sharelle Roach"/>
    <s v="United States"/>
    <x v="1"/>
    <x v="2"/>
    <s v="Situations Contoured Folding Chairs, 4/Set"/>
    <n v="328.96"/>
    <n v="2"/>
    <n v="35.49"/>
    <n v="10.788545719844359"/>
  </r>
  <r>
    <s v="CA-2019-136021"/>
    <x v="193"/>
    <s v="JM-15580"/>
    <s v="Jill Matthias"/>
    <s v="United States"/>
    <x v="2"/>
    <x v="0"/>
    <s v="Texas Instruments TI-34 Scientific Calculator"/>
    <n v="105.55200000000001"/>
    <n v="6"/>
    <n v="35.623800000000003"/>
    <n v="33.75"/>
  </r>
  <r>
    <s v="CA-2020-111332"/>
    <x v="145"/>
    <s v="NC-18340"/>
    <s v="Nat Carroll"/>
    <s v="United States"/>
    <x v="3"/>
    <x v="1"/>
    <s v="Boston 1645 Deluxe Heavier-Duty Electric Pencil Sharpener"/>
    <n v="174.94"/>
    <n v="3"/>
    <n v="35.623800000000003"/>
    <n v="20.363438893334859"/>
  </r>
  <r>
    <s v="CA-2020-135860"/>
    <x v="265"/>
    <s v="JH-15985"/>
    <s v="Joseph Holt"/>
    <s v="United States"/>
    <x v="3"/>
    <x v="0"/>
    <s v="Panasonic KX-TG6844B Expandable Digital Cordless Telephone"/>
    <n v="156.97999999999999"/>
    <n v="2"/>
    <n v="35.634599999999999"/>
    <n v="22.700089183335457"/>
  </r>
  <r>
    <s v="CA-2019-119823"/>
    <x v="41"/>
    <s v="KD-16270"/>
    <s v="Karen Daniels"/>
    <s v="United States"/>
    <x v="1"/>
    <x v="1"/>
    <s v="Snap-A-Way Black Print Carbonless Ruled Speed Letter, Triplicate"/>
    <n v="75.88"/>
    <n v="2"/>
    <n v="35.663600000000002"/>
    <n v="47.000000000000007"/>
  </r>
  <r>
    <s v="CA-2019-163776"/>
    <x v="469"/>
    <s v="JS-16030"/>
    <s v="Joy Smith"/>
    <s v="United States"/>
    <x v="1"/>
    <x v="1"/>
    <s v="Premium Transparent Presentation Covers, No Pattern/Clear, 8 1/2&quot; x 11&quot;"/>
    <n v="77.56"/>
    <n v="2"/>
    <n v="35.677599999999998"/>
    <n v="46"/>
  </r>
  <r>
    <s v="CA-2019-128671"/>
    <x v="607"/>
    <s v="MT-18070"/>
    <s v="Michelle Tran"/>
    <s v="United States"/>
    <x v="3"/>
    <x v="1"/>
    <s v="Premium Transparent Presentation Covers, No Pattern/Clear, 8 1/2&quot; x 11&quot;"/>
    <n v="77.56"/>
    <n v="2"/>
    <n v="35.677599999999998"/>
    <n v="46"/>
  </r>
  <r>
    <s v="CA-2019-163755"/>
    <x v="56"/>
    <s v="AS-10285"/>
    <s v="Alejandro Savely"/>
    <s v="United States"/>
    <x v="2"/>
    <x v="2"/>
    <s v="Tenex &quot;The Solids&quot; Textured Chair Mats"/>
    <n v="209.88"/>
    <n v="3"/>
    <n v="35.679600000000001"/>
    <n v="17"/>
  </r>
  <r>
    <s v="CA-2020-167703"/>
    <x v="275"/>
    <s v="MC-17575"/>
    <s v="Matt Collins"/>
    <s v="United States"/>
    <x v="0"/>
    <x v="1"/>
    <s v="Hot File 7-Pocket, Floor Stand"/>
    <n v="2298.5520000000001"/>
    <n v="2"/>
    <n v="35.694000000000003"/>
    <n v="1.552890689442745"/>
  </r>
  <r>
    <s v="CA-2019-142594"/>
    <x v="212"/>
    <s v="EJ-14155"/>
    <s v="Eva Jacobs"/>
    <s v="United States"/>
    <x v="0"/>
    <x v="0"/>
    <s v="Jensen SMPS-640 - speaker phone"/>
    <n v="137.94"/>
    <n v="3"/>
    <n v="35.864400000000003"/>
    <n v="26"/>
  </r>
  <r>
    <s v="US-2020-104437"/>
    <x v="271"/>
    <s v="TG-21310"/>
    <s v="Toby Gnade"/>
    <s v="United States"/>
    <x v="0"/>
    <x v="0"/>
    <s v="Jensen SMPS-640 - speaker phone"/>
    <n v="156.94"/>
    <n v="3"/>
    <n v="35.864400000000003"/>
    <n v="22.852300242130752"/>
  </r>
  <r>
    <s v="CA-2020-140508"/>
    <x v="406"/>
    <s v="PA-19060"/>
    <s v="Pete Armstrong"/>
    <s v="United States"/>
    <x v="3"/>
    <x v="1"/>
    <s v="Jet-Pak Recycled Peel 'N' Seal Padded Mailers"/>
    <n v="136.84800000000001"/>
    <n v="4"/>
    <n v="35.89"/>
    <n v="26.226177949257568"/>
  </r>
  <r>
    <s v="CA-2020-123372"/>
    <x v="24"/>
    <s v="DG-13300"/>
    <s v="Deirdre Greer"/>
    <s v="United States"/>
    <x v="0"/>
    <x v="1"/>
    <s v="Blue String-Tie &amp; Button Interoffice Envelopes, 10 x 13"/>
    <n v="108.96"/>
    <n v="2"/>
    <n v="35.981999999999999"/>
    <n v="33.023127753303967"/>
  </r>
  <r>
    <s v="CA-2019-126270"/>
    <x v="567"/>
    <s v="AF-10870"/>
    <s v="Art Ferguson"/>
    <s v="United States"/>
    <x v="2"/>
    <x v="1"/>
    <s v="Recycled Interoffice Envelopes with String and Button Closure, 10 x 13"/>
    <n v="71.97"/>
    <n v="3"/>
    <n v="35.984999999999999"/>
    <n v="50"/>
  </r>
  <r>
    <s v="CA-2019-132829"/>
    <x v="39"/>
    <s v="LA-16780"/>
    <s v="Laura Armstrong"/>
    <s v="United States"/>
    <x v="3"/>
    <x v="0"/>
    <s v="Cisco SPA 502G IP Phone"/>
    <n v="287.88"/>
    <n v="3"/>
    <n v="35.984999999999999"/>
    <n v="12.5"/>
  </r>
  <r>
    <s v="CA-2020-162572"/>
    <x v="222"/>
    <s v="RB-19360"/>
    <s v="Raymond Buch"/>
    <s v="United States"/>
    <x v="0"/>
    <x v="0"/>
    <s v="Logitech 910-002974 M325 Wireless Mouse for Web Scrolling"/>
    <n v="161.96"/>
    <n v="5"/>
    <n v="35.988"/>
    <n v="22.220301308965176"/>
  </r>
  <r>
    <s v="CA-2019-110044"/>
    <x v="507"/>
    <s v="RF-19735"/>
    <s v="Roland Fjeld"/>
    <s v="United States"/>
    <x v="3"/>
    <x v="0"/>
    <s v="Polycom CX300 Desktop Phone USB VoIP phone"/>
    <n v="359.976"/>
    <n v="3"/>
    <n v="35.997599999999998"/>
    <n v="10"/>
  </r>
  <r>
    <s v="CA-2020-100524"/>
    <x v="152"/>
    <s v="CM-12115"/>
    <s v="Chad McGuire"/>
    <s v="United States"/>
    <x v="0"/>
    <x v="1"/>
    <s v="Rediform S.O.S. 1-Up Phone Message Bk, 4-1/4x3-1/16 Bk, 1 Form/Pg, 40 Messages/Bk, 3/Pk"/>
    <n v="182.04"/>
    <n v="8"/>
    <n v="36.019199999999998"/>
    <n v="19.786420566908372"/>
  </r>
  <r>
    <s v="CA-2020-113908"/>
    <x v="132"/>
    <s v="KN-16390"/>
    <s v="Katherine Nockton"/>
    <s v="United States"/>
    <x v="0"/>
    <x v="0"/>
    <s v="Hewlett-Packard 300S Scientific Calculator"/>
    <n v="111.66"/>
    <n v="6"/>
    <n v="36.183599999999998"/>
    <n v="32.405158516926384"/>
  </r>
  <r>
    <s v="CA-2020-103352"/>
    <x v="464"/>
    <s v="RP-19390"/>
    <s v="Resi Pölking"/>
    <s v="United States"/>
    <x v="0"/>
    <x v="1"/>
    <s v="Avery Flip-Chart Easel Binder, Black"/>
    <n v="138.42400000000001"/>
    <n v="6"/>
    <n v="36.255600000000001"/>
    <n v="26.191700861122346"/>
  </r>
  <r>
    <s v="US-2019-111290"/>
    <x v="448"/>
    <s v="DK-13375"/>
    <s v="Dennis Kane"/>
    <s v="United States"/>
    <x v="3"/>
    <x v="0"/>
    <s v="Plantronics Audio 995 Wireless Stereo Headset"/>
    <n v="109.95"/>
    <n v="1"/>
    <n v="36.283499999999997"/>
    <n v="32.999999999999993"/>
  </r>
  <r>
    <s v="CA-2020-100055"/>
    <x v="185"/>
    <s v="MD-17860"/>
    <s v="Michael Dominguez"/>
    <s v="United States"/>
    <x v="0"/>
    <x v="1"/>
    <s v="Fellowes 8 Outlet Superior Workstation Surge Protector"/>
    <n v="137.13"/>
    <n v="3"/>
    <n v="36.287700000000001"/>
    <n v="26.462262087070666"/>
  </r>
  <r>
    <s v="CA-2019-145247"/>
    <x v="415"/>
    <s v="ND-18370"/>
    <s v="Natalie DeCherney"/>
    <s v="United States"/>
    <x v="1"/>
    <x v="1"/>
    <s v="Xerox 1909"/>
    <n v="79.14"/>
    <n v="3"/>
    <n v="36.404400000000003"/>
    <n v="46"/>
  </r>
  <r>
    <s v="CA-2020-134635"/>
    <x v="346"/>
    <s v="NS-18640"/>
    <s v="Noel Staavos"/>
    <s v="United States"/>
    <x v="2"/>
    <x v="1"/>
    <s v="Xerox 1883"/>
    <n v="100.14"/>
    <n v="3"/>
    <n v="36.404400000000003"/>
    <n v="36.353505092869987"/>
  </r>
  <r>
    <s v="CA-2019-134138"/>
    <x v="75"/>
    <s v="JD-15790"/>
    <s v="John Dryer"/>
    <s v="United States"/>
    <x v="0"/>
    <x v="2"/>
    <s v="Hon Comfortask Task/Swivel Chairs"/>
    <n v="227.96"/>
    <n v="2"/>
    <n v="36.473599999999998"/>
    <n v="15.999999999999998"/>
  </r>
  <r>
    <s v="CA-2020-135419"/>
    <x v="368"/>
    <s v="BG-11740"/>
    <s v="Bruce Geld"/>
    <s v="United States"/>
    <x v="2"/>
    <x v="2"/>
    <s v="SAFCO PlanMaster Boards, 60w x 37-1/2d, White Melamine"/>
    <n v="502.36799999999999"/>
    <n v="4"/>
    <n v="36.477600000000002"/>
    <n v="7.2611312822472769"/>
  </r>
  <r>
    <s v="CA-2019-145982"/>
    <x v="351"/>
    <s v="TB-21055"/>
    <s v="Ted Butterfield"/>
    <s v="United States"/>
    <x v="0"/>
    <x v="1"/>
    <s v="Southworth 25% Cotton Linen-Finish Paper &amp; Envelopes"/>
    <n v="81.540000000000006"/>
    <n v="9"/>
    <n v="36.692999999999998"/>
    <n v="44.999999999999993"/>
  </r>
  <r>
    <s v="CA-2020-104913"/>
    <x v="276"/>
    <s v="DK-13090"/>
    <s v="Dave Kipp"/>
    <s v="United States"/>
    <x v="0"/>
    <x v="0"/>
    <s v="Belkin SportFit Armband For iPhone 5s/5c, Fuchsia"/>
    <n v="177.95"/>
    <n v="5"/>
    <n v="36.725499999999997"/>
    <n v="20.638100590053384"/>
  </r>
  <r>
    <s v="CA-2020-108553"/>
    <x v="327"/>
    <s v="SK-19990"/>
    <s v="Sally Knutson"/>
    <s v="United States"/>
    <x v="0"/>
    <x v="1"/>
    <s v="Acme 10&quot; Easy Grip Assistive Scissors"/>
    <n v="139.71"/>
    <n v="7"/>
    <n v="36.813000000000002"/>
    <n v="26.349581275499251"/>
  </r>
  <r>
    <s v="CA-2020-126536"/>
    <x v="169"/>
    <s v="NK-18490"/>
    <s v="Neil Knudson"/>
    <s v="United States"/>
    <x v="2"/>
    <x v="1"/>
    <s v="Canvas Sectional Post Binders"/>
    <n v="123.84"/>
    <n v="5"/>
    <n v="36.917000000000002"/>
    <n v="29.810239018087859"/>
  </r>
  <r>
    <s v="CA-2019-147123"/>
    <x v="528"/>
    <s v="SJ-20125"/>
    <s v="Sanjit Jacobs"/>
    <s v="United States"/>
    <x v="2"/>
    <x v="1"/>
    <s v="Wirebound Message Books, Four 2 3/4 x 5 White Forms per Page"/>
    <n v="80.28"/>
    <n v="12"/>
    <n v="36.928800000000003"/>
    <n v="46"/>
  </r>
  <r>
    <s v="CA-2020-148691"/>
    <x v="299"/>
    <s v="CS-12460"/>
    <s v="Chuck Sachs"/>
    <s v="United States"/>
    <x v="0"/>
    <x v="0"/>
    <s v="AT&amp;T 1080 Corded phone"/>
    <n v="154.99"/>
    <n v="1"/>
    <n v="36.987299999999998"/>
    <n v="23.864313826698496"/>
  </r>
  <r>
    <s v="US-2020-133361"/>
    <x v="215"/>
    <s v="AJ-10780"/>
    <s v="Anthony Jacobs"/>
    <s v="United States"/>
    <x v="0"/>
    <x v="1"/>
    <s v="Avery 505"/>
    <n v="171"/>
    <n v="5"/>
    <n v="37"/>
    <n v="21.637426900584796"/>
  </r>
  <r>
    <s v="CA-2020-123001"/>
    <x v="149"/>
    <s v="AW-10840"/>
    <s v="Anthony Witt"/>
    <s v="United States"/>
    <x v="2"/>
    <x v="1"/>
    <s v="Avery 505"/>
    <n v="113"/>
    <n v="5"/>
    <n v="37"/>
    <n v="32.743362831858406"/>
  </r>
  <r>
    <s v="CA-2019-123932"/>
    <x v="410"/>
    <s v="YC-21895"/>
    <s v="Yoseph Carroll"/>
    <s v="United States"/>
    <x v="3"/>
    <x v="0"/>
    <s v="AT&amp;T CL83451 4-Handset Telephone"/>
    <n v="329.584"/>
    <n v="2"/>
    <n v="37.078200000000002"/>
    <n v="11.25"/>
  </r>
  <r>
    <s v="CA-2020-107132"/>
    <x v="334"/>
    <s v="SC-20260"/>
    <s v="Scott Cohen"/>
    <s v="United States"/>
    <x v="0"/>
    <x v="1"/>
    <s v="GBC ProClick Punch Binding System"/>
    <n v="127.36799999999999"/>
    <n v="2"/>
    <n v="37.108400000000003"/>
    <n v="29.134790528233157"/>
  </r>
  <r>
    <s v="CA-2019-135965"/>
    <x v="381"/>
    <s v="SZ-20035"/>
    <s v="Sam Zeldin"/>
    <s v="United States"/>
    <x v="0"/>
    <x v="1"/>
    <s v="Sortfiler Multipurpose Personal File Organizer, Black"/>
    <n v="128.34"/>
    <n v="6"/>
    <n v="37.218600000000002"/>
    <n v="29.000000000000004"/>
  </r>
  <r>
    <s v="US-2020-100398"/>
    <x v="397"/>
    <s v="DO-13435"/>
    <s v="Denny Ordway"/>
    <s v="United States"/>
    <x v="2"/>
    <x v="1"/>
    <s v="Wilson Jones Elliptical Ring 3 1/2&quot; Capacity Binders, 800 sheets"/>
    <n v="116.72"/>
    <n v="3"/>
    <n v="37.235999999999997"/>
    <n v="31.901987662782727"/>
  </r>
  <r>
    <s v="CA-2019-138079"/>
    <x v="180"/>
    <s v="AJ-10795"/>
    <s v="Anthony Johnson"/>
    <s v="United States"/>
    <x v="2"/>
    <x v="2"/>
    <s v="Contract Clock, 14&quot;, Brown"/>
    <n v="109.9"/>
    <n v="5"/>
    <n v="37.366"/>
    <n v="34"/>
  </r>
  <r>
    <s v="CA-2020-146626"/>
    <x v="218"/>
    <s v="BP-11185"/>
    <s v="Ben Peterman"/>
    <s v="United States"/>
    <x v="2"/>
    <x v="2"/>
    <s v="Nu-Dell Executive Frame"/>
    <n v="419.12"/>
    <n v="8"/>
    <n v="37.414400000000001"/>
    <n v="8.9268944455048675"/>
  </r>
  <r>
    <s v="CA-2020-150266"/>
    <x v="92"/>
    <s v="RO-19780"/>
    <s v="Rose O'Brian"/>
    <s v="United States"/>
    <x v="3"/>
    <x v="0"/>
    <s v="Blue Parrot B250XT Professional Grade Wireless Bluetooth Headset with"/>
    <n v="342.96"/>
    <n v="5"/>
    <n v="37.494999999999997"/>
    <n v="10.932761838115232"/>
  </r>
  <r>
    <s v="CA-2020-121741"/>
    <x v="408"/>
    <s v="YC-21895"/>
    <s v="Yoseph Carroll"/>
    <s v="United States"/>
    <x v="3"/>
    <x v="1"/>
    <s v="Tennsco Single-Tier Lockers"/>
    <n v="1063.68"/>
    <n v="2"/>
    <n v="37.533999999999999"/>
    <n v="3.5286928399518649"/>
  </r>
  <r>
    <s v="US-2020-127292"/>
    <x v="150"/>
    <s v="RM-19375"/>
    <s v="Raymond Messe"/>
    <s v="United States"/>
    <x v="0"/>
    <x v="1"/>
    <s v="Xerox 191"/>
    <n v="101.92"/>
    <n v="4"/>
    <n v="37.562399999999997"/>
    <n v="36.854788069073777"/>
  </r>
  <r>
    <s v="CA-2020-145037"/>
    <x v="149"/>
    <s v="TB-21055"/>
    <s v="Ted Butterfield"/>
    <s v="United States"/>
    <x v="0"/>
    <x v="1"/>
    <s v="Xerox 191"/>
    <n v="101.92"/>
    <n v="4"/>
    <n v="37.562399999999997"/>
    <n v="36.854788069073777"/>
  </r>
  <r>
    <s v="CA-2019-167759"/>
    <x v="17"/>
    <s v="CC-12670"/>
    <s v="Craig Carreira"/>
    <s v="United States"/>
    <x v="3"/>
    <x v="0"/>
    <s v="Plantronics Encore H101 Dual Earpieces Headset"/>
    <n v="134.85"/>
    <n v="3"/>
    <n v="37.758000000000003"/>
    <n v="28.000000000000004"/>
  </r>
  <r>
    <s v="CA-2020-152310"/>
    <x v="557"/>
    <s v="DK-12895"/>
    <s v="Dana Kaydos"/>
    <s v="United States"/>
    <x v="2"/>
    <x v="1"/>
    <s v="Avery Legal 4-Ring Binder"/>
    <n v="133.70400000000001"/>
    <n v="6"/>
    <n v="37.764000000000003"/>
    <n v="28.244480344641897"/>
  </r>
  <r>
    <s v="CA-2019-123050"/>
    <x v="563"/>
    <s v="BC-11125"/>
    <s v="Becky Castell"/>
    <s v="United States"/>
    <x v="0"/>
    <x v="0"/>
    <s v="Logitech Trackman Marble Mouse"/>
    <n v="89.97"/>
    <n v="3"/>
    <n v="37.787399999999998"/>
    <n v="42"/>
  </r>
  <r>
    <s v="CA-2020-142293"/>
    <x v="166"/>
    <s v="SC-20380"/>
    <s v="Shahid Collister"/>
    <s v="United States"/>
    <x v="2"/>
    <x v="0"/>
    <s v="Logitech Trackman Marble Mouse"/>
    <n v="120.97"/>
    <n v="3"/>
    <n v="37.787399999999998"/>
    <n v="31.237000909316357"/>
  </r>
  <r>
    <s v="CA-2020-117457"/>
    <x v="136"/>
    <s v="KH-16510"/>
    <s v="Keith Herrera"/>
    <s v="United States"/>
    <x v="2"/>
    <x v="0"/>
    <s v="Sony 64GB Class 10 Micro SDHC R40 Memory Card"/>
    <n v="190.95"/>
    <n v="5"/>
    <n v="37.789499999999997"/>
    <n v="19.790259230164963"/>
  </r>
  <r>
    <s v="US-2020-109253"/>
    <x v="500"/>
    <s v="PR-18880"/>
    <s v="Patrick Ryan"/>
    <s v="United States"/>
    <x v="2"/>
    <x v="0"/>
    <s v="Cisco 8x8 Inc. 6753i IP Business Phone System"/>
    <n v="450.96800000000002"/>
    <n v="4"/>
    <n v="37.797199999999997"/>
    <n v="8.3813485657518925"/>
  </r>
  <r>
    <s v="CA-2020-128783"/>
    <x v="266"/>
    <s v="TG-21640"/>
    <s v="Trudy Glocke"/>
    <s v="United States"/>
    <x v="3"/>
    <x v="2"/>
    <s v="DataProducts Ampli Magnifier Task Lamp, Black,"/>
    <n v="170.3"/>
    <n v="5"/>
    <n v="37.884"/>
    <n v="22.245449207281268"/>
  </r>
  <r>
    <s v="CA-2020-100097"/>
    <x v="197"/>
    <s v="MN-17935"/>
    <s v="Michael Nguyen"/>
    <s v="United States"/>
    <x v="0"/>
    <x v="2"/>
    <s v="DataProducts Ampli Magnifier Task Lamp, Black,"/>
    <n v="159.30000000000001"/>
    <n v="5"/>
    <n v="37.884"/>
    <n v="23.781544256120526"/>
  </r>
  <r>
    <s v="CA-2019-124149"/>
    <x v="567"/>
    <s v="MJ-17740"/>
    <s v="Max Jones"/>
    <s v="United States"/>
    <x v="0"/>
    <x v="1"/>
    <s v="Embossed Ink Jet Note Cards"/>
    <n v="108.336"/>
    <n v="6"/>
    <n v="37.9176"/>
    <n v="35"/>
  </r>
  <r>
    <s v="CA-2019-100244"/>
    <x v="349"/>
    <s v="GM-14695"/>
    <s v="Greg Maxwell"/>
    <s v="United States"/>
    <x v="2"/>
    <x v="1"/>
    <s v="Xerox 1944"/>
    <n v="77.52"/>
    <n v="2"/>
    <n v="37.9848"/>
    <n v="49.000000000000007"/>
  </r>
  <r>
    <s v="CA-2020-142622"/>
    <x v="177"/>
    <s v="JK-15625"/>
    <s v="Jim Karlsson"/>
    <s v="United States"/>
    <x v="2"/>
    <x v="2"/>
    <s v="Bestar Classic Bookcase"/>
    <n v="232.98"/>
    <n v="2"/>
    <n v="37.996200000000002"/>
    <n v="16.308781869688389"/>
  </r>
  <r>
    <s v="CA-2019-142545"/>
    <x v="256"/>
    <s v="JD-15895"/>
    <s v="Jonathan Doherty"/>
    <s v="United States"/>
    <x v="0"/>
    <x v="2"/>
    <s v="Floodlight Indoor Halogen Bulbs, 1 Bulb per Pack, 60 Watts"/>
    <n v="77.599999999999994"/>
    <n v="4"/>
    <n v="38.024000000000001"/>
    <n v="49.000000000000007"/>
  </r>
  <r>
    <s v="CA-2020-147942"/>
    <x v="311"/>
    <s v="MS-17365"/>
    <s v="Maribeth Schnelling"/>
    <s v="United States"/>
    <x v="2"/>
    <x v="1"/>
    <s v="Fellowes Binding Cases"/>
    <n v="166.68"/>
    <n v="13"/>
    <n v="38.024999999999999"/>
    <n v="22.813174946004317"/>
  </r>
  <r>
    <s v="CA-2019-162747"/>
    <x v="306"/>
    <s v="AH-10030"/>
    <s v="Aaron Hawkins"/>
    <s v="United States"/>
    <x v="1"/>
    <x v="2"/>
    <s v="Eldon Image Series Desk Accessories, Ebony"/>
    <n v="86.45"/>
    <n v="7"/>
    <n v="38.037999999999997"/>
    <n v="43.999999999999993"/>
  </r>
  <r>
    <s v="US-2020-143770"/>
    <x v="485"/>
    <s v="RD-19720"/>
    <s v="Roger Demir"/>
    <s v="United States"/>
    <x v="0"/>
    <x v="0"/>
    <s v="WD My Passport Ultra 2TB Portable External Hard Drive"/>
    <n v="252"/>
    <n v="2"/>
    <n v="38.08"/>
    <n v="15.111111111111111"/>
  </r>
  <r>
    <s v="CA-2020-157987"/>
    <x v="149"/>
    <s v="AC-10615"/>
    <s v="Ann Chong"/>
    <s v="United States"/>
    <x v="0"/>
    <x v="0"/>
    <s v="WD My Passport Ultra 2TB Portable External Hard Drive"/>
    <n v="284"/>
    <n v="2"/>
    <n v="38.08"/>
    <n v="13.408450704225352"/>
  </r>
  <r>
    <s v="CA-2019-136924"/>
    <x v="475"/>
    <s v="ES-14080"/>
    <s v="Erin Smith"/>
    <s v="United States"/>
    <x v="2"/>
    <x v="0"/>
    <s v="LG Electronics Tone+ HBS-730 Bluetooth Headset"/>
    <n v="380.86399999999998"/>
    <n v="8"/>
    <n v="38.086399999999998"/>
    <n v="10"/>
  </r>
  <r>
    <s v="CA-2020-117114"/>
    <x v="457"/>
    <s v="CY-12745"/>
    <s v="Craig Yedwab"/>
    <s v="United States"/>
    <x v="3"/>
    <x v="0"/>
    <s v="ClearOne Communications CHAT 70 OC Speaker Phone"/>
    <n v="522.76800000000003"/>
    <n v="4"/>
    <n v="38.157600000000002"/>
    <n v="7.2991460839225049"/>
  </r>
  <r>
    <s v="CA-2020-127929"/>
    <x v="172"/>
    <s v="FM-14215"/>
    <s v="Filia McAdams"/>
    <s v="United States"/>
    <x v="0"/>
    <x v="2"/>
    <s v="Tenex Traditional Chairmats for Medium Pile Carpet, Standard Lip, 36&quot; x 48&quot;"/>
    <n v="390.95"/>
    <n v="3"/>
    <n v="38.209499999999998"/>
    <n v="9.7735004476275744"/>
  </r>
  <r>
    <s v="CA-2019-160304"/>
    <x v="627"/>
    <s v="BM-11575"/>
    <s v="Brendan Murry"/>
    <s v="United States"/>
    <x v="0"/>
    <x v="2"/>
    <s v="Bush Westfield Collection Bookcases, Medium Cherry Finish"/>
    <n v="173.94"/>
    <n v="3"/>
    <n v="38.266800000000003"/>
    <n v="22.000000000000004"/>
  </r>
  <r>
    <s v="US-2020-163790"/>
    <x v="88"/>
    <s v="NL-18310"/>
    <s v="Nancy Lomonaco"/>
    <s v="United States"/>
    <x v="2"/>
    <x v="1"/>
    <s v="White Business Envelopes with Contemporary Seam, Recycled White Business Envelopes"/>
    <n v="170.58"/>
    <n v="7"/>
    <n v="38.29"/>
    <n v="22.446945714620703"/>
  </r>
  <r>
    <s v="CA-2019-104150"/>
    <x v="621"/>
    <s v="AG-10330"/>
    <s v="Alex Grayson"/>
    <s v="United States"/>
    <x v="3"/>
    <x v="1"/>
    <s v="Tyvek  Top-Opening Peel &amp; Seel Envelopes, Plain White"/>
    <n v="81.540000000000006"/>
    <n v="3"/>
    <n v="38.323799999999999"/>
    <n v="47"/>
  </r>
  <r>
    <s v="CA-2019-117583"/>
    <x v="134"/>
    <s v="CB-12025"/>
    <s v="Cassandra Brandow"/>
    <s v="United States"/>
    <x v="0"/>
    <x v="1"/>
    <s v="GBC Pre-Punched Binding Paper, Plastic, White, 8-1/2&quot; x 11&quot;"/>
    <n v="79.95"/>
    <n v="5"/>
    <n v="38.375999999999998"/>
    <n v="47.999999999999993"/>
  </r>
  <r>
    <s v="CA-2019-148796"/>
    <x v="549"/>
    <s v="PB-19150"/>
    <s v="Philip Brown"/>
    <s v="United States"/>
    <x v="2"/>
    <x v="2"/>
    <s v="Bevis Steel Folding Chairs"/>
    <n v="383.8"/>
    <n v="5"/>
    <n v="38.380000000000003"/>
    <n v="10"/>
  </r>
  <r>
    <s v="CA-2020-159667"/>
    <x v="407"/>
    <s v="PM-19135"/>
    <s v="Peter McVee"/>
    <s v="United States"/>
    <x v="1"/>
    <x v="0"/>
    <s v="Logitech G602 Wireless Gaming Mouse"/>
    <n v="201.976"/>
    <n v="3"/>
    <n v="38.395200000000003"/>
    <n v="19.009783340594925"/>
  </r>
  <r>
    <s v="CA-2020-134096"/>
    <x v="64"/>
    <s v="PP-18955"/>
    <s v="Paul Prost"/>
    <s v="United States"/>
    <x v="1"/>
    <x v="0"/>
    <s v="Vtech CS6719"/>
    <n v="433.96"/>
    <n v="5"/>
    <n v="38.396000000000001"/>
    <n v="8.8478200755830034"/>
  </r>
  <r>
    <s v="CA-2020-102925"/>
    <x v="181"/>
    <s v="CD-12280"/>
    <s v="Christina DeMoss"/>
    <s v="United States"/>
    <x v="0"/>
    <x v="2"/>
    <s v="Career Cubicle Clock, 8 1/4&quot;, Black"/>
    <n v="133.4"/>
    <n v="5"/>
    <n v="38.531999999999996"/>
    <n v="28.884557721139426"/>
  </r>
  <r>
    <s v="CA-2020-166695"/>
    <x v="145"/>
    <s v="CC-12430"/>
    <s v="Chuck Clark"/>
    <s v="United States"/>
    <x v="2"/>
    <x v="0"/>
    <s v="Okidata B400 Printer"/>
    <n v="383.2"/>
    <n v="1"/>
    <n v="38.61"/>
    <n v="10.075678496868475"/>
  </r>
  <r>
    <s v="CA-2019-104983"/>
    <x v="438"/>
    <s v="FM-14215"/>
    <s v="Filia McAdams"/>
    <s v="United States"/>
    <x v="0"/>
    <x v="1"/>
    <s v="Xerox 1925"/>
    <n v="123.92"/>
    <n v="5"/>
    <n v="38.725000000000001"/>
    <n v="31.25"/>
  </r>
  <r>
    <s v="CA-2020-127397"/>
    <x v="400"/>
    <s v="ES-14080"/>
    <s v="Erin Smith"/>
    <s v="United States"/>
    <x v="0"/>
    <x v="1"/>
    <s v="Xerox 1988"/>
    <n v="152.91999999999999"/>
    <n v="5"/>
    <n v="38.725000000000001"/>
    <n v="25.323698665969136"/>
  </r>
  <r>
    <s v="CA-2020-121643"/>
    <x v="352"/>
    <s v="AB-10105"/>
    <s v="Adrian Barton"/>
    <s v="United States"/>
    <x v="2"/>
    <x v="0"/>
    <s v="Aastra 6757i CT Wireless VoIP phone"/>
    <n v="364.70400000000001"/>
    <n v="2"/>
    <n v="38.779200000000003"/>
    <n v="10.633061331929456"/>
  </r>
  <r>
    <s v="CA-2020-121489"/>
    <x v="500"/>
    <s v="CM-11815"/>
    <s v="Candace McMahon"/>
    <s v="United States"/>
    <x v="2"/>
    <x v="2"/>
    <s v="Padded Folding Chairs, Black, 4/Carton"/>
    <n v="435.70400000000001"/>
    <n v="6"/>
    <n v="38.870399999999997"/>
    <n v="8.9212860106861527"/>
  </r>
  <r>
    <s v="CA-2020-161333"/>
    <x v="345"/>
    <s v="JL-15835"/>
    <s v="John Lee"/>
    <s v="United States"/>
    <x v="2"/>
    <x v="1"/>
    <s v="Multi-Use Personal File Cart and Caster Set, Three Stacking Bins"/>
    <n v="2178.04"/>
    <n v="4"/>
    <n v="38.931199999999997"/>
    <n v="1.7874419202585807"/>
  </r>
  <r>
    <s v="CA-2020-154809"/>
    <x v="496"/>
    <s v="MH-17455"/>
    <s v="Mark Hamilton"/>
    <s v="United States"/>
    <x v="3"/>
    <x v="1"/>
    <s v="Holmes Replacement Filter for HEPA Air Cleaner, Medium Room"/>
    <n v="116.64"/>
    <n v="8"/>
    <n v="38.975200000000001"/>
    <n v="33.414951989026065"/>
  </r>
  <r>
    <s v="CA-2019-158694"/>
    <x v="214"/>
    <s v="AI-10855"/>
    <s v="Arianne Irving"/>
    <s v="United States"/>
    <x v="2"/>
    <x v="1"/>
    <s v="Belkin F9S820V06 8 Outlet Surge"/>
    <n v="129.91999999999999"/>
    <n v="4"/>
    <n v="38.975999999999999"/>
    <n v="30.000000000000004"/>
  </r>
  <r>
    <s v="CA-2019-140501"/>
    <x v="489"/>
    <s v="IM-15070"/>
    <s v="Irene Maddox"/>
    <s v="United States"/>
    <x v="0"/>
    <x v="1"/>
    <s v="Fellowes Bankers Box Staxonsteel Drawer File/Stacking System"/>
    <n v="324.89999999999998"/>
    <n v="5"/>
    <n v="38.988"/>
    <n v="12.000000000000002"/>
  </r>
  <r>
    <s v="US-2020-140907"/>
    <x v="409"/>
    <s v="BP-11185"/>
    <s v="Ben Peterman"/>
    <s v="United States"/>
    <x v="2"/>
    <x v="1"/>
    <s v="Fellowes Bankers Box Staxonsteel Drawer File/Stacking System"/>
    <n v="526.9"/>
    <n v="5"/>
    <n v="38.988"/>
    <n v="7.3995065477320185"/>
  </r>
  <r>
    <s v="CA-2020-128076"/>
    <x v="345"/>
    <s v="BO-11350"/>
    <s v="Bill Overfelt"/>
    <s v="United States"/>
    <x v="2"/>
    <x v="0"/>
    <s v="HP Officejet Pro 8600 e-All-In-One Printer, Copier, Scanner, Fax"/>
    <n v="253.98400000000001"/>
    <n v="2"/>
    <n v="38.997399999999999"/>
    <n v="15.354274284994329"/>
  </r>
  <r>
    <s v="CA-2019-135461"/>
    <x v="537"/>
    <s v="EB-13975"/>
    <s v="Erica Bern"/>
    <s v="United States"/>
    <x v="2"/>
    <x v="0"/>
    <s v="Motorola L703CM"/>
    <n v="623.96"/>
    <n v="5"/>
    <n v="38.997500000000002"/>
    <n v="6.25"/>
  </r>
  <r>
    <s v="CA-2020-131625"/>
    <x v="524"/>
    <s v="BN-11515"/>
    <s v="Bradley Nguyen"/>
    <s v="United States"/>
    <x v="0"/>
    <x v="2"/>
    <s v="Seth Thomas 12&quot; Clock w/ Goldtone Case"/>
    <n v="145.9"/>
    <n v="5"/>
    <n v="39.066000000000003"/>
    <n v="26.77587388622344"/>
  </r>
  <r>
    <s v="CA-2020-151281"/>
    <x v="224"/>
    <s v="HM-14980"/>
    <s v="Henry MacAllister"/>
    <s v="United States"/>
    <x v="2"/>
    <x v="2"/>
    <s v="Luxo Economy Swing Arm Lamp"/>
    <n v="152.58000000000001"/>
    <n v="7"/>
    <n v="39.0824"/>
    <n v="25.614366234106694"/>
  </r>
  <r>
    <s v="CA-2020-138149"/>
    <x v="146"/>
    <s v="WB-21850"/>
    <s v="William Brown"/>
    <s v="United States"/>
    <x v="2"/>
    <x v="1"/>
    <s v="Trav-L-File Heavy-Duty Shuttle II, Black"/>
    <n v="172.71"/>
    <n v="3"/>
    <n v="39.213000000000001"/>
    <n v="22.704533611255862"/>
  </r>
  <r>
    <s v="CA-2019-119935"/>
    <x v="214"/>
    <s v="KM-16225"/>
    <s v="Kalyca Meade"/>
    <s v="United States"/>
    <x v="3"/>
    <x v="1"/>
    <s v="Wilson Jones Ledger-Size, Piano-Hinge Binder, 2&quot;, Blue"/>
    <n v="81.96"/>
    <n v="2"/>
    <n v="39.340800000000002"/>
    <n v="48.000000000000007"/>
  </r>
  <r>
    <s v="CA-2019-101336"/>
    <x v="394"/>
    <s v="CK-12760"/>
    <s v="Cyma Kinney"/>
    <s v="United States"/>
    <x v="0"/>
    <x v="1"/>
    <s v="Boston Electric Pencil Sharpener, Model 1818, Charcoal Black"/>
    <n v="140.75"/>
    <n v="5"/>
    <n v="39.409999999999997"/>
    <n v="27.999999999999996"/>
  </r>
  <r>
    <s v="CA-2019-160234"/>
    <x v="454"/>
    <s v="PF-19225"/>
    <s v="Phillip Flathmann"/>
    <s v="United States"/>
    <x v="1"/>
    <x v="0"/>
    <s v="Cisco IP Phone 7961G VoIP phone - Dark gray"/>
    <n v="135.94999999999999"/>
    <n v="1"/>
    <n v="39.4255"/>
    <n v="29.000000000000004"/>
  </r>
  <r>
    <s v="CA-2019-157763"/>
    <x v="241"/>
    <s v="KH-16330"/>
    <s v="Katharine Harms"/>
    <s v="United States"/>
    <x v="1"/>
    <x v="2"/>
    <s v="Hon Olson Stacker Stools"/>
    <n v="140.81"/>
    <n v="1"/>
    <n v="39.4268"/>
    <n v="27.999999999999996"/>
  </r>
  <r>
    <s v="CA-2020-110842"/>
    <x v="250"/>
    <s v="GA-14725"/>
    <s v="Guy Armstrong"/>
    <s v="United States"/>
    <x v="2"/>
    <x v="1"/>
    <s v="Ibico Plastic Spiral Binding Combs"/>
    <n v="162.6"/>
    <n v="5"/>
    <n v="39.520000000000003"/>
    <n v="24.305043050430509"/>
  </r>
  <r>
    <s v="CA-2020-120761"/>
    <x v="130"/>
    <s v="AB-10150"/>
    <s v="Aimee Bixby"/>
    <s v="United States"/>
    <x v="0"/>
    <x v="0"/>
    <s v="Verbatim 25 GB 6x Blu-ray Single Layer Recordable Disc, 25/Pack"/>
    <n v="140.96"/>
    <n v="4"/>
    <n v="39.5428"/>
    <n v="28.052497162315547"/>
  </r>
  <r>
    <s v="CA-2020-128300"/>
    <x v="225"/>
    <s v="RS-19765"/>
    <s v="Roland Schwarz"/>
    <s v="United States"/>
    <x v="1"/>
    <x v="0"/>
    <s v="Motorla HX550 Universal Bluetooth Headset"/>
    <n v="114.1"/>
    <n v="2"/>
    <n v="39.549999999999997"/>
    <n v="34.662576687116562"/>
  </r>
  <r>
    <s v="CA-2020-126634"/>
    <x v="392"/>
    <s v="AB-10165"/>
    <s v="Alan Barnes"/>
    <s v="United States"/>
    <x v="2"/>
    <x v="2"/>
    <s v="Flat Face Poster Frame"/>
    <n v="121.2"/>
    <n v="5"/>
    <n v="39.564"/>
    <n v="32.643564356435647"/>
  </r>
  <r>
    <s v="US-2019-112396"/>
    <x v="593"/>
    <s v="JR-16210"/>
    <s v="Justin Ritter"/>
    <s v="United States"/>
    <x v="2"/>
    <x v="0"/>
    <s v="Logitech 910-002974 M325 Wireless Mouse for Web Scrolling"/>
    <n v="89.97"/>
    <n v="3"/>
    <n v="39.586799999999997"/>
    <n v="43.999999999999993"/>
  </r>
  <r>
    <s v="CA-2019-105781"/>
    <x v="75"/>
    <s v="JF-15565"/>
    <s v="Jill Fjeld"/>
    <s v="United States"/>
    <x v="0"/>
    <x v="0"/>
    <s v="Logitech 910-002974 M325 Wireless Mouse for Web Scrolling"/>
    <n v="89.97"/>
    <n v="3"/>
    <n v="39.586799999999997"/>
    <n v="43.999999999999993"/>
  </r>
  <r>
    <s v="CA-2019-132829"/>
    <x v="39"/>
    <s v="LA-16780"/>
    <s v="Laura Armstrong"/>
    <s v="United States"/>
    <x v="3"/>
    <x v="0"/>
    <s v="Wireless Extenders zBoost YX545 SOHO Signal Booster"/>
    <n v="453.57600000000002"/>
    <n v="3"/>
    <n v="39.687899999999999"/>
    <n v="8.75"/>
  </r>
  <r>
    <s v="CA-2020-144498"/>
    <x v="128"/>
    <s v="MB-18085"/>
    <s v="Mick Brown"/>
    <s v="United States"/>
    <x v="1"/>
    <x v="1"/>
    <s v="Avery 4027 File Folder Labels for Dot Matrix Printers, 5000 Labels per Box, White"/>
    <n v="155.12"/>
    <n v="5"/>
    <n v="39.689"/>
    <n v="25.585997937080968"/>
  </r>
  <r>
    <s v="CA-2019-165330"/>
    <x v="111"/>
    <s v="WB-21850"/>
    <s v="William Brown"/>
    <s v="United States"/>
    <x v="2"/>
    <x v="1"/>
    <s v="GBC Recycled VeloBinder Covers"/>
    <n v="122.688"/>
    <n v="9"/>
    <n v="39.873600000000003"/>
    <n v="32.5"/>
  </r>
  <r>
    <s v="CA-2020-135909"/>
    <x v="114"/>
    <s v="JW-15220"/>
    <s v="Jane Waco"/>
    <s v="United States"/>
    <x v="2"/>
    <x v="0"/>
    <s v="Logitech Media Keyboard K200"/>
    <n v="239.94"/>
    <n v="6"/>
    <n v="39.888599999999997"/>
    <n v="16.624406101525381"/>
  </r>
  <r>
    <s v="CA-2019-105781"/>
    <x v="75"/>
    <s v="JF-15565"/>
    <s v="Jill Fjeld"/>
    <s v="United States"/>
    <x v="0"/>
    <x v="2"/>
    <s v="Hon Every-Day Chair Series Swivel Task Chairs"/>
    <n v="326.64600000000002"/>
    <n v="3"/>
    <n v="39.923400000000001"/>
    <n v="12.222222222222221"/>
  </r>
  <r>
    <s v="CA-2020-132647"/>
    <x v="58"/>
    <s v="GH-14410"/>
    <s v="Gary Hansen"/>
    <s v="United States"/>
    <x v="0"/>
    <x v="1"/>
    <s v="Fellowes Bases and Tops For Staxonsteel/High-Stak Systems"/>
    <n v="186.45"/>
    <n v="5"/>
    <n v="39.948"/>
    <n v="21.42558326629123"/>
  </r>
  <r>
    <s v="CA-2020-156958"/>
    <x v="372"/>
    <s v="PB-18805"/>
    <s v="Patrick Bzostek"/>
    <s v="United States"/>
    <x v="2"/>
    <x v="2"/>
    <s v="Eldon Radial Chair Mat for Low to Medium Pile Carpets"/>
    <n v="223.9"/>
    <n v="5"/>
    <n v="39.979999999999997"/>
    <n v="17.856185797230907"/>
  </r>
  <r>
    <s v="CA-2019-166282"/>
    <x v="466"/>
    <s v="PK-19075"/>
    <s v="Pete Kriz"/>
    <s v="United States"/>
    <x v="1"/>
    <x v="1"/>
    <s v="Standard Line “While You Were Out” Hardbound Telephone Message Book"/>
    <n v="123.08799999999999"/>
    <n v="7"/>
    <n v="40.003599999999999"/>
    <n v="32.5"/>
  </r>
  <r>
    <s v="CA-2019-166912"/>
    <x v="322"/>
    <s v="BE-11335"/>
    <s v="Bill Eplett"/>
    <s v="United States"/>
    <x v="0"/>
    <x v="1"/>
    <s v="Xerox 1893"/>
    <n v="81.98"/>
    <n v="2"/>
    <n v="40.170200000000001"/>
    <n v="49"/>
  </r>
  <r>
    <s v="CA-2019-165918"/>
    <x v="238"/>
    <s v="BD-11770"/>
    <s v="Bryan Davis"/>
    <s v="United States"/>
    <x v="2"/>
    <x v="1"/>
    <s v="Xerox 1945"/>
    <n v="81.98"/>
    <n v="2"/>
    <n v="40.170200000000001"/>
    <n v="49"/>
  </r>
  <r>
    <s v="CA-2019-127138"/>
    <x v="565"/>
    <s v="DK-13225"/>
    <s v="Dean Katz"/>
    <s v="United States"/>
    <x v="2"/>
    <x v="1"/>
    <s v="Euro-Pro Shark Turbo Vacuum"/>
    <n v="154.9"/>
    <n v="5"/>
    <n v="40.274000000000001"/>
    <n v="26"/>
  </r>
  <r>
    <s v="CA-2020-157987"/>
    <x v="149"/>
    <s v="AC-10615"/>
    <s v="Ann Chong"/>
    <s v="United States"/>
    <x v="0"/>
    <x v="0"/>
    <s v="Sony Micro Vault Click 16 GB USB 2.0 Flash Drive"/>
    <n v="177.97"/>
    <n v="3"/>
    <n v="40.312800000000003"/>
    <n v="22.65145811091757"/>
  </r>
  <r>
    <s v="CA-2020-126354"/>
    <x v="275"/>
    <s v="SC-20380"/>
    <s v="Shahid Collister"/>
    <s v="United States"/>
    <x v="1"/>
    <x v="1"/>
    <s v="14-7/8 x 11 Blue Bar Computer Printout Paper"/>
    <n v="134.29599999999999"/>
    <n v="3"/>
    <n v="40.3536"/>
    <n v="30.048251623279921"/>
  </r>
  <r>
    <s v="CA-2020-136609"/>
    <x v="574"/>
    <s v="TB-21355"/>
    <s v="Todd Boyes"/>
    <s v="United States"/>
    <x v="3"/>
    <x v="1"/>
    <s v="14-7/8 x 11 Blue Bar Computer Printout Paper"/>
    <n v="144.29599999999999"/>
    <n v="3"/>
    <n v="40.3536"/>
    <n v="27.965847979153963"/>
  </r>
  <r>
    <s v="CA-2019-126158"/>
    <x v="445"/>
    <s v="SC-20095"/>
    <s v="Sanjit Chand"/>
    <s v="United States"/>
    <x v="2"/>
    <x v="1"/>
    <s v="Clear Mylar Reinforcing Strips"/>
    <n v="119.616"/>
    <n v="8"/>
    <n v="40.370399999999997"/>
    <n v="33.75"/>
  </r>
  <r>
    <s v="CA-2020-139304"/>
    <x v="303"/>
    <s v="VG-21790"/>
    <s v="Vivek Gonzalez"/>
    <s v="United States"/>
    <x v="2"/>
    <x v="1"/>
    <s v="Clear Mylar Reinforcing Strips"/>
    <n v="167.61600000000001"/>
    <n v="8"/>
    <n v="40.370399999999997"/>
    <n v="24.085051546391746"/>
  </r>
  <r>
    <s v="CA-2020-124744"/>
    <x v="239"/>
    <s v="EH-14125"/>
    <s v="Eugene Hildebrand"/>
    <s v="United States"/>
    <x v="0"/>
    <x v="1"/>
    <s v="Ibico Standard Transparent Covers"/>
    <n v="131.4"/>
    <n v="5"/>
    <n v="40.375999999999998"/>
    <n v="30.727549467275487"/>
  </r>
  <r>
    <s v="CA-2020-116988"/>
    <x v="588"/>
    <s v="PW-19030"/>
    <s v="Pauline Webber"/>
    <s v="United States"/>
    <x v="2"/>
    <x v="2"/>
    <s v="Executive Impressions Supervisor Wall Clock"/>
    <n v="166.3"/>
    <n v="3"/>
    <n v="40.415999999999997"/>
    <n v="24.303066746843051"/>
  </r>
  <r>
    <s v="CA-2020-135307"/>
    <x v="197"/>
    <s v="LS-17245"/>
    <s v="Lynn Smith"/>
    <s v="United States"/>
    <x v="3"/>
    <x v="2"/>
    <s v="Executive Impressions Supervisor Wall Clock"/>
    <n v="170.3"/>
    <n v="3"/>
    <n v="40.415999999999997"/>
    <n v="23.732237228420431"/>
  </r>
  <r>
    <s v="CA-2020-108854"/>
    <x v="136"/>
    <s v="DM-13345"/>
    <s v="Denise Monton"/>
    <s v="United States"/>
    <x v="2"/>
    <x v="1"/>
    <s v="Standard Line “While You Were Out” Hardbound Telephone Message Book"/>
    <n v="114.92"/>
    <n v="4"/>
    <n v="40.443199999999997"/>
    <n v="35.192481726418372"/>
  </r>
  <r>
    <s v="CA-2019-157336"/>
    <x v="212"/>
    <s v="SJ-20500"/>
    <s v="Shirley Jackson"/>
    <s v="United States"/>
    <x v="0"/>
    <x v="1"/>
    <s v="XtraLife ClearVue Slant-D Ring Binder, White, 3&quot;"/>
    <n v="88.08"/>
    <n v="6"/>
    <n v="40.516800000000003"/>
    <n v="46.000000000000007"/>
  </r>
  <r>
    <s v="CA-2020-161018"/>
    <x v="407"/>
    <s v="PN-18775"/>
    <s v="Parhena Norris"/>
    <s v="United States"/>
    <x v="0"/>
    <x v="2"/>
    <s v="9-3/4 Diameter Round Wall Clock"/>
    <n v="134.53"/>
    <n v="7"/>
    <n v="40.5426"/>
    <n v="30.136475135657477"/>
  </r>
  <r>
    <s v="CA-2020-155880"/>
    <x v="501"/>
    <s v="JD-16150"/>
    <s v="Justin Deggeller"/>
    <s v="United States"/>
    <x v="3"/>
    <x v="2"/>
    <s v="Global High-Back Leather Tilter, Burgundy"/>
    <n v="406.97"/>
    <n v="3"/>
    <n v="40.5867"/>
    <n v="9.9728972651546783"/>
  </r>
  <r>
    <s v="CA-2019-134474"/>
    <x v="456"/>
    <s v="AJ-10795"/>
    <s v="Anthony Johnson"/>
    <s v="United States"/>
    <x v="1"/>
    <x v="0"/>
    <s v="Logitech MX Performance Wireless Mouse"/>
    <n v="191.47200000000001"/>
    <n v="6"/>
    <n v="40.687800000000003"/>
    <n v="21.25"/>
  </r>
  <r>
    <s v="CA-2019-105963"/>
    <x v="82"/>
    <s v="SC-20770"/>
    <s v="Stewart Carmichael"/>
    <s v="United States"/>
    <x v="2"/>
    <x v="0"/>
    <s v="Imation 16GB Mini TravelDrive USB 2.0 Flash Drive"/>
    <n v="99.39"/>
    <n v="3"/>
    <n v="40.749899999999997"/>
    <n v="41"/>
  </r>
  <r>
    <s v="CA-2020-130351"/>
    <x v="372"/>
    <s v="RB-19570"/>
    <s v="Rob Beeghly"/>
    <s v="United States"/>
    <x v="3"/>
    <x v="0"/>
    <s v="Imation 16GB Mini TravelDrive USB 2.0 Flash Drive"/>
    <n v="140.38999999999999"/>
    <n v="3"/>
    <n v="40.749899999999997"/>
    <n v="29.026212693211768"/>
  </r>
  <r>
    <s v="CA-2019-114727"/>
    <x v="241"/>
    <s v="LS-16945"/>
    <s v="Linda Southworth"/>
    <s v="United States"/>
    <x v="2"/>
    <x v="2"/>
    <s v="Hon GuestStacker Chair"/>
    <n v="544.00800000000004"/>
    <n v="3"/>
    <n v="40.800600000000003"/>
    <n v="7.5"/>
  </r>
  <r>
    <s v="US-2019-108637"/>
    <x v="22"/>
    <s v="AB-10060"/>
    <s v="Adam Bellavance"/>
    <s v="United States"/>
    <x v="1"/>
    <x v="2"/>
    <s v="Howard Miller 14-1/2&quot; Diameter Chrome Round Wall Clock"/>
    <n v="127.88"/>
    <n v="2"/>
    <n v="40.921599999999998"/>
    <n v="32"/>
  </r>
  <r>
    <s v="CA-2019-166772"/>
    <x v="349"/>
    <s v="HJ-14875"/>
    <s v="Heather Jas"/>
    <s v="United States"/>
    <x v="2"/>
    <x v="2"/>
    <s v="O'Sullivan 5-Shelf Heavy-Duty Bookcases"/>
    <n v="163.88"/>
    <n v="2"/>
    <n v="40.97"/>
    <n v="25"/>
  </r>
  <r>
    <s v="CA-2019-126284"/>
    <x v="349"/>
    <s v="EN-13780"/>
    <s v="Edward Nazzal"/>
    <s v="United States"/>
    <x v="3"/>
    <x v="1"/>
    <s v="GBC Poly Designer Binding Covers"/>
    <n v="83.7"/>
    <n v="5"/>
    <n v="41.012999999999998"/>
    <n v="48.999999999999993"/>
  </r>
  <r>
    <s v="US-2019-101616"/>
    <x v="19"/>
    <s v="CY-12745"/>
    <s v="Craig Yedwab"/>
    <s v="United States"/>
    <x v="1"/>
    <x v="1"/>
    <s v="Heavy-Duty E-Z-D Binders"/>
    <n v="87.28"/>
    <n v="8"/>
    <n v="41.021599999999999"/>
    <n v="47"/>
  </r>
  <r>
    <s v="CA-2019-163174"/>
    <x v="261"/>
    <s v="XP-21865"/>
    <s v="Xylona Preis"/>
    <s v="United States"/>
    <x v="1"/>
    <x v="2"/>
    <s v="Deflect-o Glass Clear Studded Chair Mats"/>
    <n v="186.54"/>
    <n v="3"/>
    <n v="41.038800000000002"/>
    <n v="22.000000000000004"/>
  </r>
  <r>
    <s v="CA-2020-107125"/>
    <x v="464"/>
    <s v="BD-11320"/>
    <s v="Bill Donatelli"/>
    <s v="United States"/>
    <x v="2"/>
    <x v="1"/>
    <s v="Premium Transparent Presentation Covers by GBC"/>
    <n v="132.488"/>
    <n v="7"/>
    <n v="41.120800000000003"/>
    <n v="31.037376969989737"/>
  </r>
  <r>
    <s v="CA-2020-167381"/>
    <x v="10"/>
    <s v="EH-14005"/>
    <s v="Erica Hernandez"/>
    <s v="United States"/>
    <x v="3"/>
    <x v="2"/>
    <s v="O'Sullivan 4-Shelf Bookcase in Odessa Pine"/>
    <n v="252.96"/>
    <n v="2"/>
    <n v="41.133200000000002"/>
    <n v="16.26075268817204"/>
  </r>
  <r>
    <s v="CA-2020-166926"/>
    <x v="265"/>
    <s v="SO-20335"/>
    <s v="Sean O'Donnell"/>
    <s v="United States"/>
    <x v="2"/>
    <x v="2"/>
    <s v="Hon Metal Bookcases, Putty"/>
    <n v="153.96"/>
    <n v="2"/>
    <n v="41.168399999999998"/>
    <n v="26.739672642244738"/>
  </r>
  <r>
    <s v="US-2019-139087"/>
    <x v="395"/>
    <s v="DK-13375"/>
    <s v="Dennis Kane"/>
    <s v="United States"/>
    <x v="2"/>
    <x v="1"/>
    <s v="Round Specialty Laser Printer Labels"/>
    <n v="87.71"/>
    <n v="7"/>
    <n v="41.223700000000001"/>
    <n v="47"/>
  </r>
  <r>
    <s v="CA-2019-114972"/>
    <x v="65"/>
    <s v="PF-19225"/>
    <s v="Phillip Flathmann"/>
    <s v="United States"/>
    <x v="2"/>
    <x v="1"/>
    <s v="Avery 50"/>
    <n v="87.71"/>
    <n v="7"/>
    <n v="41.223700000000001"/>
    <n v="47"/>
  </r>
  <r>
    <s v="CA-2019-144344"/>
    <x v="256"/>
    <s v="PG-18820"/>
    <s v="Patrick Gardner"/>
    <s v="United States"/>
    <x v="1"/>
    <x v="2"/>
    <s v="Howard Miller 13-1/2&quot; Diameter Rosebrook Wall Clock"/>
    <n v="165.048"/>
    <n v="3"/>
    <n v="41.262"/>
    <n v="25"/>
  </r>
  <r>
    <s v="CA-2020-133487"/>
    <x v="128"/>
    <s v="TS-21655"/>
    <s v="Trudy Schmidt"/>
    <s v="United States"/>
    <x v="2"/>
    <x v="1"/>
    <s v="Eureka The Boss Cordless Rechargeable Stick Vac"/>
    <n v="188.94"/>
    <n v="3"/>
    <n v="41.293799999999997"/>
    <n v="21.855509685614479"/>
  </r>
  <r>
    <s v="CA-2020-117324"/>
    <x v="136"/>
    <s v="JP-15520"/>
    <s v="Jeremy Pistek"/>
    <s v="United States"/>
    <x v="3"/>
    <x v="2"/>
    <s v="Sauder Camden County Collection Libraries, Planked Cherry Finish"/>
    <n v="500.92"/>
    <n v="4"/>
    <n v="41.392800000000001"/>
    <n v="8.2633554260161315"/>
  </r>
  <r>
    <s v="CA-2020-101014"/>
    <x v="388"/>
    <s v="RW-19540"/>
    <s v="Rick Wilson"/>
    <s v="United States"/>
    <x v="2"/>
    <x v="2"/>
    <s v="Electrix Fluorescent Magnifier Lamps &amp; Weighted Base"/>
    <n v="180.02"/>
    <n v="3"/>
    <n v="41.445599999999999"/>
    <n v="23.022775247194755"/>
  </r>
  <r>
    <s v="CA-2019-161816"/>
    <x v="252"/>
    <s v="NB-18655"/>
    <s v="Nona Balk"/>
    <s v="United States"/>
    <x v="3"/>
    <x v="0"/>
    <s v="Nortel Meridian M3904 Professional Digital phone"/>
    <n v="369.57600000000002"/>
    <n v="3"/>
    <n v="41.577300000000001"/>
    <n v="11.25"/>
  </r>
  <r>
    <s v="CA-2020-103443"/>
    <x v="93"/>
    <s v="AT-10735"/>
    <s v="Annie Thurman"/>
    <s v="United States"/>
    <x v="0"/>
    <x v="1"/>
    <s v="Safco Steel Mobile File Cart"/>
    <n v="499.72"/>
    <n v="2"/>
    <n v="41.68"/>
    <n v="8.3406707756343561"/>
  </r>
  <r>
    <s v="US-2020-116652"/>
    <x v="301"/>
    <s v="RD-19480"/>
    <s v="Rick Duston"/>
    <s v="United States"/>
    <x v="2"/>
    <x v="1"/>
    <s v="Peel-Off China Markers"/>
    <n v="139.30000000000001"/>
    <n v="10"/>
    <n v="41.706000000000003"/>
    <n v="29.939698492462313"/>
  </r>
  <r>
    <s v="US-2020-147669"/>
    <x v="141"/>
    <s v="SV-20935"/>
    <s v="Susan Vittorini"/>
    <s v="United States"/>
    <x v="0"/>
    <x v="0"/>
    <s v="Maxell 4.7GB DVD-R"/>
    <n v="349.928"/>
    <n v="7"/>
    <n v="41.718600000000002"/>
    <n v="11.922052536521798"/>
  </r>
  <r>
    <s v="CA-2020-107517"/>
    <x v="32"/>
    <s v="FC-14335"/>
    <s v="Fred Chung"/>
    <s v="United States"/>
    <x v="2"/>
    <x v="0"/>
    <s v="Geemarc AmpliPOWER60"/>
    <n v="2399.1999999999998"/>
    <n v="5"/>
    <n v="41.76"/>
    <n v="1.7405801933977993"/>
  </r>
  <r>
    <s v="CA-2019-142958"/>
    <x v="503"/>
    <s v="RW-19630"/>
    <s v="Rob Williams"/>
    <s v="United States"/>
    <x v="2"/>
    <x v="2"/>
    <s v="Bretford CR4500 Series Slim Rectangular Table"/>
    <n v="1114.2719999999999"/>
    <n v="4"/>
    <n v="41.785200000000003"/>
    <n v="3.7500000000000004"/>
  </r>
  <r>
    <s v="CA-2020-161410"/>
    <x v="334"/>
    <s v="CC-12220"/>
    <s v="Chris Cortes"/>
    <s v="United States"/>
    <x v="0"/>
    <x v="0"/>
    <s v="Bose SoundLink Bluetooth Speaker"/>
    <n v="368.2"/>
    <n v="3"/>
    <n v="41.79"/>
    <n v="11.34980988593156"/>
  </r>
  <r>
    <s v="CA-2019-139941"/>
    <x v="104"/>
    <s v="CB-12415"/>
    <s v="Christy Brittain"/>
    <s v="United States"/>
    <x v="0"/>
    <x v="1"/>
    <s v="IBM Multi-Purpose Copy Paper, 8 1/2 x 11&quot;, Case"/>
    <n v="92.94"/>
    <n v="3"/>
    <n v="41.823"/>
    <n v="45"/>
  </r>
  <r>
    <s v="CA-2020-126865"/>
    <x v="372"/>
    <s v="NP-18325"/>
    <s v="Naresj Patel"/>
    <s v="United States"/>
    <x v="2"/>
    <x v="1"/>
    <s v="Xerox 1960"/>
    <n v="107.94"/>
    <n v="3"/>
    <n v="41.823"/>
    <n v="38.746525847693164"/>
  </r>
  <r>
    <s v="CA-2020-134565"/>
    <x v="206"/>
    <s v="TB-21400"/>
    <s v="Tom Boeckenhauer"/>
    <s v="United States"/>
    <x v="2"/>
    <x v="2"/>
    <s v="O'Sullivan 3-Shelf Heavy-Duty Bookcases"/>
    <n v="195.42"/>
    <n v="3"/>
    <n v="41.860799999999998"/>
    <n v="21.420939514891003"/>
  </r>
  <r>
    <s v="CA-2019-134803"/>
    <x v="283"/>
    <s v="CL-12565"/>
    <s v="Clay Ludtke"/>
    <s v="United States"/>
    <x v="2"/>
    <x v="0"/>
    <s v="Okidata C331dn Printer"/>
    <n v="558.4"/>
    <n v="2"/>
    <n v="41.88"/>
    <n v="7.5000000000000009"/>
  </r>
  <r>
    <s v="CA-2019-152156"/>
    <x v="628"/>
    <s v="CG-12520"/>
    <s v="Claire Gute"/>
    <s v="United States"/>
    <x v="1"/>
    <x v="2"/>
    <s v="Bush Somerset Collection Bookcase"/>
    <n v="261.95999999999998"/>
    <n v="2"/>
    <n v="41.913600000000002"/>
    <n v="16.000000000000004"/>
  </r>
  <r>
    <s v="CA-2020-148474"/>
    <x v="375"/>
    <s v="ME-17320"/>
    <s v="Maria Etezadi"/>
    <s v="United States"/>
    <x v="1"/>
    <x v="1"/>
    <s v="Ibico Plastic Spiral Binding Combs"/>
    <n v="126.2"/>
    <n v="3"/>
    <n v="41.951999999999998"/>
    <n v="33.242472266244057"/>
  </r>
  <r>
    <s v="CA-2020-109960"/>
    <x v="356"/>
    <s v="DB-13210"/>
    <s v="Dean Braden"/>
    <s v="United States"/>
    <x v="3"/>
    <x v="0"/>
    <s v="Maxell Pro 80 Minute CD-R, 10/Pack"/>
    <n v="123.88"/>
    <n v="6"/>
    <n v="41.951999999999998"/>
    <n v="33.865030674846622"/>
  </r>
  <r>
    <s v="CA-2019-105732"/>
    <x v="443"/>
    <s v="AG-10270"/>
    <s v="Alejandro Grove"/>
    <s v="United States"/>
    <x v="3"/>
    <x v="0"/>
    <s v="BlueLounge Milo Smartphone Stand, White/Metallic"/>
    <n v="149.94999999999999"/>
    <n v="5"/>
    <n v="41.985999999999997"/>
    <n v="28.000000000000004"/>
  </r>
  <r>
    <s v="CA-2020-150623"/>
    <x v="404"/>
    <s v="DB-13360"/>
    <s v="Dennis Bolton"/>
    <s v="United States"/>
    <x v="0"/>
    <x v="0"/>
    <s v="Logitech G700s Rechargeable Gaming Mouse"/>
    <n v="120.99"/>
    <n v="1"/>
    <n v="41.995800000000003"/>
    <n v="34.710141333994549"/>
  </r>
  <r>
    <s v="CA-2019-115756"/>
    <x v="100"/>
    <s v="PK-19075"/>
    <s v="Pete Kriz"/>
    <s v="United States"/>
    <x v="3"/>
    <x v="1"/>
    <s v="Xerox Color Copier Paper, 11&quot; x 17&quot;, Ream"/>
    <n v="91.36"/>
    <n v="4"/>
    <n v="42.025599999999997"/>
    <n v="46"/>
  </r>
  <r>
    <s v="CA-2020-105914"/>
    <x v="11"/>
    <s v="PV-18985"/>
    <s v="Paul Van Hugh"/>
    <s v="United States"/>
    <x v="2"/>
    <x v="1"/>
    <s v="Performers Binder/Pad Holder, Black"/>
    <n v="145.12"/>
    <n v="5"/>
    <n v="42.045000000000002"/>
    <n v="28.972574421168691"/>
  </r>
  <r>
    <s v="CA-2020-104577"/>
    <x v="198"/>
    <s v="CK-12205"/>
    <s v="Chloris Kastensmidt"/>
    <s v="United States"/>
    <x v="0"/>
    <x v="1"/>
    <s v="TOPS Carbonless Receipt Book, Four 2-3/4 x 7-1/4 Money Receipts per Page"/>
    <n v="133.6"/>
    <n v="5"/>
    <n v="42.048000000000002"/>
    <n v="31.473053892215567"/>
  </r>
  <r>
    <s v="CA-2019-105494"/>
    <x v="214"/>
    <s v="PC-18745"/>
    <s v="Pamela Coakley"/>
    <s v="United States"/>
    <x v="2"/>
    <x v="1"/>
    <s v="File Shuttle I and Handi-File"/>
    <n v="155.82"/>
    <n v="7"/>
    <n v="42.071399999999997"/>
    <n v="27"/>
  </r>
  <r>
    <s v="CA-2020-127026"/>
    <x v="263"/>
    <s v="MH-18115"/>
    <s v="Mick Hernandez"/>
    <s v="United States"/>
    <x v="3"/>
    <x v="1"/>
    <s v="Avery Flip-Chart Easel Binder, Black"/>
    <n v="109.52"/>
    <n v="4"/>
    <n v="42.074399999999997"/>
    <n v="38.417092768444114"/>
  </r>
  <r>
    <s v="CA-2020-110884"/>
    <x v="552"/>
    <s v="SH-20395"/>
    <s v="Shahid Hopkins"/>
    <s v="United States"/>
    <x v="0"/>
    <x v="1"/>
    <s v="Avery 4027 File Folder Labels for Dot Matrix Printers, 5000 Labels per Box, White"/>
    <n v="106.59"/>
    <n v="3"/>
    <n v="42.131399999999999"/>
    <n v="39.526597241767519"/>
  </r>
  <r>
    <s v="CA-2019-164672"/>
    <x v="491"/>
    <s v="GB-14530"/>
    <s v="George Bell"/>
    <s v="United States"/>
    <x v="0"/>
    <x v="2"/>
    <s v="Tenex 46&quot; x 60&quot; Computer Anti-Static Chairmat, Rectangular Shaped"/>
    <n v="211.96"/>
    <n v="2"/>
    <n v="42.392000000000003"/>
    <n v="20"/>
  </r>
  <r>
    <s v="US-2020-109253"/>
    <x v="500"/>
    <s v="PR-18880"/>
    <s v="Patrick Ryan"/>
    <s v="United States"/>
    <x v="2"/>
    <x v="1"/>
    <s v="Acco Flexible ACCOHIDE Square Ring Data Binder, Dark Blue, 11 1/2&quot; X 14&quot; 7/8&quot;"/>
    <n v="154.14400000000001"/>
    <n v="9"/>
    <n v="42.464700000000001"/>
    <n v="27.548720676769772"/>
  </r>
  <r>
    <s v="CA-2019-165995"/>
    <x v="62"/>
    <s v="BG-11740"/>
    <s v="Bruce Geld"/>
    <s v="United States"/>
    <x v="2"/>
    <x v="0"/>
    <s v="Panasonic KX TS3282W Corded phone"/>
    <n v="339.96"/>
    <n v="5"/>
    <n v="42.494999999999997"/>
    <n v="12.5"/>
  </r>
  <r>
    <s v="CA-2020-113530"/>
    <x v="234"/>
    <s v="BC-11125"/>
    <s v="Becky Castell"/>
    <s v="United States"/>
    <x v="2"/>
    <x v="2"/>
    <s v="Situations Contoured Folding Chairs, 4/Set"/>
    <n v="704.40800000000002"/>
    <n v="12"/>
    <n v="42.588000000000001"/>
    <n v="6.0459279281325591"/>
  </r>
  <r>
    <s v="CA-2020-113558"/>
    <x v="168"/>
    <s v="PH-18790"/>
    <s v="Patricia Hirasaki"/>
    <s v="United States"/>
    <x v="1"/>
    <x v="2"/>
    <s v="Global Commerce Series High-Back Swivel/Tilt Chairs"/>
    <n v="717.952"/>
    <n v="3"/>
    <n v="42.747"/>
    <n v="5.9540192101978962"/>
  </r>
  <r>
    <s v="US-2019-165505"/>
    <x v="516"/>
    <s v="CB-12535"/>
    <s v="Claudia Bergmann"/>
    <s v="United States"/>
    <x v="0"/>
    <x v="0"/>
    <s v="Logitech Wireless Marathon Mouse M705"/>
    <n v="99.98"/>
    <n v="2"/>
    <n v="42.991399999999999"/>
    <n v="43"/>
  </r>
  <r>
    <s v="CA-2020-111815"/>
    <x v="321"/>
    <s v="EP-13915"/>
    <s v="Emily Phan"/>
    <s v="United States"/>
    <x v="3"/>
    <x v="0"/>
    <s v="Logitech Wireless Marathon Mouse M705"/>
    <n v="125.98"/>
    <n v="2"/>
    <n v="42.991399999999999"/>
    <n v="34.125575488172721"/>
  </r>
  <r>
    <s v="CA-2019-137939"/>
    <x v="629"/>
    <s v="PJ-19015"/>
    <s v="Pauline Johnson"/>
    <s v="United States"/>
    <x v="0"/>
    <x v="0"/>
    <s v="invisibleSHIELD by ZAGG Smudge-Free Screen Protector"/>
    <n v="89.95"/>
    <n v="5"/>
    <n v="43.176000000000002"/>
    <n v="48"/>
  </r>
  <r>
    <s v="CA-2020-141103"/>
    <x v="196"/>
    <s v="JF-15355"/>
    <s v="Jay Fein"/>
    <s v="United States"/>
    <x v="0"/>
    <x v="0"/>
    <s v="invisibleSHIELD by ZAGG Smudge-Free Screen Protector"/>
    <n v="173.95"/>
    <n v="5"/>
    <n v="43.176000000000002"/>
    <n v="24.820925553319924"/>
  </r>
  <r>
    <s v="CA-2020-141439"/>
    <x v="197"/>
    <s v="TT-21460"/>
    <s v="Tonja Turnell"/>
    <s v="United States"/>
    <x v="3"/>
    <x v="0"/>
    <s v="Innergie mMini Combo Duo USB Travel Charging Kit"/>
    <n v="116.98"/>
    <n v="2"/>
    <n v="43.190399999999997"/>
    <n v="36.921183108223623"/>
  </r>
  <r>
    <s v="CA-2019-147375"/>
    <x v="104"/>
    <s v="PO-19180"/>
    <s v="Philisse Overcash"/>
    <s v="United States"/>
    <x v="3"/>
    <x v="0"/>
    <s v="Canon Color ImageCLASS MF8580Cdw Wireless Laser All-In-One Printer, Copier, Scanner"/>
    <n v="1007.979"/>
    <n v="3"/>
    <n v="43.199100000000001"/>
    <n v="4.2857142857142856"/>
  </r>
  <r>
    <s v="CA-2020-154074"/>
    <x v="461"/>
    <s v="BW-11110"/>
    <s v="Bart Watters"/>
    <s v="United States"/>
    <x v="2"/>
    <x v="1"/>
    <s v="Sortfiler Multipurpose Personal File Organizer, Black"/>
    <n v="160.72999999999999"/>
    <n v="7"/>
    <n v="43.421700000000001"/>
    <n v="27.015305170161142"/>
  </r>
  <r>
    <s v="CA-2020-119305"/>
    <x v="21"/>
    <s v="SW-20275"/>
    <s v="Scott Williamson"/>
    <s v="United States"/>
    <x v="1"/>
    <x v="1"/>
    <s v="Home/Office Personal File Carts"/>
    <n v="204.8"/>
    <n v="5"/>
    <n v="43.45"/>
    <n v="21.2158203125"/>
  </r>
  <r>
    <s v="CA-2020-102379"/>
    <x v="18"/>
    <s v="BB-11545"/>
    <s v="Brenda Bowman"/>
    <s v="United States"/>
    <x v="2"/>
    <x v="2"/>
    <s v="Office Star - Mid Back Dual function Ergonomic High Back Chair with 2-Way Adjustable Arms"/>
    <n v="182.05600000000001"/>
    <n v="9"/>
    <n v="43.464599999999997"/>
    <n v="23.874302412444521"/>
  </r>
  <r>
    <s v="CA-2020-141138"/>
    <x v="31"/>
    <s v="GH-14425"/>
    <s v="Gary Hwang"/>
    <s v="United States"/>
    <x v="2"/>
    <x v="0"/>
    <s v="Memorex Mini Travel Drive 16 GB USB 2.0 Flash Drive"/>
    <n v="129.79"/>
    <n v="7"/>
    <n v="43.598100000000002"/>
    <n v="33.59126280915325"/>
  </r>
  <r>
    <s v="CA-2020-113460"/>
    <x v="117"/>
    <s v="KN-16390"/>
    <s v="Katherine Nockton"/>
    <s v="United States"/>
    <x v="0"/>
    <x v="2"/>
    <s v="Global Highback Leather Tilter in Burgundy"/>
    <n v="285.97000000000003"/>
    <n v="3"/>
    <n v="43.675199999999997"/>
    <n v="15.272650977375246"/>
  </r>
  <r>
    <s v="CA-2019-167241"/>
    <x v="332"/>
    <s v="BD-11320"/>
    <s v="Bill Donatelli"/>
    <s v="United States"/>
    <x v="2"/>
    <x v="2"/>
    <s v="Luxo Professional Magnifying Clamp-On Fluorescent Lamps"/>
    <n v="312.02999999999997"/>
    <n v="3"/>
    <n v="43.684199999999997"/>
    <n v="14.000000000000002"/>
  </r>
  <r>
    <s v="CA-2020-162015"/>
    <x v="543"/>
    <s v="KB-16240"/>
    <s v="Karen Bern"/>
    <s v="United States"/>
    <x v="2"/>
    <x v="1"/>
    <s v="Fellowes 8 Outlet Superior Workstation Surge Protector w/o Phone/Fax/Modem Protection"/>
    <n v="202.1"/>
    <n v="5"/>
    <n v="43.706000000000003"/>
    <n v="21.625927758535379"/>
  </r>
  <r>
    <s v="US-2020-115609"/>
    <x v="88"/>
    <s v="CS-12505"/>
    <s v="Cindy Stewart"/>
    <s v="United States"/>
    <x v="2"/>
    <x v="1"/>
    <s v="Fellowes 8 Outlet Superior Workstation Surge Protector w/o Phone/Fax/Modem Protection"/>
    <n v="178.1"/>
    <n v="5"/>
    <n v="43.706000000000003"/>
    <n v="24.540145985401463"/>
  </r>
  <r>
    <s v="CA-2020-167941"/>
    <x v="174"/>
    <s v="JF-15565"/>
    <s v="Jill Fjeld"/>
    <s v="United States"/>
    <x v="1"/>
    <x v="1"/>
    <s v="1.7 Cubic Foot Compact &quot;Cube&quot; Office Refrigerators"/>
    <n v="532.58399999999995"/>
    <n v="3"/>
    <n v="43.7136"/>
    <n v="8.2078320039655726"/>
  </r>
  <r>
    <s v="CA-2020-143112"/>
    <x v="188"/>
    <s v="TS-21370"/>
    <s v="Todd Sumrall"/>
    <s v="United States"/>
    <x v="0"/>
    <x v="0"/>
    <s v="Samsung HM1900 Bluetooth Headset"/>
    <n v="111.8"/>
    <n v="4"/>
    <n v="43.9"/>
    <n v="39.266547406082289"/>
  </r>
  <r>
    <s v="CA-2019-152289"/>
    <x v="261"/>
    <s v="LC-16930"/>
    <s v="Linda Cazamias"/>
    <s v="United States"/>
    <x v="3"/>
    <x v="0"/>
    <s v="Logitech G700s Rechargeable Gaming Mouse"/>
    <n v="159.98400000000001"/>
    <n v="2"/>
    <n v="43.995600000000003"/>
    <n v="27.500000000000004"/>
  </r>
  <r>
    <s v="CA-2020-161172"/>
    <x v="160"/>
    <s v="SP-20920"/>
    <s v="Susan Pistek"/>
    <s v="United States"/>
    <x v="0"/>
    <x v="0"/>
    <s v="Logitech G700s Rechargeable Gaming Mouse"/>
    <n v="197.98400000000001"/>
    <n v="2"/>
    <n v="43.995600000000003"/>
    <n v="22.221795700662682"/>
  </r>
  <r>
    <s v="CA-2020-159597"/>
    <x v="407"/>
    <s v="MC-17590"/>
    <s v="Matt Collister"/>
    <s v="United States"/>
    <x v="2"/>
    <x v="0"/>
    <s v="Razer Kraken 7.1 Surround Sound Over Ear USB Gaming Headset"/>
    <n v="130.99"/>
    <n v="1"/>
    <n v="43.995600000000003"/>
    <n v="33.586991373387285"/>
  </r>
  <r>
    <s v="CA-2020-156776"/>
    <x v="278"/>
    <s v="JL-15505"/>
    <s v="Jeremy Lonsdale"/>
    <s v="United States"/>
    <x v="2"/>
    <x v="0"/>
    <s v="Polycom VoiceStation 500 Conference phone"/>
    <n v="732.88"/>
    <n v="3"/>
    <n v="44.2425"/>
    <n v="6.0368000218316782"/>
  </r>
  <r>
    <s v="CA-2019-137337"/>
    <x v="277"/>
    <s v="GB-14575"/>
    <s v="Giulietta Baptist"/>
    <s v="United States"/>
    <x v="0"/>
    <x v="2"/>
    <s v="Coloredge Poster Frame"/>
    <n v="113.6"/>
    <n v="8"/>
    <n v="44.304000000000002"/>
    <n v="39"/>
  </r>
  <r>
    <s v="CA-2019-123358"/>
    <x v="377"/>
    <s v="BT-11680"/>
    <s v="Brian Thompson"/>
    <s v="United States"/>
    <x v="2"/>
    <x v="1"/>
    <s v="3M Replacement Filter for Office Air Cleaner for 20' x 33' Room"/>
    <n v="113.76"/>
    <n v="3"/>
    <n v="44.366399999999999"/>
    <n v="38.999999999999993"/>
  </r>
  <r>
    <s v="CA-2019-118101"/>
    <x v="454"/>
    <s v="SN-20560"/>
    <s v="Skye Norling"/>
    <s v="United States"/>
    <x v="3"/>
    <x v="1"/>
    <s v="SAFCO Mobile Desk Side File, Wire Frame"/>
    <n v="171.04"/>
    <n v="4"/>
    <n v="44.470399999999998"/>
    <n v="26"/>
  </r>
  <r>
    <s v="CA-2020-108329"/>
    <x v="356"/>
    <s v="LE-16810"/>
    <s v="Laurel Elliston"/>
    <s v="United States"/>
    <x v="2"/>
    <x v="0"/>
    <s v="Nortel Business Series Terminal T7208 Digital phone"/>
    <n v="473.76799999999997"/>
    <n v="4"/>
    <n v="44.476799999999997"/>
    <n v="9.3878860539335705"/>
  </r>
  <r>
    <s v="US-2020-123862"/>
    <x v="413"/>
    <s v="JF-15190"/>
    <s v="Jamie Frazer"/>
    <s v="United States"/>
    <x v="2"/>
    <x v="1"/>
    <s v="Eldon Fold 'N Roll Cart System"/>
    <n v="186.78"/>
    <n v="11"/>
    <n v="44.596200000000003"/>
    <n v="23.876325088339222"/>
  </r>
  <r>
    <s v="CA-2020-100314"/>
    <x v="86"/>
    <s v="AS-10630"/>
    <s v="Ann Steele"/>
    <s v="United States"/>
    <x v="3"/>
    <x v="0"/>
    <s v="Wasp CCD Handheld Bar Code Reader"/>
    <n v="370.51"/>
    <n v="3"/>
    <n v="44.868000000000002"/>
    <n v="12.109794607432999"/>
  </r>
  <r>
    <s v="US-2019-108637"/>
    <x v="22"/>
    <s v="AB-10060"/>
    <s v="Adam Bellavance"/>
    <s v="United States"/>
    <x v="1"/>
    <x v="1"/>
    <s v="Eureka The Boss Lite 10-Amp Upright Vacuum, Blue"/>
    <n v="160.32"/>
    <n v="2"/>
    <n v="44.889600000000002"/>
    <n v="28.000000000000004"/>
  </r>
  <r>
    <s v="CA-2020-102379"/>
    <x v="18"/>
    <s v="BB-11545"/>
    <s v="Brenda Bowman"/>
    <s v="United States"/>
    <x v="2"/>
    <x v="1"/>
    <s v="Panasonic KP-380BK Classic Electric Pencil Sharpener"/>
    <n v="202.9"/>
    <n v="5"/>
    <n v="44.975000000000001"/>
    <n v="22.166091670773781"/>
  </r>
  <r>
    <s v="CA-2019-113621"/>
    <x v="212"/>
    <s v="JE-15745"/>
    <s v="Joel Eaton"/>
    <s v="United States"/>
    <x v="0"/>
    <x v="0"/>
    <s v="JBL Micro Wireless Portable Bluetooth Speaker"/>
    <n v="179.97"/>
    <n v="3"/>
    <n v="44.9925"/>
    <n v="25"/>
  </r>
  <r>
    <s v="CA-2020-156951"/>
    <x v="435"/>
    <s v="EB-13840"/>
    <s v="Ellis Ballard"/>
    <s v="United States"/>
    <x v="2"/>
    <x v="1"/>
    <s v="Personal Creations Ink Jet Cards and Labels"/>
    <n v="108.84"/>
    <n v="8"/>
    <n v="45.001600000000003"/>
    <n v="41.346563763322308"/>
  </r>
  <r>
    <s v="US-2019-131611"/>
    <x v="77"/>
    <s v="EP-13915"/>
    <s v="Emily Phan"/>
    <s v="United States"/>
    <x v="3"/>
    <x v="0"/>
    <s v="Logitech Wireless Headset H600 Over-The-Head Design"/>
    <n v="171.96"/>
    <n v="5"/>
    <n v="45.139499999999998"/>
    <n v="26.249999999999996"/>
  </r>
  <r>
    <s v="CA-2020-116645"/>
    <x v="21"/>
    <s v="ME-17725"/>
    <s v="Max Engle"/>
    <s v="United States"/>
    <x v="0"/>
    <x v="1"/>
    <s v="BOSTON Ranger #55 Pencil Sharpener, Black"/>
    <n v="166.94"/>
    <n v="6"/>
    <n v="45.2226"/>
    <n v="27.089133820534322"/>
  </r>
  <r>
    <s v="US-2020-167318"/>
    <x v="630"/>
    <s v="GZ-14545"/>
    <s v="George Zrebassa"/>
    <s v="United States"/>
    <x v="2"/>
    <x v="2"/>
    <s v="Global Airflow Leather Mesh Back Chair, Black"/>
    <n v="403.35199999999998"/>
    <n v="3"/>
    <n v="45.293999999999997"/>
    <n v="11.229397647712172"/>
  </r>
  <r>
    <s v="CA-2019-137239"/>
    <x v="312"/>
    <s v="CR-12730"/>
    <s v="Craig Reiter"/>
    <s v="United States"/>
    <x v="0"/>
    <x v="1"/>
    <s v="Airmail Envelopes"/>
    <n v="134.28800000000001"/>
    <n v="2"/>
    <n v="45.322200000000002"/>
    <n v="33.75"/>
  </r>
  <r>
    <s v="CA-2020-128041"/>
    <x v="524"/>
    <s v="RW-19540"/>
    <s v="Rick Wilson"/>
    <s v="United States"/>
    <x v="2"/>
    <x v="2"/>
    <s v="KI Conference Tables"/>
    <n v="321.56"/>
    <n v="4"/>
    <n v="45.369599999999998"/>
    <n v="14.109217564373678"/>
  </r>
  <r>
    <s v="CA-2020-140480"/>
    <x v="526"/>
    <s v="HE-14800"/>
    <s v="Harold Engle"/>
    <s v="United States"/>
    <x v="0"/>
    <x v="1"/>
    <s v="Hunt Boston Vacuum Mount KS Pencil Sharpener"/>
    <n v="201.95"/>
    <n v="5"/>
    <n v="45.487000000000002"/>
    <n v="22.523892052488243"/>
  </r>
  <r>
    <s v="CA-2020-160927"/>
    <x v="303"/>
    <s v="TM-21010"/>
    <s v="Tamara Manning"/>
    <s v="United States"/>
    <x v="3"/>
    <x v="1"/>
    <s v="Xerox 1887"/>
    <n v="129.85"/>
    <n v="5"/>
    <n v="45.527999999999999"/>
    <n v="35.061994609164422"/>
  </r>
  <r>
    <s v="CA-2020-140676"/>
    <x v="525"/>
    <s v="BF-11080"/>
    <s v="Bart Folk"/>
    <s v="United States"/>
    <x v="0"/>
    <x v="1"/>
    <s v="Xerox 1939"/>
    <n v="142.85"/>
    <n v="5"/>
    <n v="45.527999999999999"/>
    <n v="31.871193559677984"/>
  </r>
  <r>
    <s v="CA-2019-131835"/>
    <x v="395"/>
    <s v="MC-17590"/>
    <s v="Matt Collister"/>
    <s v="United States"/>
    <x v="0"/>
    <x v="1"/>
    <s v="Kensington 4 Outlet MasterPiece Compact Power Control Center"/>
    <n v="162.63999999999999"/>
    <n v="2"/>
    <n v="45.539200000000001"/>
    <n v="28.000000000000004"/>
  </r>
  <r>
    <s v="CA-2020-118003"/>
    <x v="57"/>
    <s v="DO-13645"/>
    <s v="Doug O'Connell"/>
    <s v="United States"/>
    <x v="0"/>
    <x v="2"/>
    <s v="Global Value Steno Chair, Gray"/>
    <n v="216.22"/>
    <n v="3"/>
    <n v="45.555"/>
    <n v="21.068818795671078"/>
  </r>
  <r>
    <s v="CA-2020-137463"/>
    <x v="505"/>
    <s v="KM-16225"/>
    <s v="Kalyca Meade"/>
    <s v="United States"/>
    <x v="2"/>
    <x v="0"/>
    <s v="Imation Secure Drive + Hardware Encrypted USB flash drive - 16 GB"/>
    <n v="522.95000000000005"/>
    <n v="5"/>
    <n v="45.588000000000001"/>
    <n v="8.7174682091978184"/>
  </r>
  <r>
    <s v="US-2020-117534"/>
    <x v="501"/>
    <s v="CV-12295"/>
    <s v="Christina VanderZanden"/>
    <s v="United States"/>
    <x v="2"/>
    <x v="1"/>
    <s v="Acco Smartsocket Color-Coded Six-Outlet AC Adapter Model Surge Protectors"/>
    <n v="223.04"/>
    <n v="4"/>
    <n v="45.770400000000002"/>
    <n v="20.521162123385942"/>
  </r>
  <r>
    <s v="CA-2020-132178"/>
    <x v="137"/>
    <s v="DB-12970"/>
    <s v="Darren Budd"/>
    <s v="United States"/>
    <x v="2"/>
    <x v="1"/>
    <s v="Fellowes Stor/Drawer Steel Plus Storage Drawers"/>
    <n v="790.44"/>
    <n v="8"/>
    <n v="45.806399999999996"/>
    <n v="5.7950508577501125"/>
  </r>
  <r>
    <s v="US-2020-132444"/>
    <x v="276"/>
    <s v="CD-12280"/>
    <s v="Christina DeMoss"/>
    <s v="United States"/>
    <x v="2"/>
    <x v="1"/>
    <s v="Eldon Portable Mobile Manager"/>
    <n v="184.68"/>
    <n v="6"/>
    <n v="45.813600000000001"/>
    <n v="24.807017543859651"/>
  </r>
  <r>
    <s v="US-2019-102141"/>
    <x v="261"/>
    <s v="KD-16615"/>
    <s v="Ken Dana"/>
    <s v="United States"/>
    <x v="0"/>
    <x v="1"/>
    <s v="Deluxe Heavy-Duty Vinyl Round Ring Binder"/>
    <n v="146.68799999999999"/>
    <n v="8"/>
    <n v="45.84"/>
    <n v="31.250000000000007"/>
  </r>
  <r>
    <s v="CA-2019-133711"/>
    <x v="127"/>
    <s v="MC-17425"/>
    <s v="Mark Cousins"/>
    <s v="United States"/>
    <x v="1"/>
    <x v="1"/>
    <s v="Surelock Post Binders"/>
    <n v="91.68"/>
    <n v="3"/>
    <n v="45.84"/>
    <n v="50"/>
  </r>
  <r>
    <s v="CA-2019-101672"/>
    <x v="257"/>
    <s v="DB-12910"/>
    <s v="Daniel Byrd"/>
    <s v="United States"/>
    <x v="2"/>
    <x v="1"/>
    <s v="Xerox 1891"/>
    <n v="97.82"/>
    <n v="2"/>
    <n v="45.9754"/>
    <n v="47"/>
  </r>
  <r>
    <s v="CA-2020-140844"/>
    <x v="156"/>
    <s v="AR-10405"/>
    <s v="Allen Rosenblatt"/>
    <s v="United States"/>
    <x v="0"/>
    <x v="1"/>
    <s v="Xerox 1943"/>
    <n v="109.82"/>
    <n v="2"/>
    <n v="45.9754"/>
    <n v="41.864323438353672"/>
  </r>
  <r>
    <s v="US-2019-127971"/>
    <x v="165"/>
    <s v="DW-13195"/>
    <s v="David Wiener"/>
    <s v="United States"/>
    <x v="3"/>
    <x v="0"/>
    <s v="Samsung HM1900 Bluetooth Headset"/>
    <n v="122.92"/>
    <n v="7"/>
    <n v="46.094999999999999"/>
    <n v="37.5"/>
  </r>
  <r>
    <s v="CA-2019-110254"/>
    <x v="376"/>
    <s v="ML-17755"/>
    <s v="Max Ludwig"/>
    <s v="United States"/>
    <x v="1"/>
    <x v="2"/>
    <s v="Advantus Panel Wall Certificate Holder - 8.5x11"/>
    <n v="109.8"/>
    <n v="9"/>
    <n v="46.116"/>
    <n v="42"/>
  </r>
  <r>
    <s v="CA-2019-151372"/>
    <x v="100"/>
    <s v="JH-15985"/>
    <s v="Joseph Holt"/>
    <s v="United States"/>
    <x v="2"/>
    <x v="1"/>
    <s v="14-7/8 x 11 Blue Bar Computer Printout Paper"/>
    <n v="96.08"/>
    <n v="2"/>
    <n v="46.118400000000001"/>
    <n v="48.000000000000007"/>
  </r>
  <r>
    <s v="CA-2020-114055"/>
    <x v="141"/>
    <s v="MH-18115"/>
    <s v="Mick Hernandez"/>
    <s v="United States"/>
    <x v="1"/>
    <x v="1"/>
    <s v="14-7/8 x 11 Blue Bar Computer Printout Paper"/>
    <n v="450.08"/>
    <n v="2"/>
    <n v="46.118400000000001"/>
    <n v="10.246711695698544"/>
  </r>
  <r>
    <s v="CA-2020-118199"/>
    <x v="513"/>
    <s v="LB-16795"/>
    <s v="Laurel Beltran"/>
    <s v="United States"/>
    <x v="2"/>
    <x v="1"/>
    <s v="GBC Velobind Prepunched Cover Sets, Regency Series"/>
    <n v="188.92"/>
    <n v="5"/>
    <n v="46.225000000000001"/>
    <n v="24.468028795257254"/>
  </r>
  <r>
    <s v="CA-2020-169327"/>
    <x v="149"/>
    <s v="MH-17290"/>
    <s v="Marc Harrigan"/>
    <s v="United States"/>
    <x v="2"/>
    <x v="1"/>
    <s v="GBC Velobind Prepunched Cover Sets, Regency Series"/>
    <n v="173.92"/>
    <n v="5"/>
    <n v="46.225000000000001"/>
    <n v="26.578311867525301"/>
  </r>
  <r>
    <s v="CA-2020-128783"/>
    <x v="266"/>
    <s v="TG-21640"/>
    <s v="Trudy Glocke"/>
    <s v="United States"/>
    <x v="3"/>
    <x v="0"/>
    <s v="Maxell 4.7GB DVD-R"/>
    <n v="125.52"/>
    <n v="4"/>
    <n v="46.543199999999999"/>
    <n v="37.080305927342252"/>
  </r>
  <r>
    <s v="CA-2020-118437"/>
    <x v="245"/>
    <s v="PF-19165"/>
    <s v="Philip Fox"/>
    <s v="United States"/>
    <x v="2"/>
    <x v="2"/>
    <s v="Howard Miller 13-3/4&quot; Diameter Brushed Chrome Round Wall Clock"/>
    <n v="178.25"/>
    <n v="3"/>
    <n v="46.575000000000003"/>
    <n v="26.129032258064516"/>
  </r>
  <r>
    <s v="CA-2020-128965"/>
    <x v="2"/>
    <s v="PS-18760"/>
    <s v="Pamela Stobb"/>
    <s v="United States"/>
    <x v="2"/>
    <x v="0"/>
    <s v="Logitech Wireless Touch Keyboard K400"/>
    <n v="290.89"/>
    <n v="11"/>
    <n v="46.731299999999997"/>
    <n v="16.064938636598029"/>
  </r>
  <r>
    <s v="CA-2020-137099"/>
    <x v="3"/>
    <s v="FP-14320"/>
    <s v="Frank Preis"/>
    <s v="United States"/>
    <x v="2"/>
    <x v="0"/>
    <s v="Cisco SPA301"/>
    <n v="400.37599999999998"/>
    <n v="3"/>
    <n v="46.796999999999997"/>
    <n v="11.688263032749216"/>
  </r>
  <r>
    <s v="US-2019-123610"/>
    <x v="310"/>
    <s v="VM-21835"/>
    <s v="Vivian Mathis"/>
    <s v="United States"/>
    <x v="2"/>
    <x v="0"/>
    <s v="Memorex Mini Travel Drive 32 GB USB 2.0 Flash Drive"/>
    <n v="120"/>
    <n v="6"/>
    <n v="46.8"/>
    <n v="38.999999999999993"/>
  </r>
  <r>
    <s v="US-2019-155971"/>
    <x v="428"/>
    <s v="RB-19795"/>
    <s v="Ross Baird"/>
    <s v="United States"/>
    <x v="2"/>
    <x v="1"/>
    <s v="Xerox Blank Computer Paper"/>
    <n v="99.9"/>
    <n v="5"/>
    <n v="46.953000000000003"/>
    <n v="47"/>
  </r>
  <r>
    <s v="US-2019-164945"/>
    <x v="358"/>
    <s v="CA-12055"/>
    <s v="Cathy Armstrong"/>
    <s v="United States"/>
    <x v="0"/>
    <x v="1"/>
    <s v="GBC Premium Transparent Covers with Diagonal Lined Pattern"/>
    <n v="134.27199999999999"/>
    <n v="8"/>
    <n v="46.995199999999997"/>
    <n v="35"/>
  </r>
  <r>
    <s v="CA-2020-162075"/>
    <x v="46"/>
    <s v="TT-21220"/>
    <s v="Thomas Thornton"/>
    <s v="United States"/>
    <x v="3"/>
    <x v="0"/>
    <s v="Pyle PMP37LED"/>
    <n v="556.54399999999998"/>
    <n v="7"/>
    <n v="47.0351"/>
    <n v="8.4512814799908007"/>
  </r>
  <r>
    <s v="CA-2020-112039"/>
    <x v="501"/>
    <s v="JC-15775"/>
    <s v="John Castell"/>
    <s v="United States"/>
    <x v="3"/>
    <x v="0"/>
    <s v="Panasonic KX-TG9471B"/>
    <n v="511.37599999999998"/>
    <n v="3"/>
    <n v="47.037599999999998"/>
    <n v="9.1982416069584811"/>
  </r>
  <r>
    <s v="CA-2020-111815"/>
    <x v="321"/>
    <s v="EP-13915"/>
    <s v="Emily Phan"/>
    <s v="United States"/>
    <x v="3"/>
    <x v="2"/>
    <s v="Global Ergonomic Managers Chair"/>
    <n v="227.98"/>
    <n v="1"/>
    <n v="47.0548"/>
    <n v="20.639880691288713"/>
  </r>
  <r>
    <s v="CA-2020-164707"/>
    <x v="551"/>
    <s v="CV-12805"/>
    <s v="Cynthia Voltz"/>
    <s v="United States"/>
    <x v="2"/>
    <x v="0"/>
    <s v="Memorex Micro Travel Drive 32 GB"/>
    <n v="146.53"/>
    <n v="3"/>
    <n v="47.097900000000003"/>
    <n v="32.14215519006347"/>
  </r>
  <r>
    <s v="CA-2020-151008"/>
    <x v="266"/>
    <s v="JM-16195"/>
    <s v="Justin MacKendrick"/>
    <s v="United States"/>
    <x v="2"/>
    <x v="0"/>
    <s v="Motorla HX550 Universal Bluetooth Headset"/>
    <n v="166.56"/>
    <n v="4"/>
    <n v="47.46"/>
    <n v="28.494236311239192"/>
  </r>
  <r>
    <s v="US-2019-114013"/>
    <x v="22"/>
    <s v="SC-20770"/>
    <s v="Stewart Carmichael"/>
    <s v="United States"/>
    <x v="0"/>
    <x v="0"/>
    <s v="Kensington Expert Mouse Optical USB Trackball for PC or Mac"/>
    <n v="379.96"/>
    <n v="5"/>
    <n v="47.494999999999997"/>
    <n v="12.5"/>
  </r>
  <r>
    <s v="US-2020-102288"/>
    <x v="156"/>
    <s v="ZC-21910"/>
    <s v="Zuschuss Carroll"/>
    <s v="United States"/>
    <x v="3"/>
    <x v="1"/>
    <s v="Xerox 1982"/>
    <n v="157.17599999999999"/>
    <n v="8"/>
    <n v="47.507199999999997"/>
    <n v="30.225479717005143"/>
  </r>
  <r>
    <s v="CA-2020-128363"/>
    <x v="7"/>
    <s v="DC-12850"/>
    <s v="Dan Campbell"/>
    <s v="United States"/>
    <x v="1"/>
    <x v="2"/>
    <s v="Hon Olson Stacker Chairs"/>
    <n v="460.64800000000002"/>
    <n v="2"/>
    <n v="47.660400000000003"/>
    <n v="10.346381618936801"/>
  </r>
  <r>
    <s v="CA-2019-121671"/>
    <x v="395"/>
    <s v="AA-10480"/>
    <s v="Andrew Allen"/>
    <s v="United States"/>
    <x v="3"/>
    <x v="1"/>
    <s v="Tennsco 6- and 18-Compartment Lockers"/>
    <n v="265.17"/>
    <n v="1"/>
    <n v="47.730600000000003"/>
    <n v="18"/>
  </r>
  <r>
    <s v="CA-2020-167094"/>
    <x v="168"/>
    <s v="DK-12835"/>
    <s v="Damala Kotsonis"/>
    <s v="United States"/>
    <x v="2"/>
    <x v="2"/>
    <s v="Global Comet Stacking Armless Chair"/>
    <n v="496.48"/>
    <n v="2"/>
    <n v="47.847999999999999"/>
    <n v="9.6374476313245232"/>
  </r>
  <r>
    <s v="CA-2020-116939"/>
    <x v="222"/>
    <s v="AG-10900"/>
    <s v="Arthur Gainer"/>
    <s v="United States"/>
    <x v="1"/>
    <x v="1"/>
    <s v="Steel Personal Filing/Posting Tote"/>
    <n v="191.55"/>
    <n v="5"/>
    <n v="47.938499999999998"/>
    <n v="25.026624902114325"/>
  </r>
  <r>
    <s v="US-2020-105046"/>
    <x v="434"/>
    <s v="BE-11335"/>
    <s v="Bill Eplett"/>
    <s v="United States"/>
    <x v="0"/>
    <x v="1"/>
    <s v="Southworth 25% Cotton Premium Laser Paper and Envelopes"/>
    <n v="119.9"/>
    <n v="5"/>
    <n v="47.951999999999998"/>
    <n v="39.99332777314428"/>
  </r>
  <r>
    <s v="CA-2020-157903"/>
    <x v="499"/>
    <s v="AM-10705"/>
    <s v="Anne McFarland"/>
    <s v="United States"/>
    <x v="3"/>
    <x v="0"/>
    <s v="Cisco SPA 502G IP Phone"/>
    <n v="400.84"/>
    <n v="4"/>
    <n v="47.98"/>
    <n v="11.969863287097096"/>
  </r>
  <r>
    <s v="CA-2020-123029"/>
    <x v="317"/>
    <s v="BT-11530"/>
    <s v="Bradley Talbott"/>
    <s v="United States"/>
    <x v="2"/>
    <x v="0"/>
    <s v="Razer Kraken PRO Over Ear PC and Music Headset"/>
    <n v="206.98"/>
    <n v="2"/>
    <n v="47.994"/>
    <n v="23.187747608464587"/>
  </r>
  <r>
    <s v="CA-2020-123778"/>
    <x v="71"/>
    <s v="BS-11755"/>
    <s v="Bruce Stewart"/>
    <s v="United States"/>
    <x v="2"/>
    <x v="1"/>
    <s v="APC 7 Outlet Network SurgeArrest Surge Protector"/>
    <n v="203.96"/>
    <n v="2"/>
    <n v="48.287999999999997"/>
    <n v="23.675230437340652"/>
  </r>
  <r>
    <s v="CA-2020-169978"/>
    <x v="437"/>
    <s v="HG-15025"/>
    <s v="Hunter Glantz"/>
    <s v="United States"/>
    <x v="0"/>
    <x v="2"/>
    <s v="DMI Arturo Collection Mission-style Design Wood Chair"/>
    <n v="622.76400000000001"/>
    <n v="2"/>
    <n v="48.313600000000001"/>
    <n v="7.757930773133964"/>
  </r>
  <r>
    <s v="US-2020-167920"/>
    <x v="356"/>
    <s v="JL-15835"/>
    <s v="John Lee"/>
    <s v="United States"/>
    <x v="1"/>
    <x v="0"/>
    <s v="Logitech ClearChat Comfort/USB Headset H390"/>
    <n v="166.45"/>
    <n v="5"/>
    <n v="48.328499999999998"/>
    <n v="29.034845298888555"/>
  </r>
  <r>
    <s v="US-2019-140172"/>
    <x v="277"/>
    <s v="SP-20650"/>
    <s v="Stephanie Phelps"/>
    <s v="United States"/>
    <x v="3"/>
    <x v="1"/>
    <s v="Honeywell Enviracaire Portable Air Cleaner for up to 8 x 10 Room"/>
    <n v="207.14400000000001"/>
    <n v="3"/>
    <n v="48.333599999999997"/>
    <n v="23.333333333333332"/>
  </r>
  <r>
    <s v="CA-2020-132955"/>
    <x v="47"/>
    <s v="SC-20575"/>
    <s v="Sonia Cooley"/>
    <s v="United States"/>
    <x v="0"/>
    <x v="1"/>
    <s v="GBC Prestige Therm-A-Bind Covers"/>
    <n v="128.93"/>
    <n v="3"/>
    <n v="48.377099999999999"/>
    <n v="37.521988676025749"/>
  </r>
  <r>
    <s v="CA-2020-151211"/>
    <x v="23"/>
    <s v="AH-10120"/>
    <s v="Adrian Hane"/>
    <s v="United States"/>
    <x v="1"/>
    <x v="1"/>
    <s v="GBC Prestige Therm-A-Bind Covers"/>
    <n v="137.93"/>
    <n v="3"/>
    <n v="48.377099999999999"/>
    <n v="35.073660552454136"/>
  </r>
  <r>
    <s v="US-2019-115441"/>
    <x v="445"/>
    <s v="SH-19975"/>
    <s v="Sally Hughsby"/>
    <s v="United States"/>
    <x v="3"/>
    <x v="0"/>
    <s v="Memorex Froggy Flash Drive 8 GB"/>
    <n v="124.25"/>
    <n v="7"/>
    <n v="48.457500000000003"/>
    <n v="39"/>
  </r>
  <r>
    <s v="CA-2019-154067"/>
    <x v="603"/>
    <s v="SM-20950"/>
    <s v="Suzanne McNair"/>
    <s v="United States"/>
    <x v="2"/>
    <x v="1"/>
    <s v="Xerox 1883"/>
    <n v="1105.52"/>
    <n v="4"/>
    <n v="48.539200000000001"/>
    <n v="4.3906216079311093"/>
  </r>
  <r>
    <s v="CA-2019-108350"/>
    <x v="428"/>
    <s v="SC-20230"/>
    <s v="Scot Coram"/>
    <s v="United States"/>
    <x v="0"/>
    <x v="1"/>
    <s v="Xerox 1935"/>
    <n v="105.52"/>
    <n v="4"/>
    <n v="48.539200000000001"/>
    <n v="46"/>
  </r>
  <r>
    <s v="US-2020-103814"/>
    <x v="356"/>
    <s v="LH-16900"/>
    <s v="Lena Hernandez"/>
    <s v="United States"/>
    <x v="3"/>
    <x v="1"/>
    <s v="Xerox 1884"/>
    <n v="190.85599999999999"/>
    <n v="9"/>
    <n v="48.551400000000001"/>
    <n v="25.438760112336002"/>
  </r>
  <r>
    <s v="CA-2020-104864"/>
    <x v="276"/>
    <s v="JS-15685"/>
    <s v="Jim Sink"/>
    <s v="United States"/>
    <x v="1"/>
    <x v="1"/>
    <s v="Acco 7-Outlet Masterpiece Power Center, Wihtout Fax/Phone Line Protection"/>
    <n v="411.05599999999998"/>
    <n v="4"/>
    <n v="48.631999999999998"/>
    <n v="11.830991397765754"/>
  </r>
  <r>
    <s v="CA-2019-108224"/>
    <x v="220"/>
    <s v="TH-21235"/>
    <s v="Tiffany House"/>
    <s v="United States"/>
    <x v="2"/>
    <x v="0"/>
    <s v="Imation 16GB Mini TravelDrive USB 2.0 Flash Drive"/>
    <n v="185.52799999999999"/>
    <n v="7"/>
    <n v="48.701099999999997"/>
    <n v="26.25"/>
  </r>
  <r>
    <s v="CA-2020-108035"/>
    <x v="613"/>
    <s v="TT-21070"/>
    <s v="Ted Trevino"/>
    <s v="United States"/>
    <x v="1"/>
    <x v="2"/>
    <s v="Hon Deluxe Fabric Upholstered Stacking Chairs, Rounded Back"/>
    <n v="410.36799999999999"/>
    <n v="2"/>
    <n v="48.795999999999999"/>
    <n v="11.890790704928261"/>
  </r>
  <r>
    <s v="CA-2020-121083"/>
    <x v="112"/>
    <s v="JF-15190"/>
    <s v="Jamie Frazer"/>
    <s v="United States"/>
    <x v="0"/>
    <x v="1"/>
    <s v="Prismacolor Color Pencil Set"/>
    <n v="159.04"/>
    <n v="6"/>
    <n v="48.806399999999996"/>
    <n v="30.688128772635814"/>
  </r>
  <r>
    <s v="CA-2019-142594"/>
    <x v="212"/>
    <s v="EJ-14155"/>
    <s v="Eva Jacobs"/>
    <s v="United States"/>
    <x v="0"/>
    <x v="2"/>
    <s v="Executive Impressions 14&quot;"/>
    <n v="111.15"/>
    <n v="5"/>
    <n v="48.905999999999999"/>
    <n v="43.999999999999993"/>
  </r>
  <r>
    <s v="US-2019-144547"/>
    <x v="214"/>
    <s v="MS-17770"/>
    <s v="Maxwell Schwartz"/>
    <s v="United States"/>
    <x v="3"/>
    <x v="0"/>
    <s v="Kensington SlimBlade Notebook Wireless Mouse with Nano Receiver"/>
    <n v="279.94400000000002"/>
    <n v="7"/>
    <n v="48.990200000000002"/>
    <n v="17.5"/>
  </r>
  <r>
    <s v="CA-2019-136770"/>
    <x v="193"/>
    <s v="SP-20650"/>
    <s v="Stephanie Phelps"/>
    <s v="United States"/>
    <x v="0"/>
    <x v="0"/>
    <s v="Logitech G500s Laser Gaming Mouse with Adjustable Weight Tuning"/>
    <n v="279.95999999999998"/>
    <n v="5"/>
    <n v="48.993000000000002"/>
    <n v="17.5"/>
  </r>
  <r>
    <s v="CA-2020-106859"/>
    <x v="52"/>
    <s v="BF-11215"/>
    <s v="Benjamin Farhat"/>
    <s v="United States"/>
    <x v="2"/>
    <x v="0"/>
    <s v="OtterBox Commuter Series Case - iPhone 5 &amp; 5s"/>
    <n v="190.73599999999999"/>
    <n v="8"/>
    <n v="49.257599999999996"/>
    <n v="25.825014679976512"/>
  </r>
  <r>
    <s v="CA-2019-132731"/>
    <x v="289"/>
    <s v="GA-14515"/>
    <s v="George Ashbrook"/>
    <s v="United States"/>
    <x v="3"/>
    <x v="0"/>
    <s v="AT&amp;T 1080 Phone"/>
    <n v="657.55200000000002"/>
    <n v="6"/>
    <n v="49.316400000000002"/>
    <n v="7.5"/>
  </r>
  <r>
    <s v="CA-2019-130400"/>
    <x v="277"/>
    <s v="SJ-20125"/>
    <s v="Sanjit Jacobs"/>
    <s v="United States"/>
    <x v="3"/>
    <x v="1"/>
    <s v="Tyvek Interoffice Envelopes, 9 1/2&quot; x 12 1/2&quot;, 100/Box"/>
    <n v="146.352"/>
    <n v="3"/>
    <n v="49.393799999999999"/>
    <n v="33.75"/>
  </r>
  <r>
    <s v="CA-2020-127026"/>
    <x v="263"/>
    <s v="MH-18115"/>
    <s v="Mick Hernandez"/>
    <s v="United States"/>
    <x v="3"/>
    <x v="0"/>
    <s v="Ativa D5772 2-Line 5.8GHz Digital Expandable Corded/Cordless Phone System with Answering &amp; Caller ID/Call Waiting, Black/Silver"/>
    <n v="195.99"/>
    <n v="1"/>
    <n v="49.497"/>
    <n v="25.254859941833768"/>
  </r>
  <r>
    <s v="US-2020-101539"/>
    <x v="160"/>
    <s v="VM-21685"/>
    <s v="Valerie Mitchum"/>
    <s v="United States"/>
    <x v="2"/>
    <x v="0"/>
    <s v="Mitel MiVoice 5330e IP Phone"/>
    <n v="673.976"/>
    <n v="3"/>
    <n v="49.498199999999997"/>
    <n v="7.3442081023656627"/>
  </r>
  <r>
    <s v="CA-2020-103380"/>
    <x v="341"/>
    <s v="BF-11005"/>
    <s v="Barry Franz"/>
    <s v="United States"/>
    <x v="2"/>
    <x v="0"/>
    <s v="Mitel MiVoice 5330e IP Phone"/>
    <n v="696.976"/>
    <n v="3"/>
    <n v="49.498199999999997"/>
    <n v="7.1018514267349229"/>
  </r>
  <r>
    <s v="CA-2019-102456"/>
    <x v="374"/>
    <s v="DL-12865"/>
    <s v="Dan Lawera"/>
    <s v="United States"/>
    <x v="0"/>
    <x v="1"/>
    <s v="Conquest 14 Commercial Heavy-Duty Upright Vacuum, Collection System, Accessory Kit"/>
    <n v="170.88"/>
    <n v="3"/>
    <n v="49.555199999999999"/>
    <n v="28.999999999999996"/>
  </r>
  <r>
    <s v="CA-2020-121503"/>
    <x v="142"/>
    <s v="FH-14275"/>
    <s v="Frank Hawley"/>
    <s v="United States"/>
    <x v="3"/>
    <x v="0"/>
    <s v="Hewlett-Packard Deskjet 5550 Printer"/>
    <n v="607.13199999999995"/>
    <n v="3"/>
    <n v="49.761000000000003"/>
    <n v="8.1960759768880571"/>
  </r>
  <r>
    <s v="CA-2020-136350"/>
    <x v="47"/>
    <s v="GA-14515"/>
    <s v="George Ashbrook"/>
    <s v="United States"/>
    <x v="0"/>
    <x v="2"/>
    <s v="Deflect-o RollaMat Studded, Beveled Mat for Medium Pile Carpeting"/>
    <n v="318.69"/>
    <n v="3"/>
    <n v="49.804200000000002"/>
    <n v="15.627788760237221"/>
  </r>
  <r>
    <s v="CA-2020-121048"/>
    <x v="38"/>
    <s v="TC-21295"/>
    <s v="Toby Carlisle"/>
    <s v="United States"/>
    <x v="2"/>
    <x v="2"/>
    <s v="Deflect-o RollaMat Studded, Beveled Mat for Medium Pile Carpeting"/>
    <n v="307.69"/>
    <n v="3"/>
    <n v="49.804200000000002"/>
    <n v="16.18648639864799"/>
  </r>
  <r>
    <s v="US-2019-100461"/>
    <x v="281"/>
    <s v="JO-15145"/>
    <s v="Jack O'Briant"/>
    <s v="United States"/>
    <x v="3"/>
    <x v="1"/>
    <s v="Plastic Binding Combs"/>
    <n v="106.05"/>
    <n v="7"/>
    <n v="49.843499999999999"/>
    <n v="47"/>
  </r>
  <r>
    <s v="US-2020-147998"/>
    <x v="234"/>
    <s v="SA-20830"/>
    <s v="Sue Ann Reed"/>
    <s v="United States"/>
    <x v="2"/>
    <x v="1"/>
    <s v="GBC Twin Loop Wire Binding Elements"/>
    <n v="172.12"/>
    <n v="5"/>
    <n v="49.92"/>
    <n v="29.003021148036257"/>
  </r>
  <r>
    <s v="CA-2019-148684"/>
    <x v="36"/>
    <s v="TS-21655"/>
    <s v="Trudy Schmidt"/>
    <s v="United States"/>
    <x v="1"/>
    <x v="1"/>
    <s v="Xerox 1906"/>
    <n v="106.32"/>
    <n v="3"/>
    <n v="49.970399999999998"/>
    <n v="47"/>
  </r>
  <r>
    <s v="CA-2020-107265"/>
    <x v="382"/>
    <s v="ML-17755"/>
    <s v="Max Ludwig"/>
    <s v="United States"/>
    <x v="3"/>
    <x v="1"/>
    <s v="Easy-staple paper"/>
    <n v="147.32"/>
    <n v="3"/>
    <n v="49.970399999999998"/>
    <n v="33.919630735813193"/>
  </r>
  <r>
    <s v="CA-2020-157931"/>
    <x v="166"/>
    <s v="MO-17800"/>
    <s v="Meg O'Connel"/>
    <s v="United States"/>
    <x v="1"/>
    <x v="1"/>
    <s v="Easy-staple paper"/>
    <n v="133.32"/>
    <n v="3"/>
    <n v="49.970399999999998"/>
    <n v="37.481548154815478"/>
  </r>
  <r>
    <s v="CA-2019-109953"/>
    <x v="475"/>
    <s v="RB-19360"/>
    <s v="Raymond Buch"/>
    <s v="United States"/>
    <x v="2"/>
    <x v="1"/>
    <s v="Holmes 99% HEPA Air Purifier"/>
    <n v="151.62"/>
    <n v="7"/>
    <n v="50.034599999999998"/>
    <n v="32.999999999999993"/>
  </r>
  <r>
    <s v="US-2019-105578"/>
    <x v="323"/>
    <s v="MY-17380"/>
    <s v="Maribeth Yedwab"/>
    <s v="United States"/>
    <x v="2"/>
    <x v="2"/>
    <s v="Global Troy Executive Leather Low-Back Tilter"/>
    <n v="801.56799999999998"/>
    <n v="2"/>
    <n v="50.097999999999999"/>
    <n v="6.25"/>
  </r>
  <r>
    <s v="CA-2019-133935"/>
    <x v="99"/>
    <s v="JW-15220"/>
    <s v="Jane Waco"/>
    <s v="United States"/>
    <x v="2"/>
    <x v="2"/>
    <s v="Global Troy Executive Leather Low-Back Tilter"/>
    <n v="801.56799999999998"/>
    <n v="2"/>
    <n v="50.097999999999999"/>
    <n v="6.25"/>
  </r>
  <r>
    <s v="CA-2019-113747"/>
    <x v="283"/>
    <s v="VD-21670"/>
    <s v="Valerie Dominguez"/>
    <s v="United States"/>
    <x v="1"/>
    <x v="1"/>
    <s v="Boston School Pro Electric Pencil Sharpener, 1670"/>
    <n v="185.88"/>
    <n v="6"/>
    <n v="50.187600000000003"/>
    <n v="27"/>
  </r>
  <r>
    <s v="CA-2019-100300"/>
    <x v="309"/>
    <s v="MJ-17740"/>
    <s v="Max Jones"/>
    <s v="United States"/>
    <x v="2"/>
    <x v="1"/>
    <s v="Xerox 189"/>
    <n v="104.85"/>
    <n v="1"/>
    <n v="50.328000000000003"/>
    <n v="48.000000000000007"/>
  </r>
  <r>
    <s v="CA-2019-112060"/>
    <x v="430"/>
    <s v="KT-16465"/>
    <s v="Kean Takahito"/>
    <s v="United States"/>
    <x v="2"/>
    <x v="1"/>
    <s v="Xerox 1915"/>
    <n v="104.85"/>
    <n v="1"/>
    <n v="50.328000000000003"/>
    <n v="48.000000000000007"/>
  </r>
  <r>
    <s v="CA-2020-117807"/>
    <x v="435"/>
    <s v="DK-13090"/>
    <s v="Dave Kipp"/>
    <s v="United States"/>
    <x v="3"/>
    <x v="1"/>
    <s v="Xerox 1915"/>
    <n v="141.85"/>
    <n v="1"/>
    <n v="50.328000000000003"/>
    <n v="35.479732111385268"/>
  </r>
  <r>
    <s v="US-2019-165078"/>
    <x v="77"/>
    <s v="MA-17995"/>
    <s v="Michelle Arnett"/>
    <s v="United States"/>
    <x v="3"/>
    <x v="1"/>
    <s v="Premium Transparent Presentation Covers by GBC"/>
    <n v="104.9"/>
    <n v="5"/>
    <n v="50.351999999999997"/>
    <n v="47.999999999999993"/>
  </r>
  <r>
    <s v="CA-2019-100993"/>
    <x v="251"/>
    <s v="AZ-10750"/>
    <s v="Annie Zypern"/>
    <s v="United States"/>
    <x v="2"/>
    <x v="1"/>
    <s v="Fellowes Mobile File Cart, Black"/>
    <n v="186.54"/>
    <n v="3"/>
    <n v="50.3658"/>
    <n v="27"/>
  </r>
  <r>
    <s v="CA-2019-131968"/>
    <x v="373"/>
    <s v="LB-16795"/>
    <s v="Laurel Beltran"/>
    <s v="United States"/>
    <x v="1"/>
    <x v="1"/>
    <s v="Sanyo 2.5 Cubic Foot Mid-Size Office Refrigerators"/>
    <n v="671.54399999999998"/>
    <n v="3"/>
    <n v="50.3658"/>
    <n v="7.5"/>
  </r>
  <r>
    <s v="CA-2020-168942"/>
    <x v="61"/>
    <s v="EM-13960"/>
    <s v="Eric Murdock"/>
    <s v="United States"/>
    <x v="2"/>
    <x v="1"/>
    <s v="Fellowes Mobile File Cart, Black"/>
    <n v="203.54"/>
    <n v="3"/>
    <n v="50.3658"/>
    <n v="24.744915004421735"/>
  </r>
  <r>
    <s v="US-2020-128951"/>
    <x v="205"/>
    <s v="RS-19420"/>
    <s v="Ricardo Sperren"/>
    <s v="United States"/>
    <x v="1"/>
    <x v="1"/>
    <s v="Belkin 8 Outlet SurgeMaster II Gold Surge Protector"/>
    <n v="200.94"/>
    <n v="3"/>
    <n v="50.383200000000002"/>
    <n v="25.073753359211707"/>
  </r>
  <r>
    <s v="CA-2020-140872"/>
    <x v="132"/>
    <s v="NR-18550"/>
    <s v="Nick Radford"/>
    <s v="United States"/>
    <x v="1"/>
    <x v="0"/>
    <s v="VTech DS6151"/>
    <n v="528.96"/>
    <n v="5"/>
    <n v="50.396000000000001"/>
    <n v="9.5273744706594066"/>
  </r>
  <r>
    <s v="CA-2020-134915"/>
    <x v="151"/>
    <s v="EM-14140"/>
    <s v="Eugene Moren"/>
    <s v="United States"/>
    <x v="2"/>
    <x v="0"/>
    <s v="Samsung Galaxy Mega 6.3"/>
    <n v="692.98400000000004"/>
    <n v="2"/>
    <n v="50.398800000000001"/>
    <n v="7.2727220253281457"/>
  </r>
  <r>
    <s v="CA-2019-165218"/>
    <x v="420"/>
    <s v="RW-19630"/>
    <s v="Rob Williams"/>
    <s v="United States"/>
    <x v="3"/>
    <x v="1"/>
    <s v="Cameo Buff Policy Envelopes"/>
    <n v="149.352"/>
    <n v="3"/>
    <n v="50.406300000000002"/>
    <n v="33.75"/>
  </r>
  <r>
    <s v="US-2019-124163"/>
    <x v="81"/>
    <s v="SC-20695"/>
    <s v="Steve Chapman"/>
    <s v="United States"/>
    <x v="3"/>
    <x v="2"/>
    <s v="Global Fabric Manager's Chair, Dark Gray"/>
    <n v="201.96"/>
    <n v="2"/>
    <n v="50.49"/>
    <n v="25"/>
  </r>
  <r>
    <s v="CA-2020-125451"/>
    <x v="122"/>
    <s v="AH-10075"/>
    <s v="Adam Hart"/>
    <s v="United States"/>
    <x v="0"/>
    <x v="2"/>
    <s v="Deflect-o DuraMat Antistatic Studded Beveled Mat for Medium Pile Carpeting"/>
    <n v="231.68"/>
    <n v="2"/>
    <n v="50.563200000000002"/>
    <n v="21.824585635359117"/>
  </r>
  <r>
    <s v="CA-2020-129462"/>
    <x v="360"/>
    <s v="JE-15745"/>
    <s v="Joel Eaton"/>
    <s v="United States"/>
    <x v="1"/>
    <x v="1"/>
    <s v="Fellowes Smart Surge Ten-Outlet Protector, Platinum"/>
    <n v="194.66"/>
    <n v="3"/>
    <n v="50.584800000000001"/>
    <n v="25.986232405219354"/>
  </r>
  <r>
    <s v="CA-2020-119578"/>
    <x v="67"/>
    <s v="JG-15310"/>
    <s v="Jason Gross"/>
    <s v="United States"/>
    <x v="0"/>
    <x v="2"/>
    <s v="Bush Cubix Collection Bookcases, Fully Assembled"/>
    <n v="375.98"/>
    <n v="1"/>
    <n v="50.825400000000002"/>
    <n v="13.518112665567317"/>
  </r>
  <r>
    <s v="CA-2020-127726"/>
    <x v="183"/>
    <s v="SS-20410"/>
    <s v="Shahid Shariari"/>
    <s v="United States"/>
    <x v="1"/>
    <x v="1"/>
    <s v="Fellowes Premier Superior Surge Suppressor, 10-Outlet, With Phone and Remote"/>
    <n v="217.68"/>
    <n v="4"/>
    <n v="50.876800000000003"/>
    <n v="23.372289599411982"/>
  </r>
  <r>
    <s v="CA-2020-122056"/>
    <x v="155"/>
    <s v="PG-18895"/>
    <s v="Paul Gonzalez"/>
    <s v="United States"/>
    <x v="1"/>
    <x v="1"/>
    <s v="Boston 1799 Powerhouse Electric Pencil Sharpener"/>
    <n v="203.86"/>
    <n v="7"/>
    <n v="50.9208"/>
    <n v="24.97831845384087"/>
  </r>
  <r>
    <s v="CA-2020-157483"/>
    <x v="250"/>
    <s v="EP-13915"/>
    <s v="Emily Phan"/>
    <s v="United States"/>
    <x v="3"/>
    <x v="1"/>
    <s v="Boston 1799 Powerhouse Electric Pencil Sharpener"/>
    <n v="211.86"/>
    <n v="7"/>
    <n v="50.9208"/>
    <n v="24.035117530444634"/>
  </r>
  <r>
    <s v="US-2020-146213"/>
    <x v="37"/>
    <s v="MC-17605"/>
    <s v="Matt Connell"/>
    <s v="United States"/>
    <x v="2"/>
    <x v="0"/>
    <s v="Microsoft Wireless Mobile Mouse 4000"/>
    <n v="180.96"/>
    <n v="4"/>
    <n v="51.187199999999997"/>
    <n v="28.286472148541108"/>
  </r>
  <r>
    <s v="CA-2020-162481"/>
    <x v="222"/>
    <s v="CT-11995"/>
    <s v="Carol Triggs"/>
    <s v="United States"/>
    <x v="3"/>
    <x v="2"/>
    <s v="Global Leather Task Chair, Black"/>
    <n v="285.97000000000003"/>
    <n v="3"/>
    <n v="51.2943"/>
    <n v="17.936951428471517"/>
  </r>
  <r>
    <s v="CA-2019-153598"/>
    <x v="107"/>
    <s v="NM-18520"/>
    <s v="Neoma Murray"/>
    <s v="United States"/>
    <x v="2"/>
    <x v="2"/>
    <s v="3M Polarizing Light Filter Sleeves"/>
    <n v="111.9"/>
    <n v="6"/>
    <n v="51.473999999999997"/>
    <n v="46"/>
  </r>
  <r>
    <s v="CA-2019-152471"/>
    <x v="336"/>
    <s v="ZD-21925"/>
    <s v="Zuschuss Donatelli"/>
    <s v="United States"/>
    <x v="1"/>
    <x v="0"/>
    <s v="Jabra SPEAK 410 Multidevice Speakerphone"/>
    <n v="823.96"/>
    <n v="5"/>
    <n v="51.497500000000002"/>
    <n v="6.25"/>
  </r>
  <r>
    <s v="US-2020-105389"/>
    <x v="122"/>
    <s v="DM-13015"/>
    <s v="Darrin Martin"/>
    <s v="United States"/>
    <x v="3"/>
    <x v="0"/>
    <s v="Jabra SPEAK 410 Multidevice Speakerphone"/>
    <n v="852.96"/>
    <n v="5"/>
    <n v="51.497500000000002"/>
    <n v="6.0375046895516791"/>
  </r>
  <r>
    <s v="CA-2019-146374"/>
    <x v="444"/>
    <s v="HE-14800"/>
    <s v="Harold Engle"/>
    <s v="United States"/>
    <x v="0"/>
    <x v="1"/>
    <s v="#10 White Business Envelopes,4 1/8 x 9 1/2"/>
    <n v="109.69"/>
    <n v="7"/>
    <n v="51.554299999999998"/>
    <n v="47"/>
  </r>
  <r>
    <s v="CA-2019-113621"/>
    <x v="212"/>
    <s v="JE-15745"/>
    <s v="Joel Eaton"/>
    <s v="United States"/>
    <x v="0"/>
    <x v="2"/>
    <s v="Harbour Creations Steel Folding Chair"/>
    <n v="172.5"/>
    <n v="2"/>
    <n v="51.75"/>
    <n v="30"/>
  </r>
  <r>
    <s v="CA-2020-104220"/>
    <x v="178"/>
    <s v="BV-11245"/>
    <s v="Benjamin Venier"/>
    <s v="United States"/>
    <x v="3"/>
    <x v="0"/>
    <s v="AT&amp;T 841000 Phone"/>
    <n v="224"/>
    <n v="3"/>
    <n v="51.75"/>
    <n v="23.102678571428573"/>
  </r>
  <r>
    <s v="CA-2019-103730"/>
    <x v="104"/>
    <s v="SC-20725"/>
    <s v="Steven Cartwright"/>
    <s v="United States"/>
    <x v="0"/>
    <x v="1"/>
    <s v="Globe Weis Peel &amp; Seel First Class Envelopes"/>
    <n v="115.02"/>
    <n v="9"/>
    <n v="51.759"/>
    <n v="45"/>
  </r>
  <r>
    <s v="CA-2019-125843"/>
    <x v="108"/>
    <s v="RF-19840"/>
    <s v="Roy Französisch"/>
    <s v="United States"/>
    <x v="1"/>
    <x v="1"/>
    <s v="Alphabetical Labels for Top Tab Filing"/>
    <n v="103.6"/>
    <n v="7"/>
    <n v="51.8"/>
    <n v="50"/>
  </r>
  <r>
    <s v="CA-2019-128412"/>
    <x v="528"/>
    <s v="AP-10915"/>
    <s v="Arthur Prichep"/>
    <s v="United States"/>
    <x v="2"/>
    <x v="1"/>
    <s v="GBC DocuBind P50 Personal Binding Machine"/>
    <n v="153.55199999999999"/>
    <n v="3"/>
    <n v="51.823799999999999"/>
    <n v="33.75"/>
  </r>
  <r>
    <s v="CA-2020-121398"/>
    <x v="141"/>
    <s v="FH-14365"/>
    <s v="Fred Hopkins"/>
    <s v="United States"/>
    <x v="2"/>
    <x v="1"/>
    <s v="GBC DocuBind P50 Personal Binding Machine"/>
    <n v="468.55200000000002"/>
    <n v="3"/>
    <n v="51.823799999999999"/>
    <n v="11.060415919684473"/>
  </r>
  <r>
    <s v="CA-2019-137743"/>
    <x v="331"/>
    <s v="KH-16360"/>
    <s v="Katherine Hughes"/>
    <s v="United States"/>
    <x v="3"/>
    <x v="1"/>
    <s v="Tennsco 16-Compartment Lockers with Coat Rack"/>
    <n v="1036.624"/>
    <n v="2"/>
    <n v="51.831200000000003"/>
    <n v="5"/>
  </r>
  <r>
    <s v="CA-2019-160220"/>
    <x v="326"/>
    <s v="JS-16030"/>
    <s v="Joy Smith"/>
    <s v="United States"/>
    <x v="3"/>
    <x v="0"/>
    <s v="Pyle PMP37LED"/>
    <n v="191.98"/>
    <n v="2"/>
    <n v="51.834600000000002"/>
    <n v="27"/>
  </r>
  <r>
    <s v="CA-2020-129462"/>
    <x v="360"/>
    <s v="JE-15745"/>
    <s v="Joel Eaton"/>
    <s v="United States"/>
    <x v="1"/>
    <x v="0"/>
    <s v="Pyle PMP37LED"/>
    <n v="241.98"/>
    <n v="2"/>
    <n v="51.834600000000002"/>
    <n v="21.421026531118276"/>
  </r>
  <r>
    <s v="CA-2019-111682"/>
    <x v="80"/>
    <s v="TB-21055"/>
    <s v="Ted Butterfield"/>
    <s v="United States"/>
    <x v="0"/>
    <x v="1"/>
    <s v="Home/Office Personal File Carts"/>
    <n v="208.56"/>
    <n v="6"/>
    <n v="52.14"/>
    <n v="25"/>
  </r>
  <r>
    <s v="CA-2020-119494"/>
    <x v="407"/>
    <s v="JE-15610"/>
    <s v="Jim Epp"/>
    <s v="United States"/>
    <x v="2"/>
    <x v="2"/>
    <s v="Lifetime Advantage Folding Chairs, 4/Carton"/>
    <n v="541.39200000000005"/>
    <n v="3"/>
    <n v="52.339199999999998"/>
    <n v="9.6675237166415453"/>
  </r>
  <r>
    <s v="CA-2019-105081"/>
    <x v="36"/>
    <s v="JE-15715"/>
    <s v="Joe Elijah"/>
    <s v="United States"/>
    <x v="2"/>
    <x v="2"/>
    <s v="Global Executive Mid-Back Manager's Chair"/>
    <n v="698.35199999999998"/>
    <n v="3"/>
    <n v="52.376399999999997"/>
    <n v="7.5"/>
  </r>
  <r>
    <s v="CA-2020-126914"/>
    <x v="267"/>
    <s v="JE-15715"/>
    <s v="Joe Elijah"/>
    <s v="United States"/>
    <x v="1"/>
    <x v="2"/>
    <s v="Global Executive Mid-Back Manager's Chair"/>
    <n v="746.35199999999998"/>
    <n v="3"/>
    <n v="52.376399999999997"/>
    <n v="7.0176538684159757"/>
  </r>
  <r>
    <s v="CA-2019-101966"/>
    <x v="475"/>
    <s v="BM-11785"/>
    <s v="Bryan Mills"/>
    <s v="United States"/>
    <x v="3"/>
    <x v="0"/>
    <s v="Blue Parrot B250XT Professional Grade Wireless Bluetooth Headset with"/>
    <n v="419.94400000000002"/>
    <n v="7"/>
    <n v="52.493000000000002"/>
    <n v="12.5"/>
  </r>
  <r>
    <s v="CA-2020-102820"/>
    <x v="575"/>
    <s v="CS-11950"/>
    <s v="Carlos Soltero"/>
    <s v="United States"/>
    <x v="2"/>
    <x v="0"/>
    <s v="Blue Parrot B250XT Professional Grade Wireless Bluetooth Headset with"/>
    <n v="462.94400000000002"/>
    <n v="7"/>
    <n v="52.493000000000002"/>
    <n v="11.338952443492085"/>
  </r>
  <r>
    <s v="CA-2019-155845"/>
    <x v="63"/>
    <s v="CM-12235"/>
    <s v="Chris McAfee"/>
    <s v="United States"/>
    <x v="3"/>
    <x v="0"/>
    <s v="Logitech diNovo Edge Keyboard"/>
    <n v="1399.944"/>
    <n v="7"/>
    <n v="52.497900000000001"/>
    <n v="3.75"/>
  </r>
  <r>
    <s v="CA-2019-142902"/>
    <x v="460"/>
    <s v="BP-11185"/>
    <s v="Ben Peterman"/>
    <s v="United States"/>
    <x v="2"/>
    <x v="2"/>
    <s v="Hon 4070 Series Pagoda Armless Upholstered Stacking Chairs"/>
    <n v="466.76799999999997"/>
    <n v="2"/>
    <n v="52.511400000000002"/>
    <n v="11.250000000000002"/>
  </r>
  <r>
    <s v="CA-2020-159149"/>
    <x v="58"/>
    <s v="CR-12820"/>
    <s v="Cyra Reiten"/>
    <s v="United States"/>
    <x v="3"/>
    <x v="1"/>
    <s v="Dixon Ticonderoga Core-Lock Colored Pencils, 48-Color Set"/>
    <n v="205.44"/>
    <n v="6"/>
    <n v="52.631999999999998"/>
    <n v="25.61915887850467"/>
  </r>
  <r>
    <s v="CA-2019-125094"/>
    <x v="77"/>
    <s v="NP-18700"/>
    <s v="Nora Preis"/>
    <s v="United States"/>
    <x v="2"/>
    <x v="0"/>
    <s v="Cherry 142-key Programmable Keyboard"/>
    <n v="479.72"/>
    <n v="4"/>
    <n v="52.769199999999998"/>
    <n v="10.999999999999998"/>
  </r>
  <r>
    <s v="CA-2020-163902"/>
    <x v="304"/>
    <s v="MY-17380"/>
    <s v="Maribeth Yedwab"/>
    <s v="United States"/>
    <x v="2"/>
    <x v="0"/>
    <s v="Logitech G13 Programmable Gameboard with LCD Display"/>
    <n v="493.94"/>
    <n v="6"/>
    <n v="52.793399999999998"/>
    <n v="10.688221241446328"/>
  </r>
  <r>
    <s v="US-2019-108504"/>
    <x v="251"/>
    <s v="PP-18955"/>
    <s v="Paul Prost"/>
    <s v="United States"/>
    <x v="1"/>
    <x v="2"/>
    <s v="Bush Andora Bookcase, Maple/Graphite Gray Finish"/>
    <n v="239.98"/>
    <n v="2"/>
    <n v="52.7956"/>
    <n v="22"/>
  </r>
  <r>
    <s v="CA-2019-114944"/>
    <x v="26"/>
    <s v="HE-14800"/>
    <s v="Harold Engle"/>
    <s v="United States"/>
    <x v="3"/>
    <x v="1"/>
    <s v="Xerox 1943"/>
    <n v="156.512"/>
    <n v="4"/>
    <n v="52.822800000000001"/>
    <n v="33.75"/>
  </r>
  <r>
    <s v="CA-2020-126788"/>
    <x v="573"/>
    <s v="AB-10105"/>
    <s v="Adrian Barton"/>
    <s v="United States"/>
    <x v="3"/>
    <x v="0"/>
    <s v="LG G3"/>
    <n v="520.37599999999998"/>
    <n v="3"/>
    <n v="52.917299999999997"/>
    <n v="10.169050840161729"/>
  </r>
  <r>
    <s v="CA-2020-121048"/>
    <x v="38"/>
    <s v="TC-21295"/>
    <s v="Toby Carlisle"/>
    <s v="United States"/>
    <x v="2"/>
    <x v="0"/>
    <s v="GE 30524EE4"/>
    <n v="492.37599999999998"/>
    <n v="3"/>
    <n v="52.917299999999997"/>
    <n v="10.747335369717453"/>
  </r>
  <r>
    <s v="CA-2020-145233"/>
    <x v="265"/>
    <s v="DV-13465"/>
    <s v="Dianna Vittorini"/>
    <s v="United States"/>
    <x v="2"/>
    <x v="0"/>
    <s v="GE 30524EE4"/>
    <n v="483.37599999999998"/>
    <n v="3"/>
    <n v="52.917299999999997"/>
    <n v="10.947440501803978"/>
  </r>
  <r>
    <s v="CA-2019-163167"/>
    <x v="173"/>
    <s v="RF-19345"/>
    <s v="Randy Ferguson"/>
    <s v="United States"/>
    <x v="1"/>
    <x v="2"/>
    <s v="Global Push Button Manager's Chair, Indigo"/>
    <n v="182.67"/>
    <n v="3"/>
    <n v="52.974299999999999"/>
    <n v="29.000000000000004"/>
  </r>
  <r>
    <s v="US-2020-167402"/>
    <x v="608"/>
    <s v="CP-12085"/>
    <s v="Cathy Prescott"/>
    <s v="United States"/>
    <x v="3"/>
    <x v="2"/>
    <s v="Hon Metal Bookcases, Black"/>
    <n v="252.94"/>
    <n v="3"/>
    <n v="53.234999999999999"/>
    <n v="21.046493239503437"/>
  </r>
  <r>
    <s v="CA-2020-124716"/>
    <x v="182"/>
    <s v="BD-11560"/>
    <s v="Brendan Dodson"/>
    <s v="United States"/>
    <x v="2"/>
    <x v="1"/>
    <s v="Xerox 1913"/>
    <n v="121.96"/>
    <n v="2"/>
    <n v="53.260800000000003"/>
    <n v="43.670711708756976"/>
  </r>
  <r>
    <s v="CA-2020-102925"/>
    <x v="181"/>
    <s v="CD-12280"/>
    <s v="Christina DeMoss"/>
    <s v="United States"/>
    <x v="0"/>
    <x v="1"/>
    <s v="Eaton Premium Continuous-Feed Paper, 25% Cotton, Letter Size, White, 1000 Shts/Box"/>
    <n v="140.96"/>
    <n v="2"/>
    <n v="53.260800000000003"/>
    <n v="37.784335981838815"/>
  </r>
  <r>
    <s v="US-2020-147886"/>
    <x v="208"/>
    <s v="DH-13075"/>
    <s v="Dave Hallsten"/>
    <s v="United States"/>
    <x v="2"/>
    <x v="0"/>
    <s v="StarTech.com 10/100 VDSL2 Ethernet Extender Kit"/>
    <n v="555.72"/>
    <n v="2"/>
    <n v="53.271999999999998"/>
    <n v="9.5861225077377092"/>
  </r>
  <r>
    <s v="CA-2020-110905"/>
    <x v="8"/>
    <s v="RW-19690"/>
    <s v="Robert Waldorf"/>
    <s v="United States"/>
    <x v="3"/>
    <x v="0"/>
    <s v="Logitech G105 Gaming Keyboard"/>
    <n v="324.85000000000002"/>
    <n v="5"/>
    <n v="53.433"/>
    <n v="16.448514699091888"/>
  </r>
  <r>
    <s v="CA-2019-140438"/>
    <x v="210"/>
    <s v="PW-19030"/>
    <s v="Pauline Webber"/>
    <s v="United States"/>
    <x v="0"/>
    <x v="0"/>
    <s v="Samsung Rugby III"/>
    <n v="197.97"/>
    <n v="3"/>
    <n v="53.451900000000002"/>
    <n v="27"/>
  </r>
  <r>
    <s v="CA-2019-101525"/>
    <x v="116"/>
    <s v="CM-12235"/>
    <s v="Chris McAfee"/>
    <s v="United States"/>
    <x v="1"/>
    <x v="1"/>
    <s v="Xerox 1914"/>
    <n v="109.92"/>
    <n v="2"/>
    <n v="53.860799999999998"/>
    <n v="49"/>
  </r>
  <r>
    <s v="CA-2019-143924"/>
    <x v="15"/>
    <s v="SC-20680"/>
    <s v="Steve Carroll"/>
    <s v="United States"/>
    <x v="3"/>
    <x v="1"/>
    <s v="Xerox 1889"/>
    <n v="109.92"/>
    <n v="2"/>
    <n v="53.860799999999998"/>
    <n v="49"/>
  </r>
  <r>
    <s v="CA-2020-116715"/>
    <x v="18"/>
    <s v="VW-21775"/>
    <s v="Victoria Wilson"/>
    <s v="United States"/>
    <x v="2"/>
    <x v="1"/>
    <s v="Xerox 1940"/>
    <n v="143.91999999999999"/>
    <n v="2"/>
    <n v="53.860799999999998"/>
    <n v="37.424124513618679"/>
  </r>
  <r>
    <s v="CA-2019-160395"/>
    <x v="235"/>
    <s v="KL-16555"/>
    <s v="Kelly Lampkin"/>
    <s v="United States"/>
    <x v="2"/>
    <x v="1"/>
    <s v="Lock-Up Easel 'Spel-Binder'"/>
    <n v="159.768"/>
    <n v="7"/>
    <n v="53.921700000000001"/>
    <n v="33.75"/>
  </r>
  <r>
    <s v="CA-2019-146206"/>
    <x v="238"/>
    <s v="KT-16480"/>
    <s v="Kean Thornton"/>
    <s v="United States"/>
    <x v="3"/>
    <x v="0"/>
    <s v="Polycom VVX 310 VoIP phone"/>
    <n v="719.96"/>
    <n v="5"/>
    <n v="53.997"/>
    <n v="7.5"/>
  </r>
  <r>
    <s v="CA-2020-133095"/>
    <x v="318"/>
    <s v="EH-14005"/>
    <s v="Erica Hernandez"/>
    <s v="United States"/>
    <x v="1"/>
    <x v="1"/>
    <s v="GBC VeloBind Cover Sets"/>
    <n v="140.08000000000001"/>
    <n v="7"/>
    <n v="54.04"/>
    <n v="38.577955454026267"/>
  </r>
  <r>
    <s v="CA-2020-100951"/>
    <x v="175"/>
    <s v="NC-18625"/>
    <s v="Noah Childs"/>
    <s v="United States"/>
    <x v="3"/>
    <x v="1"/>
    <s v="Standard Rollaway File with Lock"/>
    <n v="753.76"/>
    <n v="5"/>
    <n v="54.057000000000002"/>
    <n v="7.1716461473147959"/>
  </r>
  <r>
    <s v="CA-2019-152765"/>
    <x v="631"/>
    <s v="LS-17245"/>
    <s v="Lynn Smith"/>
    <s v="United States"/>
    <x v="3"/>
    <x v="1"/>
    <s v="Xerox 19"/>
    <n v="173.488"/>
    <n v="7"/>
    <n v="54.215000000000003"/>
    <n v="31.25"/>
  </r>
  <r>
    <s v="CA-2020-122770"/>
    <x v="547"/>
    <s v="EP-13915"/>
    <s v="Emily Phan"/>
    <s v="United States"/>
    <x v="2"/>
    <x v="2"/>
    <s v="Eldon Executive Woodline II Desk Accessories, Mahogany"/>
    <n v="379.04"/>
    <n v="8"/>
    <n v="54.280799999999999"/>
    <n v="14.320599409033347"/>
  </r>
  <r>
    <s v="CA-2020-106103"/>
    <x v="255"/>
    <s v="SC-20305"/>
    <s v="Sean Christensen"/>
    <s v="United States"/>
    <x v="3"/>
    <x v="0"/>
    <s v="Imation 16GB Mini TravelDrive USB 2.0 Flash Drive"/>
    <n v="149.52000000000001"/>
    <n v="4"/>
    <n v="54.333199999999998"/>
    <n v="36.338416265382556"/>
  </r>
  <r>
    <s v="US-2020-132444"/>
    <x v="276"/>
    <s v="CD-12280"/>
    <s v="Christina DeMoss"/>
    <s v="United States"/>
    <x v="2"/>
    <x v="0"/>
    <s v="Imation 16GB Mini TravelDrive USB 2.0 Flash Drive"/>
    <n v="159.52000000000001"/>
    <n v="4"/>
    <n v="54.333199999999998"/>
    <n v="34.060431293881642"/>
  </r>
  <r>
    <s v="CA-2020-169124"/>
    <x v="142"/>
    <s v="MB-17305"/>
    <s v="Maria Bertelson"/>
    <s v="United States"/>
    <x v="2"/>
    <x v="2"/>
    <s v="Howard Miller 11-1/2&quot; Diameter Brentwood Wall Clock"/>
    <n v="172.39"/>
    <n v="3"/>
    <n v="54.343800000000002"/>
    <n v="31.523754278090383"/>
  </r>
  <r>
    <s v="CA-2019-107146"/>
    <x v="80"/>
    <s v="LC-16885"/>
    <s v="Lena Creighton"/>
    <s v="United States"/>
    <x v="2"/>
    <x v="2"/>
    <s v="Global Manager's Adjustable Task Chair, Storm"/>
    <n v="483.13600000000002"/>
    <n v="4"/>
    <n v="54.352800000000002"/>
    <n v="11.25"/>
  </r>
  <r>
    <s v="CA-2020-145765"/>
    <x v="185"/>
    <s v="CM-11815"/>
    <s v="Candace McMahon"/>
    <s v="United States"/>
    <x v="2"/>
    <x v="0"/>
    <s v="Logitech Gaming G510s - Keyboard"/>
    <n v="291.96800000000002"/>
    <n v="4"/>
    <n v="54.393599999999999"/>
    <n v="18.629986847873738"/>
  </r>
  <r>
    <s v="CA-2019-110772"/>
    <x v="165"/>
    <s v="NZ-18565"/>
    <s v="Nick Zandusky"/>
    <s v="United States"/>
    <x v="0"/>
    <x v="0"/>
    <s v="Logitech Wireless Gaming Headset G930"/>
    <n v="255.98400000000001"/>
    <n v="2"/>
    <n v="54.396599999999999"/>
    <n v="21.25"/>
  </r>
  <r>
    <s v="US-2020-111745"/>
    <x v="181"/>
    <s v="RA-19885"/>
    <s v="Ruben Ausman"/>
    <s v="United States"/>
    <x v="2"/>
    <x v="0"/>
    <s v="NETGEAR AC1750 Dual Band Gigabit Smart WiFi Router"/>
    <n v="184.99"/>
    <n v="1"/>
    <n v="54.396599999999999"/>
    <n v="29.405157035515433"/>
  </r>
  <r>
    <s v="CA-2019-105354"/>
    <x v="118"/>
    <s v="PW-19030"/>
    <s v="Pauline Webber"/>
    <s v="United States"/>
    <x v="3"/>
    <x v="1"/>
    <s v="GBC White Gloss Covers, Plain Front"/>
    <n v="115.84"/>
    <n v="8"/>
    <n v="54.444800000000001"/>
    <n v="47"/>
  </r>
  <r>
    <s v="US-2020-165869"/>
    <x v="192"/>
    <s v="LS-17200"/>
    <s v="Luke Schmidt"/>
    <s v="United States"/>
    <x v="3"/>
    <x v="1"/>
    <s v="3M Office Air Cleaner"/>
    <n v="182.88"/>
    <n v="6"/>
    <n v="54.558"/>
    <n v="29.832677165354333"/>
  </r>
  <r>
    <s v="US-2020-167402"/>
    <x v="608"/>
    <s v="CP-12085"/>
    <s v="Cathy Prescott"/>
    <s v="United States"/>
    <x v="3"/>
    <x v="1"/>
    <s v="Hunt Boston Vacuum Mount KS Pencil Sharpener"/>
    <n v="258.94"/>
    <n v="6"/>
    <n v="54.584400000000002"/>
    <n v="21.079941299142661"/>
  </r>
  <r>
    <s v="CA-2019-124100"/>
    <x v="187"/>
    <s v="EH-13990"/>
    <s v="Erica Hackney"/>
    <s v="United States"/>
    <x v="0"/>
    <x v="2"/>
    <s v="Global Value Steno Chair, Gray"/>
    <n v="327.99599999999998"/>
    <n v="6"/>
    <n v="54.665999999999997"/>
    <n v="16.666666666666664"/>
  </r>
  <r>
    <s v="CA-2019-131205"/>
    <x v="478"/>
    <s v="AA-10645"/>
    <s v="Anna Andreadi"/>
    <s v="United States"/>
    <x v="1"/>
    <x v="1"/>
    <s v="Poly Designer Cover &amp; Back"/>
    <n v="113.94"/>
    <n v="6"/>
    <n v="54.691200000000002"/>
    <n v="48.000000000000007"/>
  </r>
  <r>
    <s v="CA-2020-159464"/>
    <x v="352"/>
    <s v="TB-21355"/>
    <s v="Todd Boyes"/>
    <s v="United States"/>
    <x v="1"/>
    <x v="1"/>
    <s v="Poly Designer Cover &amp; Back"/>
    <n v="138.94"/>
    <n v="6"/>
    <n v="54.691200000000002"/>
    <n v="39.363178350367065"/>
  </r>
  <r>
    <s v="CA-2019-140935"/>
    <x v="214"/>
    <s v="AB-10015"/>
    <s v="Aaron Bergman"/>
    <s v="United States"/>
    <x v="3"/>
    <x v="2"/>
    <s v="Sauder Facets Collection Library, Sky Alder Finish"/>
    <n v="341.96"/>
    <n v="2"/>
    <n v="54.7136"/>
    <n v="16"/>
  </r>
  <r>
    <s v="US-2019-123750"/>
    <x v="113"/>
    <s v="RB-19795"/>
    <s v="Ross Baird"/>
    <s v="United States"/>
    <x v="1"/>
    <x v="0"/>
    <s v="Imation Secure+ Hardware Encrypted USB 2.0 Flash Drive; 16GB"/>
    <n v="291.95999999999998"/>
    <n v="5"/>
    <n v="54.7425"/>
    <n v="18.75"/>
  </r>
  <r>
    <s v="CA-2020-130211"/>
    <x v="126"/>
    <s v="BD-11620"/>
    <s v="Brian DeCherney"/>
    <s v="United States"/>
    <x v="3"/>
    <x v="2"/>
    <s v="Bevis 36 x 72 Conference Tables"/>
    <n v="293.98"/>
    <n v="2"/>
    <n v="54.775599999999997"/>
    <n v="18.632423974420025"/>
  </r>
  <r>
    <s v="CA-2019-127642"/>
    <x v="340"/>
    <s v="CP-12340"/>
    <s v="Christine Phan"/>
    <s v="United States"/>
    <x v="0"/>
    <x v="1"/>
    <s v="Easy-staple paper"/>
    <n v="111.96"/>
    <n v="2"/>
    <n v="54.860399999999998"/>
    <n v="49"/>
  </r>
  <r>
    <s v="CA-2019-159345"/>
    <x v="80"/>
    <s v="IG-15085"/>
    <s v="Ivan Gibson"/>
    <s v="United States"/>
    <x v="2"/>
    <x v="1"/>
    <s v="Xerox 1934"/>
    <n v="111.96"/>
    <n v="2"/>
    <n v="54.860399999999998"/>
    <n v="49"/>
  </r>
  <r>
    <s v="CA-2019-113607"/>
    <x v="487"/>
    <s v="PW-19030"/>
    <s v="Pauline Webber"/>
    <s v="United States"/>
    <x v="0"/>
    <x v="1"/>
    <s v="Xerox 1908"/>
    <n v="111.96"/>
    <n v="2"/>
    <n v="54.860399999999998"/>
    <n v="49"/>
  </r>
  <r>
    <s v="CA-2020-129294"/>
    <x v="160"/>
    <s v="KD-16615"/>
    <s v="Ken Dana"/>
    <s v="United States"/>
    <x v="2"/>
    <x v="1"/>
    <s v="Bionaire Personal Warm Mist Humidifier/Vaporizer"/>
    <n v="186.67"/>
    <n v="3"/>
    <n v="54.8613"/>
    <n v="29.38945733111909"/>
  </r>
  <r>
    <s v="US-2020-109253"/>
    <x v="500"/>
    <s v="PR-18880"/>
    <s v="Patrick Ryan"/>
    <s v="United States"/>
    <x v="2"/>
    <x v="1"/>
    <s v="Fellowes Command Center 5-outlet power strip"/>
    <n v="237.52"/>
    <n v="3"/>
    <n v="54.950400000000002"/>
    <n v="23.135062310542271"/>
  </r>
  <r>
    <s v="CA-2019-101980"/>
    <x v="587"/>
    <s v="RP-19390"/>
    <s v="Resi Pölking"/>
    <s v="United States"/>
    <x v="0"/>
    <x v="1"/>
    <s v="Surelock Post Binders"/>
    <n v="146.68799999999999"/>
    <n v="6"/>
    <n v="55.008000000000003"/>
    <n v="37.500000000000007"/>
  </r>
  <r>
    <s v="CA-2020-108112"/>
    <x v="436"/>
    <s v="DK-12895"/>
    <s v="Dana Kaydos"/>
    <s v="United States"/>
    <x v="1"/>
    <x v="2"/>
    <s v="Howard Miller 13-1/2&quot; Diameter Rosebrook Wall Clock"/>
    <n v="243.06399999999999"/>
    <n v="4"/>
    <n v="55.015999999999998"/>
    <n v="22.634367903103708"/>
  </r>
  <r>
    <s v="CA-2019-139381"/>
    <x v="148"/>
    <s v="RF-19840"/>
    <s v="Roy Französisch"/>
    <s v="United States"/>
    <x v="1"/>
    <x v="1"/>
    <s v="Eureka The Boss Cordless Rechargeable Stick Vac"/>
    <n v="203.92"/>
    <n v="4"/>
    <n v="55.058399999999999"/>
    <n v="27"/>
  </r>
  <r>
    <s v="CA-2020-114258"/>
    <x v="181"/>
    <s v="EM-13825"/>
    <s v="Elizabeth Moffitt"/>
    <s v="United States"/>
    <x v="3"/>
    <x v="0"/>
    <s v="Nortel Meridian M3904 Professional Digital phone"/>
    <n v="529.76800000000003"/>
    <n v="4"/>
    <n v="55.436399999999999"/>
    <n v="10.464278703130427"/>
  </r>
  <r>
    <s v="CA-2020-102925"/>
    <x v="181"/>
    <s v="CD-12280"/>
    <s v="Christina DeMoss"/>
    <s v="United States"/>
    <x v="0"/>
    <x v="1"/>
    <s v="GBC Prestige Therm-A-Bind Covers"/>
    <n v="207.68799999999999"/>
    <n v="6"/>
    <n v="55.5822"/>
    <n v="26.762355071068143"/>
  </r>
  <r>
    <s v="CA-2020-113705"/>
    <x v="182"/>
    <s v="LC-16870"/>
    <s v="Lena Cacioppo"/>
    <s v="United States"/>
    <x v="1"/>
    <x v="0"/>
    <s v="Panasonic KX - TS880B Telephone"/>
    <n v="227.1"/>
    <n v="5"/>
    <n v="55.646999999999998"/>
    <n v="24.503302509907527"/>
  </r>
  <r>
    <s v="CA-2020-163629"/>
    <x v="328"/>
    <s v="RA-19885"/>
    <s v="Ruben Ausman"/>
    <s v="United States"/>
    <x v="1"/>
    <x v="0"/>
    <s v="Panasonic KX - TS880B Telephone"/>
    <n v="224.1"/>
    <n v="5"/>
    <n v="55.646999999999998"/>
    <n v="24.831325301204817"/>
  </r>
  <r>
    <s v="US-2019-143280"/>
    <x v="554"/>
    <s v="TZ-21580"/>
    <s v="Tracy Zic"/>
    <s v="United States"/>
    <x v="2"/>
    <x v="0"/>
    <s v="AT&amp;T 1070 Corded Phone"/>
    <n v="445.96"/>
    <n v="5"/>
    <n v="55.744999999999997"/>
    <n v="12.5"/>
  </r>
  <r>
    <s v="CA-2019-128412"/>
    <x v="528"/>
    <s v="AP-10915"/>
    <s v="Arthur Prichep"/>
    <s v="United States"/>
    <x v="2"/>
    <x v="1"/>
    <s v="Xerox 1988"/>
    <n v="123.92"/>
    <n v="4"/>
    <n v="55.764000000000003"/>
    <n v="45"/>
  </r>
  <r>
    <s v="CA-2019-136812"/>
    <x v="313"/>
    <s v="AW-10930"/>
    <s v="Arthur Wiediger"/>
    <s v="United States"/>
    <x v="3"/>
    <x v="1"/>
    <s v="Tennsco Snap-Together Open Shelving Units, Starter Sets and Add-On Units"/>
    <n v="1117.92"/>
    <n v="4"/>
    <n v="55.896000000000001"/>
    <n v="5"/>
  </r>
  <r>
    <s v="CA-2019-135776"/>
    <x v="39"/>
    <s v="EH-13765"/>
    <s v="Edward Hooks"/>
    <s v="United States"/>
    <x v="2"/>
    <x v="1"/>
    <s v="Tennsco Snap-Together Open Shelving Units, Starter Sets and Add-On Units"/>
    <n v="1117.92"/>
    <n v="4"/>
    <n v="55.896000000000001"/>
    <n v="5"/>
  </r>
  <r>
    <s v="CA-2019-146766"/>
    <x v="56"/>
    <s v="TT-21220"/>
    <s v="Thomas Thornton"/>
    <s v="United States"/>
    <x v="2"/>
    <x v="1"/>
    <s v="Boston Heavy-Duty Trimline Electric Pencil Sharpeners"/>
    <n v="192.8"/>
    <n v="4"/>
    <n v="55.911999999999999"/>
    <n v="28.999999999999996"/>
  </r>
  <r>
    <s v="CA-2020-146360"/>
    <x v="327"/>
    <s v="SC-20305"/>
    <s v="Sean Christensen"/>
    <s v="United States"/>
    <x v="3"/>
    <x v="0"/>
    <s v="TRENDnet 56K USB 2.0 Phone, Internet and Fax Modem"/>
    <n v="178.34"/>
    <n v="6"/>
    <n v="55.922400000000003"/>
    <n v="31.357182909050131"/>
  </r>
  <r>
    <s v="CA-2019-124352"/>
    <x v="486"/>
    <s v="CD-12790"/>
    <s v="Cynthia Delaney"/>
    <s v="United States"/>
    <x v="3"/>
    <x v="1"/>
    <s v="Ibico Plastic Spiral Binding Combs"/>
    <n v="121.6"/>
    <n v="4"/>
    <n v="55.936"/>
    <n v="46"/>
  </r>
  <r>
    <s v="CA-2020-102519"/>
    <x v="464"/>
    <s v="BM-11650"/>
    <s v="Brian Moss"/>
    <s v="United States"/>
    <x v="3"/>
    <x v="0"/>
    <s v="Memorex Mini Travel Drive 16 GB USB 2.0 Flash Drive"/>
    <n v="166.73"/>
    <n v="9"/>
    <n v="56.054699999999997"/>
    <n v="33.620044383134406"/>
  </r>
  <r>
    <s v="CA-2019-140501"/>
    <x v="489"/>
    <s v="IM-15070"/>
    <s v="Irene Maddox"/>
    <s v="United States"/>
    <x v="0"/>
    <x v="1"/>
    <s v="Avery 4027 File Folder Labels for Dot Matrix Printers, 5000 Labels per Box, White"/>
    <n v="122.12"/>
    <n v="4"/>
    <n v="56.175199999999997"/>
    <n v="46"/>
  </r>
  <r>
    <s v="CA-2019-141082"/>
    <x v="260"/>
    <s v="FM-14380"/>
    <s v="Fred McMath"/>
    <s v="United States"/>
    <x v="0"/>
    <x v="1"/>
    <s v="Avery 477"/>
    <n v="122.12"/>
    <n v="4"/>
    <n v="56.175199999999997"/>
    <n v="46"/>
  </r>
  <r>
    <s v="CA-2019-127208"/>
    <x v="104"/>
    <s v="SC-20770"/>
    <s v="Stewart Carmichael"/>
    <s v="United States"/>
    <x v="1"/>
    <x v="1"/>
    <s v="1.7 Cubic Foot Compact &quot;Cube&quot; Office Refrigerators"/>
    <n v="208.16"/>
    <n v="1"/>
    <n v="56.203200000000002"/>
    <n v="27"/>
  </r>
  <r>
    <s v="CA-2019-163167"/>
    <x v="173"/>
    <s v="RF-19345"/>
    <s v="Randy Ferguson"/>
    <s v="United States"/>
    <x v="1"/>
    <x v="1"/>
    <s v="Tennsco Single-Tier Lockers"/>
    <n v="1126.02"/>
    <n v="3"/>
    <n v="56.301000000000002"/>
    <n v="5"/>
  </r>
  <r>
    <s v="CA-2020-127432"/>
    <x v="470"/>
    <s v="AD-10180"/>
    <s v="Alan Dominguez"/>
    <s v="United States"/>
    <x v="2"/>
    <x v="1"/>
    <s v="Tennsco Single-Tier Lockers"/>
    <n v="1159.02"/>
    <n v="3"/>
    <n v="56.301000000000002"/>
    <n v="4.8576383496402133"/>
  </r>
  <r>
    <s v="CA-2019-100944"/>
    <x v="20"/>
    <s v="EH-13765"/>
    <s v="Edward Hooks"/>
    <s v="United States"/>
    <x v="2"/>
    <x v="2"/>
    <s v="Hon Olson Stacker Stools"/>
    <n v="563.24"/>
    <n v="5"/>
    <n v="56.323999999999998"/>
    <n v="10"/>
  </r>
  <r>
    <s v="CA-2020-126221"/>
    <x v="423"/>
    <s v="CC-12430"/>
    <s v="Chuck Clark"/>
    <s v="United States"/>
    <x v="3"/>
    <x v="1"/>
    <s v="Eureka The Boss Plus 12-Amp Hard Box Upright Vacuum, Red"/>
    <n v="509.3"/>
    <n v="2"/>
    <n v="56.511000000000003"/>
    <n v="11.095817789122325"/>
  </r>
  <r>
    <s v="CA-2020-110443"/>
    <x v="341"/>
    <s v="CK-12205"/>
    <s v="Chloris Kastensmidt"/>
    <s v="United States"/>
    <x v="2"/>
    <x v="1"/>
    <s v="Vinyl Sectional Post Binders"/>
    <n v="170.8"/>
    <n v="5"/>
    <n v="56.55"/>
    <n v="33.108899297423882"/>
  </r>
  <r>
    <s v="CA-2020-126074"/>
    <x v="11"/>
    <s v="RF-19735"/>
    <s v="Roland Fjeld"/>
    <s v="United States"/>
    <x v="3"/>
    <x v="2"/>
    <s v="Nu-Dell Leatherette Frames"/>
    <n v="204.74"/>
    <n v="11"/>
    <n v="56.7864"/>
    <n v="27.735860115268146"/>
  </r>
  <r>
    <s v="CA-2019-109365"/>
    <x v="65"/>
    <s v="XP-21865"/>
    <s v="Xylona Preis"/>
    <s v="United States"/>
    <x v="2"/>
    <x v="1"/>
    <s v="Xerox 1892"/>
    <n v="116.28"/>
    <n v="3"/>
    <n v="56.977200000000003"/>
    <n v="49.000000000000007"/>
  </r>
  <r>
    <s v="CA-2020-161956"/>
    <x v="53"/>
    <s v="DR-12880"/>
    <s v="Dan Reichenbach"/>
    <s v="United States"/>
    <x v="2"/>
    <x v="1"/>
    <s v="White Computer Printout Paper by Universal"/>
    <n v="149.28"/>
    <n v="3"/>
    <n v="56.977200000000003"/>
    <n v="38.168006430868168"/>
  </r>
  <r>
    <s v="CA-2020-158386"/>
    <x v="12"/>
    <s v="BO-11425"/>
    <s v="Bobby Odegard"/>
    <s v="United States"/>
    <x v="1"/>
    <x v="1"/>
    <s v="Large Capacity Hanging Post Binders"/>
    <n v="165.75"/>
    <n v="5"/>
    <n v="57.384999999999998"/>
    <n v="34.621417797888384"/>
  </r>
  <r>
    <s v="CA-2020-157987"/>
    <x v="149"/>
    <s v="AC-10615"/>
    <s v="Ann Chong"/>
    <s v="United States"/>
    <x v="0"/>
    <x v="0"/>
    <s v="Cisco SPA508G"/>
    <n v="244.97"/>
    <n v="3"/>
    <n v="57.411299999999997"/>
    <n v="23.436053394293175"/>
  </r>
  <r>
    <s v="CA-2020-168123"/>
    <x v="512"/>
    <s v="JD-16060"/>
    <s v="Julia Dunbar"/>
    <s v="United States"/>
    <x v="3"/>
    <x v="1"/>
    <s v="Recycled Steel Personal File for Standard File Folders"/>
    <n v="265.16000000000003"/>
    <n v="4"/>
    <n v="57.501600000000003"/>
    <n v="21.685623774324934"/>
  </r>
  <r>
    <s v="CA-2020-140585"/>
    <x v="339"/>
    <s v="RA-19915"/>
    <s v="Russell Applegate"/>
    <s v="United States"/>
    <x v="2"/>
    <x v="0"/>
    <s v="Logitech Illuminated - Keyboard"/>
    <n v="395.98"/>
    <n v="2"/>
    <n v="57.590400000000002"/>
    <n v="14.54376483660791"/>
  </r>
  <r>
    <s v="CA-2019-158358"/>
    <x v="534"/>
    <s v="EM-13810"/>
    <s v="Eleni McCrary"/>
    <s v="United States"/>
    <x v="0"/>
    <x v="0"/>
    <s v="Logitech G602 Wireless Gaming Mouse"/>
    <n v="159.97999999999999"/>
    <n v="2"/>
    <n v="57.592799999999997"/>
    <n v="36"/>
  </r>
  <r>
    <s v="CA-2020-140480"/>
    <x v="526"/>
    <s v="HE-14800"/>
    <s v="Harold Engle"/>
    <s v="United States"/>
    <x v="0"/>
    <x v="0"/>
    <s v="Maxell 4.7GB DVD-R"/>
    <n v="189.9"/>
    <n v="5"/>
    <n v="58.179000000000002"/>
    <n v="30.636650868878355"/>
  </r>
  <r>
    <s v="CA-2020-113705"/>
    <x v="182"/>
    <s v="LC-16870"/>
    <s v="Lena Cacioppo"/>
    <s v="United States"/>
    <x v="1"/>
    <x v="2"/>
    <s v="BPI Conference Tables"/>
    <n v="332.1"/>
    <n v="2"/>
    <n v="58.42"/>
    <n v="17.59108702198133"/>
  </r>
  <r>
    <s v="CA-2019-112277"/>
    <x v="238"/>
    <s v="SC-20695"/>
    <s v="Steve Chapman"/>
    <s v="United States"/>
    <x v="1"/>
    <x v="0"/>
    <s v="Geemarc AmpliPOWER60"/>
    <n v="519.67999999999995"/>
    <n v="7"/>
    <n v="58.463999999999999"/>
    <n v="11.25"/>
  </r>
  <r>
    <s v="CA-2019-146143"/>
    <x v="359"/>
    <s v="MC-17845"/>
    <s v="Michael Chen"/>
    <s v="United States"/>
    <x v="1"/>
    <x v="2"/>
    <s v="Executive Impressions 14&quot;"/>
    <n v="133.38"/>
    <n v="6"/>
    <n v="58.687199999999997"/>
    <n v="44"/>
  </r>
  <r>
    <s v="CA-2019-114601"/>
    <x v="261"/>
    <s v="AA-10480"/>
    <s v="Andrew Allen"/>
    <s v="United States"/>
    <x v="3"/>
    <x v="0"/>
    <s v="ClearSounds CSC500 Amplified Spirit Phone Corded phone"/>
    <n v="209.97"/>
    <n v="3"/>
    <n v="58.791600000000003"/>
    <n v="28.000000000000004"/>
  </r>
  <r>
    <s v="CA-2019-159891"/>
    <x v="558"/>
    <s v="BF-11170"/>
    <s v="Ben Ferrer"/>
    <s v="United States"/>
    <x v="1"/>
    <x v="1"/>
    <s v="#10 White Business Envelopes,4 1/8 x 9 1/2"/>
    <n v="125.36"/>
    <n v="8"/>
    <n v="58.919199999999996"/>
    <n v="47"/>
  </r>
  <r>
    <s v="CA-2019-128818"/>
    <x v="619"/>
    <s v="CJ-12010"/>
    <s v="Caroline Jumper"/>
    <s v="United States"/>
    <x v="0"/>
    <x v="2"/>
    <s v="Hon Mobius Operator's Chair"/>
    <n v="442.76400000000001"/>
    <n v="4"/>
    <n v="59.035200000000003"/>
    <n v="13.333333333333334"/>
  </r>
  <r>
    <s v="US-2020-128398"/>
    <x v="571"/>
    <s v="EM-13825"/>
    <s v="Elizabeth Moffitt"/>
    <s v="United States"/>
    <x v="2"/>
    <x v="0"/>
    <s v="Logitech MX Performance Wireless Mouse"/>
    <n v="193.56"/>
    <n v="4"/>
    <n v="59.037199999999999"/>
    <n v="30.500723289935937"/>
  </r>
  <r>
    <s v="US-2019-102232"/>
    <x v="632"/>
    <s v="MF-17665"/>
    <s v="Maureen Fritzler"/>
    <s v="United States"/>
    <x v="1"/>
    <x v="1"/>
    <s v="Boston Model 1800 Electric Pencil Sharpener, Gray"/>
    <n v="197.05"/>
    <n v="7"/>
    <n v="59.115000000000002"/>
    <n v="30"/>
  </r>
  <r>
    <s v="US-2020-118941"/>
    <x v="557"/>
    <s v="BB-11545"/>
    <s v="Brenda Bowman"/>
    <s v="United States"/>
    <x v="0"/>
    <x v="1"/>
    <s v="Boston 1645 Deluxe Heavier-Duty Electric Pencil Sharpener"/>
    <n v="236.9"/>
    <n v="5"/>
    <n v="59.372999999999998"/>
    <n v="25.062473617560148"/>
  </r>
  <r>
    <s v="CA-2020-107958"/>
    <x v="365"/>
    <s v="AH-10120"/>
    <s v="Adrian Hane"/>
    <s v="United States"/>
    <x v="3"/>
    <x v="1"/>
    <s v="White Dual Perf Computer Printout Paper, 2700 Sheets, 1 Part, Heavyweight, 20 lbs., 14 7/8 x 11"/>
    <n v="207.96"/>
    <n v="5"/>
    <n v="59.435499999999998"/>
    <n v="28.580255818426618"/>
  </r>
  <r>
    <s v="CA-2020-145737"/>
    <x v="301"/>
    <s v="AB-10165"/>
    <s v="Alan Barnes"/>
    <s v="United States"/>
    <x v="1"/>
    <x v="1"/>
    <s v="Xerox 1893"/>
    <n v="208.96"/>
    <n v="5"/>
    <n v="59.435499999999998"/>
    <n v="28.443482006125571"/>
  </r>
  <r>
    <s v="CA-2020-121853"/>
    <x v="71"/>
    <s v="DB-13660"/>
    <s v="Duane Benoit"/>
    <s v="United States"/>
    <x v="2"/>
    <x v="2"/>
    <s v="GuestStacker Chair with Chrome Finish Legs"/>
    <n v="628.81600000000003"/>
    <n v="2"/>
    <n v="59.4816"/>
    <n v="9.4593012900435109"/>
  </r>
  <r>
    <s v="CA-2020-101245"/>
    <x v="464"/>
    <s v="LW-16990"/>
    <s v="Lindsay Williams"/>
    <s v="United States"/>
    <x v="2"/>
    <x v="0"/>
    <s v="Enermax Briskie RF Wireless Keyboard and Mouse Combo"/>
    <n v="179.16"/>
    <n v="8"/>
    <n v="59.817599999999999"/>
    <n v="33.387809778968517"/>
  </r>
  <r>
    <s v="CA-2020-147354"/>
    <x v="589"/>
    <s v="KB-16315"/>
    <s v="Karl Braun"/>
    <s v="United States"/>
    <x v="2"/>
    <x v="0"/>
    <s v="Hewlett Packard 310 Color Digital Copier"/>
    <n v="521.98400000000004"/>
    <n v="2"/>
    <n v="59.997999999999998"/>
    <n v="11.494222045120155"/>
  </r>
  <r>
    <s v="US-2020-117534"/>
    <x v="501"/>
    <s v="CV-12295"/>
    <s v="Christina VanderZanden"/>
    <s v="United States"/>
    <x v="2"/>
    <x v="0"/>
    <s v="Hewlett Packard 310 Color Digital Copier"/>
    <n v="527.98400000000004"/>
    <n v="2"/>
    <n v="59.997999999999998"/>
    <n v="11.36360192733113"/>
  </r>
  <r>
    <s v="US-2019-108504"/>
    <x v="251"/>
    <s v="PP-18955"/>
    <s v="Paul Prost"/>
    <s v="United States"/>
    <x v="1"/>
    <x v="1"/>
    <s v="White Dual Perf Computer Printout Paper, 2700 Sheets, 1 Part, Heavyweight, 20 lbs., 14 7/8 x 11"/>
    <n v="122.97"/>
    <n v="3"/>
    <n v="60.255299999999998"/>
    <n v="49"/>
  </r>
  <r>
    <s v="CA-2019-145982"/>
    <x v="351"/>
    <s v="TB-21055"/>
    <s v="Ted Butterfield"/>
    <s v="United States"/>
    <x v="0"/>
    <x v="1"/>
    <s v="Xerox 1919"/>
    <n v="122.97"/>
    <n v="3"/>
    <n v="60.255299999999998"/>
    <n v="49"/>
  </r>
  <r>
    <s v="US-2020-152002"/>
    <x v="206"/>
    <s v="DV-13465"/>
    <s v="Dianna Vittorini"/>
    <s v="United States"/>
    <x v="2"/>
    <x v="1"/>
    <s v="White Dual Perf Computer Printout Paper, 2700 Sheets, 1 Part, Heavyweight, 20 lbs., 14 7/8 x 11"/>
    <n v="153.97"/>
    <n v="3"/>
    <n v="60.255299999999998"/>
    <n v="39.134441774371631"/>
  </r>
  <r>
    <s v="CA-2019-156300"/>
    <x v="268"/>
    <s v="TB-21595"/>
    <s v="Troy Blackwell"/>
    <s v="United States"/>
    <x v="3"/>
    <x v="2"/>
    <s v="Global Leather &amp; Oak Executive Chair, Burgundy"/>
    <n v="754.45"/>
    <n v="5"/>
    <n v="60.356000000000002"/>
    <n v="8"/>
  </r>
  <r>
    <s v="US-2019-125402"/>
    <x v="81"/>
    <s v="DL-12865"/>
    <s v="Dan Lawera"/>
    <s v="United States"/>
    <x v="2"/>
    <x v="2"/>
    <s v="Global Airflow Leather Mesh Back Chair, Black"/>
    <n v="483.13600000000002"/>
    <n v="4"/>
    <n v="60.392000000000003"/>
    <n v="12.5"/>
  </r>
  <r>
    <s v="CA-2020-122308"/>
    <x v="473"/>
    <s v="MV-17485"/>
    <s v="Mark Van Huff"/>
    <s v="United States"/>
    <x v="0"/>
    <x v="2"/>
    <s v="Global Airflow Leather Mesh Back Chair, Black"/>
    <n v="305.76400000000001"/>
    <n v="2"/>
    <n v="60.392000000000003"/>
    <n v="19.751180649128088"/>
  </r>
  <r>
    <s v="CA-2020-128328"/>
    <x v="568"/>
    <s v="PO-18865"/>
    <s v="Patrick O'Donnell"/>
    <s v="United States"/>
    <x v="3"/>
    <x v="1"/>
    <s v="Premium Transparent Presentation Covers by GBC"/>
    <n v="164.88"/>
    <n v="6"/>
    <n v="60.422400000000003"/>
    <n v="36.646288209606993"/>
  </r>
  <r>
    <s v="CA-2020-156958"/>
    <x v="372"/>
    <s v="PB-18805"/>
    <s v="Patrick Bzostek"/>
    <s v="United States"/>
    <x v="2"/>
    <x v="1"/>
    <s v="GBC VeloBinder Manual Binding System"/>
    <n v="216.75200000000001"/>
    <n v="6"/>
    <n v="60.463200000000001"/>
    <n v="27.895105927511626"/>
  </r>
  <r>
    <s v="CA-2020-157273"/>
    <x v="178"/>
    <s v="SZ-20035"/>
    <s v="Sam Zeldin"/>
    <s v="United States"/>
    <x v="2"/>
    <x v="0"/>
    <s v="Mitel 5320 IP Phone VoIP phone"/>
    <n v="618.76800000000003"/>
    <n v="4"/>
    <n v="60.476799999999997"/>
    <n v="9.7737439557313888"/>
  </r>
  <r>
    <s v="CA-2020-129378"/>
    <x v="435"/>
    <s v="NS-18505"/>
    <s v="Neola Schneider"/>
    <s v="United States"/>
    <x v="2"/>
    <x v="1"/>
    <s v="Belkin 325VA UPS Surge Protector, 6'"/>
    <n v="269.95999999999998"/>
    <n v="2"/>
    <n v="60.49"/>
    <n v="22.407023262705589"/>
  </r>
  <r>
    <s v="CA-2019-119865"/>
    <x v="219"/>
    <s v="AS-10090"/>
    <s v="Adam Shillingsburg"/>
    <s v="United States"/>
    <x v="0"/>
    <x v="1"/>
    <s v="Premium Transparent Presentation Covers, No Pattern/Clear, 8 1/2&quot; x 11&quot;"/>
    <n v="186.14400000000001"/>
    <n v="6"/>
    <n v="60.4968"/>
    <n v="32.5"/>
  </r>
  <r>
    <s v="CA-2020-124296"/>
    <x v="437"/>
    <s v="CS-12355"/>
    <s v="Christine Sundaresam"/>
    <s v="United States"/>
    <x v="1"/>
    <x v="2"/>
    <s v="Iceberg Nesting Folding Chair, 19w x 6d x 43h"/>
    <n v="559.88"/>
    <n v="4"/>
    <n v="60.5488"/>
    <n v="10.814603129241981"/>
  </r>
  <r>
    <s v="US-2020-130953"/>
    <x v="449"/>
    <s v="RF-19735"/>
    <s v="Roland Fjeld"/>
    <s v="United States"/>
    <x v="3"/>
    <x v="1"/>
    <s v="Holmes Replacement Filter for HEPA Air Cleaner, Very Large Room, HEPA Filter"/>
    <n v="168.62"/>
    <n v="2"/>
    <n v="60.552799999999998"/>
    <n v="35.910805361167121"/>
  </r>
  <r>
    <s v="CA-2020-162173"/>
    <x v="184"/>
    <s v="OT-18730"/>
    <s v="Olvera Toch"/>
    <s v="United States"/>
    <x v="1"/>
    <x v="2"/>
    <s v="Lesro Sheffield Collection Coffee Table, End Table, Center Table, Corner Table"/>
    <n v="382.85"/>
    <n v="5"/>
    <n v="60.664499999999997"/>
    <n v="15.845500848896432"/>
  </r>
  <r>
    <s v="CA-2019-152555"/>
    <x v="98"/>
    <s v="ME-17320"/>
    <s v="Maria Etezadi"/>
    <s v="United States"/>
    <x v="3"/>
    <x v="0"/>
    <s v="Jabra BIZ 2300 Duo QD Duo Corded Headset"/>
    <n v="812.73599999999999"/>
    <n v="8"/>
    <n v="60.955199999999998"/>
    <n v="7.5"/>
  </r>
  <r>
    <s v="CA-2019-151561"/>
    <x v="391"/>
    <s v="PG-18820"/>
    <s v="Patrick Gardner"/>
    <s v="United States"/>
    <x v="0"/>
    <x v="2"/>
    <s v="Howard Miller 14-1/2&quot; Diameter Chrome Round Wall Clock"/>
    <n v="191.82"/>
    <n v="3"/>
    <n v="61.382399999999997"/>
    <n v="32"/>
  </r>
  <r>
    <s v="US-2019-152415"/>
    <x v="186"/>
    <s v="PO-18865"/>
    <s v="Patrick O'Donnell"/>
    <s v="United States"/>
    <x v="0"/>
    <x v="2"/>
    <s v="Howard Miller 14-1/2&quot; Diameter Chrome Round Wall Clock"/>
    <n v="191.82"/>
    <n v="3"/>
    <n v="61.382399999999997"/>
    <n v="32"/>
  </r>
  <r>
    <s v="CA-2020-143378"/>
    <x v="121"/>
    <s v="JR-16210"/>
    <s v="Justin Ritter"/>
    <s v="United States"/>
    <x v="2"/>
    <x v="2"/>
    <s v="Howard Miller 14-1/2&quot; Diameter Chrome Round Wall Clock"/>
    <n v="430.21600000000001"/>
    <n v="8"/>
    <n v="61.382399999999997"/>
    <n v="14.267809658404149"/>
  </r>
  <r>
    <s v="CA-2020-151358"/>
    <x v="243"/>
    <s v="NF-18595"/>
    <s v="Nicole Fjeld"/>
    <s v="United States"/>
    <x v="2"/>
    <x v="1"/>
    <s v="Fellowes Super Stor/Drawer Files"/>
    <n v="343.1"/>
    <n v="2"/>
    <n v="61.389000000000003"/>
    <n v="17.892451180413875"/>
  </r>
  <r>
    <s v="CA-2020-147228"/>
    <x v="37"/>
    <s v="SO-20335"/>
    <s v="Sean O'Donnell"/>
    <s v="United States"/>
    <x v="1"/>
    <x v="1"/>
    <s v="Xerox 1888"/>
    <n v="213.536"/>
    <n v="4"/>
    <n v="62.137599999999999"/>
    <n v="29.099355612168438"/>
  </r>
  <r>
    <s v="CA-2019-140935"/>
    <x v="214"/>
    <s v="AB-10015"/>
    <s v="Aaron Bergman"/>
    <s v="United States"/>
    <x v="3"/>
    <x v="0"/>
    <s v="Samsung Convoy 3"/>
    <n v="221.98"/>
    <n v="2"/>
    <n v="62.154400000000003"/>
    <n v="28.000000000000004"/>
  </r>
  <r>
    <s v="CA-2019-131499"/>
    <x v="49"/>
    <s v="MG-17875"/>
    <s v="Michael Grace"/>
    <s v="United States"/>
    <x v="0"/>
    <x v="1"/>
    <s v="Kensington 7 Outlet MasterPiece Power Center with Fax/Phone Line Protection"/>
    <n v="207.48"/>
    <n v="1"/>
    <n v="62.244"/>
    <n v="30"/>
  </r>
  <r>
    <s v="US-2020-167920"/>
    <x v="356"/>
    <s v="JL-15835"/>
    <s v="John Lee"/>
    <s v="United States"/>
    <x v="1"/>
    <x v="1"/>
    <s v="Belkin F9M820V08 8 Outlet Surge"/>
    <n v="232.9"/>
    <n v="5"/>
    <n v="62.320999999999998"/>
    <n v="26.758694718763415"/>
  </r>
  <r>
    <s v="CA-2019-115476"/>
    <x v="305"/>
    <s v="VM-21835"/>
    <s v="Vivian Mathis"/>
    <s v="United States"/>
    <x v="0"/>
    <x v="0"/>
    <s v="Plantronics Voyager Pro HD - Bluetooth Headset"/>
    <n v="129.97999999999999"/>
    <n v="2"/>
    <n v="62.3904"/>
    <n v="48.000000000000007"/>
  </r>
  <r>
    <s v="CA-2019-169838"/>
    <x v="0"/>
    <s v="BB-11545"/>
    <s v="Brenda Bowman"/>
    <s v="United States"/>
    <x v="3"/>
    <x v="0"/>
    <s v="Memorex Mini Travel Drive 32 GB USB 2.0 Flash Drive"/>
    <n v="160"/>
    <n v="8"/>
    <n v="62.4"/>
    <n v="39"/>
  </r>
  <r>
    <s v="CA-2019-145919"/>
    <x v="60"/>
    <s v="HG-14965"/>
    <s v="Henry Goldwyn"/>
    <s v="United States"/>
    <x v="2"/>
    <x v="2"/>
    <s v="Seth Thomas 12&quot; Clock w/ Goldtone Case"/>
    <n v="183.84"/>
    <n v="8"/>
    <n v="62.505600000000001"/>
    <n v="34"/>
  </r>
  <r>
    <s v="CA-2020-123687"/>
    <x v="465"/>
    <s v="KC-16675"/>
    <s v="Kimberly Carter"/>
    <s v="United States"/>
    <x v="1"/>
    <x v="1"/>
    <s v="Belkin 8-Outlet Premiere SurgeMaster II Surge Protectors"/>
    <n v="248.44"/>
    <n v="3"/>
    <n v="62.531999999999996"/>
    <n v="25.16985992593785"/>
  </r>
  <r>
    <s v="CA-2020-168123"/>
    <x v="512"/>
    <s v="JD-16060"/>
    <s v="Julia Dunbar"/>
    <s v="United States"/>
    <x v="3"/>
    <x v="1"/>
    <s v="GBC ProClick Punch Binding System"/>
    <n v="142.96"/>
    <n v="2"/>
    <n v="62.700400000000002"/>
    <n v="43.85870173475098"/>
  </r>
  <r>
    <s v="CA-2020-133249"/>
    <x v="526"/>
    <s v="SZ-20035"/>
    <s v="Sam Zeldin"/>
    <s v="United States"/>
    <x v="2"/>
    <x v="2"/>
    <s v="Deflect-o SuperTray Unbreakable Stackable Tray, Letter, Black"/>
    <n v="166.9"/>
    <n v="5"/>
    <n v="62.737000000000002"/>
    <n v="37.589574595566205"/>
  </r>
  <r>
    <s v="US-2020-117534"/>
    <x v="501"/>
    <s v="CV-12295"/>
    <s v="Christina VanderZanden"/>
    <s v="United States"/>
    <x v="2"/>
    <x v="1"/>
    <s v="Avery Arch Ring Binders"/>
    <n v="205.92"/>
    <n v="4"/>
    <n v="62.747999999999998"/>
    <n v="30.47202797202797"/>
  </r>
  <r>
    <s v="CA-2019-139556"/>
    <x v="633"/>
    <s v="DB-13360"/>
    <s v="Dennis Bolton"/>
    <s v="United States"/>
    <x v="0"/>
    <x v="2"/>
    <s v="Office Star - Mid Back Dual function Ergonomic High Back Chair with 2-Way Adjustable Arms"/>
    <n v="434.64600000000002"/>
    <n v="3"/>
    <n v="62.782200000000003"/>
    <n v="14.444444444444446"/>
  </r>
  <r>
    <s v="CA-2019-150350"/>
    <x v="95"/>
    <s v="MS-17770"/>
    <s v="Maxwell Schwartz"/>
    <s v="United States"/>
    <x v="2"/>
    <x v="0"/>
    <s v="Okidata C331dn Printer"/>
    <n v="837.6"/>
    <n v="3"/>
    <n v="62.82"/>
    <n v="7.5"/>
  </r>
  <r>
    <s v="CA-2019-127649"/>
    <x v="472"/>
    <s v="DL-13495"/>
    <s v="Dionis Lloyd"/>
    <s v="United States"/>
    <x v="2"/>
    <x v="0"/>
    <s v="Okidata C331dn Printer"/>
    <n v="837.6"/>
    <n v="3"/>
    <n v="62.82"/>
    <n v="7.5"/>
  </r>
  <r>
    <s v="CA-2020-145884"/>
    <x v="168"/>
    <s v="SL-20155"/>
    <s v="Sara Luxemburg"/>
    <s v="United States"/>
    <x v="3"/>
    <x v="2"/>
    <s v="Bevis Boat-Shaped Conference Table"/>
    <n v="307.11"/>
    <n v="1"/>
    <n v="62.906399999999998"/>
    <n v="20.483344729901336"/>
  </r>
  <r>
    <s v="CA-2019-121356"/>
    <x v="165"/>
    <s v="SJ-20500"/>
    <s v="Shirley Jackson"/>
    <s v="United States"/>
    <x v="0"/>
    <x v="1"/>
    <s v="Wilson Jones Elliptical Ring 3 1/2&quot; Capacity Binders, 800 sheets"/>
    <n v="128.4"/>
    <n v="3"/>
    <n v="62.915999999999997"/>
    <n v="48.999999999999993"/>
  </r>
  <r>
    <s v="CA-2019-153157"/>
    <x v="106"/>
    <s v="TB-21625"/>
    <s v="Trudy Brown"/>
    <s v="United States"/>
    <x v="3"/>
    <x v="0"/>
    <s v="Plantronics Encore H101 Dual Earpieces Headset"/>
    <n v="224.75"/>
    <n v="5"/>
    <n v="62.93"/>
    <n v="27.999999999999996"/>
  </r>
  <r>
    <s v="CA-2020-111647"/>
    <x v="142"/>
    <s v="RD-19585"/>
    <s v="Rob Dowd"/>
    <s v="United States"/>
    <x v="3"/>
    <x v="0"/>
    <s v="netTALK DUO VoIP Telephone Service"/>
    <n v="186.96799999999999"/>
    <n v="4"/>
    <n v="62.988"/>
    <n v="33.689187454537681"/>
  </r>
  <r>
    <s v="CA-2020-118199"/>
    <x v="513"/>
    <s v="LB-16795"/>
    <s v="Laurel Beltran"/>
    <s v="United States"/>
    <x v="2"/>
    <x v="2"/>
    <s v="Riverside Furniture Oval Coffee Table, Oval End Table, End Table with Drawer"/>
    <n v="300.85000000000002"/>
    <n v="1"/>
    <n v="63.106999999999999"/>
    <n v="20.976234003656305"/>
  </r>
  <r>
    <s v="CA-2019-103730"/>
    <x v="104"/>
    <s v="SC-20725"/>
    <s v="Steven Cartwright"/>
    <s v="United States"/>
    <x v="0"/>
    <x v="1"/>
    <s v="Companion Letter/Legal File, Black"/>
    <n v="226.56"/>
    <n v="6"/>
    <n v="63.436799999999998"/>
    <n v="27.999999999999996"/>
  </r>
  <r>
    <s v="CA-2020-119011"/>
    <x v="536"/>
    <s v="LR-17035"/>
    <s v="Lisa Ryan"/>
    <s v="United States"/>
    <x v="2"/>
    <x v="1"/>
    <s v="Companion Letter/Legal File, Black"/>
    <n v="237.56"/>
    <n v="6"/>
    <n v="63.436799999999998"/>
    <n v="26.703485435258461"/>
  </r>
  <r>
    <s v="CA-2019-122581"/>
    <x v="43"/>
    <s v="JK-15370"/>
    <s v="Jay Kimmel"/>
    <s v="United States"/>
    <x v="0"/>
    <x v="2"/>
    <s v="Leather Task Chair, Black"/>
    <n v="573.17399999999998"/>
    <n v="7"/>
    <n v="63.686"/>
    <n v="11.111111111111112"/>
  </r>
  <r>
    <s v="CA-2020-117443"/>
    <x v="172"/>
    <s v="JB-15400"/>
    <s v="Jennifer Braxton"/>
    <s v="United States"/>
    <x v="3"/>
    <x v="1"/>
    <s v="Xerox 1940"/>
    <n v="431.87200000000001"/>
    <n v="4"/>
    <n v="63.753599999999999"/>
    <n v="14.762151748666271"/>
  </r>
  <r>
    <s v="CA-2020-165491"/>
    <x v="485"/>
    <s v="HW-14935"/>
    <s v="Helen Wasserman"/>
    <s v="United States"/>
    <x v="2"/>
    <x v="0"/>
    <s v="Imation Secure Drive + Hardware Encrypted USB flash drive - 16 GB"/>
    <n v="302.93"/>
    <n v="7"/>
    <n v="63.8232"/>
    <n v="21.068629716436142"/>
  </r>
  <r>
    <s v="CA-2019-150350"/>
    <x v="95"/>
    <s v="MS-17770"/>
    <s v="Maxwell Schwartz"/>
    <s v="United States"/>
    <x v="2"/>
    <x v="1"/>
    <s v="Tyvek  Top-Opening Peel &amp; Seel Envelopes, Plain White"/>
    <n v="135.9"/>
    <n v="5"/>
    <n v="63.872999999999998"/>
    <n v="47"/>
  </r>
  <r>
    <s v="CA-2020-102309"/>
    <x v="71"/>
    <s v="DO-13645"/>
    <s v="Doug O'Connell"/>
    <s v="United States"/>
    <x v="1"/>
    <x v="0"/>
    <s v="Microsoft Wireless Mobile Mouse 4000"/>
    <n v="238.95"/>
    <n v="5"/>
    <n v="63.984000000000002"/>
    <n v="26.777150031387322"/>
  </r>
  <r>
    <s v="CA-2020-120376"/>
    <x v="67"/>
    <s v="TP-21130"/>
    <s v="Theone Pippenger"/>
    <s v="United States"/>
    <x v="3"/>
    <x v="0"/>
    <s v="Microsoft Wireless Mobile Mouse 4000"/>
    <n v="317.95"/>
    <n v="5"/>
    <n v="63.984000000000002"/>
    <n v="20.123918855165908"/>
  </r>
  <r>
    <s v="US-2019-113649"/>
    <x v="366"/>
    <s v="HA-14920"/>
    <s v="Helen Andreada"/>
    <s v="United States"/>
    <x v="1"/>
    <x v="1"/>
    <s v="Kensington 7 Outlet MasterPiece Power Center"/>
    <n v="569.53599999999994"/>
    <n v="4"/>
    <n v="64.072800000000001"/>
    <n v="11.250000000000002"/>
  </r>
  <r>
    <s v="CA-2019-164637"/>
    <x v="534"/>
    <s v="RD-19480"/>
    <s v="Rick Duston"/>
    <s v="United States"/>
    <x v="3"/>
    <x v="1"/>
    <s v="Green Canvas Binder for 8-1/2&quot; x 14&quot; Sheets"/>
    <n v="128.4"/>
    <n v="3"/>
    <n v="64.2"/>
    <n v="50"/>
  </r>
  <r>
    <s v="CA-2020-104080"/>
    <x v="467"/>
    <s v="AH-10210"/>
    <s v="Alan Hwang"/>
    <s v="United States"/>
    <x v="2"/>
    <x v="1"/>
    <s v="Green Canvas Binder for 8-1/2&quot; x 14&quot; Sheets"/>
    <n v="196.2"/>
    <n v="5"/>
    <n v="64.2"/>
    <n v="32.721712538226306"/>
  </r>
  <r>
    <s v="CA-2019-116736"/>
    <x v="600"/>
    <s v="CC-12430"/>
    <s v="Chuck Clark"/>
    <s v="United States"/>
    <x v="0"/>
    <x v="2"/>
    <s v="Tenex Contemporary Contur Chairmats for Low and Medium Pile Carpet, Computer, 39&quot; x 49&quot;"/>
    <n v="322.58999999999997"/>
    <n v="3"/>
    <n v="64.518000000000001"/>
    <n v="20"/>
  </r>
  <r>
    <s v="CA-2020-139717"/>
    <x v="483"/>
    <s v="DM-13015"/>
    <s v="Darrin Martin"/>
    <s v="United States"/>
    <x v="0"/>
    <x v="1"/>
    <s v="Avanti 1.7 Cu. Ft. Refrigerator"/>
    <n v="667.27200000000005"/>
    <n v="8"/>
    <n v="64.627200000000002"/>
    <n v="9.6852857605294389"/>
  </r>
  <r>
    <s v="CA-2019-168081"/>
    <x v="412"/>
    <s v="CA-12055"/>
    <s v="Cathy Armstrong"/>
    <s v="United States"/>
    <x v="3"/>
    <x v="0"/>
    <s v="Plantronics S12 Corded Telephone Headset System"/>
    <n v="258.69600000000003"/>
    <n v="3"/>
    <n v="64.674000000000007"/>
    <n v="25"/>
  </r>
  <r>
    <s v="US-2020-118087"/>
    <x v="37"/>
    <s v="SP-20620"/>
    <s v="Stefania Perrino"/>
    <s v="United States"/>
    <x v="0"/>
    <x v="0"/>
    <s v="Plantronics S12 Corded Telephone Headset System"/>
    <n v="292.69600000000003"/>
    <n v="3"/>
    <n v="64.674000000000007"/>
    <n v="22.095963046983901"/>
  </r>
  <r>
    <s v="CA-2019-130946"/>
    <x v="5"/>
    <s v="ZC-21910"/>
    <s v="Zuschuss Carroll"/>
    <s v="United States"/>
    <x v="3"/>
    <x v="0"/>
    <s v="Kensington Orbit Wireless Mobile Trackball for PC and Mac"/>
    <n v="431.928"/>
    <n v="9"/>
    <n v="64.789199999999994"/>
    <n v="15"/>
  </r>
  <r>
    <s v="CA-2020-138310"/>
    <x v="334"/>
    <s v="NP-18700"/>
    <s v="Nora Preis"/>
    <s v="United States"/>
    <x v="2"/>
    <x v="0"/>
    <s v="Kensington Orbit Wireless Mobile Trackball for PC and Mac"/>
    <n v="444.928"/>
    <n v="9"/>
    <n v="64.789199999999994"/>
    <n v="14.561726841196776"/>
  </r>
  <r>
    <s v="CA-2020-148404"/>
    <x v="232"/>
    <s v="Dp-13240"/>
    <s v="Dean percer"/>
    <s v="United States"/>
    <x v="1"/>
    <x v="1"/>
    <s v="Adjustable Depth Letter/Legal Cart"/>
    <n v="600.67200000000003"/>
    <n v="4"/>
    <n v="65.325599999999994"/>
    <n v="10.875419530126257"/>
  </r>
  <r>
    <s v="CA-2020-141929"/>
    <x v="130"/>
    <s v="RA-19285"/>
    <s v="Ralph Arnett"/>
    <s v="United States"/>
    <x v="2"/>
    <x v="1"/>
    <s v="Trav-L-File Heavy-Duty Shuttle II, Black"/>
    <n v="235.85"/>
    <n v="5"/>
    <n v="65.355000000000004"/>
    <n v="27.710409158363369"/>
  </r>
  <r>
    <s v="CA-2019-103709"/>
    <x v="49"/>
    <s v="LP-17095"/>
    <s v="Liz Preis"/>
    <s v="United States"/>
    <x v="2"/>
    <x v="1"/>
    <s v="Mini 13-1/2 Capacity Data Binder Rack, Pearl"/>
    <n v="261.74"/>
    <n v="2"/>
    <n v="65.435000000000002"/>
    <n v="25"/>
  </r>
  <r>
    <s v="CA-2020-112515"/>
    <x v="166"/>
    <s v="AS-10225"/>
    <s v="Alan Schoenberger"/>
    <s v="United States"/>
    <x v="2"/>
    <x v="1"/>
    <s v="Mini 13-1/2 Capacity Data Binder Rack, Pearl"/>
    <n v="273.74"/>
    <n v="2"/>
    <n v="65.435000000000002"/>
    <n v="23.904069555052239"/>
  </r>
  <r>
    <s v="CA-2020-142636"/>
    <x v="368"/>
    <s v="KC-16675"/>
    <s v="Kimberly Carter"/>
    <s v="United States"/>
    <x v="2"/>
    <x v="1"/>
    <s v="Xerox 191"/>
    <n v="154.86000000000001"/>
    <n v="7"/>
    <n v="65.734200000000001"/>
    <n v="42.447500968616815"/>
  </r>
  <r>
    <s v="US-2020-101840"/>
    <x v="602"/>
    <s v="SP-20545"/>
    <s v="Sibella Parks"/>
    <s v="United States"/>
    <x v="0"/>
    <x v="0"/>
    <s v="Grandstream GXP1160 VoIP phone"/>
    <n v="256.45999999999998"/>
    <n v="6"/>
    <n v="65.963399999999993"/>
    <n v="25.720736177181625"/>
  </r>
  <r>
    <s v="CA-2020-121300"/>
    <x v="86"/>
    <s v="MG-17680"/>
    <s v="Maureen Gastineau"/>
    <s v="United States"/>
    <x v="0"/>
    <x v="0"/>
    <s v="Logitech G700s Rechargeable Gaming Mouse"/>
    <n v="278.976"/>
    <n v="3"/>
    <n v="65.993399999999994"/>
    <n v="23.655583275980728"/>
  </r>
  <r>
    <s v="US-2020-148054"/>
    <x v="482"/>
    <s v="NZ-18565"/>
    <s v="Nick Zandusky"/>
    <s v="United States"/>
    <x v="2"/>
    <x v="1"/>
    <s v="Conquest 14 Commercial Heavy-Duty Upright Vacuum, Collection System, Accessory Kit"/>
    <n v="268.83999999999997"/>
    <n v="4"/>
    <n v="66.073599999999999"/>
    <n v="24.577295045380154"/>
  </r>
  <r>
    <s v="CA-2019-169957"/>
    <x v="66"/>
    <s v="SN-20710"/>
    <s v="Steve Nguyen"/>
    <s v="United States"/>
    <x v="2"/>
    <x v="1"/>
    <s v="Belkin 7 Outlet SurgeMaster II"/>
    <n v="236.88"/>
    <n v="6"/>
    <n v="66.326400000000007"/>
    <n v="28.000000000000004"/>
  </r>
  <r>
    <s v="CA-2020-147277"/>
    <x v="170"/>
    <s v="EB-13705"/>
    <s v="Ed Braxton"/>
    <s v="United States"/>
    <x v="0"/>
    <x v="1"/>
    <s v="Deluxe Rollaway Locking File with Drawer"/>
    <n v="715.40800000000002"/>
    <n v="2"/>
    <n v="66.540800000000004"/>
    <n v="9.301098114642274"/>
  </r>
  <r>
    <s v="CA-2019-121447"/>
    <x v="272"/>
    <s v="EA-14035"/>
    <s v="Erin Ashbrook"/>
    <s v="United States"/>
    <x v="0"/>
    <x v="2"/>
    <s v="Floodlight Indoor Halogen Bulbs, 1 Bulb per Pack, 60 Watts"/>
    <n v="135.80000000000001"/>
    <n v="7"/>
    <n v="66.542000000000002"/>
    <n v="49"/>
  </r>
  <r>
    <s v="CA-2020-128328"/>
    <x v="568"/>
    <s v="PO-18865"/>
    <s v="Patrick O'Donnell"/>
    <s v="United States"/>
    <x v="3"/>
    <x v="1"/>
    <s v="Avery 475"/>
    <n v="154.19999999999999"/>
    <n v="9"/>
    <n v="66.599999999999994"/>
    <n v="43.190661478599225"/>
  </r>
  <r>
    <s v="CA-2020-122504"/>
    <x v="117"/>
    <s v="DB-13270"/>
    <s v="Deborah Brumfield"/>
    <s v="United States"/>
    <x v="2"/>
    <x v="0"/>
    <s v="Plantronics CS 50-USB - headset - Convertible, Monaural"/>
    <n v="786.54399999999998"/>
    <n v="7"/>
    <n v="66.635099999999994"/>
    <n v="8.4718845989544125"/>
  </r>
  <r>
    <s v="CA-2020-117212"/>
    <x v="595"/>
    <s v="BT-11530"/>
    <s v="Bradley Talbott"/>
    <s v="United States"/>
    <x v="2"/>
    <x v="0"/>
    <s v="Toshiba IPT2010-SD IP Telephone"/>
    <n v="911.53599999999994"/>
    <n v="8"/>
    <n v="66.715199999999996"/>
    <n v="7.3189868529602782"/>
  </r>
  <r>
    <s v="CA-2019-116736"/>
    <x v="600"/>
    <s v="CC-12430"/>
    <s v="Chuck Clark"/>
    <s v="United States"/>
    <x v="0"/>
    <x v="0"/>
    <s v="Logitech G19 Programmable Gaming Keyboard"/>
    <n v="371.97"/>
    <n v="3"/>
    <n v="66.954599999999999"/>
    <n v="18"/>
  </r>
  <r>
    <s v="CA-2020-143035"/>
    <x v="378"/>
    <s v="CC-12430"/>
    <s v="Chuck Clark"/>
    <s v="United States"/>
    <x v="0"/>
    <x v="0"/>
    <s v="Logitech G19 Programmable Gaming Keyboard"/>
    <n v="403.97"/>
    <n v="3"/>
    <n v="66.954599999999999"/>
    <n v="16.574151545906872"/>
  </r>
  <r>
    <s v="CA-2020-141439"/>
    <x v="197"/>
    <s v="TT-21460"/>
    <s v="Tonja Turnell"/>
    <s v="United States"/>
    <x v="3"/>
    <x v="2"/>
    <s v="KI Adjustable-Height Table"/>
    <n v="280.94"/>
    <n v="3"/>
    <n v="67.064400000000006"/>
    <n v="23.871431622410483"/>
  </r>
  <r>
    <s v="CA-2020-131695"/>
    <x v="54"/>
    <s v="RA-19285"/>
    <s v="Ralph Arnett"/>
    <s v="United States"/>
    <x v="0"/>
    <x v="1"/>
    <s v="Steel Personal Filing/Posting Tote"/>
    <n v="281.57"/>
    <n v="7"/>
    <n v="67.113900000000001"/>
    <n v="23.835600383563591"/>
  </r>
  <r>
    <s v="CA-2019-142524"/>
    <x v="478"/>
    <s v="MB-18085"/>
    <s v="Mick Brown"/>
    <s v="United States"/>
    <x v="3"/>
    <x v="0"/>
    <s v="Sony Micro Vault Click 16 GB USB 2.0 Flash Drive"/>
    <n v="279.95"/>
    <n v="5"/>
    <n v="67.188000000000002"/>
    <n v="24.000000000000004"/>
  </r>
  <r>
    <s v="CA-2020-163531"/>
    <x v="334"/>
    <s v="SC-20725"/>
    <s v="Steven Cartwright"/>
    <s v="United States"/>
    <x v="0"/>
    <x v="0"/>
    <s v="Mophie Juice Pack Helium for iPhone"/>
    <n v="280.97000000000003"/>
    <n v="3"/>
    <n v="67.191599999999994"/>
    <n v="23.914154536071464"/>
  </r>
  <r>
    <s v="CA-2020-114636"/>
    <x v="153"/>
    <s v="GA-14725"/>
    <s v="Guy Armstrong"/>
    <s v="United States"/>
    <x v="1"/>
    <x v="1"/>
    <s v="Xerox 1910"/>
    <n v="233.16"/>
    <n v="5"/>
    <n v="67.256"/>
    <n v="28.845428032252528"/>
  </r>
  <r>
    <s v="CA-2019-160304"/>
    <x v="627"/>
    <s v="BM-11575"/>
    <s v="Brendan Murry"/>
    <s v="United States"/>
    <x v="0"/>
    <x v="0"/>
    <s v="GE 30522EE2"/>
    <n v="231.98"/>
    <n v="2"/>
    <n v="67.274199999999993"/>
    <n v="28.999999999999996"/>
  </r>
  <r>
    <s v="CA-2019-124051"/>
    <x v="268"/>
    <s v="KA-16525"/>
    <s v="Kelly Andreada"/>
    <s v="United States"/>
    <x v="3"/>
    <x v="1"/>
    <s v="White Computer Printout Paper by Universal"/>
    <n v="186.048"/>
    <n v="6"/>
    <n v="67.442400000000006"/>
    <n v="36.250000000000007"/>
  </r>
  <r>
    <s v="US-2020-105046"/>
    <x v="434"/>
    <s v="BE-11335"/>
    <s v="Bill Eplett"/>
    <s v="United States"/>
    <x v="0"/>
    <x v="0"/>
    <s v="Avaya 5420 Digital phone"/>
    <n v="296.98"/>
    <n v="2"/>
    <n v="67.495000000000005"/>
    <n v="22.727119671358338"/>
  </r>
  <r>
    <s v="CA-2019-160535"/>
    <x v="0"/>
    <s v="BP-11050"/>
    <s v="Barry Pond"/>
    <s v="United States"/>
    <x v="0"/>
    <x v="1"/>
    <s v="Fellowes Strictly Business Drawer File, Letter/Legal Size"/>
    <n v="563.4"/>
    <n v="4"/>
    <n v="67.608000000000004"/>
    <n v="12.000000000000002"/>
  </r>
  <r>
    <s v="CA-2020-104066"/>
    <x v="372"/>
    <s v="QJ-19255"/>
    <s v="Quincy Jones"/>
    <s v="United States"/>
    <x v="0"/>
    <x v="0"/>
    <s v="Logitech ClearChat Comfort/USB Headset H390"/>
    <n v="223.03"/>
    <n v="7"/>
    <n v="67.659899999999993"/>
    <n v="30.336681163968969"/>
  </r>
  <r>
    <s v="CA-2020-148474"/>
    <x v="375"/>
    <s v="ME-17320"/>
    <s v="Maria Etezadi"/>
    <s v="United States"/>
    <x v="1"/>
    <x v="2"/>
    <s v="Iceberg OfficeWorks 42&quot; Round Tables"/>
    <n v="469.94"/>
    <n v="3"/>
    <n v="67.941000000000003"/>
    <n v="14.457377537557987"/>
  </r>
  <r>
    <s v="CA-2020-104731"/>
    <x v="102"/>
    <s v="AM-10705"/>
    <s v="Anne McFarland"/>
    <s v="United States"/>
    <x v="1"/>
    <x v="0"/>
    <s v="Nortel Networks T7316 E Nt8 B27"/>
    <n v="308.95999999999998"/>
    <n v="4"/>
    <n v="67.989999999999995"/>
    <n v="22.006084930088036"/>
  </r>
  <r>
    <s v="US-2020-112347"/>
    <x v="18"/>
    <s v="BS-11380"/>
    <s v="Bill Stewart"/>
    <s v="United States"/>
    <x v="2"/>
    <x v="2"/>
    <s v="Hon GuestStacker Chair"/>
    <n v="245.68"/>
    <n v="5"/>
    <n v="68.001000000000005"/>
    <n v="27.67868772386845"/>
  </r>
  <r>
    <s v="CA-2020-102407"/>
    <x v="356"/>
    <s v="AT-10435"/>
    <s v="Alyssa Tate"/>
    <s v="United States"/>
    <x v="2"/>
    <x v="1"/>
    <s v="Harmony Air Purifier"/>
    <n v="220"/>
    <n v="1"/>
    <n v="68.040000000000006"/>
    <n v="30.927272727272729"/>
  </r>
  <r>
    <s v="CA-2019-165330"/>
    <x v="111"/>
    <s v="WB-21850"/>
    <s v="William Brown"/>
    <s v="United States"/>
    <x v="2"/>
    <x v="1"/>
    <s v="Ibico Laser Imprintable Binding System Covers"/>
    <n v="209.6"/>
    <n v="5"/>
    <n v="68.12"/>
    <n v="32.5"/>
  </r>
  <r>
    <s v="CA-2019-126732"/>
    <x v="110"/>
    <s v="LR-16915"/>
    <s v="Lena Radford"/>
    <s v="United States"/>
    <x v="2"/>
    <x v="0"/>
    <s v="Cisco Unified IP Phone 7945G VoIP phone"/>
    <n v="1091.1679999999999"/>
    <n v="4"/>
    <n v="68.197999999999993"/>
    <n v="6.25"/>
  </r>
  <r>
    <s v="CA-2020-151981"/>
    <x v="574"/>
    <s v="GM-14455"/>
    <s v="Gary Mitchum"/>
    <s v="United States"/>
    <x v="0"/>
    <x v="1"/>
    <s v="Hunt PowerHouse Electric Pencil Sharpener, Blue"/>
    <n v="274.88"/>
    <n v="6"/>
    <n v="68.364000000000004"/>
    <n v="24.87048894062864"/>
  </r>
  <r>
    <s v="CA-2019-146150"/>
    <x v="211"/>
    <s v="FM-14380"/>
    <s v="Fred McMath"/>
    <s v="United States"/>
    <x v="1"/>
    <x v="1"/>
    <s v="Panasonic KP-150 Electric Pencil Sharpener"/>
    <n v="264.18"/>
    <n v="7"/>
    <n v="68.686800000000005"/>
    <n v="26"/>
  </r>
  <r>
    <s v="CA-2020-105235"/>
    <x v="372"/>
    <s v="SM-20950"/>
    <s v="Suzanne McNair"/>
    <s v="United States"/>
    <x v="0"/>
    <x v="1"/>
    <s v="Eureka The Boss Cordless Rechargeable Stick Vac"/>
    <n v="280.89999999999998"/>
    <n v="5"/>
    <n v="68.822999999999993"/>
    <n v="24.500889996440016"/>
  </r>
  <r>
    <s v="CA-2019-140501"/>
    <x v="489"/>
    <s v="IM-15070"/>
    <s v="Irene Maddox"/>
    <s v="United States"/>
    <x v="0"/>
    <x v="1"/>
    <s v="Tops White Computer Printout Paper"/>
    <n v="146.72999999999999"/>
    <n v="3"/>
    <n v="68.963099999999997"/>
    <n v="47"/>
  </r>
  <r>
    <s v="CA-2019-117849"/>
    <x v="113"/>
    <s v="JK-16120"/>
    <s v="Julie Kriz"/>
    <s v="United States"/>
    <x v="2"/>
    <x v="1"/>
    <s v="Xerox 1911"/>
    <n v="143.69999999999999"/>
    <n v="3"/>
    <n v="68.975999999999999"/>
    <n v="48.000000000000007"/>
  </r>
  <r>
    <s v="CA-2020-106180"/>
    <x v="406"/>
    <s v="SH-19975"/>
    <s v="Sally Hughsby"/>
    <s v="United States"/>
    <x v="2"/>
    <x v="1"/>
    <s v="Xerox 1911"/>
    <n v="186.7"/>
    <n v="3"/>
    <n v="68.975999999999999"/>
    <n v="36.944831280128547"/>
  </r>
  <r>
    <s v="CA-2020-118577"/>
    <x v="482"/>
    <s v="XP-21865"/>
    <s v="Xylona Preis"/>
    <s v="United States"/>
    <x v="0"/>
    <x v="1"/>
    <s v="Xerox 1886"/>
    <n v="170.7"/>
    <n v="3"/>
    <n v="68.975999999999999"/>
    <n v="40.40773286467487"/>
  </r>
  <r>
    <s v="CA-2019-122903"/>
    <x v="242"/>
    <s v="LA-16780"/>
    <s v="Laura Armstrong"/>
    <s v="United States"/>
    <x v="3"/>
    <x v="1"/>
    <s v="Xerox 1910"/>
    <n v="144.12"/>
    <n v="3"/>
    <n v="69.177599999999998"/>
    <n v="48"/>
  </r>
  <r>
    <s v="CA-2020-104731"/>
    <x v="102"/>
    <s v="AM-10705"/>
    <s v="Anne McFarland"/>
    <s v="United States"/>
    <x v="1"/>
    <x v="2"/>
    <s v="Bush Westfield Collection Bookcases, Fully Assembled"/>
    <n v="325.94"/>
    <n v="3"/>
    <n v="69.676199999999994"/>
    <n v="21.377001902190585"/>
  </r>
  <r>
    <s v="CA-2019-105585"/>
    <x v="261"/>
    <s v="RF-19735"/>
    <s v="Roland Fjeld"/>
    <s v="United States"/>
    <x v="2"/>
    <x v="1"/>
    <s v="Xerox 1979"/>
    <n v="154.9"/>
    <n v="5"/>
    <n v="69.704999999999998"/>
    <n v="44.999999999999993"/>
  </r>
  <r>
    <s v="CA-2020-149076"/>
    <x v="325"/>
    <s v="SO-20335"/>
    <s v="Sean O'Donnell"/>
    <s v="United States"/>
    <x v="2"/>
    <x v="1"/>
    <s v="Xerox 19"/>
    <n v="183.9"/>
    <n v="5"/>
    <n v="69.704999999999998"/>
    <n v="37.903752039151712"/>
  </r>
  <r>
    <s v="CA-2020-130386"/>
    <x v="151"/>
    <s v="NG-18430"/>
    <s v="Nathan Gelder"/>
    <s v="United States"/>
    <x v="3"/>
    <x v="1"/>
    <s v="Xerox 197"/>
    <n v="254.05600000000001"/>
    <n v="9"/>
    <n v="69.704999999999998"/>
    <n v="27.436864313379729"/>
  </r>
  <r>
    <s v="CA-2019-144911"/>
    <x v="134"/>
    <s v="RW-19630"/>
    <s v="Rob Williams"/>
    <s v="United States"/>
    <x v="3"/>
    <x v="1"/>
    <s v="Ibico Plastic Spiral Binding Combs"/>
    <n v="152"/>
    <n v="5"/>
    <n v="69.92"/>
    <n v="46"/>
  </r>
  <r>
    <s v="CA-2020-102834"/>
    <x v="589"/>
    <s v="LW-16990"/>
    <s v="Lindsay Williams"/>
    <s v="United States"/>
    <x v="2"/>
    <x v="0"/>
    <s v="Logitech Wireless Headset h800"/>
    <n v="234.98"/>
    <n v="2"/>
    <n v="69.992999999999995"/>
    <n v="29.786790365137456"/>
  </r>
  <r>
    <s v="US-2020-165358"/>
    <x v="29"/>
    <s v="SV-20365"/>
    <s v="Seth Vernon"/>
    <s v="United States"/>
    <x v="0"/>
    <x v="0"/>
    <s v="Canon PC-428 Personal Copier"/>
    <n v="641.97"/>
    <n v="5"/>
    <n v="69.996499999999997"/>
    <n v="10.903391124195833"/>
  </r>
  <r>
    <s v="CA-2019-153682"/>
    <x v="323"/>
    <s v="BG-11695"/>
    <s v="Brooke Gillingham"/>
    <s v="United States"/>
    <x v="0"/>
    <x v="0"/>
    <s v="Canon Imageclass D680 Copier / Fax"/>
    <n v="839.98800000000006"/>
    <n v="2"/>
    <n v="69.998999999999995"/>
    <n v="8.3333333333333321"/>
  </r>
  <r>
    <s v="CA-2020-121419"/>
    <x v="523"/>
    <s v="TC-21475"/>
    <s v="Tony Chapman"/>
    <s v="United States"/>
    <x v="1"/>
    <x v="2"/>
    <s v="Bevis 44 x 96 Conference Tables"/>
    <n v="439.8"/>
    <n v="2"/>
    <n v="70.006"/>
    <n v="15.917689859026829"/>
  </r>
  <r>
    <s v="CA-2020-120376"/>
    <x v="67"/>
    <s v="TP-21130"/>
    <s v="Theone Pippenger"/>
    <s v="United States"/>
    <x v="3"/>
    <x v="2"/>
    <s v="Bevis 44 x 96 Conference Tables"/>
    <n v="118.8"/>
    <n v="2"/>
    <n v="70.006"/>
    <n v="58.927609427609426"/>
  </r>
  <r>
    <s v="CA-2020-158743"/>
    <x v="170"/>
    <s v="IG-15085"/>
    <s v="Ivan Gibson"/>
    <s v="United States"/>
    <x v="1"/>
    <x v="1"/>
    <s v="Binding Machine Supplies"/>
    <n v="188.85"/>
    <n v="5"/>
    <n v="70.007999999999996"/>
    <n v="37.070691024622718"/>
  </r>
  <r>
    <s v="CA-2019-109722"/>
    <x v="444"/>
    <s v="TP-21130"/>
    <s v="Theone Pippenger"/>
    <s v="United States"/>
    <x v="1"/>
    <x v="1"/>
    <s v="Fellowes Bankers Box Staxonsteel Drawer File/Stacking System"/>
    <n v="584.82000000000005"/>
    <n v="9"/>
    <n v="70.178399999999996"/>
    <n v="11.999999999999998"/>
  </r>
  <r>
    <s v="US-2020-166688"/>
    <x v="145"/>
    <s v="RD-19480"/>
    <s v="Rick Duston"/>
    <s v="United States"/>
    <x v="2"/>
    <x v="0"/>
    <s v="Motorola L703CM"/>
    <n v="1159.1279999999999"/>
    <n v="9"/>
    <n v="70.195499999999996"/>
    <n v="6.0558885645071125"/>
  </r>
  <r>
    <s v="CA-2019-146913"/>
    <x v="330"/>
    <s v="SF-20965"/>
    <s v="Sylvia Foulston"/>
    <s v="United States"/>
    <x v="2"/>
    <x v="2"/>
    <s v="Office Star - Professional Matrix Back Chair with 2-to-1 Synchro Tilt and Mesh Fabric Seat"/>
    <n v="1403.92"/>
    <n v="5"/>
    <n v="70.195999999999998"/>
    <n v="5"/>
  </r>
  <r>
    <s v="CA-2020-142643"/>
    <x v="545"/>
    <s v="DL-13495"/>
    <s v="Dionis Lloyd"/>
    <s v="United States"/>
    <x v="2"/>
    <x v="1"/>
    <s v="Avery 4027 File Folder Labels for Dot Matrix Printers, 5000 Labels per Box, White"/>
    <n v="197.65"/>
    <n v="5"/>
    <n v="70.218999999999994"/>
    <n v="35.52694156336959"/>
  </r>
  <r>
    <s v="CA-2020-113278"/>
    <x v="325"/>
    <s v="HR-14770"/>
    <s v="Hallie Redmond"/>
    <s v="United States"/>
    <x v="3"/>
    <x v="0"/>
    <s v="Microsoft Sculpt Comfort Mouse"/>
    <n v="188.8"/>
    <n v="4"/>
    <n v="70.311999999999998"/>
    <n v="37.24152542372881"/>
  </r>
  <r>
    <s v="CA-2020-147333"/>
    <x v="55"/>
    <s v="KL-16555"/>
    <s v="Kelly Lampkin"/>
    <s v="United States"/>
    <x v="1"/>
    <x v="0"/>
    <s v="Microsoft Sculpt Comfort Mouse"/>
    <n v="447.8"/>
    <n v="4"/>
    <n v="70.311999999999998"/>
    <n v="15.701652523447967"/>
  </r>
  <r>
    <s v="CA-2019-169943"/>
    <x v="427"/>
    <s v="BN-11515"/>
    <s v="Bradley Nguyen"/>
    <s v="United States"/>
    <x v="0"/>
    <x v="1"/>
    <s v="Belkin Premiere Surge Master II 8-outlet surge protector"/>
    <n v="242.9"/>
    <n v="5"/>
    <n v="70.441000000000003"/>
    <n v="28.999999999999996"/>
  </r>
  <r>
    <s v="CA-2020-119655"/>
    <x v="202"/>
    <s v="CV-12295"/>
    <s v="Christina VanderZanden"/>
    <s v="United States"/>
    <x v="3"/>
    <x v="1"/>
    <s v="Premium Transparent Presentation Covers by GBC"/>
    <n v="195.86"/>
    <n v="7"/>
    <n v="70.492800000000003"/>
    <n v="35.991422444603288"/>
  </r>
  <r>
    <s v="CA-2020-160416"/>
    <x v="14"/>
    <s v="AD-10180"/>
    <s v="Alan Dominguez"/>
    <s v="United States"/>
    <x v="0"/>
    <x v="0"/>
    <s v="KeyTronic 6101 Series - Keyboard - Black"/>
    <n v="199.96"/>
    <n v="4"/>
    <n v="70.502799999999993"/>
    <n v="35.258451690338063"/>
  </r>
  <r>
    <s v="CA-2019-118626"/>
    <x v="332"/>
    <s v="JC-15775"/>
    <s v="John Castell"/>
    <s v="United States"/>
    <x v="1"/>
    <x v="0"/>
    <s v="HTC One Mini"/>
    <n v="705.54399999999998"/>
    <n v="7"/>
    <n v="70.554400000000001"/>
    <n v="10"/>
  </r>
  <r>
    <s v="CA-2020-144498"/>
    <x v="128"/>
    <s v="MB-18085"/>
    <s v="Mick Brown"/>
    <s v="United States"/>
    <x v="1"/>
    <x v="0"/>
    <s v="GE 30524EE4"/>
    <n v="672.16800000000001"/>
    <n v="4"/>
    <n v="70.556399999999996"/>
    <n v="10.496840075695362"/>
  </r>
  <r>
    <s v="CA-2020-118857"/>
    <x v="346"/>
    <s v="AH-10075"/>
    <s v="Adam Hart"/>
    <s v="United States"/>
    <x v="2"/>
    <x v="2"/>
    <s v="Howard Miller 12&quot; Round Wall Clock"/>
    <n v="225.45"/>
    <n v="5"/>
    <n v="70.721999999999994"/>
    <n v="31.369261477045907"/>
  </r>
  <r>
    <s v="CA-2019-116526"/>
    <x v="391"/>
    <s v="JA-15970"/>
    <s v="Joseph Airdo"/>
    <s v="United States"/>
    <x v="3"/>
    <x v="1"/>
    <s v="Eureka The Boss Plus 12-Amp Hard Box Upright Vacuum, Red"/>
    <n v="376.74"/>
    <n v="4"/>
    <n v="71.162000000000006"/>
    <n v="18.888888888888893"/>
  </r>
  <r>
    <s v="CA-2019-157280"/>
    <x v="77"/>
    <s v="LW-17125"/>
    <s v="Liz Willingham"/>
    <s v="United States"/>
    <x v="1"/>
    <x v="2"/>
    <s v="3M Polarizing Task Lamp with Clamp Arm, Light Gray"/>
    <n v="273.95999999999998"/>
    <n v="2"/>
    <n v="71.229600000000005"/>
    <n v="26.000000000000007"/>
  </r>
  <r>
    <s v="US-2020-136721"/>
    <x v="592"/>
    <s v="NH-18610"/>
    <s v="Nicole Hansen"/>
    <s v="United States"/>
    <x v="3"/>
    <x v="2"/>
    <s v="3M Polarizing Task Lamp with Clamp Arm, Light Gray"/>
    <n v="308.95999999999998"/>
    <n v="2"/>
    <n v="71.229600000000005"/>
    <n v="23.054634904194721"/>
  </r>
  <r>
    <s v="CA-2019-166674"/>
    <x v="442"/>
    <s v="RB-19360"/>
    <s v="Raymond Buch"/>
    <s v="United States"/>
    <x v="0"/>
    <x v="1"/>
    <s v="Boston 1645 Deluxe Heavier-Duty Electric Pencil Sharpener"/>
    <n v="263.88"/>
    <n v="6"/>
    <n v="71.247600000000006"/>
    <n v="27"/>
  </r>
  <r>
    <s v="CA-2019-132997"/>
    <x v="316"/>
    <s v="LW-17215"/>
    <s v="Luke Weiss"/>
    <s v="United States"/>
    <x v="0"/>
    <x v="0"/>
    <s v="AT&amp;T SB67148 SynJ"/>
    <n v="263.95999999999998"/>
    <n v="4"/>
    <n v="71.269199999999998"/>
    <n v="27"/>
  </r>
  <r>
    <s v="CA-2019-108616"/>
    <x v="479"/>
    <s v="JK-15730"/>
    <s v="Joe Kamberova"/>
    <s v="United States"/>
    <x v="1"/>
    <x v="0"/>
    <s v="Logitech G500s Laser Gaming Mouse with Adjustable Weight Tuning"/>
    <n v="209.97"/>
    <n v="3"/>
    <n v="71.389799999999994"/>
    <n v="34"/>
  </r>
  <r>
    <s v="CA-2020-150623"/>
    <x v="404"/>
    <s v="DB-13360"/>
    <s v="Dennis Bolton"/>
    <s v="United States"/>
    <x v="0"/>
    <x v="1"/>
    <s v="Recycled Steel Personal File for Hanging File Folders"/>
    <n v="335.15"/>
    <n v="5"/>
    <n v="71.537499999999994"/>
    <n v="21.344920184991796"/>
  </r>
  <r>
    <s v="CA-2020-142391"/>
    <x v="64"/>
    <s v="PB-19150"/>
    <s v="Philip Brown"/>
    <s v="United States"/>
    <x v="2"/>
    <x v="2"/>
    <s v="12-1/2 Diameter Round Wall Clock"/>
    <n v="243.8"/>
    <n v="10"/>
    <n v="71.927999999999997"/>
    <n v="29.502871205906477"/>
  </r>
  <r>
    <s v="CA-2019-127775"/>
    <x v="335"/>
    <s v="ES-14020"/>
    <s v="Erica Smith"/>
    <s v="United States"/>
    <x v="0"/>
    <x v="0"/>
    <s v="Razer Kraken PRO Over Ear PC and Music Headset"/>
    <n v="239.97"/>
    <n v="3"/>
    <n v="71.991"/>
    <n v="30"/>
  </r>
  <r>
    <s v="CA-2020-101434"/>
    <x v="446"/>
    <s v="TR-21325"/>
    <s v="Toby Ritter"/>
    <s v="United States"/>
    <x v="0"/>
    <x v="0"/>
    <s v="Razer Kraken PRO Over Ear PC and Music Headset"/>
    <n v="271.97000000000003"/>
    <n v="3"/>
    <n v="71.991"/>
    <n v="26.470198918998417"/>
  </r>
  <r>
    <s v="CA-2019-133550"/>
    <x v="247"/>
    <s v="KL-16645"/>
    <s v="Ken Lonsdale"/>
    <s v="United States"/>
    <x v="3"/>
    <x v="1"/>
    <s v="Honeywell Quietcare HEPA Air Cleaner"/>
    <n v="283.14"/>
    <n v="4"/>
    <n v="72.358000000000004"/>
    <n v="25.555555555555561"/>
  </r>
  <r>
    <s v="CA-2019-100300"/>
    <x v="309"/>
    <s v="MJ-17740"/>
    <s v="Max Jones"/>
    <s v="United States"/>
    <x v="2"/>
    <x v="1"/>
    <s v="APC 7 Outlet Network SurgeArrest Surge Protector"/>
    <n v="241.44"/>
    <n v="3"/>
    <n v="72.432000000000002"/>
    <n v="30"/>
  </r>
  <r>
    <s v="CA-2019-136329"/>
    <x v="605"/>
    <s v="JD-15895"/>
    <s v="Jonathan Doherty"/>
    <s v="United States"/>
    <x v="0"/>
    <x v="2"/>
    <s v="Hon GuestStacker Chair"/>
    <n v="408.00599999999997"/>
    <n v="2"/>
    <n v="72.534400000000005"/>
    <n v="17.777777777777782"/>
  </r>
  <r>
    <s v="CA-2019-118759"/>
    <x v="296"/>
    <s v="MB-17305"/>
    <s v="Maria Bertelson"/>
    <s v="United States"/>
    <x v="0"/>
    <x v="2"/>
    <s v="Hon GuestStacker Chair"/>
    <n v="408.00599999999997"/>
    <n v="2"/>
    <n v="72.534400000000005"/>
    <n v="17.777777777777782"/>
  </r>
  <r>
    <s v="CA-2020-138289"/>
    <x v="324"/>
    <s v="AR-10540"/>
    <s v="Andy Reiter"/>
    <s v="United States"/>
    <x v="3"/>
    <x v="2"/>
    <s v="Office Star Flex Back Scooter Chair with Aluminum Finish Frame"/>
    <n v="340.67"/>
    <n v="3"/>
    <n v="72.640799999999999"/>
    <n v="21.322922476296707"/>
  </r>
  <r>
    <s v="US-2020-130953"/>
    <x v="449"/>
    <s v="RF-19735"/>
    <s v="Roland Fjeld"/>
    <s v="United States"/>
    <x v="3"/>
    <x v="2"/>
    <s v="Office Star Flex Back Scooter Chair with Aluminum Finish Frame"/>
    <n v="319.67"/>
    <n v="3"/>
    <n v="72.640799999999999"/>
    <n v="22.723683798917634"/>
  </r>
  <r>
    <s v="CA-2020-161410"/>
    <x v="334"/>
    <s v="CC-12220"/>
    <s v="Chris Cortes"/>
    <s v="United States"/>
    <x v="0"/>
    <x v="0"/>
    <s v="Plantronics Voyager Pro HD - Bluetooth Headset"/>
    <n v="577.91600000000005"/>
    <n v="14"/>
    <n v="72.788799999999995"/>
    <n v="12.595048415340635"/>
  </r>
  <r>
    <s v="CA-2020-167899"/>
    <x v="556"/>
    <s v="JG-15805"/>
    <s v="John Grady"/>
    <s v="United States"/>
    <x v="0"/>
    <x v="2"/>
    <s v="Luxo Professional Magnifying Clamp-On Fluorescent Lamps"/>
    <n v="541.04999999999995"/>
    <n v="5"/>
    <n v="72.807000000000002"/>
    <n v="13.456612143055171"/>
  </r>
  <r>
    <s v="CA-2020-159506"/>
    <x v="464"/>
    <s v="JR-16210"/>
    <s v="Justin Ritter"/>
    <s v="United States"/>
    <x v="3"/>
    <x v="1"/>
    <s v="Xerox 1909"/>
    <n v="207.28"/>
    <n v="6"/>
    <n v="72.808800000000005"/>
    <n v="35.125820146661525"/>
  </r>
  <r>
    <s v="CA-2020-119914"/>
    <x v="370"/>
    <s v="CC-12220"/>
    <s v="Chris Cortes"/>
    <s v="United States"/>
    <x v="2"/>
    <x v="1"/>
    <s v="Acco 7-Outlet Masterpiece Power Center, Wihtout Fax/Phone Line Protection"/>
    <n v="260.16000000000003"/>
    <n v="2"/>
    <n v="72.947999999999993"/>
    <n v="28.03966789667896"/>
  </r>
  <r>
    <s v="CA-2019-100965"/>
    <x v="270"/>
    <s v="RM-19375"/>
    <s v="Raymond Messe"/>
    <s v="United States"/>
    <x v="2"/>
    <x v="2"/>
    <s v="Howard Miller 11-1/2&quot; Diameter Grantwood Wall Clock"/>
    <n v="215.65"/>
    <n v="5"/>
    <n v="73.320999999999998"/>
    <n v="34"/>
  </r>
  <r>
    <s v="CA-2019-112942"/>
    <x v="634"/>
    <s v="RD-19810"/>
    <s v="Ross DeVincentis"/>
    <s v="United States"/>
    <x v="2"/>
    <x v="1"/>
    <s v="Tops Green Bar Computer Printout Paper"/>
    <n v="146.82"/>
    <n v="3"/>
    <n v="73.41"/>
    <n v="50"/>
  </r>
  <r>
    <s v="CA-2020-145037"/>
    <x v="149"/>
    <s v="TB-21055"/>
    <s v="Ted Butterfield"/>
    <s v="United States"/>
    <x v="0"/>
    <x v="1"/>
    <s v="Xerox 1890"/>
    <n v="166.82"/>
    <n v="3"/>
    <n v="73.41"/>
    <n v="44.005514926267836"/>
  </r>
  <r>
    <s v="US-2020-157896"/>
    <x v="417"/>
    <s v="CB-12415"/>
    <s v="Christy Brittain"/>
    <s v="United States"/>
    <x v="0"/>
    <x v="1"/>
    <s v="Tops Green Bar Computer Printout Paper"/>
    <n v="165.82"/>
    <n v="3"/>
    <n v="73.41"/>
    <n v="44.270896152454469"/>
  </r>
  <r>
    <s v="CA-2019-130267"/>
    <x v="204"/>
    <s v="SW-20245"/>
    <s v="Scot Wooten"/>
    <s v="United States"/>
    <x v="2"/>
    <x v="1"/>
    <s v="Xerox Color Copier Paper, 11&quot; x 17&quot;, Ream"/>
    <n v="159.88"/>
    <n v="7"/>
    <n v="73.544799999999995"/>
    <n v="46"/>
  </r>
  <r>
    <s v="CA-2019-112109"/>
    <x v="336"/>
    <s v="JE-15715"/>
    <s v="Joe Elijah"/>
    <s v="United States"/>
    <x v="2"/>
    <x v="2"/>
    <s v="SAFCO Arco Folding Chair"/>
    <n v="662.88"/>
    <n v="3"/>
    <n v="74.573999999999998"/>
    <n v="11.25"/>
  </r>
  <r>
    <s v="CA-2019-124772"/>
    <x v="444"/>
    <s v="JG-15160"/>
    <s v="James Galang"/>
    <s v="United States"/>
    <x v="1"/>
    <x v="2"/>
    <s v="Howard Miller 16&quot; Diameter Gallery Wall Clock"/>
    <n v="191.82"/>
    <n v="3"/>
    <n v="74.809799999999996"/>
    <n v="39"/>
  </r>
  <r>
    <s v="CA-2019-146934"/>
    <x v="308"/>
    <s v="AF-10870"/>
    <s v="Art Ferguson"/>
    <s v="United States"/>
    <x v="0"/>
    <x v="0"/>
    <s v="Digium D40 VoIP phone"/>
    <n v="257.98"/>
    <n v="2"/>
    <n v="74.8142"/>
    <n v="28.999999999999996"/>
  </r>
  <r>
    <s v="CA-2019-139878"/>
    <x v="373"/>
    <s v="LD-17005"/>
    <s v="Lisa DeCherney"/>
    <s v="United States"/>
    <x v="3"/>
    <x v="0"/>
    <s v="Digium D40 VoIP phone"/>
    <n v="257.98"/>
    <n v="2"/>
    <n v="74.8142"/>
    <n v="28.999999999999996"/>
  </r>
  <r>
    <s v="CA-2020-121083"/>
    <x v="112"/>
    <s v="JF-15190"/>
    <s v="Jamie Frazer"/>
    <s v="United States"/>
    <x v="0"/>
    <x v="0"/>
    <s v="Digium D40 VoIP phone"/>
    <n v="287.98"/>
    <n v="2"/>
    <n v="74.8142"/>
    <n v="25.978956872005"/>
  </r>
  <r>
    <s v="US-2020-146906"/>
    <x v="52"/>
    <s v="MT-17815"/>
    <s v="Meg Tillman"/>
    <s v="United States"/>
    <x v="0"/>
    <x v="0"/>
    <s v="Panasonic KX T7736-B Digital phone"/>
    <n v="339.9"/>
    <n v="2"/>
    <n v="74.974999999999994"/>
    <n v="22.057958223006764"/>
  </r>
  <r>
    <s v="CA-2020-160633"/>
    <x v="417"/>
    <s v="BS-11380"/>
    <s v="Bill Stewart"/>
    <s v="United States"/>
    <x v="0"/>
    <x v="0"/>
    <s v="Hewlett Packard 610 Color Digital Copier / Printer"/>
    <n v="910.98199999999997"/>
    <n v="3"/>
    <n v="74.998500000000007"/>
    <n v="8.2327093180765374"/>
  </r>
  <r>
    <s v="CA-2019-108056"/>
    <x v="479"/>
    <s v="ES-14080"/>
    <s v="Erin Smith"/>
    <s v="United States"/>
    <x v="2"/>
    <x v="0"/>
    <s v="Wilson Electronics DB Pro Signal Booster"/>
    <n v="859.2"/>
    <n v="3"/>
    <n v="75.180000000000007"/>
    <n v="8.75"/>
  </r>
  <r>
    <s v="CA-2020-122364"/>
    <x v="64"/>
    <s v="FA-14230"/>
    <s v="Frank Atkinson"/>
    <s v="United States"/>
    <x v="2"/>
    <x v="0"/>
    <s v="Wilson Electronics DB Pro Signal Booster"/>
    <n v="892.2"/>
    <n v="3"/>
    <n v="75.180000000000007"/>
    <n v="8.4263618022864826"/>
  </r>
  <r>
    <s v="US-2020-110576"/>
    <x v="24"/>
    <s v="RB-19795"/>
    <s v="Ross Baird"/>
    <s v="United States"/>
    <x v="0"/>
    <x v="2"/>
    <s v="Luxo Professional Fluorescent Magnifier Lamp with Clamp-Mount Base"/>
    <n v="122.232"/>
    <n v="6"/>
    <n v="75.542400000000001"/>
    <n v="61.802473983899475"/>
  </r>
  <r>
    <s v="US-2019-167472"/>
    <x v="428"/>
    <s v="CK-12595"/>
    <s v="Clytie Kelty"/>
    <s v="United States"/>
    <x v="1"/>
    <x v="0"/>
    <s v="Logitech Trackman Marble Mouse"/>
    <n v="179.94"/>
    <n v="6"/>
    <n v="75.574799999999996"/>
    <n v="42"/>
  </r>
  <r>
    <s v="CA-2020-112753"/>
    <x v="614"/>
    <s v="CC-12670"/>
    <s v="Craig Carreira"/>
    <s v="United States"/>
    <x v="2"/>
    <x v="2"/>
    <s v="Bush Andora Bookcase, Maple/Graphite Gray Finish"/>
    <n v="965.92349999999999"/>
    <n v="9"/>
    <n v="75.593699999999998"/>
    <n v="7.826054547798039"/>
  </r>
  <r>
    <s v="CA-2019-120873"/>
    <x v="484"/>
    <s v="BW-11200"/>
    <s v="Ben Wallace"/>
    <s v="United States"/>
    <x v="1"/>
    <x v="2"/>
    <s v="Global Executive Mid-Back Manager's Chair"/>
    <n v="290.98"/>
    <n v="1"/>
    <n v="75.654799999999994"/>
    <n v="25.999999999999996"/>
  </r>
  <r>
    <s v="CA-2019-112102"/>
    <x v="231"/>
    <s v="BD-11605"/>
    <s v="Brian Dahlen"/>
    <s v="United States"/>
    <x v="1"/>
    <x v="2"/>
    <s v="KI Adjustable-Height Table"/>
    <n v="343.92"/>
    <n v="4"/>
    <n v="75.662400000000005"/>
    <n v="22"/>
  </r>
  <r>
    <s v="CA-2019-120369"/>
    <x v="256"/>
    <s v="VB-21745"/>
    <s v="Victoria Brennan"/>
    <s v="United States"/>
    <x v="0"/>
    <x v="2"/>
    <s v="Tenex Chairmat w/ Average Lip, 45&quot; x 53&quot;"/>
    <n v="756.8"/>
    <n v="5"/>
    <n v="75.680000000000007"/>
    <n v="10.000000000000002"/>
  </r>
  <r>
    <s v="CA-2019-157280"/>
    <x v="77"/>
    <s v="LW-17125"/>
    <s v="Liz Willingham"/>
    <s v="United States"/>
    <x v="1"/>
    <x v="2"/>
    <s v="Tenex Chairmat w/ Average Lip, 45&quot; x 53&quot;"/>
    <n v="756.8"/>
    <n v="5"/>
    <n v="75.680000000000007"/>
    <n v="10.000000000000002"/>
  </r>
  <r>
    <s v="CA-2020-159464"/>
    <x v="352"/>
    <s v="TB-21355"/>
    <s v="Todd Boyes"/>
    <s v="United States"/>
    <x v="1"/>
    <x v="2"/>
    <s v="Hon 4-Shelf Metal Bookcases"/>
    <n v="350.94"/>
    <n v="3"/>
    <n v="75.734999999999999"/>
    <n v="21.580612070439393"/>
  </r>
  <r>
    <s v="US-2019-167339"/>
    <x v="383"/>
    <s v="TD-20995"/>
    <s v="Tamara Dahlen"/>
    <s v="United States"/>
    <x v="2"/>
    <x v="2"/>
    <s v="Global Ergonomic Managers Chair"/>
    <n v="1013.4880000000001"/>
    <n v="7"/>
    <n v="76.011600000000001"/>
    <n v="7.5"/>
  </r>
  <r>
    <s v="CA-2019-163776"/>
    <x v="469"/>
    <s v="JS-16030"/>
    <s v="Joy Smith"/>
    <s v="United States"/>
    <x v="1"/>
    <x v="2"/>
    <s v="Advantus Employee of the Month Certificate Frame, 11 x 13-1/2"/>
    <n v="185.58"/>
    <n v="6"/>
    <n v="76.087800000000001"/>
    <n v="41"/>
  </r>
  <r>
    <s v="CA-2020-163510"/>
    <x v="141"/>
    <s v="JW-15955"/>
    <s v="Joni Wasserman"/>
    <s v="United States"/>
    <x v="1"/>
    <x v="2"/>
    <s v="Global Value Mid-Back Manager's Chair, Gray"/>
    <n v="583.45000000000005"/>
    <n v="5"/>
    <n v="76.112499999999997"/>
    <n v="13.045248093238493"/>
  </r>
  <r>
    <s v="CA-2019-153661"/>
    <x v="26"/>
    <s v="SC-20725"/>
    <s v="Steven Cartwright"/>
    <s v="United States"/>
    <x v="2"/>
    <x v="1"/>
    <s v="File Shuttle II and Handi-File, Black"/>
    <n v="305.01"/>
    <n v="9"/>
    <n v="76.252499999999998"/>
    <n v="25"/>
  </r>
  <r>
    <s v="CA-2020-126242"/>
    <x v="4"/>
    <s v="MC-18100"/>
    <s v="Mick Crebagga"/>
    <s v="United States"/>
    <x v="2"/>
    <x v="1"/>
    <s v="File Shuttle II and Handi-File, Black"/>
    <n v="332.01"/>
    <n v="9"/>
    <n v="76.252499999999998"/>
    <n v="22.966928706966659"/>
  </r>
  <r>
    <s v="CA-2020-155985"/>
    <x v="248"/>
    <s v="BE-11335"/>
    <s v="Bill Eplett"/>
    <s v="United States"/>
    <x v="2"/>
    <x v="2"/>
    <s v="DAX Natural Wood-Tone Poster Frame"/>
    <n v="225.84"/>
    <n v="8"/>
    <n v="76.2624"/>
    <n v="33.768331562167909"/>
  </r>
  <r>
    <s v="US-2019-116729"/>
    <x v="36"/>
    <s v="GK-14620"/>
    <s v="Grace Kelly"/>
    <s v="United States"/>
    <x v="2"/>
    <x v="0"/>
    <s v="SanDisk Cruzer 64 GB USB Flash Drive"/>
    <n v="254.24"/>
    <n v="7"/>
    <n v="76.272000000000006"/>
    <n v="30"/>
  </r>
  <r>
    <s v="US-2019-123750"/>
    <x v="113"/>
    <s v="RB-19795"/>
    <s v="Ross Baird"/>
    <s v="United States"/>
    <x v="1"/>
    <x v="0"/>
    <s v="Imation Secure+ Hardware Encrypted USB 2.0 Flash Drive; 16GB"/>
    <n v="408.74400000000003"/>
    <n v="7"/>
    <n v="76.639499999999998"/>
    <n v="18.749999999999996"/>
  </r>
  <r>
    <s v="CA-2020-140242"/>
    <x v="128"/>
    <s v="ML-17755"/>
    <s v="Max Ludwig"/>
    <s v="United States"/>
    <x v="3"/>
    <x v="0"/>
    <s v="Imation Secure+ Hardware Encrypted USB 2.0 Flash Drive; 16GB"/>
    <n v="454.74400000000003"/>
    <n v="7"/>
    <n v="76.639499999999998"/>
    <n v="16.853328466125994"/>
  </r>
  <r>
    <s v="US-2019-168620"/>
    <x v="210"/>
    <s v="RB-19795"/>
    <s v="Ross Baird"/>
    <s v="United States"/>
    <x v="1"/>
    <x v="0"/>
    <s v="Microsoft Sculpt Comfort Mouse"/>
    <n v="255.68"/>
    <n v="8"/>
    <n v="76.703999999999994"/>
    <n v="30"/>
  </r>
  <r>
    <s v="US-2019-108777"/>
    <x v="329"/>
    <s v="JM-15655"/>
    <s v="Jim Mitchum"/>
    <s v="United States"/>
    <x v="0"/>
    <x v="0"/>
    <s v="Logitech G602 Wireless Gaming Mouse"/>
    <n v="383.952"/>
    <n v="6"/>
    <n v="76.790400000000005"/>
    <n v="20"/>
  </r>
  <r>
    <s v="US-2020-155866"/>
    <x v="328"/>
    <s v="CC-12370"/>
    <s v="Christopher Conant"/>
    <s v="United States"/>
    <x v="0"/>
    <x v="2"/>
    <s v="Howard Miller 13&quot; Diameter Goldtone Round Wall Clock"/>
    <n v="200.76"/>
    <n v="4"/>
    <n v="76.9816"/>
    <n v="38.345088663080297"/>
  </r>
  <r>
    <s v="CA-2019-127138"/>
    <x v="565"/>
    <s v="DK-13225"/>
    <s v="Dean Katz"/>
    <s v="United States"/>
    <x v="2"/>
    <x v="2"/>
    <s v="Hon 4070 Series Pagoda Round Back Stacking Chairs"/>
    <n v="770.35199999999998"/>
    <n v="3"/>
    <n v="77.035200000000003"/>
    <n v="10"/>
  </r>
  <r>
    <s v="CA-2019-158260"/>
    <x v="56"/>
    <s v="CC-12475"/>
    <s v="Cindy Chapman"/>
    <s v="United States"/>
    <x v="2"/>
    <x v="0"/>
    <s v="Okidata B400 Printer"/>
    <n v="686.4"/>
    <n v="2"/>
    <n v="77.22"/>
    <n v="11.25"/>
  </r>
  <r>
    <s v="CA-2020-166093"/>
    <x v="23"/>
    <s v="RW-19540"/>
    <s v="Rick Wilson"/>
    <s v="United States"/>
    <x v="2"/>
    <x v="1"/>
    <s v="GBC Recycled Grain Textured Covers"/>
    <n v="264.05599999999998"/>
    <n v="8"/>
    <n v="77.369600000000005"/>
    <n v="29.300451419395891"/>
  </r>
  <r>
    <s v="CA-2019-144092"/>
    <x v="77"/>
    <s v="LH-17155"/>
    <s v="Logan Haushalter"/>
    <s v="United States"/>
    <x v="2"/>
    <x v="1"/>
    <s v="Strathmore #10 Envelopes, Ultimate White"/>
    <n v="158.13"/>
    <n v="3"/>
    <n v="77.483699999999999"/>
    <n v="49"/>
  </r>
  <r>
    <s v="CA-2020-107321"/>
    <x v="461"/>
    <s v="AW-10930"/>
    <s v="Arthur Wiediger"/>
    <s v="United States"/>
    <x v="2"/>
    <x v="0"/>
    <s v="Aastra 6757i CT Wireless VoIP phone"/>
    <n v="733.40800000000002"/>
    <n v="4"/>
    <n v="77.558400000000006"/>
    <n v="10.575068720275754"/>
  </r>
  <r>
    <s v="CA-2020-112515"/>
    <x v="166"/>
    <s v="AS-10225"/>
    <s v="Alan Schoenberger"/>
    <s v="United States"/>
    <x v="2"/>
    <x v="2"/>
    <s v="Global Adaptabilites Bookcase, Cherry/Storm Gray Finish"/>
    <n v="1319.94"/>
    <n v="3"/>
    <n v="77.576400000000007"/>
    <n v="5.8772671485067507"/>
  </r>
  <r>
    <s v="US-2020-158526"/>
    <x v="218"/>
    <s v="KH-16360"/>
    <s v="Katherine Hughes"/>
    <s v="United States"/>
    <x v="1"/>
    <x v="2"/>
    <s v="Harbour Creations Steel Folding Chair"/>
    <n v="184.75"/>
    <n v="3"/>
    <n v="77.625"/>
    <n v="42.016238159675233"/>
  </r>
  <r>
    <s v="US-2020-111241"/>
    <x v="536"/>
    <s v="GM-14500"/>
    <s v="Gene McClure"/>
    <s v="United States"/>
    <x v="2"/>
    <x v="1"/>
    <s v="GBC Recycled Regency Composition Covers"/>
    <n v="259.12"/>
    <n v="5"/>
    <n v="77.713999999999999"/>
    <n v="29.991509725223835"/>
  </r>
  <r>
    <s v="CA-2019-125087"/>
    <x v="148"/>
    <s v="TH-21115"/>
    <s v="Thea Hudgings"/>
    <s v="United States"/>
    <x v="3"/>
    <x v="1"/>
    <s v="Tennsco 16-Compartment Lockers with Coat Rack"/>
    <n v="1554.9359999999999"/>
    <n v="3"/>
    <n v="77.746799999999993"/>
    <n v="5"/>
  </r>
  <r>
    <s v="US-2020-126179"/>
    <x v="142"/>
    <s v="CS-12460"/>
    <s v="Chuck Sachs"/>
    <s v="United States"/>
    <x v="1"/>
    <x v="0"/>
    <s v="Pyle PMP37LED"/>
    <n v="323.97000000000003"/>
    <n v="3"/>
    <n v="77.751900000000006"/>
    <n v="23.999722196499675"/>
  </r>
  <r>
    <s v="CA-2019-162390"/>
    <x v="431"/>
    <s v="DP-13105"/>
    <s v="Dave Poirier"/>
    <s v="United States"/>
    <x v="0"/>
    <x v="1"/>
    <s v="Trimflex Flexible Post Binders"/>
    <n v="222.352"/>
    <n v="13"/>
    <n v="77.8232"/>
    <n v="35"/>
  </r>
  <r>
    <s v="US-2020-148362"/>
    <x v="598"/>
    <s v="KF-16285"/>
    <s v="Karen Ferguson"/>
    <s v="United States"/>
    <x v="3"/>
    <x v="1"/>
    <s v="Fellowes PB200 Plastic Comb Binding Machine"/>
    <n v="185.99"/>
    <n v="1"/>
    <n v="78.195400000000006"/>
    <n v="42.042797999892464"/>
  </r>
  <r>
    <s v="CA-2019-153318"/>
    <x v="635"/>
    <s v="JS-15595"/>
    <s v="Jill Stevenson"/>
    <s v="United States"/>
    <x v="1"/>
    <x v="0"/>
    <s v="Panasonic KX-TG9471B"/>
    <n v="783.96"/>
    <n v="5"/>
    <n v="78.396000000000001"/>
    <n v="10"/>
  </r>
  <r>
    <s v="CA-2019-111416"/>
    <x v="186"/>
    <s v="LW-17215"/>
    <s v="Luke Weiss"/>
    <s v="United States"/>
    <x v="0"/>
    <x v="1"/>
    <s v="Avery Arch Ring Binders"/>
    <n v="232.4"/>
    <n v="5"/>
    <n v="78.435000000000002"/>
    <n v="33.75"/>
  </r>
  <r>
    <s v="CA-2019-134803"/>
    <x v="283"/>
    <s v="CL-12565"/>
    <s v="Clay Ludtke"/>
    <s v="United States"/>
    <x v="2"/>
    <x v="1"/>
    <s v="Kensington 7 Outlet MasterPiece HOMEOFFICE Power Control Center"/>
    <n v="262.24"/>
    <n v="2"/>
    <n v="78.671999999999997"/>
    <n v="30"/>
  </r>
  <r>
    <s v="CA-2020-161046"/>
    <x v="512"/>
    <s v="CB-12535"/>
    <s v="Claudia Bergmann"/>
    <s v="United States"/>
    <x v="1"/>
    <x v="1"/>
    <s v="Kensington 7 Outlet MasterPiece HOMEOFFICE Power Control Center"/>
    <n v="291.24"/>
    <n v="2"/>
    <n v="78.671999999999997"/>
    <n v="27.012772970745775"/>
  </r>
  <r>
    <s v="CA-2019-118570"/>
    <x v="394"/>
    <s v="CC-12430"/>
    <s v="Chuck Clark"/>
    <s v="United States"/>
    <x v="0"/>
    <x v="1"/>
    <s v="White Computer Printout Paper by Universal"/>
    <n v="217.05600000000001"/>
    <n v="7"/>
    <n v="78.6828"/>
    <n v="36.25"/>
  </r>
  <r>
    <s v="US-2019-108504"/>
    <x v="251"/>
    <s v="PP-18955"/>
    <s v="Paul Prost"/>
    <s v="United States"/>
    <x v="1"/>
    <x v="1"/>
    <s v="Ames Color-File Green Diamond Border X-ray Mailers"/>
    <n v="167.96"/>
    <n v="2"/>
    <n v="78.941199999999995"/>
    <n v="47"/>
  </r>
  <r>
    <s v="CA-2020-168641"/>
    <x v="225"/>
    <s v="KA-16525"/>
    <s v="Kelly Andreada"/>
    <s v="United States"/>
    <x v="0"/>
    <x v="1"/>
    <s v="Ames Color-File Green Diamond Border X-ray Mailers"/>
    <n v="194.96"/>
    <n v="2"/>
    <n v="78.941199999999995"/>
    <n v="40.490972507180956"/>
  </r>
  <r>
    <s v="CA-2020-165841"/>
    <x v="493"/>
    <s v="DB-13210"/>
    <s v="Dean Braden"/>
    <s v="United States"/>
    <x v="0"/>
    <x v="0"/>
    <s v="Jabra SPEAK 410"/>
    <n v="450.97"/>
    <n v="3"/>
    <n v="78.951599999999999"/>
    <n v="17.507062554050158"/>
  </r>
  <r>
    <s v="CA-2020-122994"/>
    <x v="602"/>
    <s v="MV-17485"/>
    <s v="Mark Van Huff"/>
    <s v="United States"/>
    <x v="1"/>
    <x v="2"/>
    <s v="Bush Andora Bookcase, Maple/Graphite Gray Finish"/>
    <n v="371.97"/>
    <n v="3"/>
    <n v="79.193399999999997"/>
    <n v="21.29026534397935"/>
  </r>
  <r>
    <s v="CA-2019-115483"/>
    <x v="475"/>
    <s v="JS-15880"/>
    <s v="John Stevenson"/>
    <s v="United States"/>
    <x v="3"/>
    <x v="1"/>
    <s v="Xerox 1914"/>
    <n v="219.84"/>
    <n v="5"/>
    <n v="79.691999999999993"/>
    <n v="36.25"/>
  </r>
  <r>
    <s v="US-2020-136721"/>
    <x v="592"/>
    <s v="NH-18610"/>
    <s v="Nicole Hansen"/>
    <s v="United States"/>
    <x v="3"/>
    <x v="2"/>
    <s v="Luxo Professional Combination Clamp-On Lamps"/>
    <n v="343.9"/>
    <n v="3"/>
    <n v="79.793999999999997"/>
    <n v="23.202675196277987"/>
  </r>
  <r>
    <s v="CA-2019-112123"/>
    <x v="17"/>
    <s v="BH-11710"/>
    <s v="Brosina Hoffman"/>
    <s v="United States"/>
    <x v="0"/>
    <x v="1"/>
    <s v="Xerox 194"/>
    <n v="166.44"/>
    <n v="3"/>
    <n v="79.891199999999998"/>
    <n v="48"/>
  </r>
  <r>
    <s v="US-2020-109582"/>
    <x v="525"/>
    <s v="JM-15865"/>
    <s v="John Murray"/>
    <s v="United States"/>
    <x v="2"/>
    <x v="1"/>
    <s v="Eaton Premium Continuous-Feed Paper, 25% Cotton, Letter Size, White, 1000 Shts/Box"/>
    <n v="180.44"/>
    <n v="3"/>
    <n v="79.891199999999998"/>
    <n v="44.275770339170919"/>
  </r>
  <r>
    <s v="CA-2020-136875"/>
    <x v="299"/>
    <s v="TC-21295"/>
    <s v="Toby Carlisle"/>
    <s v="United States"/>
    <x v="2"/>
    <x v="1"/>
    <s v="Xerox 1888"/>
    <n v="209.44"/>
    <n v="3"/>
    <n v="79.891199999999998"/>
    <n v="38.145148968678377"/>
  </r>
  <r>
    <s v="CA-2020-165841"/>
    <x v="493"/>
    <s v="DB-13210"/>
    <s v="Dean Braden"/>
    <s v="United States"/>
    <x v="0"/>
    <x v="1"/>
    <s v="Xerox 1913"/>
    <n v="337.44"/>
    <n v="3"/>
    <n v="79.891199999999998"/>
    <n v="23.675675675675674"/>
  </r>
  <r>
    <s v="US-2019-168410"/>
    <x v="272"/>
    <s v="BV-11245"/>
    <s v="Benjamin Venier"/>
    <s v="United States"/>
    <x v="0"/>
    <x v="1"/>
    <s v="Recycled Data-Pak for Archival Bound Computer Printouts, 12-1/2 x 12-1/2 x 16"/>
    <n v="296.37"/>
    <n v="3"/>
    <n v="80.019900000000007"/>
    <n v="27"/>
  </r>
  <r>
    <s v="CA-2019-142335"/>
    <x v="50"/>
    <s v="MP-17965"/>
    <s v="Michael Paige"/>
    <s v="United States"/>
    <x v="3"/>
    <x v="1"/>
    <s v="Recycled Data-Pak for Archival Bound Computer Printouts, 12-1/2 x 12-1/2 x 16"/>
    <n v="296.37"/>
    <n v="3"/>
    <n v="80.019900000000007"/>
    <n v="27"/>
  </r>
  <r>
    <s v="CA-2020-167395"/>
    <x v="18"/>
    <s v="KM-16720"/>
    <s v="Kunst Miller"/>
    <s v="United States"/>
    <x v="0"/>
    <x v="1"/>
    <s v="Belkin 8 Outlet Surge Protector"/>
    <n v="325.86"/>
    <n v="7"/>
    <n v="80.320800000000006"/>
    <n v="24.648867611857852"/>
  </r>
  <r>
    <s v="US-2020-136784"/>
    <x v="105"/>
    <s v="AD-10180"/>
    <s v="Alan Dominguez"/>
    <s v="United States"/>
    <x v="2"/>
    <x v="1"/>
    <s v="Xerox 1919"/>
    <n v="175.96"/>
    <n v="4"/>
    <n v="80.340400000000002"/>
    <n v="45.658331438963401"/>
  </r>
  <r>
    <s v="CA-2020-115154"/>
    <x v="636"/>
    <s v="RS-19420"/>
    <s v="Ricardo Sperren"/>
    <s v="United States"/>
    <x v="2"/>
    <x v="2"/>
    <s v="Balt Solid Wood Round Tables"/>
    <n v="930.98"/>
    <n v="2"/>
    <n v="80.368200000000002"/>
    <n v="8.6326451696062225"/>
  </r>
  <r>
    <s v="CA-2020-124401"/>
    <x v="266"/>
    <s v="RD-19900"/>
    <s v="Ruben Dartt"/>
    <s v="United States"/>
    <x v="2"/>
    <x v="0"/>
    <s v="Logitech Wireless Marathon Mouse M705"/>
    <n v="311.94400000000002"/>
    <n v="7"/>
    <n v="80.483900000000006"/>
    <n v="25.800752699202423"/>
  </r>
  <r>
    <s v="CA-2019-114489"/>
    <x v="444"/>
    <s v="JE-16165"/>
    <s v="Justin Ellison"/>
    <s v="United States"/>
    <x v="3"/>
    <x v="1"/>
    <s v="GBC Prestige Therm-A-Bind Covers"/>
    <n v="171.55"/>
    <n v="5"/>
    <n v="80.628500000000003"/>
    <n v="47"/>
  </r>
  <r>
    <s v="CA-2020-129294"/>
    <x v="160"/>
    <s v="KD-16615"/>
    <s v="Ken Dana"/>
    <s v="United States"/>
    <x v="2"/>
    <x v="1"/>
    <s v="Dual Level, Single-Width Filing Carts"/>
    <n v="340.12"/>
    <n v="2"/>
    <n v="80.631200000000007"/>
    <n v="23.70669175585088"/>
  </r>
  <r>
    <s v="CA-2019-160815"/>
    <x v="100"/>
    <s v="TR-21325"/>
    <s v="Toby Ritter"/>
    <s v="United States"/>
    <x v="3"/>
    <x v="0"/>
    <s v="Geemarc AmpliPOWER60"/>
    <n v="278.39999999999998"/>
    <n v="3"/>
    <n v="80.736000000000004"/>
    <n v="29.000000000000004"/>
  </r>
  <r>
    <s v="CA-2019-116596"/>
    <x v="484"/>
    <s v="BW-11200"/>
    <s v="Ben Wallace"/>
    <s v="United States"/>
    <x v="0"/>
    <x v="2"/>
    <s v="Metal Folding Chairs, Beige, 4/Carton"/>
    <n v="427.64400000000001"/>
    <n v="14"/>
    <n v="80.777199999999993"/>
    <n v="18.888888888888889"/>
  </r>
  <r>
    <s v="CA-2020-116855"/>
    <x v="93"/>
    <s v="AI-10855"/>
    <s v="Arianne Irving"/>
    <s v="United States"/>
    <x v="1"/>
    <x v="2"/>
    <s v="Hon Valutask Swivel Chairs"/>
    <n v="699.9"/>
    <n v="5"/>
    <n v="80.784000000000006"/>
    <n v="11.542220317188171"/>
  </r>
  <r>
    <s v="CA-2020-112515"/>
    <x v="166"/>
    <s v="AS-10225"/>
    <s v="Alan Schoenberger"/>
    <s v="United States"/>
    <x v="2"/>
    <x v="1"/>
    <s v="Green Bar Computer Printout Paper"/>
    <n v="191.88"/>
    <n v="3"/>
    <n v="80.791200000000003"/>
    <n v="42.105065666041277"/>
  </r>
  <r>
    <s v="CA-2020-144225"/>
    <x v="317"/>
    <s v="CC-12475"/>
    <s v="Cindy Chapman"/>
    <s v="United States"/>
    <x v="0"/>
    <x v="1"/>
    <s v="Green Bar Computer Printout Paper"/>
    <n v="177.88"/>
    <n v="3"/>
    <n v="80.791200000000003"/>
    <n v="45.418934112885097"/>
  </r>
  <r>
    <s v="CA-2019-128223"/>
    <x v="129"/>
    <s v="EB-13705"/>
    <s v="Ed Braxton"/>
    <s v="United States"/>
    <x v="2"/>
    <x v="2"/>
    <s v="Bush Cubix Conference Tables, Fully Assembled"/>
    <n v="1293.4880000000001"/>
    <n v="7"/>
    <n v="80.843000000000004"/>
    <n v="6.25"/>
  </r>
  <r>
    <s v="CA-2019-115224"/>
    <x v="83"/>
    <s v="DB-13615"/>
    <s v="Doug Bickford"/>
    <s v="United States"/>
    <x v="2"/>
    <x v="1"/>
    <s v="Fellowes High-Stak Drawer Files"/>
    <n v="352.38"/>
    <n v="2"/>
    <n v="81.047399999999996"/>
    <n v="23"/>
  </r>
  <r>
    <s v="CA-2020-137596"/>
    <x v="149"/>
    <s v="BE-11335"/>
    <s v="Bill Eplett"/>
    <s v="United States"/>
    <x v="3"/>
    <x v="1"/>
    <s v="Fellowes High-Stak Drawer Files"/>
    <n v="376.38"/>
    <n v="2"/>
    <n v="81.047399999999996"/>
    <n v="21.533397098676868"/>
  </r>
  <r>
    <s v="CA-2019-123358"/>
    <x v="377"/>
    <s v="BT-11680"/>
    <s v="Brian Thompson"/>
    <s v="United States"/>
    <x v="2"/>
    <x v="1"/>
    <s v="Fellowes Staxonsteel Drawer Files"/>
    <n v="579.51"/>
    <n v="3"/>
    <n v="81.131399999999999"/>
    <n v="14.000000000000002"/>
  </r>
  <r>
    <s v="CA-2020-120019"/>
    <x v="363"/>
    <s v="NG-18355"/>
    <s v="Nat Gilpin"/>
    <s v="United States"/>
    <x v="0"/>
    <x v="1"/>
    <s v="Fellowes Staxonsteel Drawer Files"/>
    <n v="612.51"/>
    <n v="3"/>
    <n v="81.131399999999999"/>
    <n v="13.245726600382035"/>
  </r>
  <r>
    <s v="CA-2019-149979"/>
    <x v="273"/>
    <s v="RA-19915"/>
    <s v="Russell Applegate"/>
    <s v="United States"/>
    <x v="1"/>
    <x v="2"/>
    <s v="Hon Mobius Operator's Chair"/>
    <n v="368.97"/>
    <n v="3"/>
    <n v="81.173400000000001"/>
    <n v="21.999999999999996"/>
  </r>
  <r>
    <s v="CA-2019-140130"/>
    <x v="330"/>
    <s v="HW-14935"/>
    <s v="Helen Wasserman"/>
    <s v="United States"/>
    <x v="3"/>
    <x v="2"/>
    <s v="Hon Mobius Operator's Chair"/>
    <n v="368.97"/>
    <n v="3"/>
    <n v="81.173400000000001"/>
    <n v="21.999999999999996"/>
  </r>
  <r>
    <s v="CA-2020-149048"/>
    <x v="124"/>
    <s v="BM-11650"/>
    <s v="Brian Moss"/>
    <s v="United States"/>
    <x v="3"/>
    <x v="1"/>
    <s v="Tyvek Side-Opening Peel &amp; Seel Expanding Envelopes"/>
    <n v="218.96"/>
    <n v="2"/>
    <n v="81.432000000000002"/>
    <n v="37.190354402630618"/>
  </r>
  <r>
    <s v="CA-2020-142090"/>
    <x v="21"/>
    <s v="SC-20380"/>
    <s v="Shahid Collister"/>
    <s v="United States"/>
    <x v="1"/>
    <x v="0"/>
    <s v="Logitech Wireless Gaming Headset G930"/>
    <n v="408.976"/>
    <n v="3"/>
    <n v="81.594899999999996"/>
    <n v="19.951024020969442"/>
  </r>
  <r>
    <s v="CA-2019-162138"/>
    <x v="567"/>
    <s v="GK-14620"/>
    <s v="Grace Kelly"/>
    <s v="United States"/>
    <x v="2"/>
    <x v="1"/>
    <s v="Ibico Laser Imprintable Binding System Covers"/>
    <n v="251.52"/>
    <n v="6"/>
    <n v="81.744"/>
    <n v="32.5"/>
  </r>
  <r>
    <s v="CA-2019-126158"/>
    <x v="445"/>
    <s v="SC-20095"/>
    <s v="Sanjit Chand"/>
    <s v="United States"/>
    <x v="2"/>
    <x v="2"/>
    <s v="Howard Miller 14-1/2&quot; Diameter Chrome Round Wall Clock"/>
    <n v="255.76"/>
    <n v="4"/>
    <n v="81.843199999999996"/>
    <n v="32"/>
  </r>
  <r>
    <s v="CA-2020-107713"/>
    <x v="52"/>
    <s v="JB-16000"/>
    <s v="Joy Bell-"/>
    <s v="United States"/>
    <x v="0"/>
    <x v="1"/>
    <s v="Avery Arch Ring Binders"/>
    <n v="211.3"/>
    <n v="3"/>
    <n v="81.921000000000006"/>
    <n v="38.769995267392332"/>
  </r>
  <r>
    <s v="CA-2020-147452"/>
    <x v="317"/>
    <s v="CS-11845"/>
    <s v="Cari Sayre"/>
    <s v="United States"/>
    <x v="2"/>
    <x v="1"/>
    <s v="Xerox 1882"/>
    <n v="178.94"/>
    <n v="3"/>
    <n v="82.290599999999998"/>
    <n v="45.987817145411867"/>
  </r>
  <r>
    <s v="CA-2020-118213"/>
    <x v="181"/>
    <s v="AB-10060"/>
    <s v="Adam Bellavance"/>
    <s v="United States"/>
    <x v="3"/>
    <x v="1"/>
    <s v="Easy-staple paper"/>
    <n v="177.94"/>
    <n v="3"/>
    <n v="82.290599999999998"/>
    <n v="46.246262785208501"/>
  </r>
  <r>
    <s v="US-2020-120089"/>
    <x v="21"/>
    <s v="ML-17755"/>
    <s v="Max Ludwig"/>
    <s v="United States"/>
    <x v="0"/>
    <x v="1"/>
    <s v="Kensington 7 Outlet MasterPiece Power Center with Fax/Phone Line Protection"/>
    <n v="673.93600000000004"/>
    <n v="4"/>
    <n v="82.992000000000004"/>
    <n v="12.314522447235346"/>
  </r>
  <r>
    <s v="CA-2019-137043"/>
    <x v="39"/>
    <s v="LC-17140"/>
    <s v="Logan Currie"/>
    <s v="United States"/>
    <x v="1"/>
    <x v="2"/>
    <s v="Electrix Architect's Clamp-On Swing Arm Lamp, Black"/>
    <n v="286.38"/>
    <n v="3"/>
    <n v="83.050200000000004"/>
    <n v="29.000000000000004"/>
  </r>
  <r>
    <s v="US-2020-135062"/>
    <x v="461"/>
    <s v="RL-19615"/>
    <s v="Rob Lucas"/>
    <s v="United States"/>
    <x v="1"/>
    <x v="1"/>
    <s v="Xerox 1945"/>
    <n v="277.54399999999998"/>
    <n v="7"/>
    <n v="83.209699999999998"/>
    <n v="29.980723777130834"/>
  </r>
  <r>
    <s v="CA-2020-131366"/>
    <x v="225"/>
    <s v="SC-20440"/>
    <s v="Shaun Chance"/>
    <s v="United States"/>
    <x v="0"/>
    <x v="1"/>
    <s v="Xerox 1919"/>
    <n v="265.54399999999998"/>
    <n v="7"/>
    <n v="83.209699999999998"/>
    <n v="31.335560208477691"/>
  </r>
  <r>
    <s v="US-2020-167402"/>
    <x v="608"/>
    <s v="CP-12085"/>
    <s v="Cathy Prescott"/>
    <s v="United States"/>
    <x v="3"/>
    <x v="1"/>
    <s v="Martin Yale Chadless Opener Electric Letter Opener"/>
    <n v="4200.05"/>
    <n v="5"/>
    <n v="83.281000000000006"/>
    <n v="1.982857346936346"/>
  </r>
  <r>
    <s v="CA-2020-145443"/>
    <x v="622"/>
    <s v="SC-20695"/>
    <s v="Steve Chapman"/>
    <s v="United States"/>
    <x v="3"/>
    <x v="1"/>
    <s v="Xerox 1906"/>
    <n v="218.2"/>
    <n v="5"/>
    <n v="83.284000000000006"/>
    <n v="38.168652612282315"/>
  </r>
  <r>
    <s v="US-2019-115441"/>
    <x v="445"/>
    <s v="SH-19975"/>
    <s v="Sally Hughsby"/>
    <s v="United States"/>
    <x v="3"/>
    <x v="0"/>
    <s v="LG Electronics Tone+ HBS-730 Bluetooth Headset"/>
    <n v="297.55"/>
    <n v="5"/>
    <n v="83.313999999999993"/>
    <n v="27.999999999999996"/>
  </r>
  <r>
    <s v="CA-2019-104633"/>
    <x v="104"/>
    <s v="EA-14035"/>
    <s v="Erin Ashbrook"/>
    <s v="United States"/>
    <x v="2"/>
    <x v="1"/>
    <s v="IBM Multi-Purpose Copy Paper, 8 1/2 x 11&quot;, Case"/>
    <n v="185.88"/>
    <n v="6"/>
    <n v="83.646000000000001"/>
    <n v="45"/>
  </r>
  <r>
    <s v="CA-2019-158155"/>
    <x v="139"/>
    <s v="EH-13765"/>
    <s v="Edward Hooks"/>
    <s v="United States"/>
    <x v="0"/>
    <x v="2"/>
    <s v="Howard Miller 13&quot; Diameter Pewter Finish Round Wall Clock"/>
    <n v="214.7"/>
    <n v="5"/>
    <n v="83.733000000000004"/>
    <n v="39"/>
  </r>
  <r>
    <s v="CA-2020-141719"/>
    <x v="328"/>
    <s v="EG-13900"/>
    <s v="Emily Grady"/>
    <s v="United States"/>
    <x v="3"/>
    <x v="0"/>
    <s v="Logitech Illuminated - Keyboard"/>
    <n v="269.95999999999998"/>
    <n v="5"/>
    <n v="83.986000000000004"/>
    <n v="31.110534894058382"/>
  </r>
  <r>
    <s v="CA-2019-134803"/>
    <x v="283"/>
    <s v="CL-12565"/>
    <s v="Clay Ludtke"/>
    <s v="United States"/>
    <x v="2"/>
    <x v="1"/>
    <s v="Xerox 1991"/>
    <n v="182.72"/>
    <n v="8"/>
    <n v="84.051199999999994"/>
    <n v="46"/>
  </r>
  <r>
    <s v="US-2019-150861"/>
    <x v="107"/>
    <s v="EG-13900"/>
    <s v="Emily Grady"/>
    <s v="United States"/>
    <x v="0"/>
    <x v="1"/>
    <s v="Xerox 1964"/>
    <n v="182.72"/>
    <n v="8"/>
    <n v="84.051199999999994"/>
    <n v="46"/>
  </r>
  <r>
    <s v="CA-2020-107167"/>
    <x v="255"/>
    <s v="ND-18460"/>
    <s v="Neil Ducich"/>
    <s v="United States"/>
    <x v="1"/>
    <x v="1"/>
    <s v="24 Capacity Maxi Data Binder Racks, Pearl"/>
    <n v="1382.52"/>
    <n v="8"/>
    <n v="84.22"/>
    <n v="6.0917744408760814"/>
  </r>
  <r>
    <s v="CA-2019-145905"/>
    <x v="99"/>
    <s v="AM-10705"/>
    <s v="Anne McFarland"/>
    <s v="United States"/>
    <x v="1"/>
    <x v="2"/>
    <s v="Office Star - Professional Matrix Back Chair with 2-to-1 Synchro Tilt and Mesh Fabric Seat"/>
    <n v="350.98"/>
    <n v="1"/>
    <n v="84.235200000000006"/>
    <n v="24"/>
  </r>
  <r>
    <s v="CA-2019-148747"/>
    <x v="81"/>
    <s v="AS-10045"/>
    <s v="Aaron Smayling"/>
    <s v="United States"/>
    <x v="2"/>
    <x v="2"/>
    <s v="Atlantic Metals Mobile 4-Shelf Bookcases, Custom Colors"/>
    <n v="477.666"/>
    <n v="2"/>
    <n v="84.293999999999997"/>
    <n v="17.647058823529409"/>
  </r>
  <r>
    <s v="CA-2019-138968"/>
    <x v="115"/>
    <s v="FC-14335"/>
    <s v="Fred Chung"/>
    <s v="United States"/>
    <x v="2"/>
    <x v="2"/>
    <s v="Global Comet Stacking Arm Chair"/>
    <n v="1352.0319999999999"/>
    <n v="4"/>
    <n v="84.501999999999995"/>
    <n v="6.25"/>
  </r>
  <r>
    <s v="CA-2019-100790"/>
    <x v="454"/>
    <s v="JG-15805"/>
    <s v="John Grady"/>
    <s v="United States"/>
    <x v="0"/>
    <x v="1"/>
    <s v="Fellowes Strictly Business Drawer File, Letter/Legal Size"/>
    <n v="704.25"/>
    <n v="5"/>
    <n v="84.51"/>
    <n v="12.000000000000002"/>
  </r>
  <r>
    <s v="CA-2020-137631"/>
    <x v="463"/>
    <s v="JL-15235"/>
    <s v="Janet Lee"/>
    <s v="United States"/>
    <x v="1"/>
    <x v="0"/>
    <s v="Samsung Galaxy S4 Mini"/>
    <n v="773.98400000000004"/>
    <n v="2"/>
    <n v="84.598200000000006"/>
    <n v="10.93022594782321"/>
  </r>
  <r>
    <s v="CA-2020-124898"/>
    <x v="183"/>
    <s v="DB-12910"/>
    <s v="Daniel Byrd"/>
    <s v="United States"/>
    <x v="1"/>
    <x v="1"/>
    <s v="Xerox 1935"/>
    <n v="197.66"/>
    <n v="7"/>
    <n v="84.943600000000004"/>
    <n v="42.974602853384603"/>
  </r>
  <r>
    <s v="CA-2020-149881"/>
    <x v="311"/>
    <s v="NC-18535"/>
    <s v="Nick Crebassa"/>
    <s v="United States"/>
    <x v="2"/>
    <x v="2"/>
    <s v="Safco Value Mate Steel Bookcase, Baked Enamel Finish on Steel, Black"/>
    <n v="527.66399999999999"/>
    <n v="8"/>
    <n v="85.176000000000002"/>
    <n v="16.142090421177112"/>
  </r>
  <r>
    <s v="CA-2019-123806"/>
    <x v="289"/>
    <s v="LA-16780"/>
    <s v="Laura Armstrong"/>
    <s v="United States"/>
    <x v="0"/>
    <x v="2"/>
    <s v="Howard Miller 11-1/2&quot; Diameter Ridgewood Wall Clock"/>
    <n v="207.76"/>
    <n v="4"/>
    <n v="85.181600000000003"/>
    <n v="41"/>
  </r>
  <r>
    <s v="CA-2019-169103"/>
    <x v="277"/>
    <s v="ZC-21910"/>
    <s v="Zuschuss Carroll"/>
    <s v="United States"/>
    <x v="1"/>
    <x v="0"/>
    <s v="Cisco Unified IP Phone 7945G VoIP phone"/>
    <n v="1363.96"/>
    <n v="5"/>
    <n v="85.247500000000002"/>
    <n v="6.25"/>
  </r>
  <r>
    <s v="CA-2019-105256"/>
    <x v="246"/>
    <s v="JK-15730"/>
    <s v="Joe Kamberova"/>
    <s v="United States"/>
    <x v="1"/>
    <x v="0"/>
    <s v="Cisco Unified IP Phone 7945G VoIP phone"/>
    <n v="1363.96"/>
    <n v="5"/>
    <n v="85.247500000000002"/>
    <n v="6.25"/>
  </r>
  <r>
    <s v="CA-2020-123022"/>
    <x v="140"/>
    <s v="SC-20050"/>
    <s v="Sample Company A"/>
    <s v="United States"/>
    <x v="2"/>
    <x v="0"/>
    <s v="Kensington Expert Mouse Optical USB Trackball for PC or Mac"/>
    <n v="313.97000000000003"/>
    <n v="3"/>
    <n v="85.491"/>
    <n v="27.229034621142144"/>
  </r>
  <r>
    <s v="CA-2020-144694"/>
    <x v="64"/>
    <s v="BD-11605"/>
    <s v="Brian Dahlen"/>
    <s v="United States"/>
    <x v="1"/>
    <x v="1"/>
    <s v="Dot Matrix Printer Tape Reel Labels, White, 5000/Box"/>
    <n v="245.94399999999999"/>
    <n v="3"/>
    <n v="85.529700000000005"/>
    <n v="34.77608723937157"/>
  </r>
  <r>
    <s v="US-2020-169551"/>
    <x v="135"/>
    <s v="RL-19615"/>
    <s v="Rob Lucas"/>
    <s v="United States"/>
    <x v="0"/>
    <x v="0"/>
    <s v="Plantronics CS510 - Over-the-Head monaural Wireless Headset System"/>
    <n v="557.91999999999996"/>
    <n v="2"/>
    <n v="85.787000000000006"/>
    <n v="15.376218812733011"/>
  </r>
  <r>
    <s v="CA-2020-167913"/>
    <x v="196"/>
    <s v="JL-15835"/>
    <s v="John Lee"/>
    <s v="United States"/>
    <x v="2"/>
    <x v="1"/>
    <s v="Economy Rollaway Files"/>
    <n v="361.4"/>
    <n v="2"/>
    <n v="85.903999999999996"/>
    <n v="23.769784172661872"/>
  </r>
  <r>
    <s v="US-2020-162670"/>
    <x v="172"/>
    <s v="MF-18250"/>
    <s v="Monica Federle"/>
    <s v="United States"/>
    <x v="1"/>
    <x v="1"/>
    <s v="Tyvek Interoffice Envelopes, 9 1/2&quot; x 12 1/2&quot;, 100/Box"/>
    <n v="552.94000000000005"/>
    <n v="3"/>
    <n v="85.981800000000007"/>
    <n v="15.54993308496401"/>
  </r>
  <r>
    <s v="CA-2020-105410"/>
    <x v="120"/>
    <s v="ND-18370"/>
    <s v="Natalie DeCherney"/>
    <s v="United States"/>
    <x v="2"/>
    <x v="0"/>
    <s v="Logitech Wireless Marathon Mouse M705"/>
    <n v="238.96"/>
    <n v="4"/>
    <n v="85.982799999999997"/>
    <n v="35.982089052561093"/>
  </r>
  <r>
    <s v="CA-2019-166275"/>
    <x v="559"/>
    <s v="SS-20590"/>
    <s v="Sonia Sunley"/>
    <s v="United States"/>
    <x v="2"/>
    <x v="0"/>
    <s v="Razer Tiamat Over Ear 7.1 Surround Sound PC Gaming Headset"/>
    <n v="199.99"/>
    <n v="1"/>
    <n v="85.995699999999999"/>
    <n v="43"/>
  </r>
  <r>
    <s v="CA-2019-146934"/>
    <x v="308"/>
    <s v="AF-10870"/>
    <s v="Art Ferguson"/>
    <s v="United States"/>
    <x v="0"/>
    <x v="0"/>
    <s v="AT&amp;T 841000 Phone"/>
    <n v="345"/>
    <n v="5"/>
    <n v="86.25"/>
    <n v="25"/>
  </r>
  <r>
    <s v="CA-2019-148516"/>
    <x v="637"/>
    <s v="DW-13585"/>
    <s v="Dorothy Wardle"/>
    <s v="United States"/>
    <x v="2"/>
    <x v="0"/>
    <s v="Logitech Illuminated - Keyboard"/>
    <n v="179.97"/>
    <n v="3"/>
    <n v="86.385599999999997"/>
    <n v="48"/>
  </r>
  <r>
    <s v="CA-2020-131954"/>
    <x v="263"/>
    <s v="DS-13030"/>
    <s v="Darrin Sayre"/>
    <s v="United States"/>
    <x v="2"/>
    <x v="0"/>
    <s v="Logitech Illuminated - Keyboard"/>
    <n v="207.97"/>
    <n v="3"/>
    <n v="86.385599999999997"/>
    <n v="41.537529451363177"/>
  </r>
  <r>
    <s v="CA-2019-127698"/>
    <x v="212"/>
    <s v="MV-18190"/>
    <s v="Mike Vittorini"/>
    <s v="United States"/>
    <x v="1"/>
    <x v="0"/>
    <s v="Jabra Supreme Plus Driver Edition Headset"/>
    <n v="863.928"/>
    <n v="9"/>
    <n v="86.392799999999994"/>
    <n v="10"/>
  </r>
  <r>
    <s v="CA-2020-144904"/>
    <x v="222"/>
    <s v="KW-16435"/>
    <s v="Katrina Willman"/>
    <s v="United States"/>
    <x v="0"/>
    <x v="2"/>
    <s v="Global Ergonomic Managers Chair"/>
    <n v="503.64600000000002"/>
    <n v="3"/>
    <n v="86.870400000000004"/>
    <n v="17.248305357334317"/>
  </r>
  <r>
    <s v="CA-2019-113292"/>
    <x v="147"/>
    <s v="DB-13060"/>
    <s v="Dave Brooks"/>
    <s v="United States"/>
    <x v="1"/>
    <x v="1"/>
    <s v="Hoover WindTunnel Plus Canister Vacuum"/>
    <n v="871.8"/>
    <n v="3"/>
    <n v="87.18"/>
    <n v="10.000000000000002"/>
  </r>
  <r>
    <s v="CA-2020-164028"/>
    <x v="225"/>
    <s v="JL-15835"/>
    <s v="John Lee"/>
    <s v="United States"/>
    <x v="2"/>
    <x v="0"/>
    <s v="Memorex Mini Travel Drive 16 GB USB 2.0 Flash Drive"/>
    <n v="249.58"/>
    <n v="14"/>
    <n v="87.196200000000005"/>
    <n v="34.937174453081177"/>
  </r>
  <r>
    <s v="US-2020-158526"/>
    <x v="218"/>
    <s v="KH-16360"/>
    <s v="Katherine Hughes"/>
    <s v="United States"/>
    <x v="1"/>
    <x v="2"/>
    <s v="Global Leather and Oak Executive Chair, Black"/>
    <n v="351.98"/>
    <n v="1"/>
    <n v="87.284199999999998"/>
    <n v="24.798056707767486"/>
  </r>
  <r>
    <s v="US-2019-127425"/>
    <x v="261"/>
    <s v="DR-12880"/>
    <s v="Dan Reichenbach"/>
    <s v="United States"/>
    <x v="0"/>
    <x v="0"/>
    <s v="Plantronics Audio 478 Stereo USB Headset"/>
    <n v="249.95"/>
    <n v="5"/>
    <n v="87.482500000000002"/>
    <n v="35"/>
  </r>
  <r>
    <s v="CA-2020-146192"/>
    <x v="432"/>
    <s v="BD-11725"/>
    <s v="Bruce Degenhardt"/>
    <s v="United States"/>
    <x v="1"/>
    <x v="1"/>
    <s v="Tennsco Double-Tier Lockers"/>
    <n v="689.06"/>
    <n v="3"/>
    <n v="87.757800000000003"/>
    <n v="12.735872057585699"/>
  </r>
  <r>
    <s v="CA-2019-120803"/>
    <x v="531"/>
    <s v="RB-19465"/>
    <s v="Rick Bensley"/>
    <s v="United States"/>
    <x v="0"/>
    <x v="0"/>
    <s v="Microsoft Sculpt Comfort Mouse"/>
    <n v="199.75"/>
    <n v="5"/>
    <n v="87.89"/>
    <n v="44"/>
  </r>
  <r>
    <s v="US-2020-105998"/>
    <x v="368"/>
    <s v="CR-12580"/>
    <s v="Clay Rozendal"/>
    <s v="United States"/>
    <x v="2"/>
    <x v="0"/>
    <s v="Microsoft Sculpt Comfort Mouse"/>
    <n v="220.75"/>
    <n v="5"/>
    <n v="87.89"/>
    <n v="39.814269535673844"/>
  </r>
  <r>
    <s v="CA-2020-118199"/>
    <x v="513"/>
    <s v="LB-16795"/>
    <s v="Laurel Beltran"/>
    <s v="United States"/>
    <x v="2"/>
    <x v="0"/>
    <s v="Razer Kraken 7.1 Surround Sound Over Ear USB Gaming Headset"/>
    <n v="217.98"/>
    <n v="2"/>
    <n v="87.991200000000006"/>
    <n v="40.366639141205617"/>
  </r>
  <r>
    <s v="CA-2019-106530"/>
    <x v="491"/>
    <s v="CL-12565"/>
    <s v="Clay Ludtke"/>
    <s v="United States"/>
    <x v="0"/>
    <x v="1"/>
    <s v="Smead Adjustable Mobile File Trolley with Lockable Top"/>
    <n v="1006.056"/>
    <n v="3"/>
    <n v="88.029899999999998"/>
    <n v="8.75"/>
  </r>
  <r>
    <s v="CA-2019-168844"/>
    <x v="227"/>
    <s v="NM-18520"/>
    <s v="Neoma Murray"/>
    <s v="United States"/>
    <x v="0"/>
    <x v="0"/>
    <s v="Jackery Bar Premium Fast-charging Portable Charger"/>
    <n v="179.7"/>
    <n v="6"/>
    <n v="88.052999999999997"/>
    <n v="49"/>
  </r>
  <r>
    <s v="CA-2020-122154"/>
    <x v="262"/>
    <s v="SA-20830"/>
    <s v="Sue Ann Reed"/>
    <s v="United States"/>
    <x v="1"/>
    <x v="1"/>
    <s v="Xerox 1915"/>
    <n v="266.64"/>
    <n v="3"/>
    <n v="88.073999999999998"/>
    <n v="33.031053105310534"/>
  </r>
  <r>
    <s v="CA-2020-121314"/>
    <x v="71"/>
    <s v="BE-11410"/>
    <s v="Bobby Elias"/>
    <s v="United States"/>
    <x v="1"/>
    <x v="1"/>
    <s v="Xerox 1941"/>
    <n v="277.64"/>
    <n v="3"/>
    <n v="88.073999999999998"/>
    <n v="31.722374297651633"/>
  </r>
  <r>
    <s v="CA-2020-106859"/>
    <x v="52"/>
    <s v="BF-11215"/>
    <s v="Benjamin Farhat"/>
    <s v="United States"/>
    <x v="2"/>
    <x v="0"/>
    <s v="Logitech Wireless Headset H600 Over-The-Head Design"/>
    <n v="232.95"/>
    <n v="5"/>
    <n v="88.129499999999993"/>
    <n v="37.831938184159689"/>
  </r>
  <r>
    <s v="CA-2019-100244"/>
    <x v="349"/>
    <s v="GM-14695"/>
    <s v="Greg Maxwell"/>
    <s v="United States"/>
    <x v="2"/>
    <x v="1"/>
    <s v="Fellowes PB200 Plastic Comb Binding Machine"/>
    <n v="271.98399999999998"/>
    <n v="2"/>
    <n v="88.394800000000004"/>
    <n v="32.5"/>
  </r>
  <r>
    <s v="CA-2020-105669"/>
    <x v="166"/>
    <s v="SJ-20125"/>
    <s v="Sanjit Jacobs"/>
    <s v="United States"/>
    <x v="3"/>
    <x v="0"/>
    <s v="Polycom VoiceStation 500 Conference phone"/>
    <n v="1448.76"/>
    <n v="6"/>
    <n v="88.484999999999999"/>
    <n v="6.1076368756729895"/>
  </r>
  <r>
    <s v="CA-2020-164378"/>
    <x v="205"/>
    <s v="MM-18055"/>
    <s v="Michelle Moray"/>
    <s v="United States"/>
    <x v="0"/>
    <x v="2"/>
    <s v="Hon Mobius Operator's Chair"/>
    <n v="699.14599999999996"/>
    <n v="6"/>
    <n v="88.552800000000005"/>
    <n v="12.665852339854625"/>
  </r>
  <r>
    <s v="CA-2019-153269"/>
    <x v="531"/>
    <s v="PS-18760"/>
    <s v="Pamela Stobb"/>
    <s v="United States"/>
    <x v="0"/>
    <x v="2"/>
    <s v="Situations Contoured Folding Chairs, 4/Set"/>
    <n v="354.9"/>
    <n v="5"/>
    <n v="88.724999999999994"/>
    <n v="25"/>
  </r>
  <r>
    <s v="US-2019-106600"/>
    <x v="5"/>
    <s v="RM-19375"/>
    <s v="Raymond Messe"/>
    <s v="United States"/>
    <x v="1"/>
    <x v="2"/>
    <s v="Hon Metal Bookcases, Black"/>
    <n v="354.9"/>
    <n v="5"/>
    <n v="88.724999999999994"/>
    <n v="25"/>
  </r>
  <r>
    <s v="CA-2020-143126"/>
    <x v="299"/>
    <s v="CM-12655"/>
    <s v="Corinna Mitchell"/>
    <s v="United States"/>
    <x v="2"/>
    <x v="2"/>
    <s v="Bevis Oval Conference Table, Walnut"/>
    <n v="547.96"/>
    <n v="2"/>
    <n v="88.733199999999997"/>
    <n v="16.193371778961964"/>
  </r>
  <r>
    <s v="US-2019-169040"/>
    <x v="431"/>
    <s v="GT-14710"/>
    <s v="Greg Tran"/>
    <s v="United States"/>
    <x v="2"/>
    <x v="1"/>
    <s v="Snap-A-Way Black Print Carbonless Ruled Speed Letter, Triplicate"/>
    <n v="189.7"/>
    <n v="5"/>
    <n v="89.159000000000006"/>
    <n v="47.000000000000007"/>
  </r>
  <r>
    <s v="CA-2020-117212"/>
    <x v="595"/>
    <s v="BT-11530"/>
    <s v="Bradley Talbott"/>
    <s v="United States"/>
    <x v="2"/>
    <x v="2"/>
    <s v="GuestStacker Chair with Chrome Finish Legs"/>
    <n v="940.22400000000005"/>
    <n v="3"/>
    <n v="89.222399999999993"/>
    <n v="9.4894833571574431"/>
  </r>
  <r>
    <s v="US-2020-100048"/>
    <x v="234"/>
    <s v="RS-19765"/>
    <s v="Roland Schwarz"/>
    <s v="United States"/>
    <x v="0"/>
    <x v="0"/>
    <s v="Nortel Meridian M3904 Professional Digital phone"/>
    <n v="326.98"/>
    <n v="2"/>
    <n v="89.3142"/>
    <n v="27.314881644137255"/>
  </r>
  <r>
    <s v="CA-2020-135587"/>
    <x v="3"/>
    <s v="BH-11710"/>
    <s v="Brosina Hoffman"/>
    <s v="United States"/>
    <x v="1"/>
    <x v="1"/>
    <s v="Eureka The Boss Lite 10-Amp Upright Vacuum, Blue"/>
    <n v="354.64"/>
    <n v="4"/>
    <n v="89.779200000000003"/>
    <n v="25.315587638168285"/>
  </r>
  <r>
    <s v="CA-2019-101980"/>
    <x v="587"/>
    <s v="RP-19390"/>
    <s v="Resi Pölking"/>
    <s v="United States"/>
    <x v="0"/>
    <x v="1"/>
    <s v="Ibico EB-19 Dual Function Manual Binding System"/>
    <n v="276.78399999999999"/>
    <n v="2"/>
    <n v="89.954800000000006"/>
    <n v="32.5"/>
  </r>
  <r>
    <s v="CA-2019-126102"/>
    <x v="238"/>
    <s v="DV-13465"/>
    <s v="Dianna Vittorini"/>
    <s v="United States"/>
    <x v="2"/>
    <x v="1"/>
    <s v="Ibico EB-19 Dual Function Manual Binding System"/>
    <n v="276.78399999999999"/>
    <n v="2"/>
    <n v="89.954800000000006"/>
    <n v="32.5"/>
  </r>
  <r>
    <s v="CA-2019-132997"/>
    <x v="316"/>
    <s v="LW-17215"/>
    <s v="Luke Weiss"/>
    <s v="United States"/>
    <x v="0"/>
    <x v="1"/>
    <s v="Ibico EB-19 Dual Function Manual Binding System"/>
    <n v="276.78399999999999"/>
    <n v="2"/>
    <n v="89.954800000000006"/>
    <n v="32.5"/>
  </r>
  <r>
    <s v="CA-2020-104619"/>
    <x v="439"/>
    <s v="KD-16495"/>
    <s v="Keith Dawkins"/>
    <s v="United States"/>
    <x v="2"/>
    <x v="1"/>
    <s v="Ibico EB-19 Dual Function Manual Binding System"/>
    <n v="311.78399999999999"/>
    <n v="2"/>
    <n v="89.954800000000006"/>
    <n v="28.8516408795833"/>
  </r>
  <r>
    <s v="CA-2019-131737"/>
    <x v="305"/>
    <s v="GZ-14470"/>
    <s v="Gary Zandusky"/>
    <s v="United States"/>
    <x v="0"/>
    <x v="1"/>
    <s v="Blue String-Tie &amp; Button Interoffice Envelopes, 10 x 13"/>
    <n v="199.9"/>
    <n v="5"/>
    <n v="89.954999999999998"/>
    <n v="44.999999999999993"/>
  </r>
  <r>
    <s v="US-2019-139087"/>
    <x v="395"/>
    <s v="DK-13375"/>
    <s v="Dennis Kane"/>
    <s v="United States"/>
    <x v="2"/>
    <x v="0"/>
    <s v="First Data TMFD35 PIN Pad"/>
    <n v="428.4"/>
    <n v="3"/>
    <n v="89.963999999999999"/>
    <n v="21.000000000000004"/>
  </r>
  <r>
    <s v="CA-2019-162390"/>
    <x v="431"/>
    <s v="DP-13105"/>
    <s v="Dave Poirier"/>
    <s v="United States"/>
    <x v="0"/>
    <x v="0"/>
    <s v="Brother DCP1000 Digital 3 in 1 Multifunction Machine"/>
    <n v="479.98399999999998"/>
    <n v="2"/>
    <n v="89.997"/>
    <n v="18.75"/>
  </r>
  <r>
    <s v="CA-2020-126662"/>
    <x v="434"/>
    <s v="AB-10255"/>
    <s v="Alejandro Ballentine"/>
    <s v="United States"/>
    <x v="2"/>
    <x v="0"/>
    <s v="Brother DCP1000 Digital 3 in 1 Multifunction Machine"/>
    <n v="525.98400000000004"/>
    <n v="2"/>
    <n v="89.997"/>
    <n v="17.110216280343128"/>
  </r>
  <r>
    <s v="CA-2020-152310"/>
    <x v="557"/>
    <s v="DK-12895"/>
    <s v="Dana Kaydos"/>
    <s v="United States"/>
    <x v="2"/>
    <x v="0"/>
    <s v="Hewlett Packard 310 Color Digital Copier"/>
    <n v="337.99"/>
    <n v="1"/>
    <n v="89.997"/>
    <n v="26.627119145536849"/>
  </r>
  <r>
    <s v="CA-2019-102981"/>
    <x v="410"/>
    <s v="MO-17500"/>
    <s v="Mary O'Rourke"/>
    <s v="United States"/>
    <x v="0"/>
    <x v="2"/>
    <s v="Atlantic Metals Mobile 5-Shelf Bookcases, Custom Colors"/>
    <n v="722.35199999999998"/>
    <n v="3"/>
    <n v="90.293999999999997"/>
    <n v="12.5"/>
  </r>
  <r>
    <s v="CA-2020-129462"/>
    <x v="360"/>
    <s v="JE-15745"/>
    <s v="Joel Eaton"/>
    <s v="United States"/>
    <x v="1"/>
    <x v="2"/>
    <s v="Global Airflow Leather Mesh Back Chair, Black"/>
    <n v="344.96"/>
    <n v="2"/>
    <n v="90.587999999999994"/>
    <n v="26.260435992578852"/>
  </r>
  <r>
    <s v="CA-2020-141782"/>
    <x v="263"/>
    <s v="BE-11410"/>
    <s v="Bobby Elias"/>
    <s v="United States"/>
    <x v="3"/>
    <x v="1"/>
    <s v="Airmail Envelopes"/>
    <n v="299.57600000000002"/>
    <n v="4"/>
    <n v="90.644400000000005"/>
    <n v="30.257564023820333"/>
  </r>
  <r>
    <s v="CA-2019-131744"/>
    <x v="398"/>
    <s v="SC-20770"/>
    <s v="Stewart Carmichael"/>
    <s v="United States"/>
    <x v="0"/>
    <x v="1"/>
    <s v="Harmony Air Purifier"/>
    <n v="453.6"/>
    <n v="3"/>
    <n v="90.72"/>
    <n v="20"/>
  </r>
  <r>
    <s v="CA-2020-147039"/>
    <x v="146"/>
    <s v="AA-10315"/>
    <s v="Alex Avila"/>
    <s v="United States"/>
    <x v="3"/>
    <x v="1"/>
    <s v="Belkin 325VA UPS Surge Protector, 6'"/>
    <n v="401.94"/>
    <n v="3"/>
    <n v="90.734999999999999"/>
    <n v="22.574264815644128"/>
  </r>
  <r>
    <s v="CA-2020-105214"/>
    <x v="360"/>
    <s v="TS-21610"/>
    <s v="Troy Staebel"/>
    <s v="United States"/>
    <x v="2"/>
    <x v="2"/>
    <s v="Hon Multipurpose Stacking Arm Chairs"/>
    <n v="1259.96"/>
    <n v="7"/>
    <n v="90.971999999999994"/>
    <n v="7.2202292136258279"/>
  </r>
  <r>
    <s v="CA-2019-155978"/>
    <x v="529"/>
    <s v="TS-21205"/>
    <s v="Thomas Seio"/>
    <s v="United States"/>
    <x v="2"/>
    <x v="0"/>
    <s v="Apple iPhone 5"/>
    <n v="1039.7280000000001"/>
    <n v="2"/>
    <n v="90.976200000000006"/>
    <n v="8.75"/>
  </r>
  <r>
    <s v="CA-2020-104136"/>
    <x v="578"/>
    <s v="SF-20065"/>
    <s v="Sandra Flanagan"/>
    <s v="United States"/>
    <x v="0"/>
    <x v="1"/>
    <s v="Xerox 1939"/>
    <n v="239.7"/>
    <n v="10"/>
    <n v="91.055999999999997"/>
    <n v="37.987484355444309"/>
  </r>
  <r>
    <s v="CA-2019-152072"/>
    <x v="322"/>
    <s v="Dp-13240"/>
    <s v="Dean percer"/>
    <s v="United States"/>
    <x v="0"/>
    <x v="0"/>
    <s v="Logitech Gaming G510s - Keyboard"/>
    <n v="254.97"/>
    <n v="3"/>
    <n v="91.789199999999994"/>
    <n v="36"/>
  </r>
  <r>
    <s v="US-2019-126452"/>
    <x v="43"/>
    <s v="SC-20230"/>
    <s v="Scot Coram"/>
    <s v="United States"/>
    <x v="2"/>
    <x v="0"/>
    <s v="Logitech Gaming G510s - Keyboard"/>
    <n v="254.97"/>
    <n v="3"/>
    <n v="91.789199999999994"/>
    <n v="36"/>
  </r>
  <r>
    <s v="US-2020-120607"/>
    <x v="234"/>
    <s v="JC-15775"/>
    <s v="John Castell"/>
    <s v="United States"/>
    <x v="1"/>
    <x v="1"/>
    <s v="Tops White Computer Printout Paper"/>
    <n v="206.64"/>
    <n v="4"/>
    <n v="91.950800000000001"/>
    <n v="44.498064266356948"/>
  </r>
  <r>
    <s v="CA-2019-136126"/>
    <x v="530"/>
    <s v="EH-14125"/>
    <s v="Eugene Hildebrand"/>
    <s v="United States"/>
    <x v="1"/>
    <x v="1"/>
    <s v="Xerox 1911"/>
    <n v="191.6"/>
    <n v="4"/>
    <n v="91.968000000000004"/>
    <n v="48.000000000000007"/>
  </r>
  <r>
    <s v="CA-2020-135279"/>
    <x v="262"/>
    <s v="BS-11800"/>
    <s v="Bryan Spruell"/>
    <s v="United States"/>
    <x v="0"/>
    <x v="1"/>
    <s v="Computer Printout Paper with Letter-Trim Fine Perforations"/>
    <n v="211.6"/>
    <n v="4"/>
    <n v="91.968000000000004"/>
    <n v="43.463137996219288"/>
  </r>
  <r>
    <s v="CA-2019-133319"/>
    <x v="100"/>
    <s v="MV-17485"/>
    <s v="Mark Van Huff"/>
    <s v="United States"/>
    <x v="0"/>
    <x v="1"/>
    <s v="Xerox 1885"/>
    <n v="192.16"/>
    <n v="4"/>
    <n v="92.236800000000002"/>
    <n v="48.000000000000007"/>
  </r>
  <r>
    <s v="CA-2020-155873"/>
    <x v="360"/>
    <s v="AB-10255"/>
    <s v="Alejandro Ballentine"/>
    <s v="United States"/>
    <x v="2"/>
    <x v="1"/>
    <s v="Xerox 1885"/>
    <n v="240.16"/>
    <n v="4"/>
    <n v="92.236800000000002"/>
    <n v="38.406395736175888"/>
  </r>
  <r>
    <s v="CA-2020-152310"/>
    <x v="557"/>
    <s v="DK-12895"/>
    <s v="Dana Kaydos"/>
    <s v="United States"/>
    <x v="2"/>
    <x v="1"/>
    <s v="Xerox 1937"/>
    <n v="222.16"/>
    <n v="4"/>
    <n v="92.236800000000002"/>
    <n v="41.518185091825714"/>
  </r>
  <r>
    <s v="CA-2020-116680"/>
    <x v="130"/>
    <s v="PK-19075"/>
    <s v="Pete Kriz"/>
    <s v="United States"/>
    <x v="2"/>
    <x v="2"/>
    <s v="Bush Cubix Conference Tables, Fully Assembled"/>
    <n v="1511.2719999999999"/>
    <n v="8"/>
    <n v="92.391999999999996"/>
    <n v="6.1135255599256784"/>
  </r>
  <r>
    <s v="CA-2020-121503"/>
    <x v="142"/>
    <s v="FH-14275"/>
    <s v="Frank Hawley"/>
    <s v="United States"/>
    <x v="3"/>
    <x v="1"/>
    <s v="Xerox 1891"/>
    <n v="297.89600000000002"/>
    <n v="7"/>
    <n v="92.439899999999994"/>
    <n v="31.030930257539541"/>
  </r>
  <r>
    <s v="US-2020-129777"/>
    <x v="142"/>
    <s v="FM-14290"/>
    <s v="Frank Merwin"/>
    <s v="United States"/>
    <x v="0"/>
    <x v="0"/>
    <s v="TRENDnet 56K USB 2.0 Phone, Internet and Fax Modem"/>
    <n v="308.89999999999998"/>
    <n v="10"/>
    <n v="93.203999999999994"/>
    <n v="30.172871479443188"/>
  </r>
  <r>
    <s v="CA-2019-144939"/>
    <x v="257"/>
    <s v="EB-13870"/>
    <s v="Emily Burns"/>
    <s v="United States"/>
    <x v="0"/>
    <x v="2"/>
    <s v="Office Star - Contemporary Task Swivel Chair"/>
    <n v="599.29200000000003"/>
    <n v="6"/>
    <n v="93.223200000000006"/>
    <n v="15.555555555555555"/>
  </r>
  <r>
    <s v="CA-2020-155152"/>
    <x v="135"/>
    <s v="MP-17965"/>
    <s v="Michael Paige"/>
    <s v="United States"/>
    <x v="0"/>
    <x v="0"/>
    <s v="Hypercom P1300 Pinpad"/>
    <n v="262"/>
    <n v="4"/>
    <n v="93.24"/>
    <n v="35.587786259541978"/>
  </r>
  <r>
    <s v="CA-2019-165169"/>
    <x v="288"/>
    <s v="JL-15235"/>
    <s v="Janet Lee"/>
    <s v="United States"/>
    <x v="0"/>
    <x v="1"/>
    <s v="Standard Rollaway File with Lock"/>
    <n v="360.38"/>
    <n v="2"/>
    <n v="93.698800000000006"/>
    <n v="26"/>
  </r>
  <r>
    <s v="CA-2020-102155"/>
    <x v="371"/>
    <s v="RR-19525"/>
    <s v="Rick Reed"/>
    <s v="United States"/>
    <x v="3"/>
    <x v="1"/>
    <s v="Standard Rollaway File with Lock"/>
    <n v="374.38"/>
    <n v="2"/>
    <n v="93.698800000000006"/>
    <n v="25.02772584005556"/>
  </r>
  <r>
    <s v="US-2019-161683"/>
    <x v="107"/>
    <s v="CJ-12010"/>
    <s v="Caroline Jumper"/>
    <s v="United States"/>
    <x v="0"/>
    <x v="1"/>
    <s v="Honeywell Enviracaire Portable HEPA Air Cleaner for up to 10 x 16 Room"/>
    <n v="394.81599999999997"/>
    <n v="4"/>
    <n v="93.768799999999999"/>
    <n v="23.75"/>
  </r>
  <r>
    <s v="CA-2020-100902"/>
    <x v="328"/>
    <s v="CK-12595"/>
    <s v="Clytie Kelty"/>
    <s v="United States"/>
    <x v="1"/>
    <x v="1"/>
    <s v="Xerox 1938"/>
    <n v="284.24"/>
    <n v="7"/>
    <n v="93.884"/>
    <n v="33.029833943146635"/>
  </r>
  <r>
    <s v="CA-2020-115882"/>
    <x v="97"/>
    <s v="DB-13555"/>
    <s v="Dorothy Badders"/>
    <s v="United States"/>
    <x v="1"/>
    <x v="1"/>
    <s v="3.6 Cubic Foot Counter Height Office Refrigerator"/>
    <n v="977.78399999999999"/>
    <n v="4"/>
    <n v="94.278400000000005"/>
    <n v="9.6420477324235208"/>
  </r>
  <r>
    <s v="CA-2019-155005"/>
    <x v="584"/>
    <s v="SC-20050"/>
    <s v="Sample Company A"/>
    <s v="United States"/>
    <x v="3"/>
    <x v="0"/>
    <s v="Ooma Telo VoIP Home Phone System"/>
    <n v="377.97"/>
    <n v="3"/>
    <n v="94.492500000000007"/>
    <n v="25"/>
  </r>
  <r>
    <s v="CA-2020-119193"/>
    <x v="67"/>
    <s v="SK-19990"/>
    <s v="Sally Knutson"/>
    <s v="United States"/>
    <x v="0"/>
    <x v="0"/>
    <s v="Panasonic KX-TG9541B DECT 6.0 Digital 2-Line Expandable Cordless Phone With Digital Answering System"/>
    <n v="212.958"/>
    <n v="7"/>
    <n v="94.493700000000004"/>
    <n v="44.371988842870429"/>
  </r>
  <r>
    <s v="CA-2019-103464"/>
    <x v="313"/>
    <s v="PG-18820"/>
    <s v="Patrick Gardner"/>
    <s v="United States"/>
    <x v="2"/>
    <x v="0"/>
    <s v="WD My Passport Ultra 2TB Portable External Hard Drive"/>
    <n v="595"/>
    <n v="5"/>
    <n v="95.2"/>
    <n v="16"/>
  </r>
  <r>
    <s v="CA-2020-168655"/>
    <x v="169"/>
    <s v="ML-18040"/>
    <s v="Michelle Lonsdale"/>
    <s v="United States"/>
    <x v="2"/>
    <x v="0"/>
    <s v="WD My Passport Ultra 2TB Portable External Hard Drive"/>
    <n v="645"/>
    <n v="5"/>
    <n v="95.2"/>
    <n v="14.75968992248062"/>
  </r>
  <r>
    <s v="CA-2020-149048"/>
    <x v="124"/>
    <s v="BM-11650"/>
    <s v="Brian Moss"/>
    <s v="United States"/>
    <x v="3"/>
    <x v="1"/>
    <s v="Tennsco 6- and 18-Compartment Lockers"/>
    <n v="549.34"/>
    <n v="2"/>
    <n v="95.461200000000005"/>
    <n v="17.377434739869663"/>
  </r>
  <r>
    <s v="CA-2020-100111"/>
    <x v="495"/>
    <s v="SV-20365"/>
    <s v="Seth Vernon"/>
    <s v="United States"/>
    <x v="0"/>
    <x v="0"/>
    <s v="Logitech Wireless Boombox Speaker - portable - wireless, wired"/>
    <n v="237.8"/>
    <n v="2"/>
    <n v="95.76"/>
    <n v="40.269133725820019"/>
  </r>
  <r>
    <s v="CA-2020-161956"/>
    <x v="53"/>
    <s v="DR-12880"/>
    <s v="Dan Reichenbach"/>
    <s v="United States"/>
    <x v="2"/>
    <x v="1"/>
    <s v="APC 7 Outlet Network SurgeArrest Surge Protector"/>
    <n v="337.92"/>
    <n v="4"/>
    <n v="96.575999999999993"/>
    <n v="28.579545454545453"/>
  </r>
  <r>
    <s v="US-2019-115441"/>
    <x v="445"/>
    <s v="SH-19975"/>
    <s v="Sally Hughsby"/>
    <s v="United States"/>
    <x v="3"/>
    <x v="2"/>
    <s v="Office Star Flex Back Scooter Chair with Aluminum Finish Frame"/>
    <n v="403.56"/>
    <n v="4"/>
    <n v="96.854399999999998"/>
    <n v="24"/>
  </r>
  <r>
    <s v="CA-2019-140382"/>
    <x v="489"/>
    <s v="RD-19900"/>
    <s v="Ruben Dartt"/>
    <s v="United States"/>
    <x v="2"/>
    <x v="0"/>
    <s v="Nortel Meridian M3904 Professional Digital phone"/>
    <n v="862.34400000000005"/>
    <n v="7"/>
    <n v="97.0137"/>
    <n v="11.249999999999998"/>
  </r>
  <r>
    <s v="CA-2020-121853"/>
    <x v="71"/>
    <s v="DB-13660"/>
    <s v="Duane Benoit"/>
    <s v="United States"/>
    <x v="2"/>
    <x v="1"/>
    <s v="Xerox 1909"/>
    <n v="223.04"/>
    <n v="8"/>
    <n v="97.078400000000002"/>
    <n v="43.525107604017222"/>
  </r>
  <r>
    <s v="CA-2020-146164"/>
    <x v="67"/>
    <s v="CM-12190"/>
    <s v="Charlotte Melton"/>
    <s v="United States"/>
    <x v="3"/>
    <x v="2"/>
    <s v="Office Impressions End Table, 20-1/2&quot;H x 24&quot;W x 20&quot;D"/>
    <n v="463.52"/>
    <n v="2"/>
    <n v="97.203199999999995"/>
    <n v="20.970659302726961"/>
  </r>
  <r>
    <s v="CA-2019-101791"/>
    <x v="242"/>
    <s v="BS-11665"/>
    <s v="Brian Stugart"/>
    <s v="United States"/>
    <x v="3"/>
    <x v="1"/>
    <s v="Standard Rollaway File with Lock"/>
    <n v="1297.3679999999999"/>
    <n v="9"/>
    <n v="97.302599999999998"/>
    <n v="7.5"/>
  </r>
  <r>
    <s v="US-2020-111423"/>
    <x v="23"/>
    <s v="EH-13765"/>
    <s v="Edward Hooks"/>
    <s v="United States"/>
    <x v="0"/>
    <x v="2"/>
    <s v="Global Commerce Series Low-Back Swivel/Tilt Chairs"/>
    <n v="482.56400000000002"/>
    <n v="2"/>
    <n v="97.6524"/>
    <n v="20.236155204283783"/>
  </r>
  <r>
    <s v="CA-2020-150987"/>
    <x v="592"/>
    <s v="AH-10120"/>
    <s v="Adrian Hane"/>
    <s v="United States"/>
    <x v="2"/>
    <x v="1"/>
    <s v="Xerox 1942"/>
    <n v="235.76"/>
    <n v="4"/>
    <n v="97.88"/>
    <n v="41.516796742449948"/>
  </r>
  <r>
    <s v="CA-2020-138975"/>
    <x v="234"/>
    <s v="SC-20380"/>
    <s v="Shahid Collister"/>
    <s v="United States"/>
    <x v="1"/>
    <x v="0"/>
    <s v="Nokia Lumia 925"/>
    <n v="404.97"/>
    <n v="3"/>
    <n v="98.272199999999998"/>
    <n v="24.266538262093487"/>
  </r>
  <r>
    <s v="CA-2019-114601"/>
    <x v="261"/>
    <s v="AA-10480"/>
    <s v="Andrew Allen"/>
    <s v="United States"/>
    <x v="3"/>
    <x v="2"/>
    <s v="Hon 4060 Series Tables"/>
    <n v="447.84"/>
    <n v="4"/>
    <n v="98.524799999999999"/>
    <n v="22"/>
  </r>
  <r>
    <s v="CA-2020-108560"/>
    <x v="526"/>
    <s v="JC-15385"/>
    <s v="Jenna Caffey"/>
    <s v="United States"/>
    <x v="2"/>
    <x v="2"/>
    <s v="GE 48&quot; Fluorescent Tube, Cool White Energy Saver, 34 Watts, 30/Box"/>
    <n v="233.46"/>
    <n v="2"/>
    <n v="99.23"/>
    <n v="42.504069219566517"/>
  </r>
  <r>
    <s v="CA-2020-161956"/>
    <x v="53"/>
    <s v="DR-12880"/>
    <s v="Dan Reichenbach"/>
    <s v="United States"/>
    <x v="2"/>
    <x v="2"/>
    <s v="GE 48&quot; Fluorescent Tube, Cool White Energy Saver, 34 Watts, 30/Box"/>
    <n v="242.46"/>
    <n v="2"/>
    <n v="99.23"/>
    <n v="40.926338365091148"/>
  </r>
  <r>
    <s v="CA-2019-149503"/>
    <x v="260"/>
    <s v="SP-20650"/>
    <s v="Stephanie Phelps"/>
    <s v="United States"/>
    <x v="2"/>
    <x v="1"/>
    <s v="Wilson Jones Elliptical Ring 3 1/2&quot; Capacity Binders, 800 sheets"/>
    <n v="273.92"/>
    <n v="8"/>
    <n v="99.296000000000006"/>
    <n v="36.25"/>
  </r>
  <r>
    <s v="CA-2019-136133"/>
    <x v="399"/>
    <s v="HW-14935"/>
    <s v="Helen Wasserman"/>
    <s v="United States"/>
    <x v="0"/>
    <x v="1"/>
    <s v="Belkin 7 Outlet SurgeMaster II"/>
    <n v="355.32"/>
    <n v="9"/>
    <n v="99.489599999999996"/>
    <n v="27.999999999999996"/>
  </r>
  <r>
    <s v="CA-2020-121706"/>
    <x v="595"/>
    <s v="BM-11140"/>
    <s v="Becky Martin"/>
    <s v="United States"/>
    <x v="2"/>
    <x v="1"/>
    <s v="Tripp Lite TLP810NET Broadband Surge for Modem/Fax"/>
    <n v="380.79"/>
    <n v="7"/>
    <n v="99.901200000000003"/>
    <n v="26.235247774363824"/>
  </r>
  <r>
    <s v="CA-2019-128594"/>
    <x v="261"/>
    <s v="DJ-13510"/>
    <s v="Don Jones"/>
    <s v="United States"/>
    <x v="2"/>
    <x v="2"/>
    <s v="Global Troy Executive Leather Low-Back Tilter"/>
    <n v="1603.136"/>
    <n v="4"/>
    <n v="100.196"/>
    <n v="6.25"/>
  </r>
  <r>
    <s v="CA-2019-152247"/>
    <x v="316"/>
    <s v="MA-17995"/>
    <s v="Michelle Arnett"/>
    <s v="United States"/>
    <x v="2"/>
    <x v="2"/>
    <s v="Global Troy Executive Leather Low-Back Tilter"/>
    <n v="1603.136"/>
    <n v="4"/>
    <n v="100.196"/>
    <n v="6.25"/>
  </r>
  <r>
    <s v="CA-2020-130841"/>
    <x v="538"/>
    <s v="MH-17620"/>
    <s v="Matt Hagelstein"/>
    <s v="United States"/>
    <x v="2"/>
    <x v="0"/>
    <s v="Wilson Electronics DB Pro Signal Booster"/>
    <n v="1175.5999999999999"/>
    <n v="4"/>
    <n v="100.24"/>
    <n v="8.5267097652262667"/>
  </r>
  <r>
    <s v="CA-2019-117583"/>
    <x v="134"/>
    <s v="CB-12025"/>
    <s v="Cassandra Brandow"/>
    <s v="United States"/>
    <x v="0"/>
    <x v="1"/>
    <s v="Xerox 1945"/>
    <n v="204.95"/>
    <n v="5"/>
    <n v="100.4255"/>
    <n v="49.000000000000007"/>
  </r>
  <r>
    <s v="US-2020-113201"/>
    <x v="54"/>
    <s v="TT-21220"/>
    <s v="Thomas Thornton"/>
    <s v="United States"/>
    <x v="2"/>
    <x v="1"/>
    <s v="Xerox 1919"/>
    <n v="216.95"/>
    <n v="5"/>
    <n v="100.4255"/>
    <n v="46.289698087116847"/>
  </r>
  <r>
    <s v="CA-2020-113670"/>
    <x v="545"/>
    <s v="RS-19765"/>
    <s v="Roland Schwarz"/>
    <s v="United States"/>
    <x v="2"/>
    <x v="1"/>
    <s v="Xerox 1919"/>
    <n v="238.95"/>
    <n v="5"/>
    <n v="100.4255"/>
    <n v="42.027830089976987"/>
  </r>
  <r>
    <s v="CA-2020-158673"/>
    <x v="218"/>
    <s v="KB-16600"/>
    <s v="Ken Brennan"/>
    <s v="United States"/>
    <x v="3"/>
    <x v="1"/>
    <s v="Xerox 1915"/>
    <n v="180.7"/>
    <n v="2"/>
    <n v="100.65600000000001"/>
    <n v="55.703375760929731"/>
  </r>
  <r>
    <s v="CA-2019-105732"/>
    <x v="443"/>
    <s v="AG-10270"/>
    <s v="Alejandro Grove"/>
    <s v="United States"/>
    <x v="3"/>
    <x v="1"/>
    <s v="Fellowes Mobile File Cart, Black"/>
    <n v="373.08"/>
    <n v="6"/>
    <n v="100.7316"/>
    <n v="27"/>
  </r>
  <r>
    <s v="CA-2019-132997"/>
    <x v="316"/>
    <s v="LW-17215"/>
    <s v="Luke Weiss"/>
    <s v="United States"/>
    <x v="0"/>
    <x v="0"/>
    <s v="Jabra Supreme Plus Driver Edition Headset"/>
    <n v="359.97"/>
    <n v="3"/>
    <n v="100.7916"/>
    <n v="27.999999999999996"/>
  </r>
  <r>
    <s v="US-2020-139465"/>
    <x v="53"/>
    <s v="MR-17545"/>
    <s v="Mathew Reese"/>
    <s v="United States"/>
    <x v="0"/>
    <x v="0"/>
    <s v="GE 30522EE2"/>
    <n v="367.97"/>
    <n v="3"/>
    <n v="100.9113"/>
    <n v="27.423784547653341"/>
  </r>
  <r>
    <s v="CA-2020-141572"/>
    <x v="185"/>
    <s v="LO-17170"/>
    <s v="Lori Olson"/>
    <s v="United States"/>
    <x v="0"/>
    <x v="2"/>
    <s v="Advantus Employee of the Month Certificate Frame, 11 x 13-1/2"/>
    <n v="270.44"/>
    <n v="8"/>
    <n v="101.4504"/>
    <n v="37.513089779618404"/>
  </r>
  <r>
    <s v="CA-2020-137085"/>
    <x v="146"/>
    <s v="CT-11995"/>
    <s v="Carol Triggs"/>
    <s v="United States"/>
    <x v="2"/>
    <x v="1"/>
    <s v="Satellite Sectional Post Binders"/>
    <n v="339.55200000000002"/>
    <n v="9"/>
    <n v="101.57940000000001"/>
    <n v="29.915712468193384"/>
  </r>
  <r>
    <s v="CA-2020-104885"/>
    <x v="304"/>
    <s v="DB-13555"/>
    <s v="Dorothy Badders"/>
    <s v="United States"/>
    <x v="0"/>
    <x v="2"/>
    <s v="Bush Cubix Collection Bookcases, Fully Assembled"/>
    <n v="460.96"/>
    <n v="2"/>
    <n v="101.6508"/>
    <n v="22.051978479694554"/>
  </r>
  <r>
    <s v="CA-2020-117485"/>
    <x v="71"/>
    <s v="BD-11320"/>
    <s v="Bill Donatelli"/>
    <s v="United States"/>
    <x v="3"/>
    <x v="0"/>
    <s v="Imation Secure+ Hardware Encrypted USB 2.0 Flash Drive; 16GB"/>
    <n v="316.95999999999998"/>
    <n v="4"/>
    <n v="102.18600000000001"/>
    <n v="32.239399293286226"/>
  </r>
  <r>
    <s v="US-2019-150861"/>
    <x v="107"/>
    <s v="EG-13900"/>
    <s v="Emily Grady"/>
    <s v="United States"/>
    <x v="0"/>
    <x v="2"/>
    <s v="Global Leather Highback Executive Chair with Pneumatic Height Adjustment, Black"/>
    <n v="542.64599999999996"/>
    <n v="3"/>
    <n v="102.49979999999999"/>
    <n v="18.888888888888889"/>
  </r>
  <r>
    <s v="CA-2020-122763"/>
    <x v="485"/>
    <s v="HG-14845"/>
    <s v="Harry Greene"/>
    <s v="United States"/>
    <x v="3"/>
    <x v="1"/>
    <s v="Xerox 1916"/>
    <n v="284.06400000000002"/>
    <n v="7"/>
    <n v="102.774"/>
    <n v="36.179874957755999"/>
  </r>
  <r>
    <s v="CA-2020-124205"/>
    <x v="301"/>
    <s v="TC-21145"/>
    <s v="Theresa Coyne"/>
    <s v="United States"/>
    <x v="0"/>
    <x v="0"/>
    <s v="Plantronics 81402"/>
    <n v="429.94"/>
    <n v="6"/>
    <n v="102.9444"/>
    <n v="23.943899148718426"/>
  </r>
  <r>
    <s v="CA-2019-101672"/>
    <x v="257"/>
    <s v="DB-12910"/>
    <s v="Daniel Byrd"/>
    <s v="United States"/>
    <x v="2"/>
    <x v="2"/>
    <s v="Global Deluxe High-Back Manager's Chair"/>
    <n v="915.13599999999997"/>
    <n v="4"/>
    <n v="102.9528"/>
    <n v="11.25"/>
  </r>
  <r>
    <s v="CA-2019-114489"/>
    <x v="444"/>
    <s v="JE-16165"/>
    <s v="Justin Ellison"/>
    <s v="United States"/>
    <x v="3"/>
    <x v="0"/>
    <s v="Plantronics Cordless Phone Headset with In-line Volume - M214C"/>
    <n v="384.45"/>
    <n v="11"/>
    <n v="103.8015"/>
    <n v="27"/>
  </r>
  <r>
    <s v="CA-2020-128041"/>
    <x v="524"/>
    <s v="RW-19540"/>
    <s v="Rick Wilson"/>
    <s v="United States"/>
    <x v="2"/>
    <x v="1"/>
    <s v="Honeywell Quietcare HEPA Air Cleaner"/>
    <n v="341.6"/>
    <n v="4"/>
    <n v="103.818"/>
    <n v="30.391686182669787"/>
  </r>
  <r>
    <s v="CA-2020-110443"/>
    <x v="341"/>
    <s v="CK-12205"/>
    <s v="Chloris Kastensmidt"/>
    <s v="United States"/>
    <x v="2"/>
    <x v="0"/>
    <s v="3D Systems Cube Printer, 2nd Generation, White"/>
    <n v="1053.992"/>
    <n v="1"/>
    <n v="103.9992"/>
    <n v="9.8671716673371339"/>
  </r>
  <r>
    <s v="US-2020-148831"/>
    <x v="114"/>
    <s v="AH-10210"/>
    <s v="Alan Hwang"/>
    <s v="United States"/>
    <x v="1"/>
    <x v="1"/>
    <s v="Trav-L-File Heavy-Duty Shuttle II, Black"/>
    <n v="389.56"/>
    <n v="8"/>
    <n v="104.568"/>
    <n v="26.842591641852348"/>
  </r>
  <r>
    <s v="CA-2019-122063"/>
    <x v="107"/>
    <s v="MM-17920"/>
    <s v="Michael Moore"/>
    <s v="United States"/>
    <x v="3"/>
    <x v="2"/>
    <s v="Hon 5100 Series Wood Tables"/>
    <n v="581.96"/>
    <n v="2"/>
    <n v="104.75279999999999"/>
    <n v="17.999999999999996"/>
  </r>
  <r>
    <s v="CA-2019-112669"/>
    <x v="549"/>
    <s v="KT-16465"/>
    <s v="Kean Takahito"/>
    <s v="United States"/>
    <x v="2"/>
    <x v="2"/>
    <s v="Hon 4070 Series Pagoda Armless Upholstered Stacking Chairs"/>
    <n v="933.53599999999994"/>
    <n v="4"/>
    <n v="105.0228"/>
    <n v="11.250000000000002"/>
  </r>
  <r>
    <s v="US-2019-143819"/>
    <x v="59"/>
    <s v="KD-16270"/>
    <s v="Karen Daniels"/>
    <s v="United States"/>
    <x v="0"/>
    <x v="1"/>
    <s v="Adjustable Depth Letter/Legal Cart"/>
    <n v="362.92"/>
    <n v="2"/>
    <n v="105.24679999999999"/>
    <n v="28.999999999999996"/>
  </r>
  <r>
    <s v="CA-2020-147410"/>
    <x v="130"/>
    <s v="EJ-14155"/>
    <s v="Eva Jacobs"/>
    <s v="United States"/>
    <x v="2"/>
    <x v="1"/>
    <s v="24 Capacity Maxi Data Binder Racks, Pearl"/>
    <n v="469.1"/>
    <n v="2"/>
    <n v="105.27500000000001"/>
    <n v="22.441910040503092"/>
  </r>
  <r>
    <s v="CA-2020-128734"/>
    <x v="437"/>
    <s v="JL-15175"/>
    <s v="James Lanier"/>
    <s v="United States"/>
    <x v="2"/>
    <x v="2"/>
    <s v="Global Leather Executive Chair"/>
    <n v="814.37599999999998"/>
    <n v="3"/>
    <n v="105.297"/>
    <n v="12.929776908946236"/>
  </r>
  <r>
    <s v="US-2020-116652"/>
    <x v="301"/>
    <s v="RD-19480"/>
    <s v="Rick Duston"/>
    <s v="United States"/>
    <x v="2"/>
    <x v="2"/>
    <s v="Tenex 46&quot; x 60&quot; Computer Anti-Static Chairmat, Rectangular Shaped"/>
    <n v="549.9"/>
    <n v="5"/>
    <n v="105.98"/>
    <n v="19.272595017275869"/>
  </r>
  <r>
    <s v="CA-2020-167101"/>
    <x v="473"/>
    <s v="BM-11650"/>
    <s v="Brian Moss"/>
    <s v="United States"/>
    <x v="0"/>
    <x v="1"/>
    <s v="Xerox 1888"/>
    <n v="234.92"/>
    <n v="4"/>
    <n v="106.52160000000001"/>
    <n v="45.34377660480164"/>
  </r>
  <r>
    <s v="CA-2020-140515"/>
    <x v="120"/>
    <s v="GZ-14545"/>
    <s v="George Zrebassa"/>
    <s v="United States"/>
    <x v="2"/>
    <x v="1"/>
    <s v="Belkin 5 Outlet SurgeMaster Power Centers"/>
    <n v="421.36"/>
    <n v="7"/>
    <n v="106.7808"/>
    <n v="25.341940383520029"/>
  </r>
  <r>
    <s v="CA-2020-165008"/>
    <x v="301"/>
    <s v="DO-13645"/>
    <s v="Doug O'Connell"/>
    <s v="United States"/>
    <x v="2"/>
    <x v="1"/>
    <s v="Avery Trapezoid Ring Binder, 3&quot; Capacity, Black, 1040 sheets"/>
    <n v="317.05599999999998"/>
    <n v="9"/>
    <n v="106.95780000000001"/>
    <n v="33.734671477593871"/>
  </r>
  <r>
    <s v="CA-2020-103968"/>
    <x v="265"/>
    <s v="ML-17755"/>
    <s v="Max Ludwig"/>
    <s v="United States"/>
    <x v="2"/>
    <x v="2"/>
    <s v="Tenex &quot;The Solids&quot; Textured Chair Mats"/>
    <n v="669.64"/>
    <n v="9"/>
    <n v="107.03879999999999"/>
    <n v="15.984529000657069"/>
  </r>
  <r>
    <s v="US-2019-144057"/>
    <x v="119"/>
    <s v="CV-12805"/>
    <s v="Cynthia Voltz"/>
    <s v="United States"/>
    <x v="3"/>
    <x v="1"/>
    <s v="Hot File 7-Pocket, Floor Stand"/>
    <n v="856.65599999999995"/>
    <n v="6"/>
    <n v="107.08199999999999"/>
    <n v="12.5"/>
  </r>
  <r>
    <s v="CA-2019-142370"/>
    <x v="204"/>
    <s v="TP-21130"/>
    <s v="Theone Pippenger"/>
    <s v="United States"/>
    <x v="1"/>
    <x v="0"/>
    <s v="Logitech Wireless Marathon Mouse M705"/>
    <n v="249.95"/>
    <n v="5"/>
    <n v="107.4785"/>
    <n v="43"/>
  </r>
  <r>
    <s v="CA-2019-123512"/>
    <x v="80"/>
    <s v="MV-18190"/>
    <s v="Mike Vittorini"/>
    <s v="United States"/>
    <x v="2"/>
    <x v="1"/>
    <s v="Xerox 1914"/>
    <n v="219.84"/>
    <n v="4"/>
    <n v="107.7216"/>
    <n v="49"/>
  </r>
  <r>
    <s v="CA-2020-166317"/>
    <x v="10"/>
    <s v="JE-15610"/>
    <s v="Jim Epp"/>
    <s v="United States"/>
    <x v="3"/>
    <x v="1"/>
    <s v="Xerox 1940"/>
    <n v="268.83999999999997"/>
    <n v="4"/>
    <n v="107.7216"/>
    <n v="40.069037345633092"/>
  </r>
  <r>
    <s v="CA-2020-100902"/>
    <x v="328"/>
    <s v="CK-12595"/>
    <s v="Clytie Kelty"/>
    <s v="United States"/>
    <x v="1"/>
    <x v="0"/>
    <s v="Plantronics S12 Corded Telephone Headset System"/>
    <n v="479.16"/>
    <n v="5"/>
    <n v="107.79"/>
    <n v="22.495617330328074"/>
  </r>
  <r>
    <s v="CA-2019-156685"/>
    <x v="336"/>
    <s v="SC-20230"/>
    <s v="Scot Coram"/>
    <s v="United States"/>
    <x v="3"/>
    <x v="0"/>
    <s v="Cisco SPA 502G IP Phone"/>
    <n v="863.64"/>
    <n v="9"/>
    <n v="107.955"/>
    <n v="12.5"/>
  </r>
  <r>
    <s v="CA-2020-117079"/>
    <x v="122"/>
    <s v="JR-15700"/>
    <s v="Jocasta Rupert"/>
    <s v="United States"/>
    <x v="1"/>
    <x v="0"/>
    <s v="Wilson SignalBoost 841262 DB PRO Amplifier Kit"/>
    <n v="900.88"/>
    <n v="3"/>
    <n v="107.985"/>
    <n v="11.986613089423674"/>
  </r>
  <r>
    <s v="CA-2020-111269"/>
    <x v="360"/>
    <s v="CS-12355"/>
    <s v="Christine Sundaresam"/>
    <s v="United States"/>
    <x v="0"/>
    <x v="0"/>
    <s v="Logitech Wireless Performance Mouse MX for PC and Mac"/>
    <n v="492.952"/>
    <n v="6"/>
    <n v="107.9892"/>
    <n v="21.906635940213246"/>
  </r>
  <r>
    <s v="US-2020-124779"/>
    <x v="25"/>
    <s v="BF-11020"/>
    <s v="Barry Französisch"/>
    <s v="United States"/>
    <x v="3"/>
    <x v="0"/>
    <s v="Canon PC-428 Personal Copier"/>
    <n v="331.98399999999998"/>
    <n v="2"/>
    <n v="107.99460000000001"/>
    <n v="32.530061689719993"/>
  </r>
  <r>
    <s v="CA-2019-161025"/>
    <x v="107"/>
    <s v="GM-14440"/>
    <s v="Gary McGarr"/>
    <s v="United States"/>
    <x v="2"/>
    <x v="1"/>
    <s v="Fellowes Staxonsteel Drawer Files"/>
    <n v="772.68"/>
    <n v="4"/>
    <n v="108.1752"/>
    <n v="14.000000000000002"/>
  </r>
  <r>
    <s v="CA-2020-131828"/>
    <x v="401"/>
    <s v="CS-11845"/>
    <s v="Cari Sayre"/>
    <s v="United States"/>
    <x v="2"/>
    <x v="2"/>
    <s v="Global Leather and Oak Executive Chair, Black"/>
    <n v="986.13599999999997"/>
    <n v="4"/>
    <n v="108.3528"/>
    <n v="10.987612256321643"/>
  </r>
  <r>
    <s v="CA-2019-114482"/>
    <x v="284"/>
    <s v="DM-13345"/>
    <s v="Denise Monton"/>
    <s v="United States"/>
    <x v="3"/>
    <x v="0"/>
    <s v="Logitech Mobile Speakerphone P710e - speaker phone"/>
    <n v="404.94"/>
    <n v="3"/>
    <n v="109.3338"/>
    <n v="27"/>
  </r>
  <r>
    <s v="CA-2019-152730"/>
    <x v="323"/>
    <s v="EM-14140"/>
    <s v="Eugene Moren"/>
    <s v="United States"/>
    <x v="3"/>
    <x v="1"/>
    <s v="Acco 7-Outlet Masterpiece Power Center, Wihtout Fax/Phone Line Protection"/>
    <n v="364.74"/>
    <n v="3"/>
    <n v="109.422"/>
    <n v="30"/>
  </r>
  <r>
    <s v="CA-2020-117212"/>
    <x v="595"/>
    <s v="BT-11530"/>
    <s v="Bradley Talbott"/>
    <s v="United States"/>
    <x v="2"/>
    <x v="1"/>
    <s v="Xerox 1908"/>
    <n v="249.92"/>
    <n v="4"/>
    <n v="109.7208"/>
    <n v="43.902368758002567"/>
  </r>
  <r>
    <s v="US-2020-100048"/>
    <x v="234"/>
    <s v="RS-19765"/>
    <s v="Roland Schwarz"/>
    <s v="United States"/>
    <x v="0"/>
    <x v="1"/>
    <s v="Bionaire Personal Warm Mist Humidifier/Vaporizer"/>
    <n v="323.33999999999997"/>
    <n v="6"/>
    <n v="109.7226"/>
    <n v="33.934125069586194"/>
  </r>
  <r>
    <s v="CA-2020-160325"/>
    <x v="64"/>
    <s v="BP-11095"/>
    <s v="Bart Pistole"/>
    <s v="United States"/>
    <x v="0"/>
    <x v="0"/>
    <s v="Panasonic KX-TG9471B"/>
    <n v="432.98"/>
    <n v="2"/>
    <n v="109.7544"/>
    <n v="25.348607325973489"/>
  </r>
  <r>
    <s v="CA-2019-165330"/>
    <x v="111"/>
    <s v="WB-21850"/>
    <s v="William Brown"/>
    <s v="United States"/>
    <x v="2"/>
    <x v="2"/>
    <s v="Hon Non-Folding Utility Tables"/>
    <n v="892.13599999999997"/>
    <n v="7"/>
    <n v="111.517"/>
    <n v="12.5"/>
  </r>
  <r>
    <s v="CA-2020-111577"/>
    <x v="12"/>
    <s v="AJ-10780"/>
    <s v="Anthony Jacobs"/>
    <s v="United States"/>
    <x v="2"/>
    <x v="1"/>
    <s v="Green Bar Computer Printout Paper"/>
    <n v="331.77600000000001"/>
    <n v="7"/>
    <n v="111.5688"/>
    <n v="33.627748842592595"/>
  </r>
  <r>
    <s v="CA-2020-127026"/>
    <x v="263"/>
    <s v="MH-18115"/>
    <s v="Mick Hernandez"/>
    <s v="United States"/>
    <x v="3"/>
    <x v="0"/>
    <s v="Logitech G19 Programmable Gaming Keyboard"/>
    <n v="669.95"/>
    <n v="5"/>
    <n v="111.59099999999999"/>
    <n v="16.656616165385472"/>
  </r>
  <r>
    <s v="CA-2020-100384"/>
    <x v="47"/>
    <s v="NH-18610"/>
    <s v="Nicole Hansen"/>
    <s v="United States"/>
    <x v="2"/>
    <x v="1"/>
    <s v="Boston Heavy-Duty Trimline Electric Pencil Sharpeners"/>
    <n v="431.6"/>
    <n v="8"/>
    <n v="111.824"/>
    <n v="25.909175162187211"/>
  </r>
  <r>
    <s v="US-2020-128447"/>
    <x v="31"/>
    <s v="MC-17845"/>
    <s v="Michael Chen"/>
    <s v="United States"/>
    <x v="2"/>
    <x v="1"/>
    <s v="Eureka The Boss Lite 10-Amp Upright Vacuum, Blue"/>
    <n v="412.8"/>
    <n v="5"/>
    <n v="112.224"/>
    <n v="27.186046511627911"/>
  </r>
  <r>
    <s v="CA-2020-122035"/>
    <x v="384"/>
    <s v="EM-13825"/>
    <s v="Elizabeth Moffitt"/>
    <s v="United States"/>
    <x v="3"/>
    <x v="1"/>
    <s v="1.7 Cubic Foot Compact &quot;Cube&quot; Office Refrigerators"/>
    <n v="435.32"/>
    <n v="2"/>
    <n v="112.4064"/>
    <n v="25.821556556096663"/>
  </r>
  <r>
    <s v="CA-2020-155621"/>
    <x v="626"/>
    <s v="KN-16450"/>
    <s v="Kean Nguyen"/>
    <s v="United States"/>
    <x v="0"/>
    <x v="2"/>
    <s v="Howard Miller Distant Time Traveler Alarm Clock"/>
    <n v="291.2"/>
    <n v="10"/>
    <n v="112.422"/>
    <n v="38.606456043956044"/>
  </r>
  <r>
    <s v="CA-2020-161046"/>
    <x v="512"/>
    <s v="CB-12535"/>
    <s v="Claudia Bergmann"/>
    <s v="United States"/>
    <x v="1"/>
    <x v="1"/>
    <s v="Ibico Recycled Linen-Style Covers"/>
    <n v="271.36"/>
    <n v="6"/>
    <n v="112.4928"/>
    <n v="41.455188679245282"/>
  </r>
  <r>
    <s v="CA-2019-138597"/>
    <x v="60"/>
    <s v="PN-18775"/>
    <s v="Parhena Norris"/>
    <s v="United States"/>
    <x v="3"/>
    <x v="2"/>
    <s v="Hon Every-Day Series Multi-Task Chairs"/>
    <n v="563.94000000000005"/>
    <n v="3"/>
    <n v="112.788"/>
    <n v="20"/>
  </r>
  <r>
    <s v="CA-2020-162173"/>
    <x v="184"/>
    <s v="OT-18730"/>
    <s v="Olvera Toch"/>
    <s v="United States"/>
    <x v="1"/>
    <x v="1"/>
    <s v="Tyvek  Top-Opening Peel &amp; Seel  Envelopes, Gray"/>
    <n v="281.58"/>
    <n v="7"/>
    <n v="113.211"/>
    <n v="40.205625399531222"/>
  </r>
  <r>
    <s v="CA-2019-147375"/>
    <x v="104"/>
    <s v="PO-19180"/>
    <s v="Philisse Overcash"/>
    <s v="United States"/>
    <x v="3"/>
    <x v="1"/>
    <s v="Xerox 1908"/>
    <n v="313.488"/>
    <n v="7"/>
    <n v="113.63939999999999"/>
    <n v="36.25"/>
  </r>
  <r>
    <s v="CA-2020-122196"/>
    <x v="10"/>
    <s v="CA-12265"/>
    <s v="Christina Anderson"/>
    <s v="United States"/>
    <x v="0"/>
    <x v="0"/>
    <s v="GE 30524EE4"/>
    <n v="429.98"/>
    <n v="2"/>
    <n v="113.6742"/>
    <n v="26.437090097213822"/>
  </r>
  <r>
    <s v="CA-2020-144484"/>
    <x v="183"/>
    <s v="CB-12025"/>
    <s v="Cassandra Brandow"/>
    <s v="United States"/>
    <x v="2"/>
    <x v="1"/>
    <s v="Kensington 4 Outlet MasterPiece Compact Power Control Center"/>
    <n v="447.6"/>
    <n v="5"/>
    <n v="113.848"/>
    <n v="25.435210008936547"/>
  </r>
  <r>
    <s v="US-2020-100048"/>
    <x v="234"/>
    <s v="RS-19765"/>
    <s v="Roland Schwarz"/>
    <s v="United States"/>
    <x v="0"/>
    <x v="0"/>
    <s v="Logitech Wireless Performance Mouse MX for PC and Mac"/>
    <n v="311.97000000000003"/>
    <n v="3"/>
    <n v="113.98860000000001"/>
    <n v="36.538320992403115"/>
  </r>
  <r>
    <s v="CA-2020-140053"/>
    <x v="142"/>
    <s v="CA-12265"/>
    <s v="Christina Anderson"/>
    <s v="United States"/>
    <x v="2"/>
    <x v="2"/>
    <s v="Tenex Traditional Chairmats for Medium Pile Carpet, Standard Lip, 36&quot; x 48&quot;"/>
    <n v="592.85"/>
    <n v="9"/>
    <n v="114.6285"/>
    <n v="19.335160664586322"/>
  </r>
  <r>
    <s v="CA-2020-150987"/>
    <x v="592"/>
    <s v="AH-10120"/>
    <s v="Adrian Hane"/>
    <s v="United States"/>
    <x v="2"/>
    <x v="1"/>
    <s v="Xerox 1891"/>
    <n v="284.55"/>
    <n v="5"/>
    <n v="114.9385"/>
    <n v="40.393076787910736"/>
  </r>
  <r>
    <s v="CA-2020-115175"/>
    <x v="278"/>
    <s v="MC-17575"/>
    <s v="Matt Collins"/>
    <s v="United States"/>
    <x v="2"/>
    <x v="1"/>
    <s v="Xerox 1891"/>
    <n v="269.55"/>
    <n v="5"/>
    <n v="114.9385"/>
    <n v="42.640882953069934"/>
  </r>
  <r>
    <s v="CA-2020-164756"/>
    <x v="406"/>
    <s v="SS-20140"/>
    <s v="Saphhira Shifley"/>
    <s v="United States"/>
    <x v="1"/>
    <x v="1"/>
    <s v="Xerox 1917"/>
    <n v="260.55"/>
    <n v="5"/>
    <n v="114.9385"/>
    <n v="44.113797735559395"/>
  </r>
  <r>
    <s v="CA-2020-101245"/>
    <x v="464"/>
    <s v="LW-16990"/>
    <s v="Lindsay Williams"/>
    <s v="United States"/>
    <x v="2"/>
    <x v="1"/>
    <s v="Tops White Computer Printout Paper"/>
    <n v="276.55"/>
    <n v="5"/>
    <n v="114.9385"/>
    <n v="41.561562104501895"/>
  </r>
  <r>
    <s v="CA-2019-117604"/>
    <x v="478"/>
    <s v="JP-15520"/>
    <s v="Jeremy Pistek"/>
    <s v="United States"/>
    <x v="1"/>
    <x v="1"/>
    <s v="Xerox 1886"/>
    <n v="239.5"/>
    <n v="5"/>
    <n v="114.96"/>
    <n v="48"/>
  </r>
  <r>
    <s v="CA-2019-131065"/>
    <x v="296"/>
    <s v="AA-10375"/>
    <s v="Allen Armold"/>
    <s v="United States"/>
    <x v="1"/>
    <x v="0"/>
    <s v="Logitech diNovo Edge Keyboard"/>
    <n v="499.98"/>
    <n v="2"/>
    <n v="114.9954"/>
    <n v="23"/>
  </r>
  <r>
    <s v="CA-2020-105487"/>
    <x v="451"/>
    <s v="CS-12250"/>
    <s v="Chris Selesnick"/>
    <s v="United States"/>
    <x v="2"/>
    <x v="0"/>
    <s v="Logitech Illuminated - Keyboard"/>
    <n v="269.95999999999998"/>
    <n v="4"/>
    <n v="115.1808"/>
    <n v="42.66587642613721"/>
  </r>
  <r>
    <s v="US-2020-136868"/>
    <x v="482"/>
    <s v="CR-12820"/>
    <s v="Cyra Reiten"/>
    <s v="United States"/>
    <x v="0"/>
    <x v="0"/>
    <s v="Logitech G430 Surround Sound Gaming Headset with Dolby 7.1 Technology"/>
    <n v="331.96"/>
    <n v="4"/>
    <n v="115.18559999999999"/>
    <n v="34.698638390167488"/>
  </r>
  <r>
    <s v="CA-2019-148852"/>
    <x v="154"/>
    <s v="SV-20785"/>
    <s v="Stewart Visinsky"/>
    <s v="United States"/>
    <x v="2"/>
    <x v="0"/>
    <s v="Fellowes Powershred HS-440 4-Sheet High Security Shredder"/>
    <n v="371.976"/>
    <n v="3"/>
    <n v="116.24250000000001"/>
    <n v="31.25"/>
  </r>
  <r>
    <s v="CA-2020-121888"/>
    <x v="301"/>
    <s v="CL-11890"/>
    <s v="Carl Ludwig"/>
    <s v="United States"/>
    <x v="0"/>
    <x v="1"/>
    <s v="Wilson Jones Heavy-Duty Casebound Ring Binders with Metal Hinges"/>
    <n v="291.48"/>
    <n v="7"/>
    <n v="116.3904"/>
    <n v="39.930835734870314"/>
  </r>
  <r>
    <s v="CA-2019-142097"/>
    <x v="486"/>
    <s v="QJ-19255"/>
    <s v="Quincy Jones"/>
    <s v="United States"/>
    <x v="1"/>
    <x v="1"/>
    <s v="GBC Twin Loop Wire Binding Elements"/>
    <n v="232.96"/>
    <n v="7"/>
    <n v="116.48"/>
    <n v="50"/>
  </r>
  <r>
    <s v="US-2019-169040"/>
    <x v="431"/>
    <s v="GT-14710"/>
    <s v="Greg Tran"/>
    <s v="United States"/>
    <x v="2"/>
    <x v="1"/>
    <s v="Xerox 1880"/>
    <n v="248.08"/>
    <n v="7"/>
    <n v="116.5976"/>
    <n v="47"/>
  </r>
  <r>
    <s v="CA-2020-148446"/>
    <x v="409"/>
    <s v="MC-17845"/>
    <s v="Michael Chen"/>
    <s v="United States"/>
    <x v="2"/>
    <x v="2"/>
    <s v="Bretford “Just In Time” Height-Adjustable Multi-Task Work Tables"/>
    <n v="904.6"/>
    <n v="4"/>
    <n v="116.872"/>
    <n v="12.919743533053282"/>
  </r>
  <r>
    <s v="CA-2019-145905"/>
    <x v="99"/>
    <s v="AM-10705"/>
    <s v="Anne McFarland"/>
    <s v="United States"/>
    <x v="1"/>
    <x v="1"/>
    <s v="Tennsco Double-Tier Lockers"/>
    <n v="900.08"/>
    <n v="4"/>
    <n v="117.0104"/>
    <n v="13"/>
  </r>
  <r>
    <s v="CA-2019-150945"/>
    <x v="60"/>
    <s v="JK-16120"/>
    <s v="Julie Kriz"/>
    <s v="United States"/>
    <x v="0"/>
    <x v="1"/>
    <s v="Tennsco Double-Tier Lockers"/>
    <n v="900.08"/>
    <n v="4"/>
    <n v="117.0104"/>
    <n v="13"/>
  </r>
  <r>
    <s v="CA-2019-159212"/>
    <x v="564"/>
    <s v="KM-16375"/>
    <s v="Katherine Murray"/>
    <s v="United States"/>
    <x v="1"/>
    <x v="1"/>
    <s v="Airmail Envelopes"/>
    <n v="251.79"/>
    <n v="3"/>
    <n v="118.3413"/>
    <n v="47"/>
  </r>
  <r>
    <s v="CA-2019-160535"/>
    <x v="0"/>
    <s v="BP-11050"/>
    <s v="Barry Pond"/>
    <s v="United States"/>
    <x v="0"/>
    <x v="0"/>
    <s v="Konica Minolta magicolor 1690MF Multifunction Printer"/>
    <n v="319.92"/>
    <n v="8"/>
    <n v="118.3704"/>
    <n v="37"/>
  </r>
  <r>
    <s v="CA-2019-108882"/>
    <x v="540"/>
    <s v="LA-16780"/>
    <s v="Laura Armstrong"/>
    <s v="United States"/>
    <x v="2"/>
    <x v="0"/>
    <s v="Logitech G500s Laser Gaming Mouse with Adjustable Weight Tuning"/>
    <n v="349.95"/>
    <n v="5"/>
    <n v="118.983"/>
    <n v="34"/>
  </r>
  <r>
    <s v="CA-2020-147760"/>
    <x v="1"/>
    <s v="KL-16555"/>
    <s v="Kelly Lampkin"/>
    <s v="United States"/>
    <x v="1"/>
    <x v="0"/>
    <s v="Motorola Moto X"/>
    <n v="1376.96"/>
    <n v="5"/>
    <n v="118.9965"/>
    <n v="8.641972170578665"/>
  </r>
  <r>
    <s v="CA-2020-141733"/>
    <x v="575"/>
    <s v="RW-19540"/>
    <s v="Rick Wilson"/>
    <s v="United States"/>
    <x v="3"/>
    <x v="2"/>
    <s v="Safco Contoured Stacking Chairs"/>
    <n v="517.79999999999995"/>
    <n v="2"/>
    <n v="119.2"/>
    <n v="23.020471224410972"/>
  </r>
  <r>
    <s v="CA-2020-164756"/>
    <x v="406"/>
    <s v="SS-20140"/>
    <s v="Saphhira Shifley"/>
    <s v="United States"/>
    <x v="1"/>
    <x v="0"/>
    <s v="AT&amp;T CL83451 4-Handset Telephone"/>
    <n v="429.98"/>
    <n v="2"/>
    <n v="119.4742"/>
    <n v="27.785990046048653"/>
  </r>
  <r>
    <s v="US-2019-164630"/>
    <x v="162"/>
    <s v="EB-13975"/>
    <s v="Erica Bern"/>
    <s v="United States"/>
    <x v="1"/>
    <x v="0"/>
    <s v="Hewlett Packard 310 Color Digital Copier"/>
    <n v="959.96799999999996"/>
    <n v="4"/>
    <n v="119.996"/>
    <n v="12.5"/>
  </r>
  <r>
    <s v="CA-2019-163776"/>
    <x v="469"/>
    <s v="JS-16030"/>
    <s v="Joy Smith"/>
    <s v="United States"/>
    <x v="1"/>
    <x v="1"/>
    <s v="Xerox 1893"/>
    <n v="245.94"/>
    <n v="6"/>
    <n v="120.5106"/>
    <n v="49"/>
  </r>
  <r>
    <s v="CA-2020-153843"/>
    <x v="52"/>
    <s v="SC-20380"/>
    <s v="Shahid Collister"/>
    <s v="United States"/>
    <x v="0"/>
    <x v="1"/>
    <s v="Hoover Commercial Lightweight Upright Vacuum with E-Z Empty Dirt Cup"/>
    <n v="507.16"/>
    <n v="2"/>
    <n v="120.94159999999999"/>
    <n v="23.846833346478427"/>
  </r>
  <r>
    <s v="CA-2020-121580"/>
    <x v="201"/>
    <s v="ML-17410"/>
    <s v="Maris LaWare"/>
    <s v="United States"/>
    <x v="3"/>
    <x v="1"/>
    <s v="Hoover Commercial Lightweight Upright Vacuum with E-Z Empty Dirt Cup"/>
    <n v="480.16"/>
    <n v="2"/>
    <n v="120.94159999999999"/>
    <n v="25.187770743085636"/>
  </r>
  <r>
    <s v="CA-2019-108434"/>
    <x v="444"/>
    <s v="JG-15160"/>
    <s v="James Galang"/>
    <s v="United States"/>
    <x v="0"/>
    <x v="1"/>
    <s v="Dual Level, Single-Width Filing Carts"/>
    <n v="465.18"/>
    <n v="3"/>
    <n v="120.9468"/>
    <n v="26"/>
  </r>
  <r>
    <s v="CA-2019-154767"/>
    <x v="507"/>
    <s v="BP-11155"/>
    <s v="Becky Pak"/>
    <s v="United States"/>
    <x v="0"/>
    <x v="1"/>
    <s v="Holmes Replacement Filter for HEPA Air Cleaner, Very Large Room, HEPA Filter"/>
    <n v="275.24"/>
    <n v="4"/>
    <n v="121.1056"/>
    <n v="43.999999999999993"/>
  </r>
  <r>
    <s v="CA-2020-118724"/>
    <x v="102"/>
    <s v="AR-10825"/>
    <s v="Anthony Rawles"/>
    <s v="United States"/>
    <x v="2"/>
    <x v="0"/>
    <s v="Polycom SoundPoint IP 450 VoIP phone"/>
    <n v="1652.192"/>
    <n v="9"/>
    <n v="121.9644"/>
    <n v="7.3819749762739431"/>
  </r>
  <r>
    <s v="CA-2019-136686"/>
    <x v="329"/>
    <s v="RF-19840"/>
    <s v="Roy Französisch"/>
    <s v="United States"/>
    <x v="2"/>
    <x v="2"/>
    <s v="Howard Miller 14-1/2&quot; Diameter Chrome Round Wall Clock"/>
    <n v="383.64"/>
    <n v="6"/>
    <n v="122.76479999999999"/>
    <n v="32"/>
  </r>
  <r>
    <s v="CA-2019-101987"/>
    <x v="309"/>
    <s v="HL-15040"/>
    <s v="Hunter Lopez"/>
    <s v="United States"/>
    <x v="3"/>
    <x v="0"/>
    <s v="Panasonic KX TS208W Corded phone"/>
    <n v="440.91"/>
    <n v="9"/>
    <n v="123.45480000000001"/>
    <n v="27.999999999999996"/>
  </r>
  <r>
    <s v="CA-2019-117590"/>
    <x v="83"/>
    <s v="GH-14485"/>
    <s v="Gene Hale"/>
    <s v="United States"/>
    <x v="3"/>
    <x v="0"/>
    <s v="GE 30524EE4"/>
    <n v="97.543999999999997"/>
    <n v="7"/>
    <n v="123.47369999999999"/>
    <n v="126.58256786680882"/>
  </r>
  <r>
    <s v="CA-2020-152695"/>
    <x v="409"/>
    <s v="CC-12220"/>
    <s v="Chris Cortes"/>
    <s v="United States"/>
    <x v="0"/>
    <x v="1"/>
    <s v="Tripp Lite Isotel 6 Outlet Surge Protector with Fax/Modem Protection"/>
    <n v="607.79"/>
    <n v="7"/>
    <n v="123.76909999999999"/>
    <n v="20.363793415488903"/>
  </r>
  <r>
    <s v="CA-2019-167556"/>
    <x v="98"/>
    <s v="JM-15250"/>
    <s v="Janet Martin"/>
    <s v="United States"/>
    <x v="0"/>
    <x v="2"/>
    <s v="Howard Miller 13-3/4&quot; Diameter Brushed Chrome Round Wall Clock"/>
    <n v="414"/>
    <n v="8"/>
    <n v="124.2"/>
    <n v="30"/>
  </r>
  <r>
    <s v="US-2019-162859"/>
    <x v="535"/>
    <s v="PG-18820"/>
    <s v="Patrick Gardner"/>
    <s v="United States"/>
    <x v="0"/>
    <x v="1"/>
    <s v="GBC DocuBind P100 Manual Binding Machine"/>
    <n v="398.35199999999998"/>
    <n v="3"/>
    <n v="124.485"/>
    <n v="31.25"/>
  </r>
  <r>
    <s v="CA-2019-167682"/>
    <x v="158"/>
    <s v="ZD-21925"/>
    <s v="Zuschuss Donatelli"/>
    <s v="United States"/>
    <x v="3"/>
    <x v="0"/>
    <s v="Plantronics Voyager Pro HD - Bluetooth Headset"/>
    <n v="259.95999999999998"/>
    <n v="4"/>
    <n v="124.7808"/>
    <n v="48.000000000000007"/>
  </r>
  <r>
    <s v="CA-2020-104640"/>
    <x v="31"/>
    <s v="FH-14275"/>
    <s v="Frank Hawley"/>
    <s v="United States"/>
    <x v="0"/>
    <x v="0"/>
    <s v="Aastra 6757i CT Wireless VoIP phone"/>
    <n v="469.88"/>
    <n v="2"/>
    <n v="124.9552"/>
    <n v="26.593002468715415"/>
  </r>
  <r>
    <s v="CA-2019-146171"/>
    <x v="253"/>
    <s v="JP-16135"/>
    <s v="Julie Prescott"/>
    <s v="United States"/>
    <x v="1"/>
    <x v="1"/>
    <s v="Iceberg Mobile Mega Data/Printer Cart"/>
    <n v="481.32"/>
    <n v="4"/>
    <n v="125.14319999999999"/>
    <n v="26"/>
  </r>
  <r>
    <s v="US-2019-111528"/>
    <x v="353"/>
    <s v="JP-16135"/>
    <s v="Julie Prescott"/>
    <s v="United States"/>
    <x v="2"/>
    <x v="1"/>
    <s v="Iceberg Mobile Mega Data/Printer Cart"/>
    <n v="481.32"/>
    <n v="4"/>
    <n v="125.14319999999999"/>
    <n v="26"/>
  </r>
  <r>
    <s v="CA-2020-120936"/>
    <x v="93"/>
    <s v="CA-12310"/>
    <s v="Christine Abelman"/>
    <s v="United States"/>
    <x v="2"/>
    <x v="1"/>
    <s v="Iceberg Mobile Mega Data/Printer Cart"/>
    <n v="682.32"/>
    <n v="4"/>
    <n v="125.14319999999999"/>
    <n v="18.340837143862114"/>
  </r>
  <r>
    <s v="CA-2019-140249"/>
    <x v="76"/>
    <s v="SW-20455"/>
    <s v="Shaun Weien"/>
    <s v="United States"/>
    <x v="2"/>
    <x v="0"/>
    <s v="Samsung Galaxy S4"/>
    <n v="1001.5839999999999"/>
    <n v="2"/>
    <n v="125.19799999999999"/>
    <n v="12.5"/>
  </r>
  <r>
    <s v="CA-2020-163006"/>
    <x v="54"/>
    <s v="GH-14410"/>
    <s v="Gary Hansen"/>
    <s v="United States"/>
    <x v="3"/>
    <x v="0"/>
    <s v="Samsung Galaxy S4"/>
    <n v="1033.5840000000001"/>
    <n v="2"/>
    <n v="125.19799999999999"/>
    <n v="12.112997105218346"/>
  </r>
  <r>
    <s v="CA-2020-161046"/>
    <x v="512"/>
    <s v="CB-12535"/>
    <s v="Claudia Bergmann"/>
    <s v="United States"/>
    <x v="1"/>
    <x v="0"/>
    <s v="Logitech G700s Rechargeable Gaming Mouse"/>
    <n v="339.97"/>
    <n v="3"/>
    <n v="125.98739999999999"/>
    <n v="37.05838750477983"/>
  </r>
  <r>
    <s v="US-2020-135986"/>
    <x v="446"/>
    <s v="PG-18895"/>
    <s v="Paul Gonzalez"/>
    <s v="United States"/>
    <x v="1"/>
    <x v="0"/>
    <s v="BlackBerry Q10"/>
    <n v="521.96"/>
    <n v="4"/>
    <n v="125.99"/>
    <n v="24.137864970495819"/>
  </r>
  <r>
    <s v="US-2019-108504"/>
    <x v="251"/>
    <s v="PP-18955"/>
    <s v="Paul Prost"/>
    <s v="United States"/>
    <x v="1"/>
    <x v="0"/>
    <s v="Aastra 57i VoIP phone"/>
    <n v="484.83"/>
    <n v="3"/>
    <n v="126.0558"/>
    <n v="26"/>
  </r>
  <r>
    <s v="CA-2019-163776"/>
    <x v="469"/>
    <s v="JS-16030"/>
    <s v="Joy Smith"/>
    <s v="United States"/>
    <x v="1"/>
    <x v="2"/>
    <s v="Hon 4-Shelf Metal Bookcases"/>
    <n v="504.9"/>
    <n v="5"/>
    <n v="126.22499999999999"/>
    <n v="25"/>
  </r>
  <r>
    <s v="CA-2019-109344"/>
    <x v="425"/>
    <s v="CH-12070"/>
    <s v="Cathy Hwang"/>
    <s v="United States"/>
    <x v="1"/>
    <x v="0"/>
    <s v="Samsung Galaxy S4 Mini"/>
    <n v="1127.9760000000001"/>
    <n v="3"/>
    <n v="126.8973"/>
    <n v="11.249999999999998"/>
  </r>
  <r>
    <s v="CA-2020-152933"/>
    <x v="169"/>
    <s v="MG-17650"/>
    <s v="Matthew Grinstein"/>
    <s v="United States"/>
    <x v="3"/>
    <x v="0"/>
    <s v="Plantronics CS510 - Over-the-Head monaural Wireless Headset System"/>
    <n v="802.88"/>
    <n v="3"/>
    <n v="128.68049999999999"/>
    <n v="16.027363989637305"/>
  </r>
  <r>
    <s v="CA-2020-150091"/>
    <x v="169"/>
    <s v="NP-18670"/>
    <s v="Nora Paige"/>
    <s v="United States"/>
    <x v="0"/>
    <x v="2"/>
    <s v="Global Adaptabilites Bookcase, Cherry/Storm Gray Finish"/>
    <n v="2185.9"/>
    <n v="5"/>
    <n v="129.29400000000001"/>
    <n v="5.9149091907223577"/>
  </r>
  <r>
    <s v="US-2019-167472"/>
    <x v="428"/>
    <s v="CK-12595"/>
    <s v="Clytie Kelty"/>
    <s v="United States"/>
    <x v="1"/>
    <x v="0"/>
    <s v="Plantronics S12 Corded Telephone Headset System"/>
    <n v="323.37"/>
    <n v="3"/>
    <n v="129.34800000000001"/>
    <n v="40"/>
  </r>
  <r>
    <s v="CA-2019-152170"/>
    <x v="300"/>
    <s v="FH-14275"/>
    <s v="Frank Hawley"/>
    <s v="United States"/>
    <x v="3"/>
    <x v="1"/>
    <s v="Tyvek  Top-Opening Peel &amp; Seel  Envelopes, Gray"/>
    <n v="287.52"/>
    <n v="8"/>
    <n v="129.38399999999999"/>
    <n v="44.999999999999993"/>
  </r>
  <r>
    <s v="CA-2019-112123"/>
    <x v="17"/>
    <s v="BH-11710"/>
    <s v="Brosina Hoffman"/>
    <s v="United States"/>
    <x v="0"/>
    <x v="0"/>
    <s v="Pyle PMP37LED"/>
    <n v="479.95"/>
    <n v="5"/>
    <n v="129.5865"/>
    <n v="27"/>
  </r>
  <r>
    <s v="CA-2020-121419"/>
    <x v="523"/>
    <s v="TC-21475"/>
    <s v="Tony Chapman"/>
    <s v="United States"/>
    <x v="1"/>
    <x v="0"/>
    <s v="NETGEAR N750 Dual Band Wi-Fi Gigabit Router"/>
    <n v="404"/>
    <n v="4"/>
    <n v="129.6"/>
    <n v="32.079207920792079"/>
  </r>
  <r>
    <s v="CA-2019-145611"/>
    <x v="349"/>
    <s v="HA-14905"/>
    <s v="Helen Abelman"/>
    <s v="United States"/>
    <x v="0"/>
    <x v="1"/>
    <s v="Honeywell Quietcare HEPA Air Cleaner"/>
    <n v="393.25"/>
    <n v="5"/>
    <n v="129.77250000000001"/>
    <n v="33"/>
  </r>
  <r>
    <s v="CA-2020-134565"/>
    <x v="206"/>
    <s v="TB-21400"/>
    <s v="Tom Boeckenhauer"/>
    <s v="United States"/>
    <x v="2"/>
    <x v="0"/>
    <s v="Cisco Desktop Collaboration Experience DX650 IP Video Phone"/>
    <n v="420.8"/>
    <n v="5"/>
    <n v="130.20750000000001"/>
    <n v="30.942846958174908"/>
  </r>
  <r>
    <s v="CA-2020-158561"/>
    <x v="250"/>
    <s v="BB-11545"/>
    <s v="Brenda Bowman"/>
    <s v="United States"/>
    <x v="1"/>
    <x v="1"/>
    <s v="Hoover Upright Vacuum With Dirt Cup"/>
    <n v="1197.1199999999999"/>
    <n v="5"/>
    <n v="130.2885"/>
    <n v="10.883495388933442"/>
  </r>
  <r>
    <s v="CA-2020-144589"/>
    <x v="477"/>
    <s v="TM-21010"/>
    <s v="Tamara Manning"/>
    <s v="United States"/>
    <x v="2"/>
    <x v="0"/>
    <s v="Panasonic KX-TG9541B DECT 6.0 Digital 2-Line Expandable Cordless Phone With Digital Answering System"/>
    <n v="394.976"/>
    <n v="3"/>
    <n v="130.4913"/>
    <n v="33.037779510653806"/>
  </r>
  <r>
    <s v="CA-2020-112431"/>
    <x v="169"/>
    <s v="RW-19690"/>
    <s v="Robert Waldorf"/>
    <s v="United States"/>
    <x v="2"/>
    <x v="0"/>
    <s v="SanDisk Cruzer 64 GB USB Flash Drive"/>
    <n v="461.84"/>
    <n v="12"/>
    <n v="130.75200000000001"/>
    <n v="28.311103412437213"/>
  </r>
  <r>
    <s v="CA-2019-153178"/>
    <x v="597"/>
    <s v="CL-12565"/>
    <s v="Clay Ludtke"/>
    <s v="United States"/>
    <x v="0"/>
    <x v="0"/>
    <s v="Wi-Ex zBoost YX540 Cellular Phone Signal Booster"/>
    <n v="437.85"/>
    <n v="3"/>
    <n v="131.35499999999999"/>
    <n v="29.999999999999993"/>
  </r>
  <r>
    <s v="CA-2019-164091"/>
    <x v="186"/>
    <s v="LA-16780"/>
    <s v="Laura Armstrong"/>
    <s v="United States"/>
    <x v="0"/>
    <x v="0"/>
    <s v="Wi-Ex zBoost YX540 Cellular Phone Signal Booster"/>
    <n v="437.85"/>
    <n v="3"/>
    <n v="131.35499999999999"/>
    <n v="29.999999999999993"/>
  </r>
  <r>
    <s v="CA-2020-160325"/>
    <x v="64"/>
    <s v="BP-11095"/>
    <s v="Bart Pistole"/>
    <s v="United States"/>
    <x v="0"/>
    <x v="0"/>
    <s v="Wi-Ex zBoost YX540 Cellular Phone Signal Booster"/>
    <n v="474.85"/>
    <n v="3"/>
    <n v="131.35499999999999"/>
    <n v="27.662419711487836"/>
  </r>
  <r>
    <s v="CA-2019-142405"/>
    <x v="335"/>
    <s v="SE-20110"/>
    <s v="Sanjit Engle"/>
    <s v="United States"/>
    <x v="2"/>
    <x v="0"/>
    <s v="Logitech G35 7.1-Channel Surround Sound Headset"/>
    <n v="389.97"/>
    <n v="3"/>
    <n v="132.5898"/>
    <n v="34"/>
  </r>
  <r>
    <s v="CA-2019-157217"/>
    <x v="469"/>
    <s v="TC-21535"/>
    <s v="Tracy Collins"/>
    <s v="United States"/>
    <x v="2"/>
    <x v="0"/>
    <s v="Logitech G35 7.1-Channel Surround Sound Headset"/>
    <n v="389.97"/>
    <n v="3"/>
    <n v="132.5898"/>
    <n v="34"/>
  </r>
  <r>
    <s v="CA-2020-122035"/>
    <x v="384"/>
    <s v="EM-13825"/>
    <s v="Elizabeth Moffitt"/>
    <s v="United States"/>
    <x v="3"/>
    <x v="0"/>
    <s v="Logitech G35 7.1-Channel Surround Sound Headset"/>
    <n v="400.97"/>
    <n v="3"/>
    <n v="132.5898"/>
    <n v="33.067261889916949"/>
  </r>
  <r>
    <s v="CA-2019-161389"/>
    <x v="444"/>
    <s v="IM-15070"/>
    <s v="Irene Maddox"/>
    <s v="United States"/>
    <x v="2"/>
    <x v="1"/>
    <s v="Fellowes PB200 Plastic Comb Binding Machine"/>
    <n v="407.976"/>
    <n v="3"/>
    <n v="132.59219999999999"/>
    <n v="32.499999999999993"/>
  </r>
  <r>
    <s v="CA-2020-169327"/>
    <x v="149"/>
    <s v="MH-17290"/>
    <s v="Marc Harrigan"/>
    <s v="United States"/>
    <x v="2"/>
    <x v="2"/>
    <s v="Luxo Professional Combination Clamp-On Lamps"/>
    <n v="559.5"/>
    <n v="5"/>
    <n v="132.99"/>
    <n v="23.769436997319037"/>
  </r>
  <r>
    <s v="CA-2020-169285"/>
    <x v="450"/>
    <s v="RW-19690"/>
    <s v="Robert Waldorf"/>
    <s v="United States"/>
    <x v="3"/>
    <x v="1"/>
    <s v="Eaton Premium Continuous-Feed Paper, 25% Cotton, Letter Size, White, 1000 Shts/Box"/>
    <n v="300.39999999999998"/>
    <n v="5"/>
    <n v="133.15199999999999"/>
    <n v="44.324900133155793"/>
  </r>
  <r>
    <s v="CA-2020-112956"/>
    <x v="500"/>
    <s v="TH-21550"/>
    <s v="Tracy Hopkins"/>
    <s v="United States"/>
    <x v="0"/>
    <x v="1"/>
    <s v="Xerox 1888"/>
    <n v="311.39999999999998"/>
    <n v="5"/>
    <n v="133.15199999999999"/>
    <n v="42.75915221579961"/>
  </r>
  <r>
    <s v="CA-2020-148929"/>
    <x v="266"/>
    <s v="SP-20620"/>
    <s v="Stefania Perrino"/>
    <s v="United States"/>
    <x v="0"/>
    <x v="1"/>
    <s v="Advantus 10-Drawer Portable Organizer, Chrome Metal Frame, Smoke Drawers"/>
    <n v="491.08"/>
    <n v="8"/>
    <n v="133.86240000000001"/>
    <n v="27.258776574081615"/>
  </r>
  <r>
    <s v="US-2020-130953"/>
    <x v="449"/>
    <s v="RF-19735"/>
    <s v="Roland Fjeld"/>
    <s v="United States"/>
    <x v="3"/>
    <x v="0"/>
    <s v="Nortel Meridian M3904 Professional Digital phone"/>
    <n v="491.97"/>
    <n v="3"/>
    <n v="133.97130000000001"/>
    <n v="27.231599487773643"/>
  </r>
  <r>
    <s v="CA-2020-145653"/>
    <x v="524"/>
    <s v="CA-12775"/>
    <s v="Cynthia Arntzen"/>
    <s v="United States"/>
    <x v="3"/>
    <x v="2"/>
    <s v="Harbour Creations 67200 Series Stacking Chairs"/>
    <n v="519.26"/>
    <n v="7"/>
    <n v="134.53020000000001"/>
    <n v="25.908061472094907"/>
  </r>
  <r>
    <s v="CA-2020-121083"/>
    <x v="112"/>
    <s v="JF-15190"/>
    <s v="Jamie Frazer"/>
    <s v="United States"/>
    <x v="0"/>
    <x v="1"/>
    <s v="Xerox 1914"/>
    <n v="313.8"/>
    <n v="5"/>
    <n v="134.65199999999999"/>
    <n v="42.910133843212236"/>
  </r>
  <r>
    <s v="CA-2019-128517"/>
    <x v="511"/>
    <s v="SW-20350"/>
    <s v="Sean Wendt"/>
    <s v="United States"/>
    <x v="3"/>
    <x v="0"/>
    <s v="Nortel Meridian M5316 Digital phone"/>
    <n v="517.9"/>
    <n v="2"/>
    <n v="134.654"/>
    <n v="26"/>
  </r>
  <r>
    <s v="US-2019-155103"/>
    <x v="118"/>
    <s v="JF-15190"/>
    <s v="Jamie Frazer"/>
    <s v="United States"/>
    <x v="0"/>
    <x v="1"/>
    <s v="Ibico EB-19 Dual Function Manual Binding System"/>
    <n v="415.17599999999999"/>
    <n v="3"/>
    <n v="134.93219999999999"/>
    <n v="32.5"/>
  </r>
  <r>
    <s v="CA-2020-115546"/>
    <x v="215"/>
    <s v="AH-10465"/>
    <s v="Amy Hunt"/>
    <s v="United States"/>
    <x v="0"/>
    <x v="0"/>
    <s v="Google Nexus 5"/>
    <n v="564.97"/>
    <n v="3"/>
    <n v="134.99250000000001"/>
    <n v="23.893746570614368"/>
  </r>
  <r>
    <s v="US-2020-132297"/>
    <x v="355"/>
    <s v="DW-13480"/>
    <s v="Dianna Wilson"/>
    <s v="United States"/>
    <x v="1"/>
    <x v="0"/>
    <s v="Google Nexus 5"/>
    <n v="560.97"/>
    <n v="3"/>
    <n v="134.99250000000001"/>
    <n v="24.06412107599337"/>
  </r>
  <r>
    <s v="US-2019-111290"/>
    <x v="448"/>
    <s v="DK-13375"/>
    <s v="Dennis Kane"/>
    <s v="United States"/>
    <x v="3"/>
    <x v="1"/>
    <s v="Fellowes Staxonsteel Drawer Files"/>
    <n v="965.85"/>
    <n v="5"/>
    <n v="135.21899999999999"/>
    <n v="13.999999999999998"/>
  </r>
  <r>
    <s v="CA-2020-133256"/>
    <x v="334"/>
    <s v="TH-21550"/>
    <s v="Tracy Hopkins"/>
    <s v="United States"/>
    <x v="3"/>
    <x v="0"/>
    <s v="Nortel Networks T7316 E Nt8 B27"/>
    <n v="592.91999999999996"/>
    <n v="8"/>
    <n v="135.97999999999999"/>
    <n v="22.933953990420292"/>
  </r>
  <r>
    <s v="CA-2020-108791"/>
    <x v="411"/>
    <s v="TM-21490"/>
    <s v="Tony Molinari"/>
    <s v="United States"/>
    <x v="0"/>
    <x v="0"/>
    <s v="Nortel Networks T7316 E Nt8 B27"/>
    <n v="565.91999999999996"/>
    <n v="8"/>
    <n v="135.97999999999999"/>
    <n v="24.028131184619735"/>
  </r>
  <r>
    <s v="CA-2019-105732"/>
    <x v="443"/>
    <s v="AG-10270"/>
    <s v="Alejandro Grove"/>
    <s v="United States"/>
    <x v="3"/>
    <x v="1"/>
    <s v="Harmony Air Purifier"/>
    <n v="378"/>
    <n v="2"/>
    <n v="136.08000000000001"/>
    <n v="36.000000000000007"/>
  </r>
  <r>
    <s v="CA-2020-166184"/>
    <x v="473"/>
    <s v="HR-14830"/>
    <s v="Harold Ryan"/>
    <s v="United States"/>
    <x v="0"/>
    <x v="0"/>
    <s v="Samsung Galaxy S4 Mini"/>
    <n v="479.99"/>
    <n v="1"/>
    <n v="136.2971"/>
    <n v="28.395820746265549"/>
  </r>
  <r>
    <s v="CA-2019-107328"/>
    <x v="441"/>
    <s v="CA-12055"/>
    <s v="Cathy Armstrong"/>
    <s v="United States"/>
    <x v="2"/>
    <x v="1"/>
    <s v="Kensington 4 Outlet MasterPiece Compact Power Control Center"/>
    <n v="487.92"/>
    <n v="6"/>
    <n v="136.61760000000001"/>
    <n v="28.000000000000004"/>
  </r>
  <r>
    <s v="US-2020-147984"/>
    <x v="599"/>
    <s v="GB-14575"/>
    <s v="Giulietta Baptist"/>
    <s v="United States"/>
    <x v="3"/>
    <x v="1"/>
    <s v="Xerox 1934"/>
    <n v="292.89999999999998"/>
    <n v="5"/>
    <n v="137.15100000000001"/>
    <n v="46.825196312734732"/>
  </r>
  <r>
    <s v="CA-2020-102197"/>
    <x v="508"/>
    <s v="DK-13150"/>
    <s v="David Kendrick"/>
    <s v="United States"/>
    <x v="0"/>
    <x v="1"/>
    <s v="Xerox 1908"/>
    <n v="582.9"/>
    <n v="5"/>
    <n v="137.15100000000001"/>
    <n v="23.52907874420999"/>
  </r>
  <r>
    <s v="CA-2019-119025"/>
    <x v="554"/>
    <s v="PV-18985"/>
    <s v="Paul Van Hugh"/>
    <s v="United States"/>
    <x v="3"/>
    <x v="1"/>
    <s v="Belkin 5 Outlet SurgeMaster Power Centers"/>
    <n v="490.32"/>
    <n v="9"/>
    <n v="137.28960000000001"/>
    <n v="28.000000000000004"/>
  </r>
  <r>
    <s v="CA-2019-148684"/>
    <x v="36"/>
    <s v="TS-21655"/>
    <s v="Trudy Schmidt"/>
    <s v="United States"/>
    <x v="1"/>
    <x v="2"/>
    <s v="Howard Miller 13-1/2&quot; Diameter Rosebrook Wall Clock"/>
    <n v="343.85"/>
    <n v="5"/>
    <n v="137.54"/>
    <n v="40"/>
  </r>
  <r>
    <s v="CA-2020-149160"/>
    <x v="254"/>
    <s v="JM-15265"/>
    <s v="Janet Molinari"/>
    <s v="United States"/>
    <x v="3"/>
    <x v="1"/>
    <s v="GBC VeloBinder Manual Binding System"/>
    <n v="297.92"/>
    <n v="8"/>
    <n v="138.20160000000001"/>
    <n v="46.388829215896891"/>
  </r>
  <r>
    <s v="CA-2020-106859"/>
    <x v="52"/>
    <s v="BF-11215"/>
    <s v="Benjamin Farhat"/>
    <s v="United States"/>
    <x v="2"/>
    <x v="1"/>
    <s v="Xerox 1885"/>
    <n v="303.24"/>
    <n v="6"/>
    <n v="138.3552"/>
    <n v="45.625643055005931"/>
  </r>
  <r>
    <s v="CA-2020-136882"/>
    <x v="355"/>
    <s v="DN-13690"/>
    <s v="Duane Noonan"/>
    <s v="United States"/>
    <x v="3"/>
    <x v="2"/>
    <s v="Electrix Architect's Clamp-On Swing Arm Lamp, Black"/>
    <n v="521.29999999999995"/>
    <n v="5"/>
    <n v="138.417"/>
    <n v="26.552273163245733"/>
  </r>
  <r>
    <s v="CA-2020-115602"/>
    <x v="339"/>
    <s v="DJ-13630"/>
    <s v="Doug Jacobs"/>
    <s v="United States"/>
    <x v="0"/>
    <x v="2"/>
    <s v="Office Star - Contemporary Swivel Chair with Padded Adjustable Arms and Flex Back"/>
    <n v="1406.9380000000001"/>
    <n v="9"/>
    <n v="139.5702"/>
    <n v="9.9201386272884804"/>
  </r>
  <r>
    <s v="CA-2019-120355"/>
    <x v="99"/>
    <s v="MM-17260"/>
    <s v="Magdelene Morse"/>
    <s v="United States"/>
    <x v="0"/>
    <x v="2"/>
    <s v="Global Leather Executive Chair"/>
    <n v="631.78200000000004"/>
    <n v="2"/>
    <n v="140.39599999999999"/>
    <n v="22.222222222222218"/>
  </r>
  <r>
    <s v="CA-2020-166093"/>
    <x v="23"/>
    <s v="RW-19540"/>
    <s v="Rick Wilson"/>
    <s v="United States"/>
    <x v="2"/>
    <x v="1"/>
    <s v="Standard Rollaway File with Lock"/>
    <n v="568.57000000000005"/>
    <n v="3"/>
    <n v="140.54820000000001"/>
    <n v="24.719594772851185"/>
  </r>
  <r>
    <s v="CA-2020-167640"/>
    <x v="494"/>
    <s v="FC-14245"/>
    <s v="Frank Carlisle"/>
    <s v="United States"/>
    <x v="2"/>
    <x v="1"/>
    <s v="Xerox 1893"/>
    <n v="327.93"/>
    <n v="7"/>
    <n v="140.59569999999999"/>
    <n v="42.873692556338241"/>
  </r>
  <r>
    <s v="CA-2020-138975"/>
    <x v="234"/>
    <s v="SC-20380"/>
    <s v="Shahid Collister"/>
    <s v="United States"/>
    <x v="1"/>
    <x v="1"/>
    <s v="Xerox 1945"/>
    <n v="298.93"/>
    <n v="7"/>
    <n v="140.59569999999999"/>
    <n v="47.032984310708187"/>
  </r>
  <r>
    <s v="US-2020-109316"/>
    <x v="207"/>
    <s v="MG-17680"/>
    <s v="Maureen Gastineau"/>
    <s v="United States"/>
    <x v="2"/>
    <x v="2"/>
    <s v="Riverside Palais Royal Lawyers Bookcase, Royale Cherry Finish"/>
    <n v="1510.6659999999999"/>
    <n v="2"/>
    <n v="140.95679999999999"/>
    <n v="9.3307719906319466"/>
  </r>
  <r>
    <s v="CA-2019-108882"/>
    <x v="540"/>
    <s v="LA-16780"/>
    <s v="Laura Armstrong"/>
    <s v="United States"/>
    <x v="2"/>
    <x v="0"/>
    <s v="netTALK DUO VoIP Telephone Service"/>
    <n v="377.928"/>
    <n v="9"/>
    <n v="141.72300000000001"/>
    <n v="37.500000000000007"/>
  </r>
  <r>
    <s v="CA-2020-149699"/>
    <x v="67"/>
    <s v="CM-12115"/>
    <s v="Chad McGuire"/>
    <s v="United States"/>
    <x v="2"/>
    <x v="0"/>
    <s v="Kensington Expert Mouse Optical USB Trackball for PC or Mac"/>
    <n v="263.95"/>
    <n v="5"/>
    <n v="142.48500000000001"/>
    <n v="53.981814737639709"/>
  </r>
  <r>
    <s v="CA-2020-108441"/>
    <x v="375"/>
    <s v="SB-20190"/>
    <s v="Sarah Bern"/>
    <s v="United States"/>
    <x v="0"/>
    <x v="2"/>
    <s v="Safco Contoured Stacking Chairs"/>
    <n v="882.24"/>
    <n v="4"/>
    <n v="143.04"/>
    <n v="16.213275299238301"/>
  </r>
  <r>
    <s v="CA-2019-100944"/>
    <x v="20"/>
    <s v="EH-13765"/>
    <s v="Edward Hooks"/>
    <s v="United States"/>
    <x v="2"/>
    <x v="1"/>
    <s v="Tyvek Interoffice Envelopes, 9 1/2&quot; x 12 1/2&quot;, 100/Box"/>
    <n v="304.89999999999998"/>
    <n v="5"/>
    <n v="143.303"/>
    <n v="47"/>
  </r>
  <r>
    <s v="CA-2020-124205"/>
    <x v="301"/>
    <s v="TC-21145"/>
    <s v="Theresa Coyne"/>
    <s v="United States"/>
    <x v="0"/>
    <x v="2"/>
    <s v="SAFCO Folding Chair Trolley"/>
    <n v="555.96"/>
    <n v="4"/>
    <n v="143.62880000000001"/>
    <n v="25.834376573854236"/>
  </r>
  <r>
    <s v="CA-2020-118346"/>
    <x v="548"/>
    <s v="PO-19180"/>
    <s v="Philisse Overcash"/>
    <s v="United States"/>
    <x v="3"/>
    <x v="0"/>
    <s v="Logitech G600 MMO Gaming Mouse"/>
    <n v="410.95"/>
    <n v="5"/>
    <n v="143.982"/>
    <n v="35.036379121547633"/>
  </r>
  <r>
    <s v="US-2020-107384"/>
    <x v="57"/>
    <s v="TP-21130"/>
    <s v="Theone Pippenger"/>
    <s v="United States"/>
    <x v="3"/>
    <x v="0"/>
    <s v="Logitech G430 Surround Sound Gaming Headset with Dolby 7.1 Technology"/>
    <n v="438.95"/>
    <n v="5"/>
    <n v="143.982"/>
    <n v="32.801458024831987"/>
  </r>
  <r>
    <s v="CA-2019-168032"/>
    <x v="26"/>
    <s v="DF-13135"/>
    <s v="David Flashing"/>
    <s v="United States"/>
    <x v="3"/>
    <x v="0"/>
    <s v="Nokia Lumia 1020"/>
    <n v="1439.9680000000001"/>
    <n v="4"/>
    <n v="143.99680000000001"/>
    <n v="10"/>
  </r>
  <r>
    <s v="CA-2020-152737"/>
    <x v="117"/>
    <s v="TS-21505"/>
    <s v="Tony Sayre"/>
    <s v="United States"/>
    <x v="2"/>
    <x v="0"/>
    <s v="Plantronics Audio 995 Wireless Stereo Headset"/>
    <n v="449.8"/>
    <n v="4"/>
    <n v="145.13399999999999"/>
    <n v="32.26634059582036"/>
  </r>
  <r>
    <s v="CA-2019-120530"/>
    <x v="474"/>
    <s v="Dl-13600"/>
    <s v="Dorris liebe"/>
    <s v="United States"/>
    <x v="0"/>
    <x v="2"/>
    <s v="Hon Deluxe Fabric Upholstered Stacking Chairs, Rounded Back"/>
    <n v="658.74599999999998"/>
    <n v="3"/>
    <n v="146.38800000000001"/>
    <n v="22.222222222222225"/>
  </r>
  <r>
    <s v="CA-2020-105823"/>
    <x v="286"/>
    <s v="RB-19465"/>
    <s v="Rick Bensley"/>
    <s v="United States"/>
    <x v="3"/>
    <x v="2"/>
    <s v="Hon Deluxe Fabric Upholstered Stacking Chairs, Rounded Back"/>
    <n v="504.96"/>
    <n v="2"/>
    <n v="146.38800000000001"/>
    <n v="28.990019011406847"/>
  </r>
  <r>
    <s v="CA-2019-127670"/>
    <x v="306"/>
    <s v="RD-19660"/>
    <s v="Robert Dilbeck"/>
    <s v="United States"/>
    <x v="3"/>
    <x v="2"/>
    <s v="Chromcraft Round Conference Tables"/>
    <n v="697.16"/>
    <n v="4"/>
    <n v="146.40360000000001"/>
    <n v="21.000000000000004"/>
  </r>
  <r>
    <s v="CA-2019-133795"/>
    <x v="60"/>
    <s v="JE-15475"/>
    <s v="Jeremy Ellison"/>
    <s v="United States"/>
    <x v="2"/>
    <x v="0"/>
    <s v="Logitech P710e Mobile Speakerphone"/>
    <n v="772.47"/>
    <n v="3"/>
    <n v="146.76929999999999"/>
    <n v="18.999999999999996"/>
  </r>
  <r>
    <s v="US-2019-161396"/>
    <x v="190"/>
    <s v="GM-14455"/>
    <s v="Gary Mitchum"/>
    <s v="United States"/>
    <x v="0"/>
    <x v="1"/>
    <s v="Xerox 189"/>
    <n v="419.4"/>
    <n v="5"/>
    <n v="146.79"/>
    <n v="35"/>
  </r>
  <r>
    <s v="CA-2020-127474"/>
    <x v="275"/>
    <s v="RD-19810"/>
    <s v="Ross DeVincentis"/>
    <s v="United States"/>
    <x v="3"/>
    <x v="1"/>
    <s v="Xerox 189"/>
    <n v="443.4"/>
    <n v="5"/>
    <n v="146.79"/>
    <n v="33.105548037889037"/>
  </r>
  <r>
    <s v="CA-2020-139402"/>
    <x v="356"/>
    <s v="NC-18535"/>
    <s v="Nick Crebassa"/>
    <s v="United States"/>
    <x v="2"/>
    <x v="1"/>
    <s v="Multicolor Computer Printout Paper"/>
    <n v="461.4"/>
    <n v="5"/>
    <n v="146.79"/>
    <n v="31.81404421326398"/>
  </r>
  <r>
    <s v="CA-2019-140571"/>
    <x v="115"/>
    <s v="SJ-20125"/>
    <s v="Sanjit Jacobs"/>
    <s v="United States"/>
    <x v="1"/>
    <x v="1"/>
    <s v="Xerox 1964"/>
    <n v="319.76"/>
    <n v="14"/>
    <n v="147.08959999999999"/>
    <n v="46"/>
  </r>
  <r>
    <s v="US-2020-124821"/>
    <x v="390"/>
    <s v="AM-10705"/>
    <s v="Anne McFarland"/>
    <s v="United States"/>
    <x v="2"/>
    <x v="2"/>
    <s v="Chromcraft Bull-Nose Wood Round Conference Table Top, Wood Base"/>
    <n v="917.4"/>
    <n v="4"/>
    <n v="148.13800000000001"/>
    <n v="16.147591018094616"/>
  </r>
  <r>
    <s v="US-2020-162670"/>
    <x v="172"/>
    <s v="MF-18250"/>
    <s v="Monica Federle"/>
    <s v="United States"/>
    <x v="1"/>
    <x v="0"/>
    <s v="Ativa D5772 2-Line 5.8GHz Digital Expandable Corded/Cordless Phone System with Answering &amp; Caller ID/Call Waiting, Black/Silver"/>
    <n v="678.97"/>
    <n v="3"/>
    <n v="148.49100000000001"/>
    <n v="21.870038440579116"/>
  </r>
  <r>
    <s v="CA-2019-133725"/>
    <x v="282"/>
    <s v="KL-16645"/>
    <s v="Ken Lonsdale"/>
    <s v="United States"/>
    <x v="3"/>
    <x v="0"/>
    <s v="Mitel MiVoice 5330e IP Phone"/>
    <n v="1979.9280000000001"/>
    <n v="9"/>
    <n v="148.49459999999999"/>
    <n v="7.5"/>
  </r>
  <r>
    <s v="CA-2019-152688"/>
    <x v="569"/>
    <s v="NR-18550"/>
    <s v="Nick Radford"/>
    <s v="United States"/>
    <x v="0"/>
    <x v="1"/>
    <s v="GBC ProClick 150 Presentation Binding System"/>
    <n v="315.98"/>
    <n v="1"/>
    <n v="148.51060000000001"/>
    <n v="47"/>
  </r>
  <r>
    <s v="US-2020-161935"/>
    <x v="38"/>
    <s v="JL-15835"/>
    <s v="John Lee"/>
    <s v="United States"/>
    <x v="0"/>
    <x v="2"/>
    <s v="GE 48&quot; Fluorescent Tube, Cool White Energy Saver, 34 Watts, 30/Box"/>
    <n v="421.92"/>
    <n v="5"/>
    <n v="148.845"/>
    <n v="35.278014789533557"/>
  </r>
  <r>
    <s v="CA-2019-149279"/>
    <x v="412"/>
    <s v="CL-12700"/>
    <s v="Craig Leslie"/>
    <s v="United States"/>
    <x v="2"/>
    <x v="2"/>
    <s v="SAFCO Arco Folding Chair"/>
    <n v="1325.76"/>
    <n v="6"/>
    <n v="149.148"/>
    <n v="11.25"/>
  </r>
  <r>
    <s v="CA-2020-161655"/>
    <x v="124"/>
    <s v="CW-11905"/>
    <s v="Carl Weiss"/>
    <s v="United States"/>
    <x v="0"/>
    <x v="1"/>
    <s v="GBC Twin Loop Wire Binding Elements"/>
    <n v="323.52"/>
    <n v="9"/>
    <n v="149.76"/>
    <n v="46.290801186943618"/>
  </r>
  <r>
    <s v="CA-2020-113474"/>
    <x v="392"/>
    <s v="TM-21490"/>
    <s v="Tony Molinari"/>
    <s v="United States"/>
    <x v="3"/>
    <x v="1"/>
    <s v="Multimedia Mailers"/>
    <n v="370.86"/>
    <n v="2"/>
    <n v="149.8956"/>
    <n v="40.418378903090115"/>
  </r>
  <r>
    <s v="CA-2020-144596"/>
    <x v="174"/>
    <s v="CD-11980"/>
    <s v="Carol Darley"/>
    <s v="United States"/>
    <x v="0"/>
    <x v="1"/>
    <s v="Xerox 1906"/>
    <n v="339.96"/>
    <n v="9"/>
    <n v="149.91120000000001"/>
    <n v="44.09671726085422"/>
  </r>
  <r>
    <s v="CA-2020-122490"/>
    <x v="14"/>
    <s v="TT-21070"/>
    <s v="Ted Trevino"/>
    <s v="United States"/>
    <x v="2"/>
    <x v="2"/>
    <s v="Global Troy Executive Leather Low-Back Tilter"/>
    <n v="2422.7040000000002"/>
    <n v="6"/>
    <n v="150.29400000000001"/>
    <n v="6.2035642818932892"/>
  </r>
  <r>
    <s v="CA-2019-157336"/>
    <x v="212"/>
    <s v="SJ-20500"/>
    <s v="Shirley Jackson"/>
    <s v="United States"/>
    <x v="0"/>
    <x v="2"/>
    <s v="Hon Every-Day Series Multi-Task Chairs"/>
    <n v="751.92"/>
    <n v="4"/>
    <n v="150.38399999999999"/>
    <n v="20"/>
  </r>
  <r>
    <s v="CA-2019-122903"/>
    <x v="242"/>
    <s v="LA-16780"/>
    <s v="Laura Armstrong"/>
    <s v="United States"/>
    <x v="3"/>
    <x v="1"/>
    <s v="Xerox 1915"/>
    <n v="314.55"/>
    <n v="3"/>
    <n v="150.98400000000001"/>
    <n v="48.000000000000007"/>
  </r>
  <r>
    <s v="CA-2019-109365"/>
    <x v="65"/>
    <s v="XP-21865"/>
    <s v="Xylona Preis"/>
    <s v="United States"/>
    <x v="2"/>
    <x v="1"/>
    <s v="Multicolor Computer Printout Paper"/>
    <n v="314.55"/>
    <n v="3"/>
    <n v="150.98400000000001"/>
    <n v="48.000000000000007"/>
  </r>
  <r>
    <s v="CA-2019-100041"/>
    <x v="165"/>
    <s v="BF-10975"/>
    <s v="Barbara Fisher"/>
    <s v="United States"/>
    <x v="3"/>
    <x v="1"/>
    <s v="Xerox 189"/>
    <n v="314.55"/>
    <n v="3"/>
    <n v="150.98400000000001"/>
    <n v="48.000000000000007"/>
  </r>
  <r>
    <s v="CA-2020-166296"/>
    <x v="52"/>
    <s v="KF-16285"/>
    <s v="Karen Ferguson"/>
    <s v="United States"/>
    <x v="2"/>
    <x v="1"/>
    <s v="Multicolor Computer Printout Paper"/>
    <n v="364.55"/>
    <n v="3"/>
    <n v="150.98400000000001"/>
    <n v="41.416540940886023"/>
  </r>
  <r>
    <s v="CA-2020-116715"/>
    <x v="18"/>
    <s v="VW-21775"/>
    <s v="Victoria Wilson"/>
    <s v="United States"/>
    <x v="2"/>
    <x v="1"/>
    <s v="Fellowes Mobile File Cart, Black"/>
    <n v="596.62"/>
    <n v="9"/>
    <n v="151.09739999999999"/>
    <n v="25.325567362810496"/>
  </r>
  <r>
    <s v="US-2020-127292"/>
    <x v="150"/>
    <s v="RM-19375"/>
    <s v="Raymond Messe"/>
    <s v="United States"/>
    <x v="0"/>
    <x v="1"/>
    <s v="Avanti 4.4 Cu. Ft. Refrigerator"/>
    <n v="573.94000000000005"/>
    <n v="3"/>
    <n v="152.0232"/>
    <n v="26.487646792347629"/>
  </r>
  <r>
    <s v="CA-2020-158169"/>
    <x v="557"/>
    <s v="JM-16195"/>
    <s v="Justin MacKendrick"/>
    <s v="United States"/>
    <x v="2"/>
    <x v="1"/>
    <s v="Avanti 4.4 Cu. Ft. Refrigerator"/>
    <n v="555.94000000000005"/>
    <n v="3"/>
    <n v="152.0232"/>
    <n v="27.345253084865274"/>
  </r>
  <r>
    <s v="CA-2020-127026"/>
    <x v="263"/>
    <s v="MH-18115"/>
    <s v="Mick Hernandez"/>
    <s v="United States"/>
    <x v="3"/>
    <x v="0"/>
    <s v="I.R.I.S IRISCard Anywhere 5 Card Scanner"/>
    <n v="361.97300000000001"/>
    <n v="3"/>
    <n v="152.0883"/>
    <n v="42.016476367021852"/>
  </r>
  <r>
    <s v="CA-2019-139269"/>
    <x v="566"/>
    <s v="JB-16045"/>
    <s v="Julia Barnett"/>
    <s v="United States"/>
    <x v="1"/>
    <x v="1"/>
    <s v="Fellowes Strictly Business Drawer File, Letter/Legal Size"/>
    <n v="1267.6500000000001"/>
    <n v="9"/>
    <n v="152.11799999999999"/>
    <n v="11.999999999999998"/>
  </r>
  <r>
    <s v="CA-2020-141929"/>
    <x v="130"/>
    <s v="RA-19285"/>
    <s v="Ralph Arnett"/>
    <s v="United States"/>
    <x v="2"/>
    <x v="1"/>
    <s v="Ibico Hi-Tech Manual Binding System"/>
    <n v="522.98400000000004"/>
    <n v="2"/>
    <n v="152.495"/>
    <n v="29.158635828247135"/>
  </r>
  <r>
    <s v="CA-2019-133613"/>
    <x v="80"/>
    <s v="CP-12340"/>
    <s v="Christine Phan"/>
    <s v="United States"/>
    <x v="0"/>
    <x v="0"/>
    <s v="Wireless Extenders zBoost YX545 SOHO Signal Booster"/>
    <n v="566.97"/>
    <n v="3"/>
    <n v="153.08189999999999"/>
    <n v="26.999999999999996"/>
  </r>
  <r>
    <s v="US-2019-103674"/>
    <x v="431"/>
    <s v="AP-10720"/>
    <s v="Anne Pryor"/>
    <s v="United States"/>
    <x v="2"/>
    <x v="1"/>
    <s v="Ibico Recycled Linen-Style Covers"/>
    <n v="437.47199999999998"/>
    <n v="14"/>
    <n v="153.11519999999999"/>
    <n v="35"/>
  </r>
  <r>
    <s v="US-2020-128951"/>
    <x v="205"/>
    <s v="RS-19420"/>
    <s v="Ricardo Sperren"/>
    <s v="United States"/>
    <x v="1"/>
    <x v="2"/>
    <s v="Hon 5100 Series Wood Tables"/>
    <n v="901.94"/>
    <n v="3"/>
    <n v="157.1292"/>
    <n v="17.421247533095325"/>
  </r>
  <r>
    <s v="CA-2020-128300"/>
    <x v="225"/>
    <s v="RS-19765"/>
    <s v="Roland Schwarz"/>
    <s v="United States"/>
    <x v="1"/>
    <x v="1"/>
    <s v="Wilson Jones Ledger-Size, Piano-Hinge Binder, 2&quot;, Blue"/>
    <n v="337.84"/>
    <n v="8"/>
    <n v="157.36320000000001"/>
    <n v="46.579209093061806"/>
  </r>
  <r>
    <s v="US-2020-166037"/>
    <x v="599"/>
    <s v="CL-12700"/>
    <s v="Craig Leslie"/>
    <s v="United States"/>
    <x v="0"/>
    <x v="0"/>
    <s v="Plantronics Audio 478 Stereo USB Headset"/>
    <n v="470.91"/>
    <n v="9"/>
    <n v="157.46850000000001"/>
    <n v="33.439192202331661"/>
  </r>
  <r>
    <s v="CA-2020-152912"/>
    <x v="407"/>
    <s v="BM-11650"/>
    <s v="Brian Moss"/>
    <s v="United States"/>
    <x v="0"/>
    <x v="1"/>
    <s v="Adjustable Depth Letter/Legal Cart"/>
    <n v="586.38"/>
    <n v="3"/>
    <n v="157.87020000000001"/>
    <n v="26.922848664688431"/>
  </r>
  <r>
    <s v="CA-2020-130309"/>
    <x v="93"/>
    <s v="GB-14575"/>
    <s v="Giulietta Baptist"/>
    <s v="United States"/>
    <x v="1"/>
    <x v="1"/>
    <s v="Adjustable Depth Letter/Legal Cart"/>
    <n v="935.38"/>
    <n v="3"/>
    <n v="157.87020000000001"/>
    <n v="16.877654001582247"/>
  </r>
  <r>
    <s v="CA-2019-102092"/>
    <x v="260"/>
    <s v="PM-18940"/>
    <s v="Paul MacIntyre"/>
    <s v="United States"/>
    <x v="1"/>
    <x v="2"/>
    <s v="Iceberg OfficeWorks 42&quot; Round Tables"/>
    <n v="1056.8599999999999"/>
    <n v="7"/>
    <n v="158.529"/>
    <n v="15.000000000000002"/>
  </r>
  <r>
    <s v="CA-2020-149048"/>
    <x v="124"/>
    <s v="BM-11650"/>
    <s v="Brian Moss"/>
    <s v="United States"/>
    <x v="3"/>
    <x v="0"/>
    <s v="Plantronics Calisto P620-M USB Wireless Speakerphone System"/>
    <n v="611.97"/>
    <n v="3"/>
    <n v="158.75190000000001"/>
    <n v="25.941124564929652"/>
  </r>
  <r>
    <s v="CA-2020-152436"/>
    <x v="136"/>
    <s v="CW-11905"/>
    <s v="Carl Weiss"/>
    <s v="United States"/>
    <x v="0"/>
    <x v="1"/>
    <s v="Recycled Data-Pak for Archival Bound Computer Printouts, 12-1/2 x 12-1/2 x 16"/>
    <n v="612.74"/>
    <n v="6"/>
    <n v="160.03980000000001"/>
    <n v="26.118712667689397"/>
  </r>
  <r>
    <s v="CA-2019-168893"/>
    <x v="65"/>
    <s v="AP-10915"/>
    <s v="Arthur Prichep"/>
    <s v="United States"/>
    <x v="1"/>
    <x v="2"/>
    <s v="Global Adaptabilities Conference Tables"/>
    <n v="842.94"/>
    <n v="3"/>
    <n v="160.15860000000001"/>
    <n v="19"/>
  </r>
  <r>
    <s v="CA-2019-107104"/>
    <x v="127"/>
    <s v="MS-17365"/>
    <s v="Maribeth Schnelling"/>
    <s v="United States"/>
    <x v="2"/>
    <x v="2"/>
    <s v="DMI Eclipse Executive Suite Bookcases"/>
    <n v="3406.6640000000002"/>
    <n v="8"/>
    <n v="160.31360000000001"/>
    <n v="4.7058823529411766"/>
  </r>
  <r>
    <s v="CA-2019-168774"/>
    <x v="478"/>
    <s v="RP-19855"/>
    <s v="Roy Phan"/>
    <s v="United States"/>
    <x v="3"/>
    <x v="1"/>
    <s v="Hot File 7-Pocket, Floor Stand"/>
    <n v="535.41"/>
    <n v="3"/>
    <n v="160.62299999999999"/>
    <n v="30"/>
  </r>
  <r>
    <s v="US-2019-108504"/>
    <x v="251"/>
    <s v="PP-18955"/>
    <s v="Paul Prost"/>
    <s v="United States"/>
    <x v="1"/>
    <x v="1"/>
    <s v="Xerox 1943"/>
    <n v="342.37"/>
    <n v="7"/>
    <n v="160.91390000000001"/>
    <n v="47"/>
  </r>
  <r>
    <s v="CA-2019-160717"/>
    <x v="428"/>
    <s v="ME-17320"/>
    <s v="Maria Etezadi"/>
    <s v="United States"/>
    <x v="2"/>
    <x v="0"/>
    <s v="Bose SoundLink Bluetooth Speaker"/>
    <n v="477.6"/>
    <n v="3"/>
    <n v="161.19"/>
    <n v="33.75"/>
  </r>
  <r>
    <s v="US-2019-125402"/>
    <x v="81"/>
    <s v="DL-12865"/>
    <s v="Dan Lawera"/>
    <s v="United States"/>
    <x v="2"/>
    <x v="0"/>
    <s v="Canon PC-428 Personal Copier"/>
    <n v="479.976"/>
    <n v="3"/>
    <n v="161.99189999999999"/>
    <n v="33.75"/>
  </r>
  <r>
    <s v="CA-2019-118311"/>
    <x v="559"/>
    <s v="ED-13885"/>
    <s v="Emily Ducich"/>
    <s v="United States"/>
    <x v="2"/>
    <x v="0"/>
    <s v="NETGEAR N750 Dual Band Wi-Fi Gigabit Router"/>
    <n v="450"/>
    <n v="5"/>
    <n v="162"/>
    <n v="36"/>
  </r>
  <r>
    <s v="CA-2020-111332"/>
    <x v="145"/>
    <s v="NC-18340"/>
    <s v="Nat Carroll"/>
    <s v="United States"/>
    <x v="3"/>
    <x v="1"/>
    <s v="Fellowes High-Stak Drawer Files"/>
    <n v="725.76"/>
    <n v="4"/>
    <n v="162.09479999999999"/>
    <n v="22.33449074074074"/>
  </r>
  <r>
    <s v="CA-2019-146941"/>
    <x v="528"/>
    <s v="DL-13315"/>
    <s v="Delfina Latchford"/>
    <s v="United States"/>
    <x v="0"/>
    <x v="1"/>
    <s v="Tyvek Side-Opening Peel &amp; Seel Expanding Envelopes"/>
    <n v="361.92"/>
    <n v="4"/>
    <n v="162.864"/>
    <n v="45"/>
  </r>
  <r>
    <s v="CA-2019-114601"/>
    <x v="261"/>
    <s v="AA-10480"/>
    <s v="Andrew Allen"/>
    <s v="United States"/>
    <x v="3"/>
    <x v="0"/>
    <s v="NETGEAR AC1750 Dual Band Gigabit Smart WiFi Router"/>
    <n v="479.97"/>
    <n v="3"/>
    <n v="163.18979999999999"/>
    <n v="34"/>
  </r>
  <r>
    <s v="CA-2019-168830"/>
    <x v="316"/>
    <s v="ML-17395"/>
    <s v="Marina Lichtenstein"/>
    <s v="United States"/>
    <x v="2"/>
    <x v="0"/>
    <s v="NETGEAR AC1750 Dual Band Gigabit Smart WiFi Router"/>
    <n v="479.97"/>
    <n v="3"/>
    <n v="163.18979999999999"/>
    <n v="34"/>
  </r>
  <r>
    <s v="CA-2020-159156"/>
    <x v="14"/>
    <s v="KB-16600"/>
    <s v="Ken Brennan"/>
    <s v="United States"/>
    <x v="0"/>
    <x v="0"/>
    <s v="Nokia Lumia 925"/>
    <n v="674.95"/>
    <n v="5"/>
    <n v="163.78700000000001"/>
    <n v="24.266538262093487"/>
  </r>
  <r>
    <s v="CA-2020-105333"/>
    <x v="21"/>
    <s v="VP-21730"/>
    <s v="Victor Preis"/>
    <s v="United States"/>
    <x v="0"/>
    <x v="0"/>
    <s v="Panasonic Business Telephones KX-T7736"/>
    <n v="590.05999999999995"/>
    <n v="3"/>
    <n v="163.81800000000001"/>
    <n v="27.762939362098777"/>
  </r>
  <r>
    <s v="CA-2019-133550"/>
    <x v="247"/>
    <s v="KL-16645"/>
    <s v="Ken Lonsdale"/>
    <s v="United States"/>
    <x v="3"/>
    <x v="0"/>
    <s v="ClearOne Communications CHAT 70 OC Speaker Phone"/>
    <n v="635.96"/>
    <n v="4"/>
    <n v="165.34960000000001"/>
    <n v="26"/>
  </r>
  <r>
    <s v="CA-2020-128755"/>
    <x v="370"/>
    <s v="MK-18160"/>
    <s v="Mike Kennedy"/>
    <s v="United States"/>
    <x v="1"/>
    <x v="1"/>
    <s v="Letter Size Cart"/>
    <n v="621.44000000000005"/>
    <n v="4"/>
    <n v="165.7176"/>
    <n v="26.666709577754887"/>
  </r>
  <r>
    <s v="CA-2020-133004"/>
    <x v="461"/>
    <s v="AJ-10945"/>
    <s v="Ashley Jarboe"/>
    <s v="United States"/>
    <x v="3"/>
    <x v="1"/>
    <s v="Tripp Lite Isotel 8 Ultra 8 Outlet Metal Surge"/>
    <n v="649.73"/>
    <n v="9"/>
    <n v="166.06979999999999"/>
    <n v="25.559817154818155"/>
  </r>
  <r>
    <s v="CA-2019-137043"/>
    <x v="39"/>
    <s v="LC-17140"/>
    <s v="Logan Currie"/>
    <s v="United States"/>
    <x v="1"/>
    <x v="2"/>
    <s v="Electrix Architect's Clamp-On Swing Arm Lamp, Black"/>
    <n v="572.76"/>
    <n v="6"/>
    <n v="166.10040000000001"/>
    <n v="29.000000000000004"/>
  </r>
  <r>
    <s v="CA-2020-155698"/>
    <x v="467"/>
    <s v="VB-21745"/>
    <s v="Victoria Brennan"/>
    <s v="United States"/>
    <x v="1"/>
    <x v="1"/>
    <s v="Belkin 8 Outlet SurgeMaster II Gold Surge Protector with Phone Protection"/>
    <n v="669.84"/>
    <n v="8"/>
    <n v="168.4384"/>
    <n v="25.146064731876265"/>
  </r>
  <r>
    <s v="US-2020-109610"/>
    <x v="92"/>
    <s v="BS-11590"/>
    <s v="Brendan Sweed"/>
    <s v="United States"/>
    <x v="1"/>
    <x v="2"/>
    <s v="Office Star - Professional Matrix Back Chair with 2-to-1 Synchro Tilt and Mesh Fabric Seat"/>
    <n v="714.96"/>
    <n v="2"/>
    <n v="168.47040000000001"/>
    <n v="23.563611950318901"/>
  </r>
  <r>
    <s v="CA-2020-143756"/>
    <x v="18"/>
    <s v="ME-17725"/>
    <s v="Max Engle"/>
    <s v="United States"/>
    <x v="1"/>
    <x v="2"/>
    <s v="Office Star - Professional Matrix Back Chair with 2-to-1 Synchro Tilt and Mesh Fabric Seat"/>
    <n v="723.96"/>
    <n v="2"/>
    <n v="168.47040000000001"/>
    <n v="23.270677938007626"/>
  </r>
  <r>
    <s v="US-2019-108504"/>
    <x v="251"/>
    <s v="PP-18955"/>
    <s v="Paul Prost"/>
    <s v="United States"/>
    <x v="1"/>
    <x v="1"/>
    <s v="White Computer Printout Paper by Universal"/>
    <n v="348.84"/>
    <n v="9"/>
    <n v="170.9316"/>
    <n v="49.000000000000007"/>
  </r>
  <r>
    <s v="CA-2020-120404"/>
    <x v="216"/>
    <s v="KH-16330"/>
    <s v="Katharine Harms"/>
    <s v="United States"/>
    <x v="0"/>
    <x v="0"/>
    <s v="Apple iPhone 5S"/>
    <n v="606.99"/>
    <n v="1"/>
    <n v="170.99700000000001"/>
    <n v="28.171304304848515"/>
  </r>
  <r>
    <s v="CA-2020-162789"/>
    <x v="10"/>
    <s v="LC-17140"/>
    <s v="Logan Currie"/>
    <s v="United States"/>
    <x v="0"/>
    <x v="0"/>
    <s v="WD My Passport Ultra 2TB Portable External Hard Drive"/>
    <n v="1106"/>
    <n v="9"/>
    <n v="171.36"/>
    <n v="15.49367088607595"/>
  </r>
  <r>
    <s v="CA-2020-116225"/>
    <x v="181"/>
    <s v="SV-20935"/>
    <s v="Susan Vittorini"/>
    <s v="United States"/>
    <x v="0"/>
    <x v="0"/>
    <s v="Enermax Aurora Lite Keyboard"/>
    <n v="427.75"/>
    <n v="5"/>
    <n v="171.93"/>
    <n v="40.194038573933369"/>
  </r>
  <r>
    <s v="CA-2019-148684"/>
    <x v="36"/>
    <s v="TS-21655"/>
    <s v="Trudy Schmidt"/>
    <s v="United States"/>
    <x v="1"/>
    <x v="0"/>
    <s v="Razer Tiamat Over Ear 7.1 Surround Sound PC Gaming Headset"/>
    <n v="399.98"/>
    <n v="2"/>
    <n v="171.9914"/>
    <n v="43"/>
  </r>
  <r>
    <s v="CA-2019-146934"/>
    <x v="308"/>
    <s v="AF-10870"/>
    <s v="Art Ferguson"/>
    <s v="United States"/>
    <x v="0"/>
    <x v="1"/>
    <s v="Eureka Sanitaire  Commercial Upright"/>
    <n v="662.84"/>
    <n v="4"/>
    <n v="172.33840000000001"/>
    <n v="26"/>
  </r>
  <r>
    <s v="CA-2019-154662"/>
    <x v="269"/>
    <s v="BF-11215"/>
    <s v="Benjamin Farhat"/>
    <s v="United States"/>
    <x v="3"/>
    <x v="2"/>
    <s v="Bush Cubix Conference Tables, Fully Assembled"/>
    <n v="692.94"/>
    <n v="3"/>
    <n v="173.23500000000001"/>
    <n v="25"/>
  </r>
  <r>
    <s v="CA-2019-110975"/>
    <x v="36"/>
    <s v="DB-12970"/>
    <s v="Darren Budd"/>
    <s v="United States"/>
    <x v="0"/>
    <x v="2"/>
    <s v="Hon 4070 Series Pagoda Round Back Stacking Chairs"/>
    <n v="866.64599999999996"/>
    <n v="3"/>
    <n v="173.32919999999999"/>
    <n v="20"/>
  </r>
  <r>
    <s v="CA-2020-166436"/>
    <x v="225"/>
    <s v="TS-21370"/>
    <s v="Todd Sumrall"/>
    <s v="United States"/>
    <x v="0"/>
    <x v="2"/>
    <s v="Global Ergonomic Managers Chair"/>
    <n v="1000.292"/>
    <n v="6"/>
    <n v="173.74080000000001"/>
    <n v="17.369008249591118"/>
  </r>
  <r>
    <s v="US-2019-124163"/>
    <x v="81"/>
    <s v="SC-20695"/>
    <s v="Steve Chapman"/>
    <s v="United States"/>
    <x v="3"/>
    <x v="0"/>
    <s v="Logitech Wireless Headset h800"/>
    <n v="499.95"/>
    <n v="5"/>
    <n v="174.98249999999999"/>
    <n v="35"/>
  </r>
  <r>
    <s v="CA-2020-132234"/>
    <x v="12"/>
    <s v="MY-17380"/>
    <s v="Maribeth Yedwab"/>
    <s v="United States"/>
    <x v="0"/>
    <x v="2"/>
    <s v="Executive Impressions Supervisor Wall Clock"/>
    <n v="562.29999999999995"/>
    <n v="13"/>
    <n v="175.136"/>
    <n v="31.146363151342698"/>
  </r>
  <r>
    <s v="CA-2019-110492"/>
    <x v="576"/>
    <s v="JS-15880"/>
    <s v="John Stevenson"/>
    <s v="United States"/>
    <x v="1"/>
    <x v="1"/>
    <s v="Tennsco Double-Tier Lockers"/>
    <n v="1350.12"/>
    <n v="6"/>
    <n v="175.51560000000001"/>
    <n v="13"/>
  </r>
  <r>
    <s v="CA-2020-100524"/>
    <x v="152"/>
    <s v="CM-12115"/>
    <s v="Chad McGuire"/>
    <s v="United States"/>
    <x v="0"/>
    <x v="0"/>
    <s v="Polycom SoundPoint IP 450 VoIP phone"/>
    <n v="720.58"/>
    <n v="3"/>
    <n v="176.17080000000001"/>
    <n v="24.448472064170527"/>
  </r>
  <r>
    <s v="CA-2019-163804"/>
    <x v="118"/>
    <s v="DB-13270"/>
    <s v="Deborah Brumfield"/>
    <s v="United States"/>
    <x v="0"/>
    <x v="0"/>
    <s v="VTech DS6151"/>
    <n v="629.95000000000005"/>
    <n v="5"/>
    <n v="176.386"/>
    <n v="27.999999999999996"/>
  </r>
  <r>
    <s v="CA-2019-160108"/>
    <x v="83"/>
    <s v="AG-10900"/>
    <s v="Arthur Gainer"/>
    <s v="United States"/>
    <x v="3"/>
    <x v="2"/>
    <s v="Hon GuestStacker Chair"/>
    <n v="680.01"/>
    <n v="3"/>
    <n v="176.80260000000001"/>
    <n v="26"/>
  </r>
  <r>
    <s v="CA-2020-122364"/>
    <x v="64"/>
    <s v="FA-14230"/>
    <s v="Frank Atkinson"/>
    <s v="United States"/>
    <x v="2"/>
    <x v="0"/>
    <s v="Socket Bluetooth Cordless Hand Scanner (CHS)"/>
    <n v="554.28"/>
    <n v="3"/>
    <n v="177.19800000000001"/>
    <n v="31.969040917947609"/>
  </r>
  <r>
    <s v="CA-2019-138233"/>
    <x v="638"/>
    <s v="PF-19165"/>
    <s v="Philip Fox"/>
    <s v="United States"/>
    <x v="2"/>
    <x v="0"/>
    <s v="Logitech Wireless Gaming Headset G930"/>
    <n v="479.97"/>
    <n v="3"/>
    <n v="177.5889"/>
    <n v="37"/>
  </r>
  <r>
    <s v="CA-2019-132661"/>
    <x v="342"/>
    <s v="SR-20740"/>
    <s v="Steven Roelle"/>
    <s v="United States"/>
    <x v="0"/>
    <x v="1"/>
    <s v="Snap-A-Way Black Print Carbonless Ruled Speed Letter, Triplicate"/>
    <n v="379.4"/>
    <n v="10"/>
    <n v="178.31800000000001"/>
    <n v="47.000000000000007"/>
  </r>
  <r>
    <s v="CA-2019-112585"/>
    <x v="331"/>
    <s v="RW-19630"/>
    <s v="Rob Williams"/>
    <s v="United States"/>
    <x v="2"/>
    <x v="1"/>
    <s v="Hoover Shoulder Vac Commercial Portable Vacuum"/>
    <n v="715.64"/>
    <n v="2"/>
    <n v="178.91"/>
    <n v="25"/>
  </r>
  <r>
    <s v="CA-2019-107202"/>
    <x v="340"/>
    <s v="LC-16930"/>
    <s v="Linda Cazamias"/>
    <s v="United States"/>
    <x v="2"/>
    <x v="0"/>
    <s v="Panasonic KX MB2061 Multifunction Printer"/>
    <n v="2396.4"/>
    <n v="10"/>
    <n v="179.73"/>
    <n v="7.5"/>
  </r>
  <r>
    <s v="CA-2019-157245"/>
    <x v="427"/>
    <s v="LE-16810"/>
    <s v="Laurel Elliston"/>
    <s v="United States"/>
    <x v="1"/>
    <x v="2"/>
    <s v="Hon 4070 Series Pagoda Round Back Stacking Chairs"/>
    <n v="641.96"/>
    <n v="2"/>
    <n v="179.74879999999999"/>
    <n v="27.999999999999996"/>
  </r>
  <r>
    <s v="CA-2019-121370"/>
    <x v="296"/>
    <s v="EB-14110"/>
    <s v="Eugene Barchas"/>
    <s v="United States"/>
    <x v="0"/>
    <x v="0"/>
    <s v="Sharp AL-1530CS Digital Copier"/>
    <n v="1199.9760000000001"/>
    <n v="4"/>
    <n v="179.99639999999999"/>
    <n v="15"/>
  </r>
  <r>
    <s v="US-2019-126452"/>
    <x v="43"/>
    <s v="SC-20230"/>
    <s v="Scot Coram"/>
    <s v="United States"/>
    <x v="2"/>
    <x v="2"/>
    <s v="Bretford CR8500 Series Meeting Room Furniture"/>
    <n v="2887.056"/>
    <n v="9"/>
    <n v="180.441"/>
    <n v="6.25"/>
  </r>
  <r>
    <s v="CA-2019-118101"/>
    <x v="454"/>
    <s v="SN-20560"/>
    <s v="Skye Norling"/>
    <s v="United States"/>
    <x v="3"/>
    <x v="1"/>
    <s v="White Dual Perf Computer Printout Paper, 2700 Sheets, 1 Part, Heavyweight, 20 lbs., 14 7/8 x 11"/>
    <n v="368.91"/>
    <n v="9"/>
    <n v="180.76589999999999"/>
    <n v="48.999999999999993"/>
  </r>
  <r>
    <s v="CA-2019-133935"/>
    <x v="99"/>
    <s v="JW-15220"/>
    <s v="Jane Waco"/>
    <s v="United States"/>
    <x v="2"/>
    <x v="1"/>
    <s v="Xerox 1945"/>
    <n v="368.91"/>
    <n v="9"/>
    <n v="180.76589999999999"/>
    <n v="48.999999999999993"/>
  </r>
  <r>
    <s v="CA-2020-142034"/>
    <x v="64"/>
    <s v="KB-16240"/>
    <s v="Karen Bern"/>
    <s v="United States"/>
    <x v="3"/>
    <x v="2"/>
    <s v="Global Airflow Leather Mesh Back Chair, Black"/>
    <n v="649.91999999999996"/>
    <n v="4"/>
    <n v="181.17599999999999"/>
    <n v="27.87666174298375"/>
  </r>
  <r>
    <s v="CA-2020-132339"/>
    <x v="397"/>
    <s v="JB-15400"/>
    <s v="Jennifer Braxton"/>
    <s v="United States"/>
    <x v="0"/>
    <x v="1"/>
    <s v="Fellowes PB300 Plastic Comb Binding Machine"/>
    <n v="404.99"/>
    <n v="1"/>
    <n v="182.3553"/>
    <n v="45.027111780537787"/>
  </r>
  <r>
    <s v="CA-2019-167115"/>
    <x v="563"/>
    <s v="EH-14185"/>
    <s v="Evan Henry"/>
    <s v="United States"/>
    <x v="0"/>
    <x v="1"/>
    <s v="Ibico Ibimaster 300 Manual Binding System"/>
    <n v="588.78399999999999"/>
    <n v="2"/>
    <n v="183.995"/>
    <n v="31.25"/>
  </r>
  <r>
    <s v="CA-2019-139395"/>
    <x v="329"/>
    <s v="MG-17650"/>
    <s v="Matthew Grinstein"/>
    <s v="United States"/>
    <x v="3"/>
    <x v="0"/>
    <s v="Jabra SPEAK 410"/>
    <n v="657.93"/>
    <n v="7"/>
    <n v="184.22040000000001"/>
    <n v="28.000000000000004"/>
  </r>
  <r>
    <s v="CA-2020-143574"/>
    <x v="146"/>
    <s v="DR-12880"/>
    <s v="Dan Reichenbach"/>
    <s v="United States"/>
    <x v="0"/>
    <x v="2"/>
    <s v="Hon Metal Bookcases, Putty"/>
    <n v="672.82"/>
    <n v="9"/>
    <n v="185.2578"/>
    <n v="27.534526322047498"/>
  </r>
  <r>
    <s v="CA-2019-158694"/>
    <x v="214"/>
    <s v="AI-10855"/>
    <s v="Arianne Irving"/>
    <s v="United States"/>
    <x v="2"/>
    <x v="1"/>
    <s v="Standard Rollaway File with Lock"/>
    <n v="720.76"/>
    <n v="4"/>
    <n v="187.39760000000001"/>
    <n v="26"/>
  </r>
  <r>
    <s v="US-2020-159205"/>
    <x v="152"/>
    <s v="DB-12910"/>
    <s v="Daniel Byrd"/>
    <s v="United States"/>
    <x v="1"/>
    <x v="0"/>
    <s v="Vtech CS6719"/>
    <n v="706.93"/>
    <n v="7"/>
    <n v="188.1404"/>
    <n v="26.613724131102089"/>
  </r>
  <r>
    <s v="CA-2020-157931"/>
    <x v="166"/>
    <s v="MO-17800"/>
    <s v="Meg O'Connel"/>
    <s v="United States"/>
    <x v="1"/>
    <x v="2"/>
    <s v="Global Ergonomic Managers Chair"/>
    <n v="771.92"/>
    <n v="4"/>
    <n v="188.2192"/>
    <n v="24.383252150481916"/>
  </r>
  <r>
    <s v="CA-2020-122490"/>
    <x v="14"/>
    <s v="TT-21070"/>
    <s v="Ted Trevino"/>
    <s v="United States"/>
    <x v="2"/>
    <x v="1"/>
    <s v="GBC DocuBind P50 Personal Binding Machine"/>
    <n v="586.024"/>
    <n v="11"/>
    <n v="190.0206"/>
    <n v="32.425395546940052"/>
  </r>
  <r>
    <s v="CA-2019-134208"/>
    <x v="186"/>
    <s v="CS-12505"/>
    <s v="Cindy Stewart"/>
    <s v="United States"/>
    <x v="1"/>
    <x v="0"/>
    <s v="Lexmark X 9575 Professional All-in-One Color Printer"/>
    <n v="396"/>
    <n v="4"/>
    <n v="190.08"/>
    <n v="48.000000000000007"/>
  </r>
  <r>
    <s v="US-2019-163881"/>
    <x v="289"/>
    <s v="SP-20860"/>
    <s v="Sung Pak"/>
    <s v="United States"/>
    <x v="2"/>
    <x v="0"/>
    <s v="Logitech G500s Laser Gaming Mouse with Adjustable Weight Tuning"/>
    <n v="559.91999999999996"/>
    <n v="8"/>
    <n v="190.37280000000001"/>
    <n v="34"/>
  </r>
  <r>
    <s v="CA-2020-130302"/>
    <x v="97"/>
    <s v="CY-12745"/>
    <s v="Craig Yedwab"/>
    <s v="United States"/>
    <x v="0"/>
    <x v="0"/>
    <s v="Logitech Wireless Gaming Headset G930"/>
    <n v="943.94399999999996"/>
    <n v="7"/>
    <n v="190.38810000000001"/>
    <n v="20.169427423660728"/>
  </r>
  <r>
    <s v="CA-2019-158694"/>
    <x v="214"/>
    <s v="AI-10855"/>
    <s v="Arianne Irving"/>
    <s v="United States"/>
    <x v="2"/>
    <x v="2"/>
    <s v="Howard Miller 11-1/2&quot; Diameter Ridgewood Wall Clock"/>
    <n v="467.46"/>
    <n v="9"/>
    <n v="191.65860000000001"/>
    <n v="41"/>
  </r>
  <r>
    <s v="CA-2019-147417"/>
    <x v="445"/>
    <s v="CB-12415"/>
    <s v="Christy Brittain"/>
    <s v="United States"/>
    <x v="0"/>
    <x v="0"/>
    <s v="Hewlett Packard LaserJet 3310 Copier"/>
    <n v="1439.9760000000001"/>
    <n v="4"/>
    <n v="191.99680000000001"/>
    <n v="13.333333333333334"/>
  </r>
  <r>
    <s v="CA-2019-109722"/>
    <x v="444"/>
    <s v="TP-21130"/>
    <s v="Theone Pippenger"/>
    <s v="United States"/>
    <x v="1"/>
    <x v="0"/>
    <s v="Samsung Galaxy S III - 16GB - pebble blue (T-Mobile)"/>
    <n v="699.98"/>
    <n v="2"/>
    <n v="195.99440000000001"/>
    <n v="28.000000000000004"/>
  </r>
  <r>
    <s v="CA-2019-136301"/>
    <x v="22"/>
    <s v="EH-13765"/>
    <s v="Edward Hooks"/>
    <s v="United States"/>
    <x v="2"/>
    <x v="1"/>
    <s v="High Speed Automatic Electric Letter Opener"/>
    <n v="4912.59"/>
    <n v="3"/>
    <n v="196.50360000000001"/>
    <n v="4"/>
  </r>
  <r>
    <s v="CA-2019-160941"/>
    <x v="364"/>
    <s v="DK-12835"/>
    <s v="Damala Kotsonis"/>
    <s v="United States"/>
    <x v="2"/>
    <x v="1"/>
    <s v="Ames Color-File Green Diamond Border X-ray Mailers"/>
    <n v="419.9"/>
    <n v="5"/>
    <n v="197.35300000000001"/>
    <n v="47"/>
  </r>
  <r>
    <s v="CA-2019-168543"/>
    <x v="438"/>
    <s v="DK-13225"/>
    <s v="Dean Katz"/>
    <s v="United States"/>
    <x v="0"/>
    <x v="1"/>
    <s v="Avanti 1.7 Cu. Ft. Refrigerator"/>
    <n v="706.86"/>
    <n v="7"/>
    <n v="197.92080000000001"/>
    <n v="28.000000000000004"/>
  </r>
  <r>
    <s v="CA-2020-117401"/>
    <x v="352"/>
    <s v="PP-18955"/>
    <s v="Paul Prost"/>
    <s v="United States"/>
    <x v="3"/>
    <x v="1"/>
    <s v="Avanti 1.7 Cu. Ft. Refrigerator"/>
    <n v="725.86"/>
    <n v="7"/>
    <n v="197.92080000000001"/>
    <n v="27.267076295704406"/>
  </r>
  <r>
    <s v="CA-2019-129126"/>
    <x v="359"/>
    <s v="PK-19075"/>
    <s v="Pete Kriz"/>
    <s v="United States"/>
    <x v="0"/>
    <x v="2"/>
    <s v="GE 48&quot; Fluorescent Tube, Cool White Energy Saver, 34 Watts, 30/Box"/>
    <n v="396.92"/>
    <n v="4"/>
    <n v="198.46"/>
    <n v="50"/>
  </r>
  <r>
    <s v="CA-2020-144463"/>
    <x v="87"/>
    <s v="SC-20725"/>
    <s v="Steven Cartwright"/>
    <s v="United States"/>
    <x v="2"/>
    <x v="2"/>
    <s v="Howard Miller 11-1/2&quot; Diameter Brentwood Wall Clock"/>
    <n v="487.43"/>
    <n v="11"/>
    <n v="199.26060000000001"/>
    <n v="40.879839156391689"/>
  </r>
  <r>
    <s v="CA-2020-108574"/>
    <x v="232"/>
    <s v="MG-18145"/>
    <s v="Mike Gockenbach"/>
    <s v="United States"/>
    <x v="2"/>
    <x v="0"/>
    <s v="Logitech G19 Programmable Gaming Keyboard"/>
    <n v="1157.9100000000001"/>
    <n v="9"/>
    <n v="200.8638"/>
    <n v="17.347099515506383"/>
  </r>
  <r>
    <s v="CA-2020-161067"/>
    <x v="140"/>
    <s v="KB-16405"/>
    <s v="Katrina Bavinger"/>
    <s v="United States"/>
    <x v="0"/>
    <x v="1"/>
    <s v="Xerox 189"/>
    <n v="469.4"/>
    <n v="4"/>
    <n v="201.31200000000001"/>
    <n v="42.887089902002565"/>
  </r>
  <r>
    <s v="CA-2019-114860"/>
    <x v="279"/>
    <s v="DN-13690"/>
    <s v="Duane Noonan"/>
    <s v="United States"/>
    <x v="2"/>
    <x v="2"/>
    <s v="Deflect-o DuraMat Antistatic Studded Beveled Mat for Medium Pile Carpeting"/>
    <n v="842.72"/>
    <n v="8"/>
    <n v="202.25280000000001"/>
    <n v="24"/>
  </r>
  <r>
    <s v="CA-2020-121888"/>
    <x v="301"/>
    <s v="CL-11890"/>
    <s v="Carl Ludwig"/>
    <s v="United States"/>
    <x v="0"/>
    <x v="2"/>
    <s v="Atlantic Metals Mobile 3-Shelf Bookcases, Custom Colors"/>
    <n v="801.94"/>
    <n v="3"/>
    <n v="203.56440000000001"/>
    <n v="25.383993814998629"/>
  </r>
  <r>
    <s v="CA-2020-105914"/>
    <x v="11"/>
    <s v="PV-18985"/>
    <s v="Paul Van Hugh"/>
    <s v="United States"/>
    <x v="2"/>
    <x v="1"/>
    <s v="Tennsco Double-Tier Lockers"/>
    <n v="1613.14"/>
    <n v="7"/>
    <n v="204.76820000000001"/>
    <n v="12.693764955304562"/>
  </r>
  <r>
    <s v="CA-2019-151561"/>
    <x v="391"/>
    <s v="PG-18820"/>
    <s v="Patrick Gardner"/>
    <s v="United States"/>
    <x v="0"/>
    <x v="0"/>
    <s v="Enermax Aurora Lite Keyboard"/>
    <n v="468.9"/>
    <n v="6"/>
    <n v="206.316"/>
    <n v="44"/>
  </r>
  <r>
    <s v="US-2020-163790"/>
    <x v="88"/>
    <s v="NL-18310"/>
    <s v="Nancy Lomonaco"/>
    <s v="United States"/>
    <x v="2"/>
    <x v="1"/>
    <s v="GBC Therma-A-Bind 250T Electric Binding System"/>
    <n v="622.35199999999998"/>
    <n v="6"/>
    <n v="206.6232"/>
    <n v="33.200375350284084"/>
  </r>
  <r>
    <s v="CA-2020-129357"/>
    <x v="215"/>
    <s v="KB-16585"/>
    <s v="Ken Black"/>
    <s v="United States"/>
    <x v="2"/>
    <x v="1"/>
    <s v="Xerox 1917"/>
    <n v="485.19"/>
    <n v="9"/>
    <n v="206.88929999999999"/>
    <n v="42.640882953069934"/>
  </r>
  <r>
    <s v="CA-2019-127369"/>
    <x v="428"/>
    <s v="DB-13060"/>
    <s v="Dave Brooks"/>
    <s v="United States"/>
    <x v="0"/>
    <x v="1"/>
    <s v="Letter Size Cart"/>
    <n v="714.3"/>
    <n v="5"/>
    <n v="207.14699999999999"/>
    <n v="28.999999999999996"/>
  </r>
  <r>
    <s v="CA-2020-120168"/>
    <x v="347"/>
    <s v="TB-21625"/>
    <s v="Trudy Brown"/>
    <s v="United States"/>
    <x v="0"/>
    <x v="1"/>
    <s v="GBC DocuBind P100 Manual Binding Machine"/>
    <n v="697.92"/>
    <n v="5"/>
    <n v="207.47499999999999"/>
    <n v="29.727619211370932"/>
  </r>
  <r>
    <s v="CA-2019-157259"/>
    <x v="210"/>
    <s v="JM-15535"/>
    <s v="Jessica Myrick"/>
    <s v="United States"/>
    <x v="0"/>
    <x v="2"/>
    <s v="Luxo Adjustable Task Clamp Lamp"/>
    <n v="799.56"/>
    <n v="9"/>
    <n v="207.88560000000001"/>
    <n v="26"/>
  </r>
  <r>
    <s v="CA-2020-168109"/>
    <x v="142"/>
    <s v="JK-15640"/>
    <s v="Jim Kriz"/>
    <s v="United States"/>
    <x v="2"/>
    <x v="0"/>
    <s v="Okidata MB491 Multifunction Printer"/>
    <n v="2443.1999999999998"/>
    <n v="6"/>
    <n v="209.58"/>
    <n v="8.5780943025540282"/>
  </r>
  <r>
    <s v="CA-2020-130036"/>
    <x v="53"/>
    <s v="BP-11185"/>
    <s v="Ben Peterman"/>
    <s v="United States"/>
    <x v="0"/>
    <x v="0"/>
    <s v="Logitech Wireless Headset h800"/>
    <n v="1131.8879999999999"/>
    <n v="14"/>
    <n v="209.97900000000001"/>
    <n v="18.551217081548707"/>
  </r>
  <r>
    <s v="CA-2020-108539"/>
    <x v="450"/>
    <s v="SC-20725"/>
    <s v="Steven Cartwright"/>
    <s v="United States"/>
    <x v="2"/>
    <x v="1"/>
    <s v="Adjustable Depth Letter/Legal Cart"/>
    <n v="770.84"/>
    <n v="4"/>
    <n v="210.49359999999999"/>
    <n v="27.307041668828809"/>
  </r>
  <r>
    <s v="CA-2020-163979"/>
    <x v="240"/>
    <s v="KH-16690"/>
    <s v="Kristen Hastings"/>
    <s v="United States"/>
    <x v="2"/>
    <x v="1"/>
    <s v="Adjustable Depth Letter/Legal Cart"/>
    <n v="244.84"/>
    <n v="4"/>
    <n v="210.49359999999999"/>
    <n v="85.971900016337187"/>
  </r>
  <r>
    <s v="US-2019-163881"/>
    <x v="289"/>
    <s v="SP-20860"/>
    <s v="Sung Pak"/>
    <s v="United States"/>
    <x v="2"/>
    <x v="2"/>
    <s v="Global Leather Executive Chair"/>
    <n v="1684.752"/>
    <n v="6"/>
    <n v="210.59399999999999"/>
    <n v="12.5"/>
  </r>
  <r>
    <s v="CA-2020-142342"/>
    <x v="434"/>
    <s v="AJ-10795"/>
    <s v="Anthony Johnson"/>
    <s v="United States"/>
    <x v="2"/>
    <x v="2"/>
    <s v="Atlantic Metals Mobile 4-Shelf Bookcases, Custom Colors"/>
    <n v="1222.165"/>
    <n v="5"/>
    <n v="210.73500000000001"/>
    <n v="17.242761820212493"/>
  </r>
  <r>
    <s v="CA-2020-101042"/>
    <x v="4"/>
    <s v="AB-10105"/>
    <s v="Adrian Barton"/>
    <s v="United States"/>
    <x v="1"/>
    <x v="2"/>
    <s v="3M Polarizing Task Lamp with Clamp Arm, Light Gray"/>
    <n v="862.88"/>
    <n v="6"/>
    <n v="213.68879999999999"/>
    <n v="24.76460226219173"/>
  </r>
  <r>
    <s v="CA-2020-157987"/>
    <x v="149"/>
    <s v="AC-10615"/>
    <s v="Ann Chong"/>
    <s v="United States"/>
    <x v="0"/>
    <x v="2"/>
    <s v="Global Commerce Series High-Back Swivel/Tilt Chairs"/>
    <n v="1311.41"/>
    <n v="5"/>
    <n v="213.73500000000001"/>
    <n v="16.298106618067575"/>
  </r>
  <r>
    <s v="CA-2020-107132"/>
    <x v="334"/>
    <s v="SC-20260"/>
    <s v="Scott Cohen"/>
    <s v="United States"/>
    <x v="0"/>
    <x v="1"/>
    <s v="Hot File 7-Pocket, Floor Stand"/>
    <n v="740.88"/>
    <n v="4"/>
    <n v="214.16399999999999"/>
    <n v="28.906705539358601"/>
  </r>
  <r>
    <s v="CA-2020-127397"/>
    <x v="400"/>
    <s v="ES-14080"/>
    <s v="Erin Smith"/>
    <s v="United States"/>
    <x v="0"/>
    <x v="0"/>
    <s v="Plantronics CS510 - Over-the-Head monaural Wireless Headset System"/>
    <n v="1333.8"/>
    <n v="5"/>
    <n v="214.4675"/>
    <n v="16.079434697855753"/>
  </r>
  <r>
    <s v="CA-2020-136308"/>
    <x v="417"/>
    <s v="MW-18235"/>
    <s v="Mitch Willingham"/>
    <s v="United States"/>
    <x v="2"/>
    <x v="0"/>
    <s v="Bady BDG101FRU Card Printer"/>
    <n v="1931.9760000000001"/>
    <n v="3"/>
    <n v="215.9973"/>
    <n v="11.180123355569634"/>
  </r>
  <r>
    <s v="US-2019-163881"/>
    <x v="289"/>
    <s v="SP-20860"/>
    <s v="Sung Pak"/>
    <s v="United States"/>
    <x v="2"/>
    <x v="0"/>
    <s v="Plantronics CS510 - Over-the-Head monaural Wireless Headset System"/>
    <n v="659.9"/>
    <n v="2"/>
    <n v="217.767"/>
    <n v="33"/>
  </r>
  <r>
    <s v="CA-2020-117198"/>
    <x v="461"/>
    <s v="BG-11035"/>
    <s v="Barry Gonzalez"/>
    <s v="United States"/>
    <x v="1"/>
    <x v="0"/>
    <s v="Plantronics CS510 - Over-the-Head monaural Wireless Headset System"/>
    <n v="680.9"/>
    <n v="2"/>
    <n v="217.767"/>
    <n v="31.982229402261712"/>
  </r>
  <r>
    <s v="CA-2020-155376"/>
    <x v="67"/>
    <s v="SG-20080"/>
    <s v="Sandra Glassco"/>
    <s v="United States"/>
    <x v="3"/>
    <x v="1"/>
    <s v="Sanyo 2.5 Cubic Foot Mid-Size Office Refrigerators"/>
    <n v="468.43"/>
    <n v="3"/>
    <n v="218.2518"/>
    <n v="46.592190935678758"/>
  </r>
  <r>
    <s v="CA-2020-124744"/>
    <x v="239"/>
    <s v="EH-14125"/>
    <s v="Eugene Hildebrand"/>
    <s v="United States"/>
    <x v="0"/>
    <x v="1"/>
    <s v="Xerox 1908"/>
    <n v="467.84"/>
    <n v="8"/>
    <n v="219.44159999999999"/>
    <n v="46.905266757865938"/>
  </r>
  <r>
    <s v="CA-2019-112123"/>
    <x v="17"/>
    <s v="BH-11710"/>
    <s v="Brosina Hoffman"/>
    <s v="United States"/>
    <x v="0"/>
    <x v="1"/>
    <s v="GBC ProClick Punch Binding System"/>
    <n v="447.86"/>
    <n v="7"/>
    <n v="219.45140000000001"/>
    <n v="49"/>
  </r>
  <r>
    <s v="CA-2019-152156"/>
    <x v="628"/>
    <s v="CG-12520"/>
    <s v="Claire Gute"/>
    <s v="United States"/>
    <x v="1"/>
    <x v="2"/>
    <s v="Hon Deluxe Fabric Upholstered Stacking Chairs, Rounded Back"/>
    <n v="731.94"/>
    <n v="3"/>
    <n v="219.58199999999999"/>
    <n v="30"/>
  </r>
  <r>
    <s v="CA-2020-160899"/>
    <x v="290"/>
    <s v="DR-12940"/>
    <s v="Daniel Raglin"/>
    <s v="United States"/>
    <x v="1"/>
    <x v="1"/>
    <s v="Satellite Sectional Post Binders"/>
    <n v="490.51"/>
    <n v="11"/>
    <n v="219.65459999999999"/>
    <n v="44.780860736784163"/>
  </r>
  <r>
    <s v="CA-2020-112900"/>
    <x v="262"/>
    <s v="KL-16645"/>
    <s v="Ken Lonsdale"/>
    <s v="United States"/>
    <x v="3"/>
    <x v="1"/>
    <s v="GBC Recycled Regency Composition Covers"/>
    <n v="493.24"/>
    <n v="8"/>
    <n v="219.99039999999999"/>
    <n v="44.601086692076883"/>
  </r>
  <r>
    <s v="CA-2019-127761"/>
    <x v="214"/>
    <s v="SW-20275"/>
    <s v="Scott Williamson"/>
    <s v="United States"/>
    <x v="0"/>
    <x v="0"/>
    <s v="BlackBerry Q10"/>
    <n v="881.93"/>
    <n v="7"/>
    <n v="220.48249999999999"/>
    <n v="25"/>
  </r>
  <r>
    <s v="CA-2019-147256"/>
    <x v="569"/>
    <s v="FC-14245"/>
    <s v="Frank Carlisle"/>
    <s v="United States"/>
    <x v="3"/>
    <x v="0"/>
    <s v="Panasonic KX-TG9541B DECT 6.0 Digital 2-Line Expandable Cordless Phone With Digital Answering System"/>
    <n v="449.97"/>
    <n v="3"/>
    <n v="220.4853"/>
    <n v="48.999999999999993"/>
  </r>
  <r>
    <s v="CA-2019-144309"/>
    <x v="528"/>
    <s v="CM-12235"/>
    <s v="Chris McAfee"/>
    <s v="United States"/>
    <x v="0"/>
    <x v="1"/>
    <s v="Fellowes PB200 Plastic Comb Binding Machine"/>
    <n v="679.96"/>
    <n v="5"/>
    <n v="220.98699999999999"/>
    <n v="32.499999999999993"/>
  </r>
  <r>
    <s v="US-2019-155768"/>
    <x v="212"/>
    <s v="LB-16795"/>
    <s v="Laurel Beltran"/>
    <s v="United States"/>
    <x v="2"/>
    <x v="1"/>
    <s v="Sauder Facets Collection Locker/File Cabinet, Sky Alder Finish"/>
    <n v="1112.94"/>
    <n v="3"/>
    <n v="222.58799999999999"/>
    <n v="20"/>
  </r>
  <r>
    <s v="CA-2020-119284"/>
    <x v="267"/>
    <s v="TS-21205"/>
    <s v="Thomas Seio"/>
    <s v="United States"/>
    <x v="1"/>
    <x v="0"/>
    <s v="Samsung Galaxy S III - 16GB - pebble blue (T-Mobile)"/>
    <n v="2261.9360000000001"/>
    <n v="8"/>
    <n v="223.99359999999999"/>
    <n v="9.9027381853421126"/>
  </r>
  <r>
    <s v="CA-2020-159506"/>
    <x v="464"/>
    <s v="JR-16210"/>
    <s v="Justin Ritter"/>
    <s v="United States"/>
    <x v="3"/>
    <x v="1"/>
    <s v="GBC DocuBind P100 Manual Binding Machine"/>
    <n v="510.94"/>
    <n v="3"/>
    <n v="224.07300000000001"/>
    <n v="43.855051473754258"/>
  </r>
  <r>
    <s v="CA-2020-121027"/>
    <x v="243"/>
    <s v="HW-14935"/>
    <s v="Helen Wasserman"/>
    <s v="United States"/>
    <x v="2"/>
    <x v="0"/>
    <s v="Imation Bio 8GB USB Flash Drive Imation Corp"/>
    <n v="1539.16"/>
    <n v="9"/>
    <n v="224.42400000000001"/>
    <n v="14.58094025312508"/>
  </r>
  <r>
    <s v="CA-2019-118514"/>
    <x v="639"/>
    <s v="LC-17050"/>
    <s v="Liz Carlisle"/>
    <s v="United States"/>
    <x v="1"/>
    <x v="2"/>
    <s v="Hon Multipurpose Stacking Arm Chairs"/>
    <n v="866.4"/>
    <n v="4"/>
    <n v="225.26400000000001"/>
    <n v="26"/>
  </r>
  <r>
    <s v="CA-2020-155705"/>
    <x v="500"/>
    <s v="NF-18385"/>
    <s v="Natalie Fritzler"/>
    <s v="United States"/>
    <x v="1"/>
    <x v="2"/>
    <s v="Hon Multipurpose Stacking Arm Chairs"/>
    <n v="896.4"/>
    <n v="4"/>
    <n v="225.26400000000001"/>
    <n v="25.129852744310575"/>
  </r>
  <r>
    <s v="CA-2020-126928"/>
    <x v="166"/>
    <s v="GZ-14470"/>
    <s v="Gary Zandusky"/>
    <s v="United States"/>
    <x v="0"/>
    <x v="0"/>
    <s v="Lexmark 20R1285 X6650 Wireless All-in-One Printer"/>
    <n v="494"/>
    <n v="4"/>
    <n v="225.6"/>
    <n v="45.668016194331983"/>
  </r>
  <r>
    <s v="CA-2019-147137"/>
    <x v="455"/>
    <s v="AA-10645"/>
    <s v="Anna Andreadi"/>
    <s v="United States"/>
    <x v="2"/>
    <x v="2"/>
    <s v="Atlantic Metals Mobile 5-Shelf Bookcases, Custom Colors"/>
    <n v="1279.165"/>
    <n v="5"/>
    <n v="225.73500000000001"/>
    <n v="17.647058823529413"/>
  </r>
  <r>
    <s v="CA-2019-160717"/>
    <x v="428"/>
    <s v="ME-17320"/>
    <s v="Maria Etezadi"/>
    <s v="United States"/>
    <x v="2"/>
    <x v="0"/>
    <s v="Samsung Galaxy Mega 6.3"/>
    <n v="3023.9279999999999"/>
    <n v="9"/>
    <n v="226.7946"/>
    <n v="7.5"/>
  </r>
  <r>
    <s v="CA-2020-139199"/>
    <x v="356"/>
    <s v="DK-12835"/>
    <s v="Damala Kotsonis"/>
    <s v="United States"/>
    <x v="3"/>
    <x v="2"/>
    <s v="Global Executive Mid-Back Manager's Chair"/>
    <n v="897.94"/>
    <n v="3"/>
    <n v="226.96440000000001"/>
    <n v="25.276120898946473"/>
  </r>
  <r>
    <s v="CA-2020-128853"/>
    <x v="69"/>
    <s v="JM-15250"/>
    <s v="Janet Martin"/>
    <s v="United States"/>
    <x v="0"/>
    <x v="2"/>
    <s v="Global Fabric Manager's Chair, Dark Gray"/>
    <n v="938.82"/>
    <n v="9"/>
    <n v="227.20500000000001"/>
    <n v="24.201124816258705"/>
  </r>
  <r>
    <s v="CA-2019-163328"/>
    <x v="56"/>
    <s v="TP-21565"/>
    <s v="Tracy Poddar"/>
    <s v="United States"/>
    <x v="2"/>
    <x v="1"/>
    <s v="Dot Matrix Printer Tape Reel Labels, White, 5000/Box"/>
    <n v="629.18399999999997"/>
    <n v="8"/>
    <n v="228.07919999999999"/>
    <n v="36.25"/>
  </r>
  <r>
    <s v="CA-2019-142335"/>
    <x v="50"/>
    <s v="MP-17965"/>
    <s v="Michael Paige"/>
    <s v="United States"/>
    <x v="3"/>
    <x v="2"/>
    <s v="Chromcraft Bull-Nose Wood Oval Conference Tables &amp; Bases"/>
    <n v="1652.94"/>
    <n v="3"/>
    <n v="231.41159999999999"/>
    <n v="13.999999999999998"/>
  </r>
  <r>
    <s v="CA-2019-114104"/>
    <x v="165"/>
    <s v="NP-18670"/>
    <s v="Nora Paige"/>
    <s v="United States"/>
    <x v="3"/>
    <x v="0"/>
    <s v="Avaya 5420 Digital phone"/>
    <n v="944.93"/>
    <n v="7"/>
    <n v="236.23249999999999"/>
    <n v="25"/>
  </r>
  <r>
    <s v="CA-2020-123967"/>
    <x v="578"/>
    <s v="SF-20200"/>
    <s v="Sarah Foster"/>
    <s v="United States"/>
    <x v="2"/>
    <x v="2"/>
    <s v="Hon 94000 Series Round Tables"/>
    <n v="2694.62"/>
    <n v="9"/>
    <n v="239.9058"/>
    <n v="8.9031403314753099"/>
  </r>
  <r>
    <s v="CA-2020-124296"/>
    <x v="437"/>
    <s v="CS-12355"/>
    <s v="Christine Sundaresam"/>
    <s v="United States"/>
    <x v="1"/>
    <x v="0"/>
    <s v="DYMO CardScan Personal V9 Business Card Scanner"/>
    <n v="711.97"/>
    <n v="3"/>
    <n v="239.98500000000001"/>
    <n v="33.707178673258703"/>
  </r>
  <r>
    <s v="CA-2020-141439"/>
    <x v="197"/>
    <s v="TT-21460"/>
    <s v="Tonja Turnell"/>
    <s v="United States"/>
    <x v="3"/>
    <x v="2"/>
    <s v="SAFCO Arco Folding Chair"/>
    <n v="843.6"/>
    <n v="3"/>
    <n v="240.29400000000001"/>
    <n v="28.484352773826458"/>
  </r>
  <r>
    <s v="US-2019-146570"/>
    <x v="389"/>
    <s v="SN-20710"/>
    <s v="Steve Nguyen"/>
    <s v="United States"/>
    <x v="1"/>
    <x v="1"/>
    <s v="GBC DocuBind P50 Personal Binding Machine"/>
    <n v="511.84"/>
    <n v="8"/>
    <n v="240.56479999999999"/>
    <n v="47"/>
  </r>
  <r>
    <s v="US-2019-164196"/>
    <x v="373"/>
    <s v="AS-10285"/>
    <s v="Alejandro Savely"/>
    <s v="United States"/>
    <x v="3"/>
    <x v="2"/>
    <s v="Balt Solid Wood Round Tables"/>
    <n v="2678.94"/>
    <n v="6"/>
    <n v="241.1046"/>
    <n v="9"/>
  </r>
  <r>
    <s v="CA-2019-168354"/>
    <x v="204"/>
    <s v="RH-19510"/>
    <s v="Rick Huthwaite"/>
    <s v="United States"/>
    <x v="0"/>
    <x v="2"/>
    <s v="Lifetime Advantage Folding Chairs, 4/Carton"/>
    <n v="872.32"/>
    <n v="4"/>
    <n v="244.24959999999999"/>
    <n v="27.999999999999996"/>
  </r>
  <r>
    <s v="CA-2019-134887"/>
    <x v="612"/>
    <s v="TB-21280"/>
    <s v="Toby Braunhardt"/>
    <s v="United States"/>
    <x v="3"/>
    <x v="0"/>
    <s v="Logitech P710e Mobile Speakerphone"/>
    <n v="1287.45"/>
    <n v="5"/>
    <n v="244.6155"/>
    <n v="19"/>
  </r>
  <r>
    <s v="CA-2020-116988"/>
    <x v="588"/>
    <s v="PW-19030"/>
    <s v="Pauline Webber"/>
    <s v="United States"/>
    <x v="2"/>
    <x v="0"/>
    <s v="Logitech P710e Mobile Speakerphone"/>
    <n v="1297.45"/>
    <n v="5"/>
    <n v="244.6155"/>
    <n v="18.853558904004007"/>
  </r>
  <r>
    <s v="CA-2020-162015"/>
    <x v="543"/>
    <s v="KB-16240"/>
    <s v="Karen Bern"/>
    <s v="United States"/>
    <x v="2"/>
    <x v="0"/>
    <s v="Logitech P710e Mobile Speakerphone"/>
    <n v="1300.45"/>
    <n v="5"/>
    <n v="244.6155"/>
    <n v="18.810065746472375"/>
  </r>
  <r>
    <s v="CA-2020-151981"/>
    <x v="574"/>
    <s v="GM-14455"/>
    <s v="Gary Mitchum"/>
    <s v="United States"/>
    <x v="0"/>
    <x v="0"/>
    <s v="Ativa D5772 2-Line 5.8GHz Digital Expandable Corded/Cordless Phone System with Answering &amp; Caller ID/Call Waiting, Black/Silver"/>
    <n v="851.95"/>
    <n v="5"/>
    <n v="247.48500000000001"/>
    <n v="29.049239978871999"/>
  </r>
  <r>
    <s v="CA-2020-126067"/>
    <x v="488"/>
    <s v="KN-16705"/>
    <s v="Kristina Nunn"/>
    <s v="United States"/>
    <x v="2"/>
    <x v="2"/>
    <s v="Hon Practical Foundations 30 x 60 Training Table, Light Gray/Charcoal"/>
    <n v="1176.75"/>
    <n v="5"/>
    <n v="250.30500000000001"/>
    <n v="21.270873167622689"/>
  </r>
  <r>
    <s v="CA-2020-121790"/>
    <x v="178"/>
    <s v="LP-17095"/>
    <s v="Liz Preis"/>
    <s v="United States"/>
    <x v="3"/>
    <x v="0"/>
    <s v="Samsung Galaxy S4"/>
    <n v="2015.1679999999999"/>
    <n v="4"/>
    <n v="250.39599999999999"/>
    <n v="12.425564518690253"/>
  </r>
  <r>
    <s v="CA-2020-143245"/>
    <x v="265"/>
    <s v="AD-10180"/>
    <s v="Alan Dominguez"/>
    <s v="United States"/>
    <x v="0"/>
    <x v="2"/>
    <s v="Global Comet Stacking Armless Chair"/>
    <n v="928.15"/>
    <n v="3"/>
    <n v="251.202"/>
    <n v="27.06480633518289"/>
  </r>
  <r>
    <s v="CA-2019-124352"/>
    <x v="486"/>
    <s v="CD-12790"/>
    <s v="Cynthia Delaney"/>
    <s v="United States"/>
    <x v="3"/>
    <x v="1"/>
    <s v="Hoover Upright Vacuum With Dirt Cup"/>
    <n v="868.59"/>
    <n v="3"/>
    <n v="251.89109999999999"/>
    <n v="28.999999999999996"/>
  </r>
  <r>
    <s v="CA-2019-153178"/>
    <x v="597"/>
    <s v="CL-12565"/>
    <s v="Clay Ludtke"/>
    <s v="United States"/>
    <x v="0"/>
    <x v="1"/>
    <s v="GBC DocuBind 200 Manual Binding Machine"/>
    <n v="673.56799999999998"/>
    <n v="2"/>
    <n v="252.58799999999999"/>
    <n v="37.5"/>
  </r>
  <r>
    <s v="CA-2019-131737"/>
    <x v="305"/>
    <s v="GZ-14470"/>
    <s v="Gary Zandusky"/>
    <s v="United States"/>
    <x v="0"/>
    <x v="2"/>
    <s v="Electrix Halogen Magnifier Lamp"/>
    <n v="971.5"/>
    <n v="5"/>
    <n v="252.59"/>
    <n v="26"/>
  </r>
  <r>
    <s v="CA-2020-116519"/>
    <x v="114"/>
    <s v="CR-12730"/>
    <s v="Craig Reiter"/>
    <s v="United States"/>
    <x v="0"/>
    <x v="1"/>
    <s v="Avanti 4.4 Cu. Ft. Refrigerator"/>
    <n v="921.9"/>
    <n v="5"/>
    <n v="253.37200000000001"/>
    <n v="27.483675018982538"/>
  </r>
  <r>
    <s v="CA-2020-149559"/>
    <x v="183"/>
    <s v="KF-16285"/>
    <s v="Karen Ferguson"/>
    <s v="United States"/>
    <x v="2"/>
    <x v="2"/>
    <s v="Hon Pagoda Stacking Chairs"/>
    <n v="2101.2719999999999"/>
    <n v="8"/>
    <n v="256.78399999999999"/>
    <n v="12.220407448440755"/>
  </r>
  <r>
    <s v="US-2019-116729"/>
    <x v="36"/>
    <s v="GK-14620"/>
    <s v="Grace Kelly"/>
    <s v="United States"/>
    <x v="2"/>
    <x v="0"/>
    <s v="Samsung Galaxy Note 2"/>
    <n v="575.94399999999996"/>
    <n v="7"/>
    <n v="257.59440000000001"/>
    <n v="44.725598322059099"/>
  </r>
  <r>
    <s v="CA-2020-148922"/>
    <x v="409"/>
    <s v="SU-20665"/>
    <s v="Stephanie Ulpright"/>
    <s v="United States"/>
    <x v="1"/>
    <x v="0"/>
    <s v="Razer Tiamat Over Ear 7.1 Surround Sound PC Gaming Headset"/>
    <n v="106.97"/>
    <n v="3"/>
    <n v="257.9871"/>
    <n v="241.17705898850144"/>
  </r>
  <r>
    <s v="CA-2019-116911"/>
    <x v="498"/>
    <s v="JD-16150"/>
    <s v="Justin Deggeller"/>
    <s v="United States"/>
    <x v="2"/>
    <x v="2"/>
    <s v="Bretford Rectangular Conference Table Tops"/>
    <n v="1128.3900000000001"/>
    <n v="3"/>
    <n v="259.52969999999999"/>
    <n v="23"/>
  </r>
  <r>
    <s v="CA-2020-111689"/>
    <x v="21"/>
    <s v="HP-14815"/>
    <s v="Harold Pawlan"/>
    <s v="United States"/>
    <x v="0"/>
    <x v="2"/>
    <s v="SAFCO Arco Folding Chair"/>
    <n v="1263.9000000000001"/>
    <n v="5"/>
    <n v="262.39"/>
    <n v="20.760344964000314"/>
  </r>
  <r>
    <s v="CA-2020-100097"/>
    <x v="197"/>
    <s v="MN-17935"/>
    <s v="Michael Nguyen"/>
    <s v="United States"/>
    <x v="0"/>
    <x v="0"/>
    <s v="Plantronics Calisto P620-M USB Wireless Speakerphone System"/>
    <n v="996.95"/>
    <n v="5"/>
    <n v="264.5865"/>
    <n v="26.539595767089626"/>
  </r>
  <r>
    <s v="CA-2019-155516"/>
    <x v="72"/>
    <s v="MK-17905"/>
    <s v="Michael Kennedy"/>
    <s v="United States"/>
    <x v="0"/>
    <x v="2"/>
    <s v="Atlantic Metals Mobile 3-Shelf Bookcases, Custom Colors"/>
    <n v="1043.92"/>
    <n v="4"/>
    <n v="271.41919999999999"/>
    <n v="25.999999999999996"/>
  </r>
  <r>
    <s v="CA-2019-115917"/>
    <x v="246"/>
    <s v="RB-19465"/>
    <s v="Rick Bensley"/>
    <s v="United States"/>
    <x v="2"/>
    <x v="2"/>
    <s v="Luxo Professional Fluorescent Magnifier Lamp with Clamp-Mount Base"/>
    <n v="1049.2"/>
    <n v="5"/>
    <n v="272.79199999999997"/>
    <n v="25.999999999999996"/>
  </r>
  <r>
    <s v="CA-2020-117702"/>
    <x v="24"/>
    <s v="LS-16975"/>
    <s v="Lindsay Shagiari"/>
    <s v="United States"/>
    <x v="0"/>
    <x v="2"/>
    <s v="Luxo Professional Fluorescent Magnifier Lamp with Clamp-Mount Base"/>
    <n v="1081.2"/>
    <n v="5"/>
    <n v="272.79199999999997"/>
    <n v="25.230484646688861"/>
  </r>
  <r>
    <s v="CA-2019-113607"/>
    <x v="487"/>
    <s v="PW-19030"/>
    <s v="Pauline Webber"/>
    <s v="United States"/>
    <x v="0"/>
    <x v="0"/>
    <s v="Motorola L703CM"/>
    <n v="1091.93"/>
    <n v="7"/>
    <n v="272.98250000000002"/>
    <n v="25"/>
  </r>
  <r>
    <s v="CA-2019-168753"/>
    <x v="361"/>
    <s v="RL-19615"/>
    <s v="Rob Lucas"/>
    <s v="United States"/>
    <x v="1"/>
    <x v="0"/>
    <s v="Panasonic KX-TG9471B"/>
    <n v="979.95"/>
    <n v="5"/>
    <n v="274.38600000000002"/>
    <n v="28.000000000000004"/>
  </r>
  <r>
    <s v="CA-2020-142034"/>
    <x v="64"/>
    <s v="KB-16240"/>
    <s v="Karen Bern"/>
    <s v="United States"/>
    <x v="3"/>
    <x v="0"/>
    <s v="Imation Bio 2GB USB Flash Drive Imation Corp"/>
    <n v="666.9"/>
    <n v="5"/>
    <n v="275.47800000000001"/>
    <n v="41.307242465137207"/>
  </r>
  <r>
    <s v="CA-2019-131835"/>
    <x v="395"/>
    <s v="MC-17590"/>
    <s v="Matt Collister"/>
    <s v="United States"/>
    <x v="0"/>
    <x v="0"/>
    <s v="Bose SoundLink Bluetooth Speaker"/>
    <n v="597"/>
    <n v="3"/>
    <n v="280.58999999999997"/>
    <n v="47"/>
  </r>
  <r>
    <s v="CA-2019-158001"/>
    <x v="95"/>
    <s v="JP-15460"/>
    <s v="Jennifer Patt"/>
    <s v="United States"/>
    <x v="0"/>
    <x v="1"/>
    <s v="1.7 Cubic Foot Compact &quot;Cube&quot; Office Refrigerators"/>
    <n v="1040.8"/>
    <n v="5"/>
    <n v="281.01600000000002"/>
    <n v="27"/>
  </r>
  <r>
    <s v="CA-2019-144218"/>
    <x v="330"/>
    <s v="JD-15895"/>
    <s v="Jonathan Doherty"/>
    <s v="United States"/>
    <x v="2"/>
    <x v="1"/>
    <s v="Dual Level, Single-Width Filing Carts"/>
    <n v="1085.42"/>
    <n v="7"/>
    <n v="282.20920000000001"/>
    <n v="26"/>
  </r>
  <r>
    <s v="CA-2020-164112"/>
    <x v="54"/>
    <s v="ND-18460"/>
    <s v="Neil Ducich"/>
    <s v="United States"/>
    <x v="0"/>
    <x v="1"/>
    <s v="Dual Level, Single-Width Filing Carts"/>
    <n v="1130.42"/>
    <n v="7"/>
    <n v="282.20920000000001"/>
    <n v="24.964986465207623"/>
  </r>
  <r>
    <s v="CA-2020-167395"/>
    <x v="18"/>
    <s v="KM-16720"/>
    <s v="Kunst Miller"/>
    <s v="United States"/>
    <x v="0"/>
    <x v="0"/>
    <s v="GE 30524EE4"/>
    <n v="289.95"/>
    <n v="5"/>
    <n v="284.18549999999999"/>
    <n v="98.011898603207442"/>
  </r>
  <r>
    <s v="CA-2019-105459"/>
    <x v="63"/>
    <s v="NP-18700"/>
    <s v="Nora Preis"/>
    <s v="United States"/>
    <x v="0"/>
    <x v="1"/>
    <s v="Tennsco 6- and 18-Compartment Lockers"/>
    <n v="1591.02"/>
    <n v="6"/>
    <n v="286.3836"/>
    <n v="18"/>
  </r>
  <r>
    <s v="CA-2020-119809"/>
    <x v="243"/>
    <s v="YS-21880"/>
    <s v="Yana Sorensen"/>
    <s v="United States"/>
    <x v="2"/>
    <x v="1"/>
    <s v="Letter Size Cart"/>
    <n v="1032.02"/>
    <n v="7"/>
    <n v="290.00580000000002"/>
    <n v="28.100792620298058"/>
  </r>
  <r>
    <s v="CA-2020-138380"/>
    <x v="493"/>
    <s v="YS-21880"/>
    <s v="Yana Sorensen"/>
    <s v="United States"/>
    <x v="2"/>
    <x v="1"/>
    <s v="Letter Size Cart"/>
    <n v="1305.02"/>
    <n v="7"/>
    <n v="290.00580000000002"/>
    <n v="22.222326094619241"/>
  </r>
  <r>
    <s v="CA-2019-162355"/>
    <x v="422"/>
    <s v="PF-19165"/>
    <s v="Philip Fox"/>
    <s v="United States"/>
    <x v="1"/>
    <x v="2"/>
    <s v="O'Sullivan 2-Door Barrister Bookcase in Odessa Pine"/>
    <n v="1266.8599999999999"/>
    <n v="7"/>
    <n v="291.37779999999998"/>
    <n v="23"/>
  </r>
  <r>
    <s v="CA-2019-111213"/>
    <x v="442"/>
    <s v="FP-14320"/>
    <s v="Frank Preis"/>
    <s v="United States"/>
    <x v="0"/>
    <x v="2"/>
    <s v="Hon Deluxe Fabric Upholstered Stacking Chairs, Rounded Back"/>
    <n v="1317.492"/>
    <n v="6"/>
    <n v="292.77600000000001"/>
    <n v="22.222222222222225"/>
  </r>
  <r>
    <s v="CA-2020-143567"/>
    <x v="88"/>
    <s v="TB-21175"/>
    <s v="Thomas Boland"/>
    <s v="United States"/>
    <x v="1"/>
    <x v="2"/>
    <s v="Hon Deluxe Fabric Upholstered Stacking Chairs, Rounded Back"/>
    <n v="1020.92"/>
    <n v="4"/>
    <n v="292.77600000000001"/>
    <n v="28.677663284096699"/>
  </r>
  <r>
    <s v="CA-2019-149797"/>
    <x v="498"/>
    <s v="AH-10075"/>
    <s v="Adam Hart"/>
    <s v="United States"/>
    <x v="0"/>
    <x v="1"/>
    <s v="GBC DocuBind 300 Electric Binding Machine"/>
    <n v="841.56799999999998"/>
    <n v="2"/>
    <n v="294.54880000000003"/>
    <n v="35"/>
  </r>
  <r>
    <s v="CA-2020-161956"/>
    <x v="53"/>
    <s v="DR-12880"/>
    <s v="Dan Reichenbach"/>
    <s v="United States"/>
    <x v="2"/>
    <x v="1"/>
    <s v="GBC DocuBind 300 Electric Binding Machine"/>
    <n v="855.56799999999998"/>
    <n v="2"/>
    <n v="294.54880000000003"/>
    <n v="34.427281057730077"/>
  </r>
  <r>
    <s v="CA-2019-131737"/>
    <x v="305"/>
    <s v="GZ-14470"/>
    <s v="Gary Zandusky"/>
    <s v="United States"/>
    <x v="0"/>
    <x v="1"/>
    <s v="Honeywell Enviracaire Portable HEPA Air Cleaner for 17' x 22' Room"/>
    <n v="901.95"/>
    <n v="3"/>
    <n v="297.64350000000002"/>
    <n v="33"/>
  </r>
  <r>
    <s v="CA-2019-142594"/>
    <x v="212"/>
    <s v="EJ-14155"/>
    <s v="Eva Jacobs"/>
    <s v="United States"/>
    <x v="0"/>
    <x v="1"/>
    <s v="Honeywell Enviracaire Portable HEPA Air Cleaner for 17' x 22' Room"/>
    <n v="901.95"/>
    <n v="3"/>
    <n v="297.64350000000002"/>
    <n v="33"/>
  </r>
  <r>
    <s v="CA-2019-107104"/>
    <x v="127"/>
    <s v="MS-17365"/>
    <s v="Maribeth Schnelling"/>
    <s v="United States"/>
    <x v="2"/>
    <x v="2"/>
    <s v="GE 48&quot; Fluorescent Tube, Cool White Energy Saver, 34 Watts, 30/Box"/>
    <n v="595.38"/>
    <n v="6"/>
    <n v="297.69"/>
    <n v="50"/>
  </r>
  <r>
    <s v="CA-2019-105816"/>
    <x v="111"/>
    <s v="JM-15265"/>
    <s v="Janet Molinari"/>
    <s v="United States"/>
    <x v="0"/>
    <x v="0"/>
    <s v="AT&amp;T CL83451 4-Handset Telephone"/>
    <n v="1029.95"/>
    <n v="5"/>
    <n v="298.68549999999999"/>
    <n v="28.999999999999996"/>
  </r>
  <r>
    <s v="CA-2019-152730"/>
    <x v="323"/>
    <s v="EM-14140"/>
    <s v="Eugene Moren"/>
    <s v="United States"/>
    <x v="3"/>
    <x v="1"/>
    <s v="Xerox 1915"/>
    <n v="629.1"/>
    <n v="6"/>
    <n v="301.96800000000002"/>
    <n v="48.000000000000007"/>
  </r>
  <r>
    <s v="CA-2020-114055"/>
    <x v="141"/>
    <s v="MH-18115"/>
    <s v="Mick Hernandez"/>
    <s v="United States"/>
    <x v="1"/>
    <x v="1"/>
    <s v="Xerox 1915"/>
    <n v="836.1"/>
    <n v="6"/>
    <n v="301.96800000000002"/>
    <n v="36.116254036598491"/>
  </r>
  <r>
    <s v="CA-2020-155460"/>
    <x v="228"/>
    <s v="RW-19630"/>
    <s v="Rob Williams"/>
    <s v="United States"/>
    <x v="2"/>
    <x v="1"/>
    <s v="GBC DocuBind TL200 Manual Binding Machine"/>
    <n v="925.92"/>
    <n v="5"/>
    <n v="302.37299999999999"/>
    <n v="32.656493001555212"/>
  </r>
  <r>
    <s v="CA-2020-138149"/>
    <x v="146"/>
    <s v="WB-21850"/>
    <s v="William Brown"/>
    <s v="United States"/>
    <x v="2"/>
    <x v="1"/>
    <s v="GBC DocuBind TL200 Manual Binding Machine"/>
    <n v="943.92"/>
    <n v="5"/>
    <n v="302.37299999999999"/>
    <n v="32.033752860411902"/>
  </r>
  <r>
    <s v="US-2020-111423"/>
    <x v="23"/>
    <s v="EH-13765"/>
    <s v="Edward Hooks"/>
    <s v="United States"/>
    <x v="0"/>
    <x v="1"/>
    <s v="GBC DocuBind TL200 Manual Binding Machine"/>
    <n v="933.92"/>
    <n v="5"/>
    <n v="302.37299999999999"/>
    <n v="32.376756039061164"/>
  </r>
  <r>
    <s v="CA-2019-100510"/>
    <x v="310"/>
    <s v="HM-14860"/>
    <s v="Harry Marie"/>
    <s v="United States"/>
    <x v="0"/>
    <x v="0"/>
    <s v="Jawbone JAMBOX Wireless Bluetooth Speaker"/>
    <n v="631.96"/>
    <n v="4"/>
    <n v="303.3408"/>
    <n v="48"/>
  </r>
  <r>
    <s v="CA-2019-106950"/>
    <x v="110"/>
    <s v="JE-15715"/>
    <s v="Joe Elijah"/>
    <s v="United States"/>
    <x v="1"/>
    <x v="0"/>
    <s v="Plantronics Savi W720 Multi-Device Wireless Headset System"/>
    <n v="1012.68"/>
    <n v="3"/>
    <n v="303.80399999999997"/>
    <n v="30"/>
  </r>
  <r>
    <s v="CA-2020-117324"/>
    <x v="136"/>
    <s v="JP-15520"/>
    <s v="Jeremy Pistek"/>
    <s v="United States"/>
    <x v="3"/>
    <x v="1"/>
    <s v="Hoover WindTunnel Plus Canister Vacuum"/>
    <n v="1124.75"/>
    <n v="3"/>
    <n v="305.13"/>
    <n v="27.128695265614581"/>
  </r>
  <r>
    <s v="CA-2019-123946"/>
    <x v="460"/>
    <s v="AJ-10795"/>
    <s v="Anthony Johnson"/>
    <s v="United States"/>
    <x v="1"/>
    <x v="2"/>
    <s v="Hon Olson Stacker Chairs"/>
    <n v="1059.1199999999999"/>
    <n v="4"/>
    <n v="307.14479999999998"/>
    <n v="28.999999999999996"/>
  </r>
  <r>
    <s v="CA-2020-100650"/>
    <x v="146"/>
    <s v="DK-13225"/>
    <s v="Dean Katz"/>
    <s v="United States"/>
    <x v="2"/>
    <x v="1"/>
    <s v="Tennsco 16-Compartment Lockers with Coat Rack"/>
    <n v="1307.78"/>
    <n v="2"/>
    <n v="310.98719999999997"/>
    <n v="23.779779473611768"/>
  </r>
  <r>
    <s v="CA-2020-100622"/>
    <x v="368"/>
    <s v="DK-13090"/>
    <s v="Dave Kipp"/>
    <s v="United States"/>
    <x v="1"/>
    <x v="0"/>
    <s v="Canon Image Class D660 Copier"/>
    <n v="995.98400000000004"/>
    <n v="2"/>
    <n v="311.9948"/>
    <n v="31.325282333852751"/>
  </r>
  <r>
    <s v="CA-2020-167752"/>
    <x v="200"/>
    <s v="RW-19690"/>
    <s v="Robert Waldorf"/>
    <s v="United States"/>
    <x v="0"/>
    <x v="1"/>
    <s v="Honeywell Enviracaire Portable HEPA Air Cleaner for 17' x 22' Room"/>
    <n v="1942.16"/>
    <n v="8"/>
    <n v="312.67599999999999"/>
    <n v="16.099394488610621"/>
  </r>
  <r>
    <s v="CA-2019-169670"/>
    <x v="36"/>
    <s v="JE-15715"/>
    <s v="Joe Elijah"/>
    <s v="United States"/>
    <x v="0"/>
    <x v="2"/>
    <s v="Hon 4700 Series Mobuis Mid-Back Task Chairs with Adjustable Arms"/>
    <n v="1563.056"/>
    <n v="8"/>
    <n v="313.26240000000001"/>
    <n v="20.041661975002814"/>
  </r>
  <r>
    <s v="US-2020-158526"/>
    <x v="218"/>
    <s v="KH-16360"/>
    <s v="Katherine Hughes"/>
    <s v="United States"/>
    <x v="1"/>
    <x v="2"/>
    <s v="DMI Arturo Collection Mission-style Design Wood Chair"/>
    <n v="460.84"/>
    <n v="8"/>
    <n v="314.03840000000002"/>
    <n v="68.144779099036541"/>
  </r>
  <r>
    <s v="US-2019-121013"/>
    <x v="100"/>
    <s v="MM-17920"/>
    <s v="Michael Moore"/>
    <s v="United States"/>
    <x v="1"/>
    <x v="2"/>
    <s v="Chromcraft Bull-Nose Wood 48&quot; x 96&quot; Rectangular Conference Tables"/>
    <n v="1652.94"/>
    <n v="3"/>
    <n v="314.05860000000001"/>
    <n v="19"/>
  </r>
  <r>
    <s v="US-2020-106145"/>
    <x v="191"/>
    <s v="RA-19885"/>
    <s v="Ruben Ausman"/>
    <s v="United States"/>
    <x v="2"/>
    <x v="1"/>
    <s v="Fellowes PB300 Plastic Comb Binding Machine"/>
    <n v="947.17600000000004"/>
    <n v="3"/>
    <n v="314.27190000000002"/>
    <n v="33.17988420314704"/>
  </r>
  <r>
    <s v="CA-2020-104640"/>
    <x v="31"/>
    <s v="FH-14275"/>
    <s v="Frank Hawley"/>
    <s v="United States"/>
    <x v="0"/>
    <x v="1"/>
    <s v="Fellowes PB300 Plastic Comb Binding Machine"/>
    <n v="971.17600000000004"/>
    <n v="3"/>
    <n v="314.27190000000002"/>
    <n v="32.359932700149095"/>
  </r>
  <r>
    <s v="CA-2019-162390"/>
    <x v="431"/>
    <s v="DP-13105"/>
    <s v="Dave Poirier"/>
    <s v="United States"/>
    <x v="0"/>
    <x v="1"/>
    <s v="Ibico EB-19 Dual Function Manual Binding System"/>
    <n v="968.74400000000003"/>
    <n v="7"/>
    <n v="314.84179999999998"/>
    <n v="32.499999999999993"/>
  </r>
  <r>
    <s v="CA-2019-163167"/>
    <x v="173"/>
    <s v="RF-19345"/>
    <s v="Randy Ferguson"/>
    <s v="United States"/>
    <x v="1"/>
    <x v="1"/>
    <s v="24 Capacity Maxi Data Binder Racks, Pearl"/>
    <n v="1263.3"/>
    <n v="6"/>
    <n v="315.82499999999999"/>
    <n v="25"/>
  </r>
  <r>
    <s v="CA-2020-161053"/>
    <x v="10"/>
    <s v="JE-15745"/>
    <s v="Joel Eaton"/>
    <s v="United States"/>
    <x v="1"/>
    <x v="1"/>
    <s v="Ibico EB-19 Dual Function Manual Binding System"/>
    <n v="720.96"/>
    <n v="4"/>
    <n v="318.30160000000001"/>
    <n v="44.149689303151348"/>
  </r>
  <r>
    <s v="US-2019-102239"/>
    <x v="415"/>
    <s v="LW-16990"/>
    <s v="Lindsay Williams"/>
    <s v="United States"/>
    <x v="2"/>
    <x v="2"/>
    <s v="Global Adaptabilities Conference Tables"/>
    <n v="1685.88"/>
    <n v="6"/>
    <n v="320.31720000000001"/>
    <n v="19"/>
  </r>
  <r>
    <s v="CA-2020-137596"/>
    <x v="149"/>
    <s v="BE-11335"/>
    <s v="Bill Eplett"/>
    <s v="United States"/>
    <x v="3"/>
    <x v="0"/>
    <s v="Polycom CX600 IP Phone VoIP phone"/>
    <n v="1240.8"/>
    <n v="4"/>
    <n v="323.94600000000003"/>
    <n v="26.107833655705999"/>
  </r>
  <r>
    <s v="CA-2020-152975"/>
    <x v="97"/>
    <s v="RB-19705"/>
    <s v="Roger Barcio"/>
    <s v="United States"/>
    <x v="0"/>
    <x v="0"/>
    <s v="Wilson SignalBoost 841262 DB PRO Amplifier Kit"/>
    <n v="1125.8499999999999"/>
    <n v="3"/>
    <n v="323.95499999999998"/>
    <n v="28.77425944841675"/>
  </r>
  <r>
    <s v="CA-2020-129021"/>
    <x v="453"/>
    <s v="PO-18850"/>
    <s v="Patrick O'Brill"/>
    <s v="United States"/>
    <x v="1"/>
    <x v="0"/>
    <s v="Samsung Galaxy Mega 6.3"/>
    <n v="4395.8959999999997"/>
    <n v="13"/>
    <n v="327.59219999999999"/>
    <n v="7.4522281691832575"/>
  </r>
  <r>
    <s v="CA-2020-111556"/>
    <x v="216"/>
    <s v="CD-11920"/>
    <s v="Carlos Daly"/>
    <s v="United States"/>
    <x v="0"/>
    <x v="0"/>
    <s v="Samsung Galaxy Mega 6.3"/>
    <n v="1289.97"/>
    <n v="3"/>
    <n v="327.59219999999999"/>
    <n v="25.39533477522733"/>
  </r>
  <r>
    <s v="CA-2019-169838"/>
    <x v="0"/>
    <s v="BB-11545"/>
    <s v="Brenda Bowman"/>
    <s v="United States"/>
    <x v="3"/>
    <x v="2"/>
    <s v="Chromcraft Round Conference Tables"/>
    <n v="1568.61"/>
    <n v="9"/>
    <n v="329.40809999999999"/>
    <n v="21.000000000000004"/>
  </r>
  <r>
    <s v="CA-2020-161956"/>
    <x v="53"/>
    <s v="DR-12880"/>
    <s v="Dan Reichenbach"/>
    <s v="United States"/>
    <x v="2"/>
    <x v="0"/>
    <s v="Sharp 1540cs Digital Laser Copier"/>
    <n v="889.98400000000004"/>
    <n v="2"/>
    <n v="329.99400000000003"/>
    <n v="37.078644110455919"/>
  </r>
  <r>
    <s v="CA-2019-118689"/>
    <x v="226"/>
    <s v="TC-20980"/>
    <s v="Tamara Chand"/>
    <s v="United States"/>
    <x v="3"/>
    <x v="1"/>
    <s v="Ibico Ibimaster 300 Manual Binding System"/>
    <n v="735.98"/>
    <n v="2"/>
    <n v="331.19099999999997"/>
    <n v="44.999999999999993"/>
  </r>
  <r>
    <s v="CA-2020-150497"/>
    <x v="384"/>
    <s v="SM-20950"/>
    <s v="Suzanne McNair"/>
    <s v="United States"/>
    <x v="3"/>
    <x v="1"/>
    <s v="Ibico Ibimaster 300 Manual Binding System"/>
    <n v="746.98"/>
    <n v="2"/>
    <n v="331.19099999999997"/>
    <n v="44.337331655466002"/>
  </r>
  <r>
    <s v="CA-2020-153871"/>
    <x v="33"/>
    <s v="RB-19435"/>
    <s v="Richard Bierner"/>
    <s v="United States"/>
    <x v="0"/>
    <x v="1"/>
    <s v="Ibico Ibimaster 300 Manual Binding System"/>
    <n v="1055.98"/>
    <n v="2"/>
    <n v="331.19099999999997"/>
    <n v="31.363378094282083"/>
  </r>
  <r>
    <s v="CA-2019-132304"/>
    <x v="129"/>
    <s v="AR-10825"/>
    <s v="Anthony Rawles"/>
    <s v="United States"/>
    <x v="2"/>
    <x v="2"/>
    <s v="Hon Non-Folding Utility Tables"/>
    <n v="1115.17"/>
    <n v="7"/>
    <n v="334.55099999999999"/>
    <n v="30"/>
  </r>
  <r>
    <s v="CA-2020-157966"/>
    <x v="52"/>
    <s v="SU-20665"/>
    <s v="Stephanie Ulpright"/>
    <s v="United States"/>
    <x v="3"/>
    <x v="0"/>
    <s v="Hewlett Packard LaserJet 3310 Copier"/>
    <n v="1004.984"/>
    <n v="2"/>
    <n v="335.99439999999998"/>
    <n v="33.43281087062082"/>
  </r>
  <r>
    <s v="US-2019-150140"/>
    <x v="640"/>
    <s v="VM-21685"/>
    <s v="Valerie Mitchum"/>
    <s v="United States"/>
    <x v="0"/>
    <x v="0"/>
    <s v="Nortel Meridian M5316 Digital phone"/>
    <n v="1294.75"/>
    <n v="5"/>
    <n v="336.63499999999999"/>
    <n v="26"/>
  </r>
  <r>
    <s v="CA-2020-104801"/>
    <x v="496"/>
    <s v="FH-14350"/>
    <s v="Fred Harton"/>
    <s v="United States"/>
    <x v="2"/>
    <x v="0"/>
    <s v="Razer Tiamat Over Ear 7.1 Surround Sound PC Gaming Headset"/>
    <n v="835.96"/>
    <n v="4"/>
    <n v="343.9828"/>
    <n v="41.148236757739603"/>
  </r>
  <r>
    <s v="CA-2020-103212"/>
    <x v="114"/>
    <s v="MH-18025"/>
    <s v="Michelle Huthwaite"/>
    <s v="United States"/>
    <x v="1"/>
    <x v="2"/>
    <s v="Bretford Rectangular Conference Table Tops"/>
    <n v="1551.52"/>
    <n v="4"/>
    <n v="346.03960000000001"/>
    <n v="22.303263896050325"/>
  </r>
  <r>
    <s v="CA-2020-128265"/>
    <x v="328"/>
    <s v="VW-21775"/>
    <s v="Victoria Wilson"/>
    <s v="United States"/>
    <x v="0"/>
    <x v="1"/>
    <s v="Deluxe Rollaway Locking File with Drawer"/>
    <n v="1295.6400000000001"/>
    <n v="3"/>
    <n v="349.33920000000001"/>
    <n v="26.96267481707882"/>
  </r>
  <r>
    <s v="CA-2019-105207"/>
    <x v="379"/>
    <s v="BO-11350"/>
    <s v="Bill Overfelt"/>
    <s v="United States"/>
    <x v="3"/>
    <x v="2"/>
    <s v="Hon Practical Foundations 30 x 60 Training Table, Light Gray/Charcoal"/>
    <n v="1592.85"/>
    <n v="7"/>
    <n v="350.42700000000002"/>
    <n v="22.000000000000004"/>
  </r>
  <r>
    <s v="CA-2020-100111"/>
    <x v="495"/>
    <s v="SV-20365"/>
    <s v="Seth Vernon"/>
    <s v="United States"/>
    <x v="0"/>
    <x v="0"/>
    <s v="Apple iPhone 5"/>
    <n v="1344.66"/>
    <n v="2"/>
    <n v="350.90820000000002"/>
    <n v="26.096425862299768"/>
  </r>
  <r>
    <s v="CA-2020-152912"/>
    <x v="407"/>
    <s v="BM-11650"/>
    <s v="Brian Moss"/>
    <s v="United States"/>
    <x v="0"/>
    <x v="0"/>
    <s v="Maxell iVDR EX 500GB Cartridge"/>
    <n v="55.62"/>
    <n v="3"/>
    <n v="355.44659999999999"/>
    <n v="639.06256742179073"/>
  </r>
  <r>
    <s v="US-2019-143448"/>
    <x v="528"/>
    <s v="MH-17455"/>
    <s v="Mark Hamilton"/>
    <s v="United States"/>
    <x v="3"/>
    <x v="2"/>
    <s v="Global Commerce Series High-Back Swivel/Tilt Chairs"/>
    <n v="1424.9"/>
    <n v="5"/>
    <n v="356.22500000000002"/>
    <n v="25"/>
  </r>
  <r>
    <s v="CA-2020-149881"/>
    <x v="311"/>
    <s v="NC-18535"/>
    <s v="Nick Crebassa"/>
    <s v="United States"/>
    <x v="2"/>
    <x v="0"/>
    <s v="Cubify CubeX 3D Printer Double Head Print"/>
    <n v="4823.9840000000004"/>
    <n v="2"/>
    <n v="359.99880000000002"/>
    <n v="7.4626864434044551"/>
  </r>
  <r>
    <s v="CA-2020-122693"/>
    <x v="440"/>
    <s v="NH-18610"/>
    <s v="Nicole Hansen"/>
    <s v="United States"/>
    <x v="1"/>
    <x v="1"/>
    <s v="Kensington 7 Outlet MasterPiece Power Center"/>
    <n v="1259.8599999999999"/>
    <n v="7"/>
    <n v="361.29939999999999"/>
    <n v="28.67774197133015"/>
  </r>
  <r>
    <s v="CA-2020-150420"/>
    <x v="132"/>
    <s v="GD-14590"/>
    <s v="Giulietta Dortch"/>
    <s v="United States"/>
    <x v="2"/>
    <x v="0"/>
    <s v="Plantronics Audio 995 Wireless Stereo Headset"/>
    <n v="1147.5"/>
    <n v="10"/>
    <n v="362.83499999999998"/>
    <n v="31.619607843137253"/>
  </r>
  <r>
    <s v="CA-2019-159016"/>
    <x v="293"/>
    <s v="KF-16285"/>
    <s v="Karen Ferguson"/>
    <s v="United States"/>
    <x v="2"/>
    <x v="0"/>
    <s v="Apple iPhone 5"/>
    <n v="4158.9120000000003"/>
    <n v="8"/>
    <n v="363.90480000000002"/>
    <n v="8.75"/>
  </r>
  <r>
    <s v="CA-2019-165848"/>
    <x v="41"/>
    <s v="EN-13780"/>
    <s v="Edward Nazzal"/>
    <s v="United States"/>
    <x v="0"/>
    <x v="0"/>
    <s v="Panasonic KX MC6040 Color Laser Multifunction Printer"/>
    <n v="1349.85"/>
    <n v="3"/>
    <n v="364.45949999999999"/>
    <n v="27"/>
  </r>
  <r>
    <s v="CA-2020-107174"/>
    <x v="174"/>
    <s v="AB-10060"/>
    <s v="Adam Bellavance"/>
    <s v="United States"/>
    <x v="2"/>
    <x v="2"/>
    <s v="Hon 5100 Series Wood Tables"/>
    <n v="2077.86"/>
    <n v="7"/>
    <n v="366.63479999999998"/>
    <n v="17.644826889203312"/>
  </r>
  <r>
    <s v="CA-2020-121027"/>
    <x v="243"/>
    <s v="HW-14935"/>
    <s v="Helen Wasserman"/>
    <s v="United States"/>
    <x v="2"/>
    <x v="0"/>
    <s v="Plantronics Savi W720 Multi-Device Wireless Headset System"/>
    <n v="886.9"/>
    <n v="2"/>
    <n v="371.31599999999997"/>
    <n v="41.866726801217723"/>
  </r>
  <r>
    <s v="US-2020-118941"/>
    <x v="557"/>
    <s v="BB-11545"/>
    <s v="Brenda Bowman"/>
    <s v="United States"/>
    <x v="0"/>
    <x v="2"/>
    <s v="Hon 4700 Series Mobuis Mid-Back Task Chairs with Adjustable Arms"/>
    <n v="1810.9"/>
    <n v="5"/>
    <n v="373.779"/>
    <n v="20.640510243525316"/>
  </r>
  <r>
    <s v="CA-2020-145884"/>
    <x v="168"/>
    <s v="SL-20155"/>
    <s v="Sara Luxemburg"/>
    <s v="United States"/>
    <x v="3"/>
    <x v="0"/>
    <s v="Polycom VVX 310 VoIP phone"/>
    <n v="1460.92"/>
    <n v="8"/>
    <n v="374.37920000000003"/>
    <n v="25.626262902828355"/>
  </r>
  <r>
    <s v="CA-2020-138975"/>
    <x v="234"/>
    <s v="SC-20380"/>
    <s v="Shahid Collister"/>
    <s v="United States"/>
    <x v="1"/>
    <x v="2"/>
    <s v="O'Sullivan 2-Door Barrister Bookcase in Odessa Pine"/>
    <n v="1652.82"/>
    <n v="9"/>
    <n v="374.62860000000001"/>
    <n v="22.666025338512359"/>
  </r>
  <r>
    <s v="CA-2019-110499"/>
    <x v="474"/>
    <s v="YC-21895"/>
    <s v="Yoseph Carroll"/>
    <s v="United States"/>
    <x v="2"/>
    <x v="0"/>
    <s v="Hewlett Packard 610 Color Digital Copier / Printer"/>
    <n v="1199.9760000000001"/>
    <n v="3"/>
    <n v="374.99250000000001"/>
    <n v="31.25"/>
  </r>
  <r>
    <s v="CA-2020-146535"/>
    <x v="225"/>
    <s v="FM-14290"/>
    <s v="Frank Merwin"/>
    <s v="United States"/>
    <x v="1"/>
    <x v="1"/>
    <s v="Iceberg Mobile Mega Data/Printer Cart"/>
    <n v="1484.96"/>
    <n v="12"/>
    <n v="375.42959999999999"/>
    <n v="25.282135545738605"/>
  </r>
  <r>
    <s v="CA-2020-100111"/>
    <x v="495"/>
    <s v="SV-20365"/>
    <s v="Seth Vernon"/>
    <s v="United States"/>
    <x v="0"/>
    <x v="2"/>
    <s v="Global Troy Executive Leather Low-Back Tilter"/>
    <n v="2284.41"/>
    <n v="5"/>
    <n v="375.73500000000001"/>
    <n v="16.447791771179432"/>
  </r>
  <r>
    <s v="CA-2019-169663"/>
    <x v="293"/>
    <s v="RH-19510"/>
    <s v="Rick Huthwaite"/>
    <s v="United States"/>
    <x v="2"/>
    <x v="0"/>
    <s v="Okidata MB760 Printer"/>
    <n v="3357.6"/>
    <n v="3"/>
    <n v="377.73"/>
    <n v="11.25"/>
  </r>
  <r>
    <s v="CA-2020-143063"/>
    <x v="622"/>
    <s v="IL-15100"/>
    <s v="Ivan Liston"/>
    <s v="United States"/>
    <x v="3"/>
    <x v="0"/>
    <s v="Aastra 57i VoIP phone"/>
    <n v="1474.49"/>
    <n v="9"/>
    <n v="378.16739999999999"/>
    <n v="25.647335688950079"/>
  </r>
  <r>
    <s v="CA-2019-123540"/>
    <x v="641"/>
    <s v="DJ-13420"/>
    <s v="Denny Joy"/>
    <s v="United States"/>
    <x v="3"/>
    <x v="2"/>
    <s v="Global Executive Mid-Back Manager's Chair"/>
    <n v="1454.9"/>
    <n v="5"/>
    <n v="378.274"/>
    <n v="26"/>
  </r>
  <r>
    <s v="CA-2019-163573"/>
    <x v="289"/>
    <s v="AC-10450"/>
    <s v="Amy Cox"/>
    <s v="United States"/>
    <x v="2"/>
    <x v="1"/>
    <s v="Ibico Hi-Tech Manual Binding System"/>
    <n v="1219.96"/>
    <n v="5"/>
    <n v="381.23750000000001"/>
    <n v="31.25"/>
  </r>
  <r>
    <s v="CA-2019-146633"/>
    <x v="82"/>
    <s v="TG-21310"/>
    <s v="Toby Gnade"/>
    <s v="United States"/>
    <x v="2"/>
    <x v="1"/>
    <s v="Fellowes PB500 Electric Punch Plastic Comb Binding Machine with Manual Bind"/>
    <n v="1016.792"/>
    <n v="1"/>
    <n v="381.29700000000003"/>
    <n v="37.5"/>
  </r>
  <r>
    <s v="CA-2020-108560"/>
    <x v="526"/>
    <s v="JC-15385"/>
    <s v="Jenna Caffey"/>
    <s v="United States"/>
    <x v="2"/>
    <x v="1"/>
    <s v="Dot Matrix Printer Tape Reel Labels, White, 5000/Box"/>
    <n v="799.48"/>
    <n v="8"/>
    <n v="385.37520000000001"/>
    <n v="48.203232100865563"/>
  </r>
  <r>
    <s v="CA-2019-113831"/>
    <x v="323"/>
    <s v="AH-10690"/>
    <s v="Anna Häberlin"/>
    <s v="United States"/>
    <x v="1"/>
    <x v="2"/>
    <s v="Hon Rectangular Conference Tables"/>
    <n v="2275.5"/>
    <n v="10"/>
    <n v="386.83499999999998"/>
    <n v="17"/>
  </r>
  <r>
    <s v="CA-2019-105732"/>
    <x v="443"/>
    <s v="AG-10270"/>
    <s v="Alejandro Grove"/>
    <s v="United States"/>
    <x v="3"/>
    <x v="2"/>
    <s v="Electrix Architect's Clamp-On Swing Arm Lamp, Black"/>
    <n v="1336.44"/>
    <n v="14"/>
    <n v="387.56760000000003"/>
    <n v="29.000000000000004"/>
  </r>
  <r>
    <s v="CA-2019-104157"/>
    <x v="445"/>
    <s v="MT-17815"/>
    <s v="Meg Tillman"/>
    <s v="United States"/>
    <x v="1"/>
    <x v="2"/>
    <s v="Office Impressions End Table, 20-1/2&quot;H x 24&quot;W x 20&quot;D"/>
    <n v="2430.08"/>
    <n v="8"/>
    <n v="388.81279999999998"/>
    <n v="16"/>
  </r>
  <r>
    <s v="CA-2020-147032"/>
    <x v="192"/>
    <s v="LB-16795"/>
    <s v="Laurel Beltran"/>
    <s v="United States"/>
    <x v="0"/>
    <x v="1"/>
    <s v="Fellowes PB200 Plastic Comb Binding Machine"/>
    <n v="877.95"/>
    <n v="5"/>
    <n v="390.97699999999998"/>
    <n v="44.532946067543705"/>
  </r>
  <r>
    <s v="US-2019-165505"/>
    <x v="516"/>
    <s v="CB-12535"/>
    <s v="Claudia Bergmann"/>
    <s v="United States"/>
    <x v="0"/>
    <x v="1"/>
    <s v="Iceberg Mobile Mega Data/Printer Cart"/>
    <n v="1564.29"/>
    <n v="13"/>
    <n v="406.71539999999999"/>
    <n v="26"/>
  </r>
  <r>
    <s v="US-2019-100461"/>
    <x v="281"/>
    <s v="JO-15145"/>
    <s v="Jack O'Briant"/>
    <s v="United States"/>
    <x v="3"/>
    <x v="2"/>
    <s v="Atlantic Metals Mobile 3-Shelf Bookcases, Custom Colors"/>
    <n v="1565.88"/>
    <n v="6"/>
    <n v="407.12880000000001"/>
    <n v="26"/>
  </r>
  <r>
    <s v="CA-2020-149048"/>
    <x v="124"/>
    <s v="BM-11650"/>
    <s v="Brian Moss"/>
    <s v="United States"/>
    <x v="3"/>
    <x v="1"/>
    <s v="Ibico Hi-Tech Manual Binding System"/>
    <n v="935.97"/>
    <n v="3"/>
    <n v="411.73649999999998"/>
    <n v="43.990352254879959"/>
  </r>
  <r>
    <s v="CA-2020-156776"/>
    <x v="278"/>
    <s v="JL-15505"/>
    <s v="Jeremy Lonsdale"/>
    <s v="United States"/>
    <x v="2"/>
    <x v="1"/>
    <s v="3.6 Cubic Foot Counter Height Office Refrigerator"/>
    <n v="1489.1"/>
    <n v="5"/>
    <n v="412.46800000000002"/>
    <n v="27.699147135853874"/>
  </r>
  <r>
    <s v="CA-2020-120376"/>
    <x v="67"/>
    <s v="TP-21130"/>
    <s v="Theone Pippenger"/>
    <s v="United States"/>
    <x v="3"/>
    <x v="2"/>
    <s v="Hon GuestStacker Chair"/>
    <n v="155.69"/>
    <n v="7"/>
    <n v="412.5394"/>
    <n v="264.97488599139314"/>
  </r>
  <r>
    <s v="CA-2020-147291"/>
    <x v="91"/>
    <s v="MJ-17740"/>
    <s v="Max Jones"/>
    <s v="United States"/>
    <x v="3"/>
    <x v="1"/>
    <s v="GBC DocuBind TL200 Manual Binding Machine"/>
    <n v="924.92"/>
    <n v="4"/>
    <n v="421.08240000000001"/>
    <n v="45.526359036457208"/>
  </r>
  <r>
    <s v="CA-2020-141733"/>
    <x v="575"/>
    <s v="RW-19540"/>
    <s v="Rick Wilson"/>
    <s v="United States"/>
    <x v="3"/>
    <x v="2"/>
    <s v="Hon 4070 Series Pagoda Armless Upholstered Stacking Chairs"/>
    <n v="1495.65"/>
    <n v="5"/>
    <n v="423.00850000000003"/>
    <n v="28.282586166549663"/>
  </r>
  <r>
    <s v="CA-2020-155880"/>
    <x v="501"/>
    <s v="JD-16150"/>
    <s v="Justin Deggeller"/>
    <s v="United States"/>
    <x v="3"/>
    <x v="2"/>
    <s v="Lifetime Advantage Folding Chairs, 4/Carton"/>
    <n v="1568.56"/>
    <n v="7"/>
    <n v="427.43680000000001"/>
    <n v="27.250267761513747"/>
  </r>
  <r>
    <s v="CA-2019-114972"/>
    <x v="65"/>
    <s v="PF-19225"/>
    <s v="Phillip Flathmann"/>
    <s v="United States"/>
    <x v="2"/>
    <x v="1"/>
    <s v="Honeywell Enviracaire Portable HEPA Air Cleaner for 16' x 20' Room"/>
    <n v="1101.48"/>
    <n v="4"/>
    <n v="429.5772"/>
    <n v="39"/>
  </r>
  <r>
    <s v="CA-2020-117457"/>
    <x v="136"/>
    <s v="KH-16510"/>
    <s v="Keith Herrera"/>
    <s v="United States"/>
    <x v="2"/>
    <x v="0"/>
    <s v="Sharp AL-1530CS Digital Copier"/>
    <n v="718.976"/>
    <n v="3"/>
    <n v="434.99130000000002"/>
    <n v="60.501504918105752"/>
  </r>
  <r>
    <s v="CA-2020-123085"/>
    <x v="321"/>
    <s v="EJ-13720"/>
    <s v="Ed Jacobs"/>
    <s v="United States"/>
    <x v="2"/>
    <x v="0"/>
    <s v="Imation Bio 2GB USB Flash Drive Imation Corp"/>
    <n v="1099.44"/>
    <n v="8"/>
    <n v="440.76479999999998"/>
    <n v="40.089936695044749"/>
  </r>
  <r>
    <s v="CA-2019-139997"/>
    <x v="471"/>
    <s v="EM-14140"/>
    <s v="Eugene Moren"/>
    <s v="United States"/>
    <x v="2"/>
    <x v="0"/>
    <s v="Hewlett Packard 310 Color Digital Copier"/>
    <n v="1499.95"/>
    <n v="5"/>
    <n v="449.98500000000001"/>
    <n v="30"/>
  </r>
  <r>
    <s v="CA-2019-166429"/>
    <x v="110"/>
    <s v="TG-21310"/>
    <s v="Toby Gnade"/>
    <s v="United States"/>
    <x v="2"/>
    <x v="0"/>
    <s v="Hewlett Packard 610 Color Digital Copier / Printer"/>
    <n v="999.98"/>
    <n v="2"/>
    <n v="449.99099999999999"/>
    <n v="44.999999999999993"/>
  </r>
  <r>
    <s v="CA-2020-107517"/>
    <x v="32"/>
    <s v="FC-14335"/>
    <s v="Fred Chung"/>
    <s v="United States"/>
    <x v="2"/>
    <x v="1"/>
    <s v="Sanyo Counter Height Refrigerator with Crisper, 3.6 Cubic Foot, Stainless Steel/Black"/>
    <n v="1666.7"/>
    <n v="5"/>
    <n v="459.39600000000002"/>
    <n v="27.563208735825285"/>
  </r>
  <r>
    <s v="US-2020-142188"/>
    <x v="183"/>
    <s v="JF-15415"/>
    <s v="Jennifer Ferguson"/>
    <s v="United States"/>
    <x v="2"/>
    <x v="1"/>
    <s v="Ibico Ibimaster 300 Manual Binding System"/>
    <n v="1509.96"/>
    <n v="5"/>
    <n v="459.98750000000001"/>
    <n v="30.463555325968901"/>
  </r>
  <r>
    <s v="CA-2020-151799"/>
    <x v="55"/>
    <s v="BF-11170"/>
    <s v="Ben Ferrer"/>
    <s v="United States"/>
    <x v="0"/>
    <x v="0"/>
    <s v="Canon PC1080F Personal Copier"/>
    <n v="162.97999999999999"/>
    <n v="2"/>
    <n v="467.99220000000003"/>
    <n v="287.14701190330106"/>
  </r>
  <r>
    <s v="CA-2020-152912"/>
    <x v="407"/>
    <s v="BM-11650"/>
    <s v="Brian Moss"/>
    <s v="United States"/>
    <x v="0"/>
    <x v="1"/>
    <s v="Adjustable Depth Letter/Legal Cart"/>
    <n v="51.14"/>
    <n v="9"/>
    <n v="473.61059999999998"/>
    <n v="926.10598357450135"/>
  </r>
  <r>
    <s v="CA-2019-168354"/>
    <x v="204"/>
    <s v="RH-19510"/>
    <s v="Rick Huthwaite"/>
    <s v="United States"/>
    <x v="0"/>
    <x v="1"/>
    <s v="Hot File 7-Pocket, Floor Stand"/>
    <n v="1606.23"/>
    <n v="9"/>
    <n v="481.86900000000003"/>
    <n v="30"/>
  </r>
  <r>
    <s v="CA-2020-123372"/>
    <x v="24"/>
    <s v="DG-13300"/>
    <s v="Deirdre Greer"/>
    <s v="United States"/>
    <x v="0"/>
    <x v="0"/>
    <s v="Google Nexus 5"/>
    <n v="524.89"/>
    <n v="11"/>
    <n v="494.97250000000003"/>
    <n v="94.300234334813013"/>
  </r>
  <r>
    <s v="CA-2019-100300"/>
    <x v="309"/>
    <s v="MJ-17740"/>
    <s v="Max Jones"/>
    <s v="United States"/>
    <x v="2"/>
    <x v="0"/>
    <s v="Okidata MB760 Printer"/>
    <n v="4476.8"/>
    <n v="4"/>
    <n v="503.64"/>
    <n v="11.249999999999998"/>
  </r>
  <r>
    <s v="CA-2020-123491"/>
    <x v="177"/>
    <s v="JK-15205"/>
    <s v="Jamie Kunitz"/>
    <s v="United States"/>
    <x v="2"/>
    <x v="1"/>
    <s v="Acco 7-Outlet Masterpiece Power Center, Wihtout Fax/Phone Line Protection"/>
    <n v="1735.12"/>
    <n v="14"/>
    <n v="510.63600000000002"/>
    <n v="29.429434275439164"/>
  </r>
  <r>
    <s v="CA-2020-115602"/>
    <x v="339"/>
    <s v="DJ-13630"/>
    <s v="Doug Jacobs"/>
    <s v="United States"/>
    <x v="0"/>
    <x v="1"/>
    <s v="Kensington 7 Outlet MasterPiece HOMEOFFICE Power Control Center"/>
    <n v="2087.56"/>
    <n v="13"/>
    <n v="511.36799999999999"/>
    <n v="24.495966582996417"/>
  </r>
  <r>
    <s v="CA-2020-143567"/>
    <x v="88"/>
    <s v="TB-21175"/>
    <s v="Thomas Boland"/>
    <s v="United States"/>
    <x v="1"/>
    <x v="0"/>
    <s v="Logitech diNovo Edge Keyboard"/>
    <n v="2295.91"/>
    <n v="9"/>
    <n v="517.47929999999997"/>
    <n v="22.539180542791311"/>
  </r>
  <r>
    <s v="CA-2020-119452"/>
    <x v="450"/>
    <s v="CL-12565"/>
    <s v="Clay Ludtke"/>
    <s v="United States"/>
    <x v="3"/>
    <x v="2"/>
    <s v="Global Leather and Oak Executive Chair, Black"/>
    <n v="1839.88"/>
    <n v="6"/>
    <n v="523.70519999999999"/>
    <n v="28.464095484488116"/>
  </r>
  <r>
    <s v="US-2019-138408"/>
    <x v="313"/>
    <s v="KC-16255"/>
    <s v="Karen Carlisle"/>
    <s v="United States"/>
    <x v="1"/>
    <x v="0"/>
    <s v="Logitech Z-906 Speaker sys - home theater - 5.1-CH"/>
    <n v="1319.96"/>
    <n v="4"/>
    <n v="527.98400000000004"/>
    <n v="40"/>
  </r>
  <r>
    <s v="CA-2020-121559"/>
    <x v="167"/>
    <s v="HW-14935"/>
    <s v="Helen Wasserman"/>
    <s v="United States"/>
    <x v="3"/>
    <x v="2"/>
    <s v="Hon 4070 Series Pagoda Round Back Stacking Chairs"/>
    <n v="1956.88"/>
    <n v="6"/>
    <n v="539.24639999999999"/>
    <n v="27.556436776910182"/>
  </r>
  <r>
    <s v="CA-2019-125220"/>
    <x v="487"/>
    <s v="BE-11410"/>
    <s v="Bobby Elias"/>
    <s v="United States"/>
    <x v="3"/>
    <x v="0"/>
    <s v="Plantronics CS510 - Over-the-Head monaural Wireless Headset System"/>
    <n v="1649.75"/>
    <n v="5"/>
    <n v="544.41750000000002"/>
    <n v="33"/>
  </r>
  <r>
    <s v="CA-2020-141439"/>
    <x v="197"/>
    <s v="TT-21460"/>
    <s v="Tonja Turnell"/>
    <s v="United States"/>
    <x v="3"/>
    <x v="0"/>
    <s v="Samsung Galaxy S4 Mini"/>
    <n v="1906.96"/>
    <n v="4"/>
    <n v="545.1884"/>
    <n v="28.589398833745854"/>
  </r>
  <r>
    <s v="US-2020-141677"/>
    <x v="74"/>
    <s v="HK-14890"/>
    <s v="Heather Kirkland"/>
    <s v="United States"/>
    <x v="3"/>
    <x v="0"/>
    <s v="Canon PC1080F Personal Copier"/>
    <n v="2412.96"/>
    <n v="5"/>
    <n v="569.9905"/>
    <n v="23.622045123002451"/>
  </r>
  <r>
    <s v="CA-2019-163804"/>
    <x v="118"/>
    <s v="DB-13270"/>
    <s v="Deborah Brumfield"/>
    <s v="United States"/>
    <x v="0"/>
    <x v="1"/>
    <s v="Deluxe Rollaway Locking File with Drawer"/>
    <n v="79.400000000000006"/>
    <n v="5"/>
    <n v="582.23199999999997"/>
    <n v="733.28967254408053"/>
  </r>
  <r>
    <s v="CA-2019-114489"/>
    <x v="444"/>
    <s v="JE-16165"/>
    <s v="Justin Ellison"/>
    <s v="United States"/>
    <x v="3"/>
    <x v="2"/>
    <s v="Hon Deluxe Fabric Upholstered Stacking Chairs, Rounded Back"/>
    <n v="951.84"/>
    <n v="8"/>
    <n v="585.55200000000002"/>
    <n v="61.517902168431668"/>
  </r>
  <r>
    <s v="US-2019-113677"/>
    <x v="394"/>
    <s v="CM-12655"/>
    <s v="Corinna Mitchell"/>
    <s v="United States"/>
    <x v="0"/>
    <x v="0"/>
    <s v="Xiaomi Mi3"/>
    <n v="2279.96"/>
    <n v="4"/>
    <n v="592.78959999999995"/>
    <n v="25.999999999999996"/>
  </r>
  <r>
    <s v="CA-2020-143686"/>
    <x v="215"/>
    <s v="PJ-19015"/>
    <s v="Pauline Johnson"/>
    <s v="United States"/>
    <x v="2"/>
    <x v="0"/>
    <s v="Razer Tiamat Over Ear 7.1 Surround Sound PC Gaming Headset"/>
    <n v="1433.93"/>
    <n v="7"/>
    <n v="601.96990000000005"/>
    <n v="41.980424427970689"/>
  </r>
  <r>
    <s v="CA-2020-100111"/>
    <x v="495"/>
    <s v="SV-20365"/>
    <s v="Seth Vernon"/>
    <s v="United States"/>
    <x v="0"/>
    <x v="2"/>
    <s v="Hon 4070 Series Pagoda Armless Upholstered Stacking Chairs"/>
    <n v="2903.127"/>
    <n v="11"/>
    <n v="609.71569999999997"/>
    <n v="21.002033324756376"/>
  </r>
  <r>
    <s v="CA-2020-112333"/>
    <x v="592"/>
    <s v="KF-16285"/>
    <s v="Karen Ferguson"/>
    <s v="United States"/>
    <x v="0"/>
    <x v="1"/>
    <s v="Tennsco 16-Compartment Lockers with Coat Rack"/>
    <n v="2602.56"/>
    <n v="4"/>
    <n v="621.97439999999995"/>
    <n v="23.898561416451493"/>
  </r>
  <r>
    <s v="CA-2020-168858"/>
    <x v="4"/>
    <s v="JD-16150"/>
    <s v="Justin Deggeller"/>
    <s v="United States"/>
    <x v="0"/>
    <x v="1"/>
    <s v="Hoover Shoulder Vac Commercial Portable Vacuum"/>
    <n v="1538.74"/>
    <n v="7"/>
    <n v="626.18499999999995"/>
    <n v="40.69465926667273"/>
  </r>
  <r>
    <s v="CA-2019-105081"/>
    <x v="36"/>
    <s v="JE-15715"/>
    <s v="Joe Elijah"/>
    <s v="United States"/>
    <x v="2"/>
    <x v="2"/>
    <s v="SAFCO PlanMaster Heigh-Adjustable Drafting Table Base, 43w x 30d x 30-37h, Black"/>
    <n v="1747.25"/>
    <n v="5"/>
    <n v="629.01"/>
    <n v="36"/>
  </r>
  <r>
    <s v="US-2020-167920"/>
    <x v="356"/>
    <s v="JL-15835"/>
    <s v="John Lee"/>
    <s v="United States"/>
    <x v="1"/>
    <x v="0"/>
    <s v="Canon Imageclass D680 Copier / Fax"/>
    <n v="1444.98"/>
    <n v="2"/>
    <n v="629.99099999999999"/>
    <n v="43.59859652036706"/>
  </r>
  <r>
    <s v="CA-2019-159891"/>
    <x v="558"/>
    <s v="BF-11170"/>
    <s v="Ben Ferrer"/>
    <s v="United States"/>
    <x v="1"/>
    <x v="1"/>
    <s v="Fellowes PB500 Electric Punch Plastic Comb Binding Machine with Manual Bind"/>
    <n v="1270.99"/>
    <n v="1"/>
    <n v="635.495"/>
    <n v="50"/>
  </r>
  <r>
    <s v="CA-2019-145625"/>
    <x v="106"/>
    <s v="KC-16540"/>
    <s v="Kelly Collister"/>
    <s v="United States"/>
    <x v="2"/>
    <x v="0"/>
    <s v="Logitech P710e Mobile Speakerphone"/>
    <n v="3347.37"/>
    <n v="13"/>
    <n v="636.00030000000004"/>
    <n v="19.000000000000004"/>
  </r>
  <r>
    <s v="CA-2020-127180"/>
    <x v="126"/>
    <s v="TA-21385"/>
    <s v="Tom Ashbrook"/>
    <s v="United States"/>
    <x v="0"/>
    <x v="0"/>
    <s v="Polycom CX600 IP Phone VoIP phone"/>
    <n v="1037.5999999999999"/>
    <n v="8"/>
    <n v="647.89200000000005"/>
    <n v="62.44140323824211"/>
  </r>
  <r>
    <s v="CA-2019-113831"/>
    <x v="323"/>
    <s v="AH-10690"/>
    <s v="Anna Häberlin"/>
    <s v="United States"/>
    <x v="1"/>
    <x v="0"/>
    <s v="Plantronics CS510 - Over-the-Head monaural Wireless Headset System"/>
    <n v="1979.7"/>
    <n v="6"/>
    <n v="653.30100000000004"/>
    <n v="33"/>
  </r>
  <r>
    <s v="CA-2020-166093"/>
    <x v="23"/>
    <s v="RW-19540"/>
    <s v="Rick Wilson"/>
    <s v="United States"/>
    <x v="2"/>
    <x v="1"/>
    <s v="Sanyo 2.5 Cubic Foot Mid-Size Office Refrigerators"/>
    <n v="2547.29"/>
    <n v="9"/>
    <n v="654.75540000000001"/>
    <n v="25.703999152040012"/>
  </r>
  <r>
    <s v="CA-2019-153598"/>
    <x v="107"/>
    <s v="NM-18520"/>
    <s v="Neoma Murray"/>
    <s v="United States"/>
    <x v="2"/>
    <x v="0"/>
    <s v="Logitech Z-906 Speaker sys - home theater - 5.1-CH"/>
    <n v="1649.95"/>
    <n v="5"/>
    <n v="659.98"/>
    <n v="40"/>
  </r>
  <r>
    <s v="US-2020-167318"/>
    <x v="630"/>
    <s v="GZ-14545"/>
    <s v="George Zrebassa"/>
    <s v="United States"/>
    <x v="2"/>
    <x v="0"/>
    <s v="Logitech Z-906 Speaker sys - home theater - 5.1-CH"/>
    <n v="1687.95"/>
    <n v="5"/>
    <n v="659.98"/>
    <n v="39.099499392754524"/>
  </r>
  <r>
    <s v="CA-2020-159366"/>
    <x v="413"/>
    <s v="BW-11110"/>
    <s v="Bart Watters"/>
    <s v="United States"/>
    <x v="3"/>
    <x v="0"/>
    <s v="Lexmark MX611dhe Monochrome Laser Printer"/>
    <n v="3096.982"/>
    <n v="2"/>
    <n v="679.99599999999998"/>
    <n v="21.956730778545047"/>
  </r>
  <r>
    <s v="CA-2020-111738"/>
    <x v="527"/>
    <s v="CM-12385"/>
    <s v="Christopher Martinez"/>
    <s v="United States"/>
    <x v="2"/>
    <x v="1"/>
    <s v="GBC ProClick 150 Presentation Binding System"/>
    <n v="2057.2719999999999"/>
    <n v="8"/>
    <n v="682.51679999999999"/>
    <n v="33.1758172959142"/>
  </r>
  <r>
    <s v="CA-2019-143805"/>
    <x v="212"/>
    <s v="JD-15895"/>
    <s v="Jonathan Doherty"/>
    <s v="United States"/>
    <x v="1"/>
    <x v="1"/>
    <s v="Honeywell Enviracaire Portable HEPA Air Cleaner for 17' x 22' Room"/>
    <n v="1104.55"/>
    <n v="7"/>
    <n v="694.50149999999996"/>
    <n v="62.876420261645016"/>
  </r>
  <r>
    <s v="CA-2019-122903"/>
    <x v="242"/>
    <s v="LA-16780"/>
    <s v="Laura Armstrong"/>
    <s v="United States"/>
    <x v="3"/>
    <x v="2"/>
    <s v="HON 5400 Series Task Chairs for Big and Tall"/>
    <n v="3504.9"/>
    <n v="5"/>
    <n v="700.98"/>
    <n v="20"/>
  </r>
  <r>
    <s v="CA-2020-168109"/>
    <x v="142"/>
    <s v="JK-15640"/>
    <s v="Jim Kriz"/>
    <s v="United States"/>
    <x v="2"/>
    <x v="0"/>
    <s v="Plantronics Savi W720 Multi-Device Wireless Headset System"/>
    <n v="1729.8"/>
    <n v="4"/>
    <n v="742.63199999999995"/>
    <n v="42.931668400971205"/>
  </r>
  <r>
    <s v="CA-2020-160885"/>
    <x v="18"/>
    <s v="JK-16090"/>
    <s v="Juliana Krohn"/>
    <s v="United States"/>
    <x v="3"/>
    <x v="0"/>
    <s v="ClearOne CHATAttach 160 - speaker phone"/>
    <n v="521.96"/>
    <n v="4"/>
    <n v="743.98800000000006"/>
    <n v="142.53735918461186"/>
  </r>
  <r>
    <s v="CA-2019-147256"/>
    <x v="569"/>
    <s v="FC-14245"/>
    <s v="Frank Carlisle"/>
    <s v="United States"/>
    <x v="3"/>
    <x v="1"/>
    <s v="Honeywell Enviracaire Portable HEPA Air Cleaner for 16' x 20' Room"/>
    <n v="1927.59"/>
    <n v="7"/>
    <n v="751.76009999999997"/>
    <n v="39"/>
  </r>
  <r>
    <s v="CA-2019-102162"/>
    <x v="106"/>
    <s v="JF-15565"/>
    <s v="Jill Fjeld"/>
    <s v="United States"/>
    <x v="1"/>
    <x v="0"/>
    <s v="Canon PC-428 Personal Copier"/>
    <n v="1599.92"/>
    <n v="8"/>
    <n v="751.9624"/>
    <n v="47"/>
  </r>
  <r>
    <s v="CA-2020-146983"/>
    <x v="149"/>
    <s v="AH-10210"/>
    <s v="Alan Hwang"/>
    <s v="United States"/>
    <x v="1"/>
    <x v="1"/>
    <s v="GBC DocuBind 300 Electric Binding Machine"/>
    <n v="1593.94"/>
    <n v="3"/>
    <n v="757.41120000000001"/>
    <n v="47.51817508814635"/>
  </r>
  <r>
    <s v="CA-2020-103877"/>
    <x v="266"/>
    <s v="RD-19660"/>
    <s v="Robert Dilbeck"/>
    <s v="United States"/>
    <x v="3"/>
    <x v="1"/>
    <s v="GBC DocuBind 300 Electric Binding Machine"/>
    <n v="1600.94"/>
    <n v="3"/>
    <n v="757.41120000000001"/>
    <n v="47.31040513698202"/>
  </r>
  <r>
    <s v="US-2020-105935"/>
    <x v="497"/>
    <s v="BD-11500"/>
    <s v="Bradley Drucker"/>
    <s v="United States"/>
    <x v="1"/>
    <x v="0"/>
    <s v="Samsung Galaxy Mega 6.3"/>
    <n v="2967.93"/>
    <n v="7"/>
    <n v="764.3818"/>
    <n v="25.754711196018775"/>
  </r>
  <r>
    <s v="CA-2020-113418"/>
    <x v="435"/>
    <s v="CM-12655"/>
    <s v="Corinna Mitchell"/>
    <s v="United States"/>
    <x v="0"/>
    <x v="0"/>
    <s v="Fellowes Powershred HS-440 4-Sheet High Security Shredder"/>
    <n v="1754.89"/>
    <n v="11"/>
    <n v="767.20050000000003"/>
    <n v="43.717868356421199"/>
  </r>
  <r>
    <s v="CA-2020-121559"/>
    <x v="167"/>
    <s v="HW-14935"/>
    <s v="Helen Wasserman"/>
    <s v="United States"/>
    <x v="3"/>
    <x v="1"/>
    <s v="Honeywell Enviracaire Portable HEPA Air Cleaner for 17' x 22' Room"/>
    <n v="2425.1999999999998"/>
    <n v="8"/>
    <n v="793.71600000000001"/>
    <n v="32.727857496288969"/>
  </r>
  <r>
    <s v="CA-2020-137596"/>
    <x v="149"/>
    <s v="BE-11335"/>
    <s v="Bill Eplett"/>
    <s v="United States"/>
    <x v="3"/>
    <x v="0"/>
    <s v="Maxell iVDR EX 500GB Cartridge"/>
    <n v="1976.78"/>
    <n v="7"/>
    <n v="829.37540000000001"/>
    <n v="41.955877740567999"/>
  </r>
  <r>
    <s v="US-2020-135013"/>
    <x v="642"/>
    <s v="HR-14830"/>
    <s v="Harold Ryan"/>
    <s v="United States"/>
    <x v="2"/>
    <x v="0"/>
    <s v="Hewlett Packard LaserJet 3310 Copier"/>
    <n v="2441.96"/>
    <n v="5"/>
    <n v="839.98599999999999"/>
    <n v="34.398024537666466"/>
  </r>
  <r>
    <s v="CA-2019-101546"/>
    <x v="60"/>
    <s v="GK-14620"/>
    <s v="Grace Kelly"/>
    <s v="United States"/>
    <x v="0"/>
    <x v="1"/>
    <s v="GBC DocuBind TL300 Electric Binding System"/>
    <n v="1793.98"/>
    <n v="2"/>
    <n v="843.17060000000004"/>
    <n v="47"/>
  </r>
  <r>
    <s v="CA-2020-141789"/>
    <x v="378"/>
    <s v="AC-10450"/>
    <s v="Amy Cox"/>
    <s v="United States"/>
    <x v="3"/>
    <x v="1"/>
    <s v="GBC DocuBind TL300 Electric Binding System"/>
    <n v="1833.98"/>
    <n v="2"/>
    <n v="843.17060000000004"/>
    <n v="45.974907032792075"/>
  </r>
  <r>
    <s v="US-2020-163300"/>
    <x v="301"/>
    <s v="ES-14020"/>
    <s v="Erica Smith"/>
    <s v="United States"/>
    <x v="2"/>
    <x v="1"/>
    <s v="GBC DocuBind 200 Manual Binding Machine"/>
    <n v="2385.4879999999998"/>
    <n v="7"/>
    <n v="884.05799999999999"/>
    <n v="37.059838490069957"/>
  </r>
  <r>
    <s v="CA-2019-157791"/>
    <x v="39"/>
    <s v="CA-11965"/>
    <s v="Carol Adams"/>
    <s v="United States"/>
    <x v="0"/>
    <x v="0"/>
    <s v="Hewlett Packard 610 Color Digital Copier / Printer"/>
    <n v="99.96"/>
    <n v="4"/>
    <n v="899.98199999999997"/>
    <n v="900.34213685474197"/>
  </r>
  <r>
    <s v="CA-2020-119809"/>
    <x v="243"/>
    <s v="YS-21880"/>
    <s v="Yana Sorensen"/>
    <s v="United States"/>
    <x v="2"/>
    <x v="1"/>
    <s v="Fellowes PB300 Plastic Comb Binding Machine"/>
    <n v="2831.5279999999998"/>
    <n v="9"/>
    <n v="942.81569999999999"/>
    <n v="33.297064341232016"/>
  </r>
  <r>
    <s v="CA-2019-135265"/>
    <x v="270"/>
    <s v="CC-12370"/>
    <s v="Christopher Conant"/>
    <s v="United States"/>
    <x v="2"/>
    <x v="0"/>
    <s v="Canon PC1060 Personal Laser Copier"/>
    <n v="2799.96"/>
    <n v="5"/>
    <n v="944.98649999999998"/>
    <n v="33.75"/>
  </r>
  <r>
    <s v="CA-2019-129630"/>
    <x v="478"/>
    <s v="IM-15055"/>
    <s v="Ionia McGrath"/>
    <s v="United States"/>
    <x v="2"/>
    <x v="0"/>
    <s v="Canon PC1060 Personal Laser Copier"/>
    <n v="2799.96"/>
    <n v="5"/>
    <n v="944.98649999999998"/>
    <n v="33.75"/>
  </r>
  <r>
    <s v="CA-2020-145219"/>
    <x v="437"/>
    <s v="RM-19675"/>
    <s v="Robert Marley"/>
    <s v="United States"/>
    <x v="2"/>
    <x v="0"/>
    <s v="Hewlett Packard LaserJet 3310 Copier"/>
    <n v="536.952"/>
    <n v="6"/>
    <n v="1007.9832"/>
    <n v="187.72314843784918"/>
  </r>
  <r>
    <s v="CA-2020-133865"/>
    <x v="287"/>
    <s v="PS-19045"/>
    <s v="Penelope Sewall"/>
    <s v="United States"/>
    <x v="2"/>
    <x v="0"/>
    <s v="Canon Imageclass D680 Copier / Fax"/>
    <n v="3409.9520000000002"/>
    <n v="6"/>
    <n v="1049.9849999999999"/>
    <n v="30.791782406321254"/>
  </r>
  <r>
    <s v="CA-2019-143714"/>
    <x v="282"/>
    <s v="CC-12370"/>
    <s v="Christopher Conant"/>
    <s v="United States"/>
    <x v="0"/>
    <x v="0"/>
    <s v="Canon imageCLASS 2200 Advanced Copier"/>
    <n v="2399.9760000000001"/>
    <n v="4"/>
    <n v="1119.9967999999999"/>
    <n v="46.667000003333357"/>
  </r>
  <r>
    <s v="CA-2019-128818"/>
    <x v="619"/>
    <s v="CJ-12010"/>
    <s v="Caroline Jumper"/>
    <s v="United States"/>
    <x v="0"/>
    <x v="0"/>
    <s v="Bady BDG101FRU Card Printer"/>
    <n v="3999.95"/>
    <n v="5"/>
    <n v="1159.9855"/>
    <n v="29.000000000000004"/>
  </r>
  <r>
    <s v="CA-2020-157854"/>
    <x v="592"/>
    <s v="DM-13345"/>
    <s v="Denise Monton"/>
    <s v="United States"/>
    <x v="1"/>
    <x v="1"/>
    <s v="GBC DocuBind TL300 Electric Binding System"/>
    <n v="2704.97"/>
    <n v="3"/>
    <n v="1264.7559000000001"/>
    <n v="46.756744067401861"/>
  </r>
  <r>
    <s v="CA-2020-143112"/>
    <x v="188"/>
    <s v="TS-21370"/>
    <s v="Todd Sumrall"/>
    <s v="United States"/>
    <x v="0"/>
    <x v="0"/>
    <s v="3D Systems Cube Printer, 2nd Generation, Magenta"/>
    <n v="5234.96"/>
    <n v="4"/>
    <n v="1351.9896000000001"/>
    <n v="25.826168681327076"/>
  </r>
  <r>
    <s v="CA-2020-127432"/>
    <x v="470"/>
    <s v="AD-10180"/>
    <s v="Alan Dominguez"/>
    <s v="United States"/>
    <x v="2"/>
    <x v="0"/>
    <s v="Canon Image Class D660 Copier"/>
    <n v="3026.95"/>
    <n v="5"/>
    <n v="1379.9770000000001"/>
    <n v="45.589685987545224"/>
  </r>
  <r>
    <s v="CA-2019-129714"/>
    <x v="391"/>
    <s v="AB-10060"/>
    <s v="Adam Bellavance"/>
    <s v="United States"/>
    <x v="0"/>
    <x v="1"/>
    <s v="GBC DocuBind P400 Electric Binding System"/>
    <n v="4355.1679999999997"/>
    <n v="4"/>
    <n v="1415.4295999999999"/>
    <n v="32.5"/>
  </r>
  <r>
    <s v="CA-2020-133263"/>
    <x v="152"/>
    <s v="JE-15610"/>
    <s v="Jim Epp"/>
    <s v="United States"/>
    <x v="1"/>
    <x v="0"/>
    <s v="Hewlett Packard LaserJet 3310 Copier"/>
    <n v="3013.95"/>
    <n v="5"/>
    <n v="1439.9760000000001"/>
    <n v="47.777036778977759"/>
  </r>
  <r>
    <s v="US-2020-102183"/>
    <x v="500"/>
    <s v="PK-19075"/>
    <s v="Pete Kriz"/>
    <s v="United States"/>
    <x v="0"/>
    <x v="1"/>
    <s v="GBC DocuBind TL300 Electric Binding System"/>
    <n v="4330.5519999999997"/>
    <n v="6"/>
    <n v="1453.1238000000001"/>
    <n v="33.555163406420249"/>
  </r>
  <r>
    <s v="CA-2019-133711"/>
    <x v="127"/>
    <s v="MC-17425"/>
    <s v="Mark Cousins"/>
    <s v="United States"/>
    <x v="1"/>
    <x v="0"/>
    <s v="Hewlett-Packard Deskjet 3050a All-in-One Color Inkjet Printer"/>
    <n v="3040"/>
    <n v="8"/>
    <n v="1459.2"/>
    <n v="48.000000000000007"/>
  </r>
  <r>
    <s v="CA-2019-138478"/>
    <x v="72"/>
    <s v="DP-13390"/>
    <s v="Dennis Pardue"/>
    <s v="United States"/>
    <x v="2"/>
    <x v="1"/>
    <s v="Ibico EPK-21 Electric Binding System"/>
    <n v="4535.9759999999997"/>
    <n v="3"/>
    <n v="1644.2913000000001"/>
    <n v="36.250000000000007"/>
  </r>
  <r>
    <s v="CA-2020-165323"/>
    <x v="245"/>
    <s v="SR-20740"/>
    <s v="Steven Roelle"/>
    <s v="United States"/>
    <x v="0"/>
    <x v="0"/>
    <s v="Hewlett-Packard Desktjet 6988DT Refurbished Printer"/>
    <n v="3436.5"/>
    <n v="5"/>
    <n v="1668.2049999999999"/>
    <n v="48.543721809981086"/>
  </r>
  <r>
    <s v="CA-2020-135909"/>
    <x v="114"/>
    <s v="JW-15220"/>
    <s v="Jane Waco"/>
    <s v="United States"/>
    <x v="2"/>
    <x v="1"/>
    <s v="Fellowes PB500 Electric Punch Plastic Comb Binding Machine with Manual Bind"/>
    <n v="5107.96"/>
    <n v="5"/>
    <n v="1906.4849999999999"/>
    <n v="37.323804415069809"/>
  </r>
  <r>
    <s v="US-2019-107440"/>
    <x v="466"/>
    <s v="BS-11365"/>
    <s v="Bill Shonely"/>
    <s v="United States"/>
    <x v="0"/>
    <x v="0"/>
    <s v="3D Systems Cube Printer, 2nd Generation, Magenta"/>
    <n v="9099.93"/>
    <n v="7"/>
    <n v="2365.9818"/>
    <n v="26"/>
  </r>
  <r>
    <s v="US-2019-143819"/>
    <x v="59"/>
    <s v="KD-16270"/>
    <s v="Karen Daniels"/>
    <s v="United States"/>
    <x v="0"/>
    <x v="0"/>
    <s v="Ativa V4110MDD Micro-Cut Shredder"/>
    <n v="4899.93"/>
    <n v="7"/>
    <n v="2400.9657000000002"/>
    <n v="49"/>
  </r>
  <r>
    <s v="CA-2020-138289"/>
    <x v="324"/>
    <s v="AR-10540"/>
    <s v="Andy Reiter"/>
    <s v="United States"/>
    <x v="3"/>
    <x v="1"/>
    <s v="GBC DocuBind P400 Electric Binding System"/>
    <n v="5455.96"/>
    <n v="4"/>
    <n v="2504.2215999999999"/>
    <n v="45.898826237729011"/>
  </r>
  <r>
    <s v="US-2019-140158"/>
    <x v="285"/>
    <s v="DR-12940"/>
    <s v="Daniel Raglin"/>
    <s v="United States"/>
    <x v="0"/>
    <x v="0"/>
    <s v="Hewlett Packard LaserJet 3310 Copier"/>
    <n v="5399.91"/>
    <n v="9"/>
    <n v="2591.9567999999999"/>
    <n v="48"/>
  </r>
  <r>
    <s v="CA-2019-158841"/>
    <x v="164"/>
    <s v="SE-20110"/>
    <s v="Sanjit Engle"/>
    <s v="United States"/>
    <x v="1"/>
    <x v="0"/>
    <s v="HP Designjet T520 Inkjet Large Format Printer - 24&quot; Color"/>
    <n v="4749.95"/>
    <n v="5"/>
    <n v="2799.9839999999999"/>
    <n v="58.947652080548217"/>
  </r>
  <r>
    <s v="CA-2020-127180"/>
    <x v="126"/>
    <s v="TA-21385"/>
    <s v="Tom Ashbrook"/>
    <s v="United States"/>
    <x v="0"/>
    <x v="0"/>
    <s v="Canon imageCLASS 2200 Advanced Copier"/>
    <n v="2212.9679999999998"/>
    <n v="4"/>
    <n v="3919.9888000000001"/>
    <n v="177.13716601414936"/>
  </r>
  <r>
    <s v="CA-2019-117121"/>
    <x v="45"/>
    <s v="AB-10105"/>
    <s v="Adrian Barton"/>
    <s v="United States"/>
    <x v="3"/>
    <x v="1"/>
    <s v="GBC Ibimaster 500 Manual ProClick Binding System"/>
    <n v="2892.74"/>
    <n v="13"/>
    <n v="4946.37"/>
    <n v="170.99255377254784"/>
  </r>
  <r>
    <s v="CA-2020-166709"/>
    <x v="328"/>
    <s v="HL-15040"/>
    <s v="Hunter Lopez"/>
    <s v="United States"/>
    <x v="0"/>
    <x v="0"/>
    <s v="Canon imageCLASS 2200 Advanced Copier"/>
    <n v="5517.97"/>
    <n v="3"/>
    <n v="5039.9856"/>
    <n v="91.337676718068423"/>
  </r>
  <r>
    <s v="CA-2020-140151"/>
    <x v="248"/>
    <s v="RB-19360"/>
    <s v="Raymond Buch"/>
    <s v="United States"/>
    <x v="2"/>
    <x v="0"/>
    <s v="Canon imageCLASS 2200 Advanced Copier"/>
    <n v="3445.96"/>
    <n v="4"/>
    <n v="6719.9808000000003"/>
    <n v="195.01041219282871"/>
  </r>
  <r>
    <s v="CA-2019-118689"/>
    <x v="226"/>
    <s v="TC-20980"/>
    <s v="Tamara Chand"/>
    <s v="United States"/>
    <x v="3"/>
    <x v="0"/>
    <s v="Canon imageCLASS 2200 Advanced Copier"/>
    <n v="499.95"/>
    <n v="5"/>
    <n v="8399.9760000000006"/>
    <n v="1680.1632163216323"/>
  </r>
  <r>
    <m/>
    <x v="643"/>
    <m/>
    <m/>
    <m/>
    <x v="4"/>
    <x v="3"/>
    <m/>
    <m/>
    <m/>
    <m/>
    <m/>
  </r>
  <r>
    <m/>
    <x v="643"/>
    <m/>
    <m/>
    <m/>
    <x v="4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1E4FA-7CAA-414A-8F7A-F571371C966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showAll="0"/>
    <pivotField showAll="0">
      <items count="645">
        <item x="623"/>
        <item x="627"/>
        <item x="379"/>
        <item x="162"/>
        <item x="456"/>
        <item x="350"/>
        <item x="281"/>
        <item x="540"/>
        <item x="577"/>
        <item x="357"/>
        <item x="625"/>
        <item x="322"/>
        <item x="546"/>
        <item x="600"/>
        <item x="383"/>
        <item x="180"/>
        <item x="516"/>
        <item x="609"/>
        <item x="143"/>
        <item x="591"/>
        <item x="26"/>
        <item x="558"/>
        <item x="603"/>
        <item x="164"/>
        <item x="639"/>
        <item x="539"/>
        <item x="251"/>
        <item x="314"/>
        <item x="537"/>
        <item x="425"/>
        <item x="593"/>
        <item x="462"/>
        <item x="576"/>
        <item x="634"/>
        <item x="211"/>
        <item x="535"/>
        <item x="75"/>
        <item x="542"/>
        <item x="561"/>
        <item x="272"/>
        <item x="554"/>
        <item x="618"/>
        <item x="611"/>
        <item x="374"/>
        <item x="581"/>
        <item x="59"/>
        <item x="17"/>
        <item x="534"/>
        <item x="420"/>
        <item x="84"/>
        <item x="492"/>
        <item x="277"/>
        <item x="531"/>
        <item x="293"/>
        <item x="253"/>
        <item x="565"/>
        <item x="22"/>
        <item x="291"/>
        <item x="115"/>
        <item x="305"/>
        <item x="147"/>
        <item x="144"/>
        <item x="306"/>
        <item x="393"/>
        <item x="604"/>
        <item x="70"/>
        <item x="612"/>
        <item x="315"/>
        <item x="585"/>
        <item x="468"/>
        <item x="98"/>
        <item x="560"/>
        <item x="187"/>
        <item x="442"/>
        <item x="641"/>
        <item x="158"/>
        <item x="563"/>
        <item x="103"/>
        <item x="640"/>
        <item x="474"/>
        <item x="5"/>
        <item x="511"/>
        <item x="377"/>
        <item x="231"/>
        <item x="521"/>
        <item x="549"/>
        <item x="113"/>
        <item x="466"/>
        <item x="544"/>
        <item x="148"/>
        <item x="190"/>
        <item x="123"/>
        <item x="16"/>
        <item x="567"/>
        <item x="412"/>
        <item x="302"/>
        <item x="633"/>
        <item x="252"/>
        <item x="354"/>
        <item x="116"/>
        <item x="139"/>
        <item x="101"/>
        <item x="415"/>
        <item x="387"/>
        <item x="619"/>
        <item x="491"/>
        <item x="119"/>
        <item x="125"/>
        <item x="514"/>
        <item x="310"/>
        <item x="220"/>
        <item x="389"/>
        <item x="426"/>
        <item x="297"/>
        <item x="586"/>
        <item x="427"/>
        <item x="246"/>
        <item x="340"/>
        <item x="308"/>
        <item x="282"/>
        <item x="530"/>
        <item x="566"/>
        <item x="154"/>
        <item x="242"/>
        <item x="283"/>
        <item x="361"/>
        <item x="323"/>
        <item x="227"/>
        <item x="337"/>
        <item x="416"/>
        <item x="41"/>
        <item x="288"/>
        <item x="428"/>
        <item x="490"/>
        <item x="269"/>
        <item x="79"/>
        <item x="335"/>
        <item x="104"/>
        <item x="584"/>
        <item x="129"/>
        <item x="631"/>
        <item x="414"/>
        <item x="80"/>
        <item x="398"/>
        <item x="580"/>
        <item x="295"/>
        <item x="219"/>
        <item x="489"/>
        <item x="309"/>
        <item x="203"/>
        <item x="454"/>
        <item x="369"/>
        <item x="507"/>
        <item x="615"/>
        <item x="422"/>
        <item x="471"/>
        <item x="429"/>
        <item x="438"/>
        <item x="455"/>
        <item x="270"/>
        <item x="336"/>
        <item x="605"/>
        <item x="48"/>
        <item x="572"/>
        <item x="475"/>
        <item x="596"/>
        <item x="133"/>
        <item x="395"/>
        <item x="241"/>
        <item x="469"/>
        <item x="629"/>
        <item x="364"/>
        <item x="448"/>
        <item x="138"/>
        <item x="617"/>
        <item x="445"/>
        <item x="15"/>
        <item x="307"/>
        <item x="331"/>
        <item x="247"/>
        <item x="529"/>
        <item x="550"/>
        <item x="621"/>
        <item x="376"/>
        <item x="632"/>
        <item x="610"/>
        <item x="637"/>
        <item x="441"/>
        <item x="366"/>
        <item x="607"/>
        <item x="63"/>
        <item x="108"/>
        <item x="193"/>
        <item x="332"/>
        <item x="555"/>
        <item x="562"/>
        <item x="399"/>
        <item x="587"/>
        <item x="541"/>
        <item x="43"/>
        <item x="312"/>
        <item x="95"/>
        <item x="261"/>
        <item x="351"/>
        <item x="199"/>
        <item x="159"/>
        <item x="62"/>
        <item x="510"/>
        <item x="391"/>
        <item x="110"/>
        <item x="19"/>
        <item x="478"/>
        <item x="100"/>
        <item x="410"/>
        <item x="49"/>
        <item x="344"/>
        <item x="238"/>
        <item x="106"/>
        <item x="460"/>
        <item x="443"/>
        <item x="597"/>
        <item x="498"/>
        <item x="338"/>
        <item x="186"/>
        <item x="99"/>
        <item x="204"/>
        <item x="349"/>
        <item x="381"/>
        <item x="273"/>
        <item x="20"/>
        <item x="81"/>
        <item x="66"/>
        <item x="76"/>
        <item x="624"/>
        <item x="479"/>
        <item x="274"/>
        <item x="131"/>
        <item x="226"/>
        <item x="257"/>
        <item x="285"/>
        <item x="13"/>
        <item x="472"/>
        <item x="179"/>
        <item x="280"/>
        <item x="85"/>
        <item x="459"/>
        <item x="27"/>
        <item x="487"/>
        <item x="486"/>
        <item x="229"/>
        <item x="569"/>
        <item x="237"/>
        <item x="326"/>
        <item x="72"/>
        <item x="506"/>
        <item x="342"/>
        <item x="559"/>
        <item x="635"/>
        <item x="484"/>
        <item x="256"/>
        <item x="452"/>
        <item x="481"/>
        <item x="330"/>
        <item x="564"/>
        <item x="65"/>
        <item x="56"/>
        <item x="77"/>
        <item x="264"/>
        <item x="316"/>
        <item x="628"/>
        <item x="638"/>
        <item x="214"/>
        <item x="373"/>
        <item x="300"/>
        <item x="394"/>
        <item x="296"/>
        <item x="82"/>
        <item x="519"/>
        <item x="532"/>
        <item x="313"/>
        <item x="319"/>
        <item x="165"/>
        <item x="284"/>
        <item x="358"/>
        <item x="509"/>
        <item x="289"/>
        <item x="0"/>
        <item x="127"/>
        <item x="134"/>
        <item x="173"/>
        <item x="51"/>
        <item x="515"/>
        <item x="212"/>
        <item x="118"/>
        <item x="107"/>
        <item x="430"/>
        <item x="444"/>
        <item x="431"/>
        <item x="83"/>
        <item x="260"/>
        <item x="528"/>
        <item x="111"/>
        <item x="329"/>
        <item x="503"/>
        <item x="359"/>
        <item x="50"/>
        <item x="367"/>
        <item x="45"/>
        <item x="60"/>
        <item x="78"/>
        <item x="570"/>
        <item x="279"/>
        <item x="39"/>
        <item x="210"/>
        <item x="36"/>
        <item x="386"/>
        <item x="343"/>
        <item x="268"/>
        <item x="353"/>
        <item x="235"/>
        <item x="87"/>
        <item x="96"/>
        <item x="527"/>
        <item x="606"/>
        <item x="413"/>
        <item x="636"/>
        <item x="73"/>
        <item x="9"/>
        <item x="608"/>
        <item x="325"/>
        <item x="200"/>
        <item x="324"/>
        <item x="150"/>
        <item x="477"/>
        <item x="263"/>
        <item x="470"/>
        <item x="402"/>
        <item x="439"/>
        <item x="497"/>
        <item x="271"/>
        <item x="599"/>
        <item x="303"/>
        <item x="178"/>
        <item x="345"/>
        <item x="275"/>
        <item x="582"/>
        <item x="32"/>
        <item x="602"/>
        <item x="34"/>
        <item x="594"/>
        <item x="401"/>
        <item x="496"/>
        <item x="363"/>
        <item x="58"/>
        <item x="551"/>
        <item x="440"/>
        <item x="89"/>
        <item x="405"/>
        <item x="447"/>
        <item x="400"/>
        <item x="292"/>
        <item x="595"/>
        <item x="533"/>
        <item x="304"/>
        <item x="321"/>
        <item x="163"/>
        <item x="512"/>
        <item x="494"/>
        <item x="552"/>
        <item x="467"/>
        <item x="589"/>
        <item x="94"/>
        <item x="91"/>
        <item x="590"/>
        <item x="52"/>
        <item x="553"/>
        <item x="160"/>
        <item x="294"/>
        <item x="46"/>
        <item x="120"/>
        <item x="485"/>
        <item x="450"/>
        <item x="248"/>
        <item x="473"/>
        <item x="501"/>
        <item x="74"/>
        <item x="182"/>
        <item x="208"/>
        <item x="616"/>
        <item x="392"/>
        <item x="152"/>
        <item x="311"/>
        <item x="523"/>
        <item x="502"/>
        <item x="499"/>
        <item x="382"/>
        <item x="68"/>
        <item x="592"/>
        <item x="262"/>
        <item x="404"/>
        <item x="320"/>
        <item x="601"/>
        <item x="228"/>
        <item x="249"/>
        <item x="346"/>
        <item x="217"/>
        <item x="2"/>
        <item x="202"/>
        <item x="69"/>
        <item x="432"/>
        <item x="327"/>
        <item x="298"/>
        <item x="458"/>
        <item x="418"/>
        <item x="224"/>
        <item x="463"/>
        <item x="176"/>
        <item x="105"/>
        <item x="28"/>
        <item x="571"/>
        <item x="137"/>
        <item x="370"/>
        <item x="109"/>
        <item x="128"/>
        <item x="575"/>
        <item x="287"/>
        <item x="513"/>
        <item x="40"/>
        <item x="198"/>
        <item x="124"/>
        <item x="215"/>
        <item x="403"/>
        <item x="194"/>
        <item x="352"/>
        <item x="234"/>
        <item x="145"/>
        <item x="556"/>
        <item x="195"/>
        <item x="213"/>
        <item x="347"/>
        <item x="465"/>
        <item x="355"/>
        <item x="185"/>
        <item x="201"/>
        <item x="380"/>
        <item x="167"/>
        <item x="421"/>
        <item x="132"/>
        <item x="318"/>
        <item x="573"/>
        <item x="433"/>
        <item x="207"/>
        <item x="175"/>
        <item x="255"/>
        <item x="206"/>
        <item x="375"/>
        <item x="155"/>
        <item x="267"/>
        <item x="360"/>
        <item x="245"/>
        <item x="614"/>
        <item x="156"/>
        <item x="446"/>
        <item x="239"/>
        <item x="286"/>
        <item x="47"/>
        <item x="390"/>
        <item x="334"/>
        <item x="588"/>
        <item x="146"/>
        <item x="54"/>
        <item x="598"/>
        <item x="365"/>
        <item x="142"/>
        <item x="42"/>
        <item x="333"/>
        <item x="135"/>
        <item x="526"/>
        <item x="112"/>
        <item x="579"/>
        <item x="543"/>
        <item x="480"/>
        <item x="371"/>
        <item x="38"/>
        <item x="205"/>
        <item x="419"/>
        <item x="434"/>
        <item x="29"/>
        <item x="384"/>
        <item x="102"/>
        <item x="171"/>
        <item x="548"/>
        <item x="642"/>
        <item x="236"/>
        <item x="630"/>
        <item x="411"/>
        <item x="538"/>
        <item x="449"/>
        <item x="196"/>
        <item x="192"/>
        <item x="61"/>
        <item x="230"/>
        <item x="385"/>
        <item x="568"/>
        <item x="574"/>
        <item x="278"/>
        <item x="622"/>
        <item x="290"/>
        <item x="557"/>
        <item x="7"/>
        <item x="520"/>
        <item x="44"/>
        <item x="348"/>
        <item x="23"/>
        <item x="243"/>
        <item x="397"/>
        <item x="536"/>
        <item x="500"/>
        <item x="157"/>
        <item x="453"/>
        <item x="483"/>
        <item x="153"/>
        <item x="221"/>
        <item x="53"/>
        <item x="488"/>
        <item x="388"/>
        <item x="461"/>
        <item x="524"/>
        <item x="149"/>
        <item x="140"/>
        <item x="130"/>
        <item x="258"/>
        <item x="266"/>
        <item x="25"/>
        <item x="37"/>
        <item x="8"/>
        <item x="183"/>
        <item x="525"/>
        <item x="518"/>
        <item x="97"/>
        <item x="301"/>
        <item x="35"/>
        <item x="166"/>
        <item x="406"/>
        <item x="121"/>
        <item x="495"/>
        <item x="362"/>
        <item x="10"/>
        <item x="71"/>
        <item x="64"/>
        <item x="222"/>
        <item x="191"/>
        <item x="189"/>
        <item x="86"/>
        <item x="317"/>
        <item x="435"/>
        <item x="11"/>
        <item x="378"/>
        <item x="583"/>
        <item x="188"/>
        <item x="482"/>
        <item x="232"/>
        <item x="451"/>
        <item x="30"/>
        <item x="209"/>
        <item x="169"/>
        <item x="114"/>
        <item x="223"/>
        <item x="545"/>
        <item x="12"/>
        <item x="517"/>
        <item x="6"/>
        <item x="170"/>
        <item x="168"/>
        <item x="126"/>
        <item x="122"/>
        <item x="161"/>
        <item x="184"/>
        <item x="396"/>
        <item x="259"/>
        <item x="620"/>
        <item x="177"/>
        <item x="457"/>
        <item x="578"/>
        <item x="88"/>
        <item x="368"/>
        <item x="1"/>
        <item x="181"/>
        <item x="174"/>
        <item x="117"/>
        <item x="626"/>
        <item x="407"/>
        <item x="31"/>
        <item x="250"/>
        <item x="151"/>
        <item x="14"/>
        <item x="244"/>
        <item x="436"/>
        <item x="417"/>
        <item x="328"/>
        <item x="276"/>
        <item x="4"/>
        <item x="216"/>
        <item x="341"/>
        <item x="504"/>
        <item x="254"/>
        <item x="225"/>
        <item x="92"/>
        <item x="197"/>
        <item x="464"/>
        <item x="24"/>
        <item x="613"/>
        <item x="21"/>
        <item x="265"/>
        <item x="18"/>
        <item x="299"/>
        <item x="57"/>
        <item x="372"/>
        <item x="522"/>
        <item x="3"/>
        <item x="136"/>
        <item x="356"/>
        <item x="409"/>
        <item x="33"/>
        <item x="547"/>
        <item x="55"/>
        <item x="476"/>
        <item x="505"/>
        <item x="93"/>
        <item x="339"/>
        <item x="90"/>
        <item x="508"/>
        <item x="493"/>
        <item x="67"/>
        <item x="172"/>
        <item x="437"/>
        <item x="141"/>
        <item x="408"/>
        <item x="233"/>
        <item x="240"/>
        <item x="218"/>
        <item x="423"/>
        <item x="424"/>
        <item x="643"/>
        <item t="default"/>
      </items>
    </pivotField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B5BCA-646B-4A33-84FA-FE288B539D1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>
      <items count="645">
        <item x="623"/>
        <item x="627"/>
        <item x="379"/>
        <item x="162"/>
        <item x="456"/>
        <item x="350"/>
        <item x="281"/>
        <item x="540"/>
        <item x="577"/>
        <item x="357"/>
        <item x="625"/>
        <item x="322"/>
        <item x="546"/>
        <item x="600"/>
        <item x="383"/>
        <item x="180"/>
        <item x="516"/>
        <item x="609"/>
        <item x="143"/>
        <item x="591"/>
        <item x="26"/>
        <item x="558"/>
        <item x="603"/>
        <item x="164"/>
        <item x="639"/>
        <item x="539"/>
        <item x="251"/>
        <item x="314"/>
        <item x="537"/>
        <item x="425"/>
        <item x="593"/>
        <item x="462"/>
        <item x="576"/>
        <item x="634"/>
        <item x="211"/>
        <item x="535"/>
        <item x="75"/>
        <item x="542"/>
        <item x="561"/>
        <item x="272"/>
        <item x="554"/>
        <item x="618"/>
        <item x="611"/>
        <item x="374"/>
        <item x="581"/>
        <item x="59"/>
        <item x="17"/>
        <item x="534"/>
        <item x="420"/>
        <item x="84"/>
        <item x="492"/>
        <item x="277"/>
        <item x="531"/>
        <item x="293"/>
        <item x="253"/>
        <item x="565"/>
        <item x="22"/>
        <item x="291"/>
        <item x="115"/>
        <item x="305"/>
        <item x="147"/>
        <item x="144"/>
        <item x="306"/>
        <item x="393"/>
        <item x="604"/>
        <item x="70"/>
        <item x="612"/>
        <item x="315"/>
        <item x="585"/>
        <item x="468"/>
        <item x="98"/>
        <item x="560"/>
        <item x="187"/>
        <item x="442"/>
        <item x="641"/>
        <item x="158"/>
        <item x="563"/>
        <item x="103"/>
        <item x="640"/>
        <item x="474"/>
        <item x="5"/>
        <item x="511"/>
        <item x="377"/>
        <item x="231"/>
        <item x="521"/>
        <item x="549"/>
        <item x="113"/>
        <item x="466"/>
        <item x="544"/>
        <item x="148"/>
        <item x="190"/>
        <item x="123"/>
        <item x="16"/>
        <item x="567"/>
        <item x="412"/>
        <item x="302"/>
        <item x="633"/>
        <item x="252"/>
        <item x="354"/>
        <item x="116"/>
        <item x="139"/>
        <item x="101"/>
        <item x="415"/>
        <item x="387"/>
        <item x="619"/>
        <item x="491"/>
        <item x="119"/>
        <item x="125"/>
        <item x="514"/>
        <item x="310"/>
        <item x="220"/>
        <item x="389"/>
        <item x="426"/>
        <item x="297"/>
        <item x="586"/>
        <item x="427"/>
        <item x="246"/>
        <item x="340"/>
        <item x="308"/>
        <item x="282"/>
        <item x="530"/>
        <item x="566"/>
        <item x="154"/>
        <item x="242"/>
        <item x="283"/>
        <item x="361"/>
        <item x="323"/>
        <item x="227"/>
        <item x="337"/>
        <item x="416"/>
        <item x="41"/>
        <item x="288"/>
        <item x="428"/>
        <item x="490"/>
        <item x="269"/>
        <item x="79"/>
        <item x="335"/>
        <item x="104"/>
        <item x="584"/>
        <item x="129"/>
        <item x="631"/>
        <item x="414"/>
        <item x="80"/>
        <item x="398"/>
        <item x="580"/>
        <item x="295"/>
        <item x="219"/>
        <item x="489"/>
        <item x="309"/>
        <item x="203"/>
        <item x="454"/>
        <item x="369"/>
        <item x="507"/>
        <item x="615"/>
        <item x="422"/>
        <item x="471"/>
        <item x="429"/>
        <item x="438"/>
        <item x="455"/>
        <item x="270"/>
        <item x="336"/>
        <item x="605"/>
        <item x="48"/>
        <item x="572"/>
        <item x="475"/>
        <item x="596"/>
        <item x="133"/>
        <item x="395"/>
        <item x="241"/>
        <item x="469"/>
        <item x="629"/>
        <item x="364"/>
        <item x="448"/>
        <item x="138"/>
        <item x="617"/>
        <item x="445"/>
        <item x="15"/>
        <item x="307"/>
        <item x="331"/>
        <item x="247"/>
        <item x="529"/>
        <item x="550"/>
        <item x="621"/>
        <item x="376"/>
        <item x="632"/>
        <item x="610"/>
        <item x="637"/>
        <item x="441"/>
        <item x="366"/>
        <item x="607"/>
        <item x="63"/>
        <item x="108"/>
        <item x="193"/>
        <item x="332"/>
        <item x="555"/>
        <item x="562"/>
        <item x="399"/>
        <item x="587"/>
        <item x="541"/>
        <item x="43"/>
        <item x="312"/>
        <item x="95"/>
        <item x="261"/>
        <item x="351"/>
        <item x="199"/>
        <item x="159"/>
        <item x="62"/>
        <item x="510"/>
        <item x="391"/>
        <item x="110"/>
        <item x="19"/>
        <item x="478"/>
        <item x="100"/>
        <item x="410"/>
        <item x="49"/>
        <item x="344"/>
        <item x="238"/>
        <item x="106"/>
        <item x="460"/>
        <item x="443"/>
        <item x="597"/>
        <item x="498"/>
        <item x="338"/>
        <item x="186"/>
        <item x="99"/>
        <item x="204"/>
        <item x="349"/>
        <item x="381"/>
        <item x="273"/>
        <item x="20"/>
        <item x="81"/>
        <item x="66"/>
        <item x="76"/>
        <item x="624"/>
        <item x="479"/>
        <item x="274"/>
        <item x="131"/>
        <item x="226"/>
        <item x="257"/>
        <item x="285"/>
        <item x="13"/>
        <item x="472"/>
        <item x="179"/>
        <item x="280"/>
        <item x="85"/>
        <item x="459"/>
        <item x="27"/>
        <item x="487"/>
        <item x="486"/>
        <item x="229"/>
        <item x="569"/>
        <item x="237"/>
        <item x="326"/>
        <item x="72"/>
        <item x="506"/>
        <item x="342"/>
        <item x="559"/>
        <item x="635"/>
        <item x="484"/>
        <item x="256"/>
        <item x="452"/>
        <item x="481"/>
        <item x="330"/>
        <item x="564"/>
        <item x="65"/>
        <item x="56"/>
        <item x="77"/>
        <item x="264"/>
        <item x="316"/>
        <item x="628"/>
        <item x="638"/>
        <item x="214"/>
        <item x="373"/>
        <item x="300"/>
        <item x="394"/>
        <item x="296"/>
        <item x="82"/>
        <item x="519"/>
        <item x="532"/>
        <item x="313"/>
        <item x="319"/>
        <item x="165"/>
        <item x="284"/>
        <item x="358"/>
        <item x="509"/>
        <item x="289"/>
        <item x="0"/>
        <item x="127"/>
        <item x="134"/>
        <item x="173"/>
        <item x="51"/>
        <item x="515"/>
        <item x="212"/>
        <item x="118"/>
        <item x="107"/>
        <item x="430"/>
        <item x="444"/>
        <item x="431"/>
        <item x="83"/>
        <item x="260"/>
        <item x="528"/>
        <item x="111"/>
        <item x="329"/>
        <item x="503"/>
        <item x="359"/>
        <item x="50"/>
        <item x="367"/>
        <item x="45"/>
        <item x="60"/>
        <item x="78"/>
        <item x="570"/>
        <item x="279"/>
        <item x="39"/>
        <item x="210"/>
        <item x="36"/>
        <item x="386"/>
        <item x="343"/>
        <item x="268"/>
        <item x="353"/>
        <item x="235"/>
        <item x="87"/>
        <item x="96"/>
        <item x="527"/>
        <item x="606"/>
        <item x="413"/>
        <item x="636"/>
        <item x="73"/>
        <item x="9"/>
        <item x="608"/>
        <item x="325"/>
        <item x="200"/>
        <item x="324"/>
        <item x="150"/>
        <item x="477"/>
        <item x="263"/>
        <item x="470"/>
        <item x="402"/>
        <item x="439"/>
        <item x="497"/>
        <item x="271"/>
        <item x="599"/>
        <item x="303"/>
        <item x="178"/>
        <item x="345"/>
        <item x="275"/>
        <item x="582"/>
        <item x="32"/>
        <item x="602"/>
        <item x="34"/>
        <item x="594"/>
        <item x="401"/>
        <item x="496"/>
        <item x="363"/>
        <item x="58"/>
        <item x="551"/>
        <item x="440"/>
        <item x="89"/>
        <item x="405"/>
        <item x="447"/>
        <item x="400"/>
        <item x="292"/>
        <item x="595"/>
        <item x="533"/>
        <item x="304"/>
        <item x="321"/>
        <item x="163"/>
        <item x="512"/>
        <item x="494"/>
        <item x="552"/>
        <item x="467"/>
        <item x="589"/>
        <item x="94"/>
        <item x="91"/>
        <item x="590"/>
        <item x="52"/>
        <item x="553"/>
        <item x="160"/>
        <item x="294"/>
        <item x="46"/>
        <item x="120"/>
        <item x="485"/>
        <item x="450"/>
        <item x="248"/>
        <item x="473"/>
        <item x="501"/>
        <item x="74"/>
        <item x="182"/>
        <item x="208"/>
        <item x="616"/>
        <item x="392"/>
        <item x="152"/>
        <item x="311"/>
        <item x="523"/>
        <item x="502"/>
        <item x="499"/>
        <item x="382"/>
        <item x="68"/>
        <item x="592"/>
        <item x="262"/>
        <item x="404"/>
        <item x="320"/>
        <item x="601"/>
        <item x="228"/>
        <item x="249"/>
        <item x="346"/>
        <item x="217"/>
        <item x="2"/>
        <item x="202"/>
        <item x="69"/>
        <item x="432"/>
        <item x="327"/>
        <item x="298"/>
        <item x="458"/>
        <item x="418"/>
        <item x="224"/>
        <item x="463"/>
        <item x="176"/>
        <item x="105"/>
        <item x="28"/>
        <item x="571"/>
        <item x="137"/>
        <item x="370"/>
        <item x="109"/>
        <item x="128"/>
        <item x="575"/>
        <item x="287"/>
        <item x="513"/>
        <item x="40"/>
        <item x="198"/>
        <item x="124"/>
        <item x="215"/>
        <item x="403"/>
        <item x="194"/>
        <item x="352"/>
        <item x="234"/>
        <item x="145"/>
        <item x="556"/>
        <item x="195"/>
        <item x="213"/>
        <item x="347"/>
        <item x="465"/>
        <item x="355"/>
        <item x="185"/>
        <item x="201"/>
        <item x="380"/>
        <item x="167"/>
        <item x="421"/>
        <item x="132"/>
        <item x="318"/>
        <item x="573"/>
        <item x="433"/>
        <item x="207"/>
        <item x="175"/>
        <item x="255"/>
        <item x="206"/>
        <item x="375"/>
        <item x="155"/>
        <item x="267"/>
        <item x="360"/>
        <item x="245"/>
        <item x="614"/>
        <item x="156"/>
        <item x="446"/>
        <item x="239"/>
        <item x="286"/>
        <item x="47"/>
        <item x="390"/>
        <item x="334"/>
        <item x="588"/>
        <item x="146"/>
        <item x="54"/>
        <item x="598"/>
        <item x="365"/>
        <item x="142"/>
        <item x="42"/>
        <item x="333"/>
        <item x="135"/>
        <item x="526"/>
        <item x="112"/>
        <item x="579"/>
        <item x="543"/>
        <item x="480"/>
        <item x="371"/>
        <item x="38"/>
        <item x="205"/>
        <item x="419"/>
        <item x="434"/>
        <item x="29"/>
        <item x="384"/>
        <item x="102"/>
        <item x="171"/>
        <item x="548"/>
        <item x="642"/>
        <item x="236"/>
        <item x="630"/>
        <item x="411"/>
        <item x="538"/>
        <item x="449"/>
        <item x="196"/>
        <item x="192"/>
        <item x="61"/>
        <item x="230"/>
        <item x="385"/>
        <item x="568"/>
        <item x="574"/>
        <item x="278"/>
        <item x="622"/>
        <item x="290"/>
        <item x="557"/>
        <item x="7"/>
        <item x="520"/>
        <item x="44"/>
        <item x="348"/>
        <item x="23"/>
        <item x="243"/>
        <item x="397"/>
        <item x="536"/>
        <item x="500"/>
        <item x="157"/>
        <item x="453"/>
        <item x="483"/>
        <item x="153"/>
        <item x="221"/>
        <item x="53"/>
        <item x="488"/>
        <item x="388"/>
        <item x="461"/>
        <item x="524"/>
        <item x="149"/>
        <item x="140"/>
        <item x="130"/>
        <item x="258"/>
        <item x="266"/>
        <item x="25"/>
        <item x="37"/>
        <item x="8"/>
        <item x="183"/>
        <item x="525"/>
        <item x="518"/>
        <item x="97"/>
        <item x="301"/>
        <item x="35"/>
        <item x="166"/>
        <item x="406"/>
        <item x="121"/>
        <item x="495"/>
        <item x="362"/>
        <item x="10"/>
        <item x="71"/>
        <item x="64"/>
        <item x="222"/>
        <item x="191"/>
        <item x="189"/>
        <item x="86"/>
        <item x="317"/>
        <item x="435"/>
        <item x="11"/>
        <item x="378"/>
        <item x="583"/>
        <item x="188"/>
        <item x="482"/>
        <item x="232"/>
        <item x="451"/>
        <item x="30"/>
        <item x="209"/>
        <item x="169"/>
        <item x="114"/>
        <item x="223"/>
        <item x="545"/>
        <item x="12"/>
        <item x="517"/>
        <item x="6"/>
        <item x="170"/>
        <item x="168"/>
        <item x="126"/>
        <item x="122"/>
        <item x="161"/>
        <item x="184"/>
        <item x="396"/>
        <item x="259"/>
        <item x="620"/>
        <item x="177"/>
        <item x="457"/>
        <item x="578"/>
        <item x="88"/>
        <item x="368"/>
        <item x="1"/>
        <item x="181"/>
        <item x="174"/>
        <item x="117"/>
        <item x="626"/>
        <item x="407"/>
        <item x="31"/>
        <item x="250"/>
        <item x="151"/>
        <item x="14"/>
        <item x="244"/>
        <item x="436"/>
        <item x="417"/>
        <item x="328"/>
        <item x="276"/>
        <item x="4"/>
        <item x="216"/>
        <item x="341"/>
        <item x="504"/>
        <item x="254"/>
        <item x="225"/>
        <item x="92"/>
        <item x="197"/>
        <item x="464"/>
        <item x="24"/>
        <item x="613"/>
        <item x="21"/>
        <item x="265"/>
        <item x="18"/>
        <item x="299"/>
        <item x="57"/>
        <item x="372"/>
        <item x="522"/>
        <item x="3"/>
        <item x="136"/>
        <item x="356"/>
        <item x="409"/>
        <item x="33"/>
        <item x="547"/>
        <item x="55"/>
        <item x="476"/>
        <item x="505"/>
        <item x="93"/>
        <item x="339"/>
        <item x="90"/>
        <item x="508"/>
        <item x="493"/>
        <item x="67"/>
        <item x="172"/>
        <item x="437"/>
        <item x="141"/>
        <item x="408"/>
        <item x="233"/>
        <item x="240"/>
        <item x="218"/>
        <item x="423"/>
        <item x="424"/>
        <item x="643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941D6-81D6-40DF-B7C6-797A7737D04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14">
    <pivotField showAll="0"/>
    <pivotField showAll="0">
      <items count="645">
        <item x="623"/>
        <item x="627"/>
        <item x="379"/>
        <item x="162"/>
        <item x="456"/>
        <item x="350"/>
        <item x="281"/>
        <item x="540"/>
        <item x="577"/>
        <item x="357"/>
        <item x="625"/>
        <item x="322"/>
        <item x="546"/>
        <item x="600"/>
        <item x="383"/>
        <item x="180"/>
        <item x="516"/>
        <item x="609"/>
        <item x="143"/>
        <item x="591"/>
        <item x="26"/>
        <item x="558"/>
        <item x="603"/>
        <item x="164"/>
        <item x="639"/>
        <item x="539"/>
        <item x="251"/>
        <item x="314"/>
        <item x="537"/>
        <item x="425"/>
        <item x="593"/>
        <item x="462"/>
        <item x="576"/>
        <item x="634"/>
        <item x="211"/>
        <item x="535"/>
        <item x="75"/>
        <item x="542"/>
        <item x="561"/>
        <item x="272"/>
        <item x="554"/>
        <item x="618"/>
        <item x="611"/>
        <item x="374"/>
        <item x="581"/>
        <item x="59"/>
        <item x="17"/>
        <item x="534"/>
        <item x="420"/>
        <item x="84"/>
        <item x="492"/>
        <item x="277"/>
        <item x="531"/>
        <item x="293"/>
        <item x="253"/>
        <item x="565"/>
        <item x="22"/>
        <item x="291"/>
        <item x="115"/>
        <item x="305"/>
        <item x="147"/>
        <item x="144"/>
        <item x="306"/>
        <item x="393"/>
        <item x="604"/>
        <item x="70"/>
        <item x="612"/>
        <item x="315"/>
        <item x="585"/>
        <item x="468"/>
        <item x="98"/>
        <item x="560"/>
        <item x="187"/>
        <item x="442"/>
        <item x="641"/>
        <item x="158"/>
        <item x="563"/>
        <item x="103"/>
        <item x="640"/>
        <item x="474"/>
        <item x="5"/>
        <item x="511"/>
        <item x="377"/>
        <item x="231"/>
        <item x="521"/>
        <item x="549"/>
        <item x="113"/>
        <item x="466"/>
        <item x="544"/>
        <item x="148"/>
        <item x="190"/>
        <item x="123"/>
        <item x="16"/>
        <item x="567"/>
        <item x="412"/>
        <item x="302"/>
        <item x="633"/>
        <item x="252"/>
        <item x="354"/>
        <item x="116"/>
        <item x="139"/>
        <item x="101"/>
        <item x="415"/>
        <item x="387"/>
        <item x="619"/>
        <item x="491"/>
        <item x="119"/>
        <item x="125"/>
        <item x="514"/>
        <item x="310"/>
        <item x="220"/>
        <item x="389"/>
        <item x="426"/>
        <item x="297"/>
        <item x="586"/>
        <item x="427"/>
        <item x="246"/>
        <item x="340"/>
        <item x="308"/>
        <item x="282"/>
        <item x="530"/>
        <item x="566"/>
        <item x="154"/>
        <item x="242"/>
        <item x="283"/>
        <item x="361"/>
        <item x="323"/>
        <item x="227"/>
        <item x="337"/>
        <item x="416"/>
        <item x="41"/>
        <item x="288"/>
        <item x="428"/>
        <item x="490"/>
        <item x="269"/>
        <item x="79"/>
        <item x="335"/>
        <item x="104"/>
        <item x="584"/>
        <item x="129"/>
        <item x="631"/>
        <item x="414"/>
        <item x="80"/>
        <item x="398"/>
        <item x="580"/>
        <item x="295"/>
        <item x="219"/>
        <item x="489"/>
        <item x="309"/>
        <item x="203"/>
        <item x="454"/>
        <item x="369"/>
        <item x="507"/>
        <item x="615"/>
        <item x="422"/>
        <item x="471"/>
        <item x="429"/>
        <item x="438"/>
        <item x="455"/>
        <item x="270"/>
        <item x="336"/>
        <item x="605"/>
        <item x="48"/>
        <item x="572"/>
        <item x="475"/>
        <item x="596"/>
        <item x="133"/>
        <item x="395"/>
        <item x="241"/>
        <item x="469"/>
        <item x="629"/>
        <item x="364"/>
        <item x="448"/>
        <item x="138"/>
        <item x="617"/>
        <item x="445"/>
        <item x="15"/>
        <item x="307"/>
        <item x="331"/>
        <item x="247"/>
        <item x="529"/>
        <item x="550"/>
        <item x="621"/>
        <item x="376"/>
        <item x="632"/>
        <item x="610"/>
        <item x="637"/>
        <item x="441"/>
        <item x="366"/>
        <item x="607"/>
        <item x="63"/>
        <item x="108"/>
        <item x="193"/>
        <item x="332"/>
        <item x="555"/>
        <item x="562"/>
        <item x="399"/>
        <item x="587"/>
        <item x="541"/>
        <item x="43"/>
        <item x="312"/>
        <item x="95"/>
        <item x="261"/>
        <item x="351"/>
        <item x="199"/>
        <item x="159"/>
        <item x="62"/>
        <item x="510"/>
        <item x="391"/>
        <item x="110"/>
        <item x="19"/>
        <item x="478"/>
        <item x="100"/>
        <item x="410"/>
        <item x="49"/>
        <item x="344"/>
        <item x="238"/>
        <item x="106"/>
        <item x="460"/>
        <item x="443"/>
        <item x="597"/>
        <item x="498"/>
        <item x="338"/>
        <item x="186"/>
        <item x="99"/>
        <item x="204"/>
        <item x="349"/>
        <item x="381"/>
        <item x="273"/>
        <item x="20"/>
        <item x="81"/>
        <item x="66"/>
        <item x="76"/>
        <item x="624"/>
        <item x="479"/>
        <item x="274"/>
        <item x="131"/>
        <item x="226"/>
        <item x="257"/>
        <item x="285"/>
        <item x="13"/>
        <item x="472"/>
        <item x="179"/>
        <item x="280"/>
        <item x="85"/>
        <item x="459"/>
        <item x="27"/>
        <item x="487"/>
        <item x="486"/>
        <item x="229"/>
        <item x="569"/>
        <item x="237"/>
        <item x="326"/>
        <item x="72"/>
        <item x="506"/>
        <item x="342"/>
        <item x="559"/>
        <item x="635"/>
        <item x="484"/>
        <item x="256"/>
        <item x="452"/>
        <item x="481"/>
        <item x="330"/>
        <item x="564"/>
        <item x="65"/>
        <item x="56"/>
        <item x="77"/>
        <item x="264"/>
        <item x="316"/>
        <item x="628"/>
        <item x="638"/>
        <item x="214"/>
        <item x="373"/>
        <item x="300"/>
        <item x="394"/>
        <item x="296"/>
        <item x="82"/>
        <item x="519"/>
        <item x="532"/>
        <item x="313"/>
        <item x="319"/>
        <item x="165"/>
        <item x="284"/>
        <item x="358"/>
        <item x="509"/>
        <item x="289"/>
        <item x="0"/>
        <item x="127"/>
        <item x="134"/>
        <item x="173"/>
        <item x="51"/>
        <item x="515"/>
        <item x="212"/>
        <item x="118"/>
        <item x="107"/>
        <item x="430"/>
        <item x="444"/>
        <item x="431"/>
        <item x="83"/>
        <item x="260"/>
        <item x="528"/>
        <item x="111"/>
        <item x="329"/>
        <item x="503"/>
        <item x="359"/>
        <item x="50"/>
        <item x="367"/>
        <item x="45"/>
        <item x="60"/>
        <item x="78"/>
        <item x="570"/>
        <item x="279"/>
        <item x="39"/>
        <item x="210"/>
        <item x="36"/>
        <item x="386"/>
        <item x="343"/>
        <item x="268"/>
        <item x="353"/>
        <item x="235"/>
        <item x="87"/>
        <item x="96"/>
        <item x="527"/>
        <item x="606"/>
        <item x="413"/>
        <item x="636"/>
        <item x="73"/>
        <item x="9"/>
        <item x="608"/>
        <item x="325"/>
        <item x="200"/>
        <item x="324"/>
        <item x="150"/>
        <item x="477"/>
        <item x="263"/>
        <item x="470"/>
        <item x="402"/>
        <item x="439"/>
        <item x="497"/>
        <item x="271"/>
        <item x="599"/>
        <item x="303"/>
        <item x="178"/>
        <item x="345"/>
        <item x="275"/>
        <item x="582"/>
        <item x="32"/>
        <item x="602"/>
        <item x="34"/>
        <item x="594"/>
        <item x="401"/>
        <item x="496"/>
        <item x="363"/>
        <item x="58"/>
        <item x="551"/>
        <item x="440"/>
        <item x="89"/>
        <item x="405"/>
        <item x="447"/>
        <item x="400"/>
        <item x="292"/>
        <item x="595"/>
        <item x="533"/>
        <item x="304"/>
        <item x="321"/>
        <item x="163"/>
        <item x="512"/>
        <item x="494"/>
        <item x="552"/>
        <item x="467"/>
        <item x="589"/>
        <item x="94"/>
        <item x="91"/>
        <item x="590"/>
        <item x="52"/>
        <item x="553"/>
        <item x="160"/>
        <item x="294"/>
        <item x="46"/>
        <item x="120"/>
        <item x="485"/>
        <item x="450"/>
        <item x="248"/>
        <item x="473"/>
        <item x="501"/>
        <item x="74"/>
        <item x="182"/>
        <item x="208"/>
        <item x="616"/>
        <item x="392"/>
        <item x="152"/>
        <item x="311"/>
        <item x="523"/>
        <item x="502"/>
        <item x="499"/>
        <item x="382"/>
        <item x="68"/>
        <item x="592"/>
        <item x="262"/>
        <item x="404"/>
        <item x="320"/>
        <item x="601"/>
        <item x="228"/>
        <item x="249"/>
        <item x="346"/>
        <item x="217"/>
        <item x="2"/>
        <item x="202"/>
        <item x="69"/>
        <item x="432"/>
        <item x="327"/>
        <item x="298"/>
        <item x="458"/>
        <item x="418"/>
        <item x="224"/>
        <item x="463"/>
        <item x="176"/>
        <item x="105"/>
        <item x="28"/>
        <item x="571"/>
        <item x="137"/>
        <item x="370"/>
        <item x="109"/>
        <item x="128"/>
        <item x="575"/>
        <item x="287"/>
        <item x="513"/>
        <item x="40"/>
        <item x="198"/>
        <item x="124"/>
        <item x="215"/>
        <item x="403"/>
        <item x="194"/>
        <item x="352"/>
        <item x="234"/>
        <item x="145"/>
        <item x="556"/>
        <item x="195"/>
        <item x="213"/>
        <item x="347"/>
        <item x="465"/>
        <item x="355"/>
        <item x="185"/>
        <item x="201"/>
        <item x="380"/>
        <item x="167"/>
        <item x="421"/>
        <item x="132"/>
        <item x="318"/>
        <item x="573"/>
        <item x="433"/>
        <item x="207"/>
        <item x="175"/>
        <item x="255"/>
        <item x="206"/>
        <item x="375"/>
        <item x="155"/>
        <item x="267"/>
        <item x="360"/>
        <item x="245"/>
        <item x="614"/>
        <item x="156"/>
        <item x="446"/>
        <item x="239"/>
        <item x="286"/>
        <item x="47"/>
        <item x="390"/>
        <item x="334"/>
        <item x="588"/>
        <item x="146"/>
        <item x="54"/>
        <item x="598"/>
        <item x="365"/>
        <item x="142"/>
        <item x="42"/>
        <item x="333"/>
        <item x="135"/>
        <item x="526"/>
        <item x="112"/>
        <item x="579"/>
        <item x="543"/>
        <item x="480"/>
        <item x="371"/>
        <item x="38"/>
        <item x="205"/>
        <item x="419"/>
        <item x="434"/>
        <item x="29"/>
        <item x="384"/>
        <item x="102"/>
        <item x="171"/>
        <item x="548"/>
        <item x="642"/>
        <item x="236"/>
        <item x="630"/>
        <item x="411"/>
        <item x="538"/>
        <item x="449"/>
        <item x="196"/>
        <item x="192"/>
        <item x="61"/>
        <item x="230"/>
        <item x="385"/>
        <item x="568"/>
        <item x="574"/>
        <item x="278"/>
        <item x="622"/>
        <item x="290"/>
        <item x="557"/>
        <item x="7"/>
        <item x="520"/>
        <item x="44"/>
        <item x="348"/>
        <item x="23"/>
        <item x="243"/>
        <item x="397"/>
        <item x="536"/>
        <item x="500"/>
        <item x="157"/>
        <item x="453"/>
        <item x="483"/>
        <item x="153"/>
        <item x="221"/>
        <item x="53"/>
        <item x="488"/>
        <item x="388"/>
        <item x="461"/>
        <item x="524"/>
        <item x="149"/>
        <item x="140"/>
        <item x="130"/>
        <item x="258"/>
        <item x="266"/>
        <item x="25"/>
        <item x="37"/>
        <item x="8"/>
        <item x="183"/>
        <item x="525"/>
        <item x="518"/>
        <item x="97"/>
        <item x="301"/>
        <item x="35"/>
        <item x="166"/>
        <item x="406"/>
        <item x="121"/>
        <item x="495"/>
        <item x="362"/>
        <item x="10"/>
        <item x="71"/>
        <item x="64"/>
        <item x="222"/>
        <item x="191"/>
        <item x="189"/>
        <item x="86"/>
        <item x="317"/>
        <item x="435"/>
        <item x="11"/>
        <item x="378"/>
        <item x="583"/>
        <item x="188"/>
        <item x="482"/>
        <item x="232"/>
        <item x="451"/>
        <item x="30"/>
        <item x="209"/>
        <item x="169"/>
        <item x="114"/>
        <item x="223"/>
        <item x="545"/>
        <item x="12"/>
        <item x="517"/>
        <item x="6"/>
        <item x="170"/>
        <item x="168"/>
        <item x="126"/>
        <item x="122"/>
        <item x="161"/>
        <item x="184"/>
        <item x="396"/>
        <item x="259"/>
        <item x="620"/>
        <item x="177"/>
        <item x="457"/>
        <item x="578"/>
        <item x="88"/>
        <item x="368"/>
        <item x="1"/>
        <item x="181"/>
        <item x="174"/>
        <item x="117"/>
        <item x="626"/>
        <item x="407"/>
        <item x="31"/>
        <item x="250"/>
        <item x="151"/>
        <item x="14"/>
        <item x="244"/>
        <item x="436"/>
        <item x="417"/>
        <item x="328"/>
        <item x="276"/>
        <item x="4"/>
        <item x="216"/>
        <item x="341"/>
        <item x="504"/>
        <item x="254"/>
        <item x="225"/>
        <item x="92"/>
        <item x="197"/>
        <item x="464"/>
        <item x="24"/>
        <item x="613"/>
        <item x="21"/>
        <item x="265"/>
        <item x="18"/>
        <item x="299"/>
        <item x="57"/>
        <item x="372"/>
        <item x="522"/>
        <item x="3"/>
        <item x="136"/>
        <item x="356"/>
        <item x="409"/>
        <item x="33"/>
        <item x="547"/>
        <item x="55"/>
        <item x="476"/>
        <item x="505"/>
        <item x="93"/>
        <item x="339"/>
        <item x="90"/>
        <item x="508"/>
        <item x="493"/>
        <item x="67"/>
        <item x="172"/>
        <item x="437"/>
        <item x="141"/>
        <item x="408"/>
        <item x="233"/>
        <item x="240"/>
        <item x="218"/>
        <item x="423"/>
        <item x="424"/>
        <item x="64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3"/>
    <field x="12"/>
  </rowFields>
  <rowItems count="29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37A8D-53F2-4C81-A7C6-5AF71E354234}" name="Table1" displayName="Table1" ref="A1:L5902" totalsRowShown="0">
  <autoFilter ref="A1:L5902" xr:uid="{B8337A8D-53F2-4C81-A7C6-5AF71E354234}"/>
  <sortState xmlns:xlrd2="http://schemas.microsoft.com/office/spreadsheetml/2017/richdata2" ref="A2:K5902">
    <sortCondition ref="K1:K5902"/>
  </sortState>
  <tableColumns count="12">
    <tableColumn id="2" xr3:uid="{8B4FD261-D44D-48AE-B46A-CB0420B4AEB6}" name="Order ID"/>
    <tableColumn id="3" xr3:uid="{8F039891-8454-4D8B-B3BF-7798B93588BE}" name="Order Date" dataDxfId="3"/>
    <tableColumn id="6" xr3:uid="{C7F498CF-7CDC-452F-B88A-83EC03364261}" name="Customer ID"/>
    <tableColumn id="7" xr3:uid="{C692CA81-F4A1-40BB-BABF-E6DCC0957B3F}" name="Customer Name"/>
    <tableColumn id="9" xr3:uid="{7DC56DB3-1E5B-4F1D-B43A-3EEE13208B6B}" name="Country"/>
    <tableColumn id="12" xr3:uid="{08A341C6-837F-4518-90AC-B0393D49320C}" name="Region"/>
    <tableColumn id="14" xr3:uid="{52678F2E-B27A-4ACC-B914-F9DFFD124CC0}" name="Category"/>
    <tableColumn id="16" xr3:uid="{AA87F44E-2FD3-44A6-A47F-5B821C52C4C3}" name="Product Name"/>
    <tableColumn id="17" xr3:uid="{059AC09E-C338-487A-B022-41A510017AAE}" name="Sales" dataDxfId="2"/>
    <tableColumn id="18" xr3:uid="{B36679D5-475B-447C-B244-8EAE44794565}" name="Quantity"/>
    <tableColumn id="19" xr3:uid="{F64AC9E2-3238-4FE9-8CC3-EA5D6839F4F3}" name="Profit" dataDxfId="1"/>
    <tableColumn id="1" xr3:uid="{531F367A-874C-4946-B81D-D76B27DBDDE0}" name="Profit Margin" dataDxfId="0">
      <calculatedColumnFormula>(Table1[[#This Row],[Profit]]/Table1[[#This Row],[Sales]])*100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L5902"/>
  <sheetViews>
    <sheetView zoomScale="103" workbookViewId="0">
      <selection sqref="A1:XFD1048576"/>
    </sheetView>
  </sheetViews>
  <sheetFormatPr defaultRowHeight="14.4" x14ac:dyDescent="0.3"/>
  <cols>
    <col min="1" max="1" width="18.6640625" customWidth="1"/>
    <col min="2" max="2" width="14.6640625" style="1" bestFit="1" customWidth="1"/>
    <col min="3" max="3" width="12.77734375" bestFit="1" customWidth="1"/>
    <col min="4" max="4" width="12.6640625" customWidth="1"/>
    <col min="5" max="5" width="11.33203125" bestFit="1" customWidth="1"/>
    <col min="6" max="6" width="17.33203125" bestFit="1" customWidth="1"/>
    <col min="7" max="7" width="16.33203125" bestFit="1" customWidth="1"/>
    <col min="8" max="8" width="17.44140625" customWidth="1"/>
    <col min="9" max="9" width="17.5546875" style="2" customWidth="1"/>
    <col min="10" max="10" width="14.21875" customWidth="1"/>
    <col min="11" max="11" width="9.77734375" style="2" customWidth="1"/>
    <col min="12" max="12" width="15.109375" style="3" customWidth="1"/>
  </cols>
  <sheetData>
    <row r="1" spans="1:1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s="3" t="s">
        <v>6310</v>
      </c>
    </row>
    <row r="2" spans="1:12" x14ac:dyDescent="0.3">
      <c r="A2" t="s">
        <v>3576</v>
      </c>
      <c r="B2" s="1">
        <v>43794</v>
      </c>
      <c r="C2" t="s">
        <v>2771</v>
      </c>
      <c r="D2" t="s">
        <v>2772</v>
      </c>
      <c r="E2" t="s">
        <v>14</v>
      </c>
      <c r="F2" t="s">
        <v>15</v>
      </c>
      <c r="G2" t="s">
        <v>18</v>
      </c>
      <c r="H2" t="s">
        <v>3577</v>
      </c>
      <c r="I2" s="2">
        <v>4499.9849999999997</v>
      </c>
      <c r="J2">
        <v>5</v>
      </c>
      <c r="K2" s="2">
        <v>-6599.9780000000001</v>
      </c>
      <c r="L2" s="3">
        <f>(Table1[[#This Row],[Profit]]/Table1[[#This Row],[Sales]])*100</f>
        <v>-146.66666666666669</v>
      </c>
    </row>
    <row r="3" spans="1:12" x14ac:dyDescent="0.3">
      <c r="A3" t="s">
        <v>5774</v>
      </c>
      <c r="B3" s="1">
        <v>44139</v>
      </c>
      <c r="C3" t="s">
        <v>5775</v>
      </c>
      <c r="D3" t="s">
        <v>5776</v>
      </c>
      <c r="E3" t="s">
        <v>14</v>
      </c>
      <c r="F3" t="s">
        <v>41</v>
      </c>
      <c r="G3" t="s">
        <v>18</v>
      </c>
      <c r="H3" t="s">
        <v>5779</v>
      </c>
      <c r="I3" s="2">
        <v>3009.98</v>
      </c>
      <c r="J3">
        <v>4</v>
      </c>
      <c r="K3" s="2">
        <v>-3839.9904000000001</v>
      </c>
      <c r="L3" s="3">
        <f>(Table1[[#This Row],[Profit]]/Table1[[#This Row],[Sales]])*100</f>
        <v>-127.57527956996393</v>
      </c>
    </row>
    <row r="4" spans="1:12" x14ac:dyDescent="0.3">
      <c r="A4" t="s">
        <v>4490</v>
      </c>
      <c r="B4" s="1">
        <v>43938</v>
      </c>
      <c r="C4" t="s">
        <v>4491</v>
      </c>
      <c r="D4" t="s">
        <v>4492</v>
      </c>
      <c r="E4" t="s">
        <v>14</v>
      </c>
      <c r="F4" t="s">
        <v>23</v>
      </c>
      <c r="G4" t="s">
        <v>18</v>
      </c>
      <c r="H4" t="s">
        <v>3993</v>
      </c>
      <c r="I4" s="2">
        <v>2579.9850000000001</v>
      </c>
      <c r="J4">
        <v>5</v>
      </c>
      <c r="K4" s="2">
        <v>-3399.98</v>
      </c>
      <c r="L4" s="3">
        <f>(Table1[[#This Row],[Profit]]/Table1[[#This Row],[Sales]])*100</f>
        <v>-131.78293672250032</v>
      </c>
    </row>
    <row r="5" spans="1:12" x14ac:dyDescent="0.3">
      <c r="A5" t="s">
        <v>6127</v>
      </c>
      <c r="B5" s="1">
        <v>44172</v>
      </c>
      <c r="C5" t="s">
        <v>188</v>
      </c>
      <c r="D5" t="s">
        <v>189</v>
      </c>
      <c r="E5" t="s">
        <v>14</v>
      </c>
      <c r="F5" t="s">
        <v>29</v>
      </c>
      <c r="G5" t="s">
        <v>24</v>
      </c>
      <c r="H5" t="s">
        <v>3141</v>
      </c>
      <c r="I5" s="2">
        <v>1901.99</v>
      </c>
      <c r="J5">
        <v>5</v>
      </c>
      <c r="K5" s="2">
        <v>-2929.4845</v>
      </c>
      <c r="L5" s="3">
        <f>(Table1[[#This Row],[Profit]]/Table1[[#This Row],[Sales]])*100</f>
        <v>-154.02207687737578</v>
      </c>
    </row>
    <row r="6" spans="1:12" x14ac:dyDescent="0.3">
      <c r="A6" t="s">
        <v>5944</v>
      </c>
      <c r="B6" s="1">
        <v>44154</v>
      </c>
      <c r="C6" t="s">
        <v>3083</v>
      </c>
      <c r="D6" t="s">
        <v>3084</v>
      </c>
      <c r="E6" t="s">
        <v>14</v>
      </c>
      <c r="F6" t="s">
        <v>29</v>
      </c>
      <c r="G6" t="s">
        <v>24</v>
      </c>
      <c r="H6" t="s">
        <v>246</v>
      </c>
      <c r="I6" s="2">
        <v>1556.1880000000001</v>
      </c>
      <c r="J6">
        <v>6</v>
      </c>
      <c r="K6" s="2">
        <v>-2287.7820000000002</v>
      </c>
      <c r="L6" s="3">
        <f>(Table1[[#This Row],[Profit]]/Table1[[#This Row],[Sales]])*100</f>
        <v>-147.01192914994849</v>
      </c>
    </row>
    <row r="7" spans="1:12" x14ac:dyDescent="0.3">
      <c r="A7" t="s">
        <v>919</v>
      </c>
      <c r="B7" s="1">
        <v>43563</v>
      </c>
      <c r="C7" t="s">
        <v>528</v>
      </c>
      <c r="D7" t="s">
        <v>529</v>
      </c>
      <c r="E7" t="s">
        <v>14</v>
      </c>
      <c r="F7" t="s">
        <v>29</v>
      </c>
      <c r="G7" t="s">
        <v>24</v>
      </c>
      <c r="H7" t="s">
        <v>922</v>
      </c>
      <c r="I7" s="2">
        <v>1088.7919999999999</v>
      </c>
      <c r="J7">
        <v>4</v>
      </c>
      <c r="K7" s="2">
        <v>-1850.9464</v>
      </c>
      <c r="L7" s="3">
        <f>(Table1[[#This Row],[Profit]]/Table1[[#This Row],[Sales]])*100</f>
        <v>-170.00000000000003</v>
      </c>
    </row>
    <row r="8" spans="1:12" x14ac:dyDescent="0.3">
      <c r="A8" t="s">
        <v>5654</v>
      </c>
      <c r="B8" s="1">
        <v>44123</v>
      </c>
      <c r="C8" t="s">
        <v>4906</v>
      </c>
      <c r="D8" t="s">
        <v>4907</v>
      </c>
      <c r="E8" t="s">
        <v>14</v>
      </c>
      <c r="F8" t="s">
        <v>41</v>
      </c>
      <c r="G8" t="s">
        <v>24</v>
      </c>
      <c r="H8" t="s">
        <v>922</v>
      </c>
      <c r="I8" s="2">
        <v>1677.1880000000001</v>
      </c>
      <c r="J8">
        <v>4</v>
      </c>
      <c r="K8" s="2">
        <v>-1306.5504000000001</v>
      </c>
      <c r="L8" s="3">
        <f>(Table1[[#This Row],[Profit]]/Table1[[#This Row],[Sales]])*100</f>
        <v>-77.901248995342215</v>
      </c>
    </row>
    <row r="9" spans="1:12" x14ac:dyDescent="0.3">
      <c r="A9" t="s">
        <v>5144</v>
      </c>
      <c r="B9" s="1">
        <v>44056</v>
      </c>
      <c r="C9" t="s">
        <v>762</v>
      </c>
      <c r="D9" t="s">
        <v>763</v>
      </c>
      <c r="E9" t="s">
        <v>14</v>
      </c>
      <c r="F9" t="s">
        <v>41</v>
      </c>
      <c r="G9" t="s">
        <v>24</v>
      </c>
      <c r="H9" t="s">
        <v>3836</v>
      </c>
      <c r="I9" s="2">
        <v>1641.5820000000001</v>
      </c>
      <c r="J9">
        <v>6</v>
      </c>
      <c r="K9" s="2">
        <v>-1237.8462</v>
      </c>
      <c r="L9" s="3">
        <f>(Table1[[#This Row],[Profit]]/Table1[[#This Row],[Sales]])*100</f>
        <v>-75.40568792786469</v>
      </c>
    </row>
    <row r="10" spans="1:12" x14ac:dyDescent="0.3">
      <c r="A10" t="s">
        <v>5352</v>
      </c>
      <c r="B10" s="1">
        <v>44084</v>
      </c>
      <c r="C10" t="s">
        <v>1879</v>
      </c>
      <c r="D10" t="s">
        <v>1880</v>
      </c>
      <c r="E10" t="s">
        <v>14</v>
      </c>
      <c r="F10" t="s">
        <v>29</v>
      </c>
      <c r="G10" t="s">
        <v>24</v>
      </c>
      <c r="H10" t="s">
        <v>246</v>
      </c>
      <c r="I10" s="2">
        <v>804.59400000000005</v>
      </c>
      <c r="J10">
        <v>3</v>
      </c>
      <c r="K10" s="2">
        <v>-1143.8910000000001</v>
      </c>
      <c r="L10" s="3">
        <f>(Table1[[#This Row],[Profit]]/Table1[[#This Row],[Sales]])*100</f>
        <v>-142.16996398183431</v>
      </c>
    </row>
    <row r="11" spans="1:12" x14ac:dyDescent="0.3">
      <c r="A11" t="s">
        <v>3999</v>
      </c>
      <c r="B11" s="1">
        <v>43842</v>
      </c>
      <c r="C11" t="s">
        <v>4000</v>
      </c>
      <c r="D11" t="s">
        <v>4001</v>
      </c>
      <c r="E11" t="s">
        <v>14</v>
      </c>
      <c r="F11" t="s">
        <v>29</v>
      </c>
      <c r="G11" t="s">
        <v>24</v>
      </c>
      <c r="H11" t="s">
        <v>2205</v>
      </c>
      <c r="I11" s="2">
        <v>790.98</v>
      </c>
      <c r="J11">
        <v>5</v>
      </c>
      <c r="K11" s="2">
        <v>-1141.47</v>
      </c>
      <c r="L11" s="3">
        <f>(Table1[[#This Row],[Profit]]/Table1[[#This Row],[Sales]])*100</f>
        <v>-144.31085488887203</v>
      </c>
    </row>
    <row r="12" spans="1:12" x14ac:dyDescent="0.3">
      <c r="A12" t="s">
        <v>5463</v>
      </c>
      <c r="B12" s="1">
        <v>44096</v>
      </c>
      <c r="C12" t="s">
        <v>2516</v>
      </c>
      <c r="D12" t="s">
        <v>2517</v>
      </c>
      <c r="E12" t="s">
        <v>14</v>
      </c>
      <c r="F12" t="s">
        <v>15</v>
      </c>
      <c r="G12" t="s">
        <v>24</v>
      </c>
      <c r="H12" t="s">
        <v>4008</v>
      </c>
      <c r="I12" s="2">
        <v>4692.7359999999999</v>
      </c>
      <c r="J12">
        <v>7</v>
      </c>
      <c r="K12" s="2">
        <v>-1049.3406</v>
      </c>
      <c r="L12" s="3">
        <f>(Table1[[#This Row],[Profit]]/Table1[[#This Row],[Sales]])*100</f>
        <v>-22.360955314767335</v>
      </c>
    </row>
    <row r="13" spans="1:12" x14ac:dyDescent="0.3">
      <c r="A13" t="s">
        <v>5558</v>
      </c>
      <c r="B13" s="1">
        <v>44106</v>
      </c>
      <c r="C13" t="s">
        <v>108</v>
      </c>
      <c r="D13" t="s">
        <v>109</v>
      </c>
      <c r="E13" t="s">
        <v>14</v>
      </c>
      <c r="F13" t="s">
        <v>41</v>
      </c>
      <c r="G13" t="s">
        <v>16</v>
      </c>
      <c r="H13" t="s">
        <v>3812</v>
      </c>
      <c r="I13" s="2">
        <v>2335.116</v>
      </c>
      <c r="J13">
        <v>7</v>
      </c>
      <c r="K13" s="2">
        <v>-1002.7836</v>
      </c>
      <c r="L13" s="3">
        <f>(Table1[[#This Row],[Profit]]/Table1[[#This Row],[Sales]])*100</f>
        <v>-42.943631065865681</v>
      </c>
    </row>
    <row r="14" spans="1:12" x14ac:dyDescent="0.3">
      <c r="A14" t="s">
        <v>5643</v>
      </c>
      <c r="B14" s="1">
        <v>44120</v>
      </c>
      <c r="C14" t="s">
        <v>1888</v>
      </c>
      <c r="D14" t="s">
        <v>1889</v>
      </c>
      <c r="E14" t="s">
        <v>14</v>
      </c>
      <c r="F14" t="s">
        <v>41</v>
      </c>
      <c r="G14" t="s">
        <v>16</v>
      </c>
      <c r="H14" t="s">
        <v>3390</v>
      </c>
      <c r="I14" s="2">
        <v>1924.258</v>
      </c>
      <c r="J14">
        <v>7</v>
      </c>
      <c r="K14" s="2">
        <v>-968.88329999999996</v>
      </c>
      <c r="L14" s="3">
        <f>(Table1[[#This Row],[Profit]]/Table1[[#This Row],[Sales]])*100</f>
        <v>-50.351008024911415</v>
      </c>
    </row>
    <row r="15" spans="1:12" x14ac:dyDescent="0.3">
      <c r="A15" t="s">
        <v>3023</v>
      </c>
      <c r="B15" s="1">
        <v>43744</v>
      </c>
      <c r="C15" t="s">
        <v>2520</v>
      </c>
      <c r="D15" t="s">
        <v>2521</v>
      </c>
      <c r="E15" t="s">
        <v>14</v>
      </c>
      <c r="F15" t="s">
        <v>23</v>
      </c>
      <c r="G15" t="s">
        <v>18</v>
      </c>
      <c r="H15" t="s">
        <v>3024</v>
      </c>
      <c r="I15" s="2">
        <v>703.71</v>
      </c>
      <c r="J15">
        <v>6</v>
      </c>
      <c r="K15" s="2">
        <v>-938.28</v>
      </c>
      <c r="L15" s="3">
        <f>(Table1[[#This Row],[Profit]]/Table1[[#This Row],[Sales]])*100</f>
        <v>-133.33333333333331</v>
      </c>
    </row>
    <row r="16" spans="1:12" x14ac:dyDescent="0.3">
      <c r="A16" t="s">
        <v>5886</v>
      </c>
      <c r="B16" s="1">
        <v>44148</v>
      </c>
      <c r="C16" t="s">
        <v>3451</v>
      </c>
      <c r="D16" t="s">
        <v>3452</v>
      </c>
      <c r="E16" t="s">
        <v>14</v>
      </c>
      <c r="F16" t="s">
        <v>15</v>
      </c>
      <c r="G16" t="s">
        <v>18</v>
      </c>
      <c r="H16" t="s">
        <v>5887</v>
      </c>
      <c r="I16" s="2">
        <v>692.995</v>
      </c>
      <c r="J16">
        <v>7</v>
      </c>
      <c r="K16" s="2">
        <v>-935.95950000000005</v>
      </c>
      <c r="L16" s="3">
        <f>(Table1[[#This Row],[Profit]]/Table1[[#This Row],[Sales]])*100</f>
        <v>-135.06006536843699</v>
      </c>
    </row>
    <row r="17" spans="1:12" x14ac:dyDescent="0.3">
      <c r="A17" t="s">
        <v>2204</v>
      </c>
      <c r="B17" s="1">
        <v>43674</v>
      </c>
      <c r="C17" t="s">
        <v>1681</v>
      </c>
      <c r="D17" t="s">
        <v>1682</v>
      </c>
      <c r="E17" t="s">
        <v>14</v>
      </c>
      <c r="F17" t="s">
        <v>15</v>
      </c>
      <c r="G17" t="s">
        <v>24</v>
      </c>
      <c r="H17" t="s">
        <v>2205</v>
      </c>
      <c r="I17" s="2">
        <v>1369.7639999999999</v>
      </c>
      <c r="J17">
        <v>6</v>
      </c>
      <c r="K17" s="2">
        <v>-913.17600000000004</v>
      </c>
      <c r="L17" s="3">
        <f>(Table1[[#This Row],[Profit]]/Table1[[#This Row],[Sales]])*100</f>
        <v>-66.666666666666671</v>
      </c>
    </row>
    <row r="18" spans="1:12" x14ac:dyDescent="0.3">
      <c r="A18" t="s">
        <v>1106</v>
      </c>
      <c r="B18" s="1">
        <v>43577</v>
      </c>
      <c r="C18" t="s">
        <v>1107</v>
      </c>
      <c r="D18" t="s">
        <v>1108</v>
      </c>
      <c r="E18" t="s">
        <v>14</v>
      </c>
      <c r="F18" t="s">
        <v>23</v>
      </c>
      <c r="G18" t="s">
        <v>16</v>
      </c>
      <c r="H18" t="s">
        <v>1110</v>
      </c>
      <c r="I18" s="2">
        <v>1272.6300000000001</v>
      </c>
      <c r="J18">
        <v>6</v>
      </c>
      <c r="K18" s="2">
        <v>-814.48320000000001</v>
      </c>
      <c r="L18" s="3">
        <f>(Table1[[#This Row],[Profit]]/Table1[[#This Row],[Sales]])*100</f>
        <v>-63.999999999999993</v>
      </c>
    </row>
    <row r="19" spans="1:12" x14ac:dyDescent="0.3">
      <c r="A19" t="s">
        <v>485</v>
      </c>
      <c r="B19" s="1">
        <v>43527</v>
      </c>
      <c r="C19" t="s">
        <v>486</v>
      </c>
      <c r="D19" t="s">
        <v>487</v>
      </c>
      <c r="E19" t="s">
        <v>14</v>
      </c>
      <c r="F19" t="s">
        <v>29</v>
      </c>
      <c r="G19" t="s">
        <v>24</v>
      </c>
      <c r="H19" t="s">
        <v>488</v>
      </c>
      <c r="I19" s="2">
        <v>3930.0720000000001</v>
      </c>
      <c r="J19">
        <v>3</v>
      </c>
      <c r="K19" s="2">
        <v>-786.01440000000002</v>
      </c>
      <c r="L19" s="3">
        <f>(Table1[[#This Row],[Profit]]/Table1[[#This Row],[Sales]])*100</f>
        <v>-20</v>
      </c>
    </row>
    <row r="20" spans="1:12" x14ac:dyDescent="0.3">
      <c r="A20" t="s">
        <v>6074</v>
      </c>
      <c r="B20" s="1">
        <v>44167</v>
      </c>
      <c r="C20" t="s">
        <v>2108</v>
      </c>
      <c r="D20" t="s">
        <v>2109</v>
      </c>
      <c r="E20" t="s">
        <v>14</v>
      </c>
      <c r="F20" t="s">
        <v>29</v>
      </c>
      <c r="G20" t="s">
        <v>24</v>
      </c>
      <c r="H20" t="s">
        <v>2322</v>
      </c>
      <c r="I20" s="2">
        <v>334.62</v>
      </c>
      <c r="J20">
        <v>5</v>
      </c>
      <c r="K20" s="2">
        <v>-766.01199999999994</v>
      </c>
      <c r="L20" s="3">
        <f>(Table1[[#This Row],[Profit]]/Table1[[#This Row],[Sales]])*100</f>
        <v>-228.91996891996888</v>
      </c>
    </row>
    <row r="21" spans="1:12" x14ac:dyDescent="0.3">
      <c r="A21" t="s">
        <v>2553</v>
      </c>
      <c r="B21" s="1">
        <v>43711</v>
      </c>
      <c r="C21" t="s">
        <v>2554</v>
      </c>
      <c r="D21" t="s">
        <v>2555</v>
      </c>
      <c r="E21" t="s">
        <v>14</v>
      </c>
      <c r="F21" t="s">
        <v>15</v>
      </c>
      <c r="G21" t="s">
        <v>24</v>
      </c>
      <c r="H21" t="s">
        <v>2205</v>
      </c>
      <c r="I21" s="2">
        <v>1141.47</v>
      </c>
      <c r="J21">
        <v>5</v>
      </c>
      <c r="K21" s="2">
        <v>-760.98</v>
      </c>
      <c r="L21" s="3">
        <f>(Table1[[#This Row],[Profit]]/Table1[[#This Row],[Sales]])*100</f>
        <v>-66.666666666666657</v>
      </c>
    </row>
    <row r="22" spans="1:12" x14ac:dyDescent="0.3">
      <c r="A22" t="s">
        <v>2900</v>
      </c>
      <c r="B22" s="1">
        <v>43732</v>
      </c>
      <c r="C22" t="s">
        <v>1359</v>
      </c>
      <c r="D22" t="s">
        <v>1360</v>
      </c>
      <c r="E22" t="s">
        <v>14</v>
      </c>
      <c r="F22" t="s">
        <v>29</v>
      </c>
      <c r="G22" t="s">
        <v>24</v>
      </c>
      <c r="H22" t="s">
        <v>1009</v>
      </c>
      <c r="I22" s="2">
        <v>442.37200000000001</v>
      </c>
      <c r="J22">
        <v>7</v>
      </c>
      <c r="K22" s="2">
        <v>-729.91380000000004</v>
      </c>
      <c r="L22" s="3">
        <f>(Table1[[#This Row],[Profit]]/Table1[[#This Row],[Sales]])*100</f>
        <v>-165</v>
      </c>
    </row>
    <row r="23" spans="1:12" x14ac:dyDescent="0.3">
      <c r="A23" t="s">
        <v>6045</v>
      </c>
      <c r="B23" s="1">
        <v>44165</v>
      </c>
      <c r="C23" t="s">
        <v>2937</v>
      </c>
      <c r="D23" t="s">
        <v>2938</v>
      </c>
      <c r="E23" t="s">
        <v>14</v>
      </c>
      <c r="F23" t="s">
        <v>41</v>
      </c>
      <c r="G23" t="s">
        <v>16</v>
      </c>
      <c r="H23" t="s">
        <v>1110</v>
      </c>
      <c r="I23" s="2">
        <v>1805.682</v>
      </c>
      <c r="J23">
        <v>7</v>
      </c>
      <c r="K23" s="2">
        <v>-653.28340000000003</v>
      </c>
      <c r="L23" s="3">
        <f>(Table1[[#This Row],[Profit]]/Table1[[#This Row],[Sales]])*100</f>
        <v>-36.179316180811462</v>
      </c>
    </row>
    <row r="24" spans="1:12" x14ac:dyDescent="0.3">
      <c r="A24" t="s">
        <v>636</v>
      </c>
      <c r="B24" s="1">
        <v>43537</v>
      </c>
      <c r="C24" t="s">
        <v>637</v>
      </c>
      <c r="D24" t="s">
        <v>638</v>
      </c>
      <c r="E24" t="s">
        <v>14</v>
      </c>
      <c r="F24" t="s">
        <v>15</v>
      </c>
      <c r="G24" t="s">
        <v>18</v>
      </c>
      <c r="H24" t="s">
        <v>646</v>
      </c>
      <c r="I24" s="2">
        <v>449.1</v>
      </c>
      <c r="J24">
        <v>3</v>
      </c>
      <c r="K24" s="2">
        <v>-643.71</v>
      </c>
      <c r="L24" s="3">
        <f>(Table1[[#This Row],[Profit]]/Table1[[#This Row],[Sales]])*100</f>
        <v>-143.33333333333334</v>
      </c>
    </row>
    <row r="25" spans="1:12" x14ac:dyDescent="0.3">
      <c r="A25" t="s">
        <v>5159</v>
      </c>
      <c r="B25" s="1">
        <v>44060</v>
      </c>
      <c r="C25" t="s">
        <v>2485</v>
      </c>
      <c r="D25" t="s">
        <v>2486</v>
      </c>
      <c r="E25" t="s">
        <v>14</v>
      </c>
      <c r="F25" t="s">
        <v>15</v>
      </c>
      <c r="G25" t="s">
        <v>16</v>
      </c>
      <c r="H25" t="s">
        <v>1015</v>
      </c>
      <c r="I25" s="2">
        <v>4439.174</v>
      </c>
      <c r="J25">
        <v>9</v>
      </c>
      <c r="K25" s="2">
        <v>-630.88199999999995</v>
      </c>
      <c r="L25" s="3">
        <f>(Table1[[#This Row],[Profit]]/Table1[[#This Row],[Sales]])*100</f>
        <v>-14.211697942004525</v>
      </c>
    </row>
    <row r="26" spans="1:12" x14ac:dyDescent="0.3">
      <c r="A26" t="s">
        <v>6036</v>
      </c>
      <c r="B26" s="1">
        <v>44163</v>
      </c>
      <c r="C26" t="s">
        <v>1007</v>
      </c>
      <c r="D26" t="s">
        <v>1008</v>
      </c>
      <c r="E26" t="s">
        <v>14</v>
      </c>
      <c r="F26" t="s">
        <v>15</v>
      </c>
      <c r="G26" t="s">
        <v>16</v>
      </c>
      <c r="H26" t="s">
        <v>4617</v>
      </c>
      <c r="I26" s="2">
        <v>115.32</v>
      </c>
      <c r="J26">
        <v>12</v>
      </c>
      <c r="K26" s="2">
        <v>-619.596</v>
      </c>
      <c r="L26" s="3">
        <f>(Table1[[#This Row],[Profit]]/Table1[[#This Row],[Sales]])*100</f>
        <v>-537.28407908428721</v>
      </c>
    </row>
    <row r="27" spans="1:12" x14ac:dyDescent="0.3">
      <c r="A27" t="s">
        <v>5324</v>
      </c>
      <c r="B27" s="1">
        <v>44082</v>
      </c>
      <c r="C27" t="s">
        <v>4608</v>
      </c>
      <c r="D27" t="s">
        <v>4609</v>
      </c>
      <c r="E27" t="s">
        <v>14</v>
      </c>
      <c r="F27" t="s">
        <v>29</v>
      </c>
      <c r="G27" t="s">
        <v>16</v>
      </c>
      <c r="H27" t="s">
        <v>5325</v>
      </c>
      <c r="I27" s="2">
        <v>780.625</v>
      </c>
      <c r="J27">
        <v>7</v>
      </c>
      <c r="K27" s="2">
        <v>-566.5625</v>
      </c>
      <c r="L27" s="3">
        <f>(Table1[[#This Row],[Profit]]/Table1[[#This Row],[Sales]])*100</f>
        <v>-72.578062449959972</v>
      </c>
    </row>
    <row r="28" spans="1:12" x14ac:dyDescent="0.3">
      <c r="A28" t="s">
        <v>224</v>
      </c>
      <c r="B28" s="1">
        <v>43495</v>
      </c>
      <c r="C28" t="s">
        <v>225</v>
      </c>
      <c r="D28" t="s">
        <v>226</v>
      </c>
      <c r="E28" t="s">
        <v>14</v>
      </c>
      <c r="F28" t="s">
        <v>29</v>
      </c>
      <c r="G28" t="s">
        <v>16</v>
      </c>
      <c r="H28" t="s">
        <v>229</v>
      </c>
      <c r="I28" s="2">
        <v>626.1</v>
      </c>
      <c r="J28">
        <v>3</v>
      </c>
      <c r="K28" s="2">
        <v>-538.44600000000003</v>
      </c>
      <c r="L28" s="3">
        <f>(Table1[[#This Row],[Profit]]/Table1[[#This Row],[Sales]])*100</f>
        <v>-86</v>
      </c>
    </row>
    <row r="29" spans="1:12" x14ac:dyDescent="0.3">
      <c r="A29" t="s">
        <v>5641</v>
      </c>
      <c r="B29" s="1">
        <v>44120</v>
      </c>
      <c r="C29" t="s">
        <v>2292</v>
      </c>
      <c r="D29" t="s">
        <v>2293</v>
      </c>
      <c r="E29" t="s">
        <v>14</v>
      </c>
      <c r="F29" t="s">
        <v>23</v>
      </c>
      <c r="G29" t="s">
        <v>18</v>
      </c>
      <c r="H29" t="s">
        <v>5642</v>
      </c>
      <c r="I29" s="2">
        <v>645.98500000000001</v>
      </c>
      <c r="J29">
        <v>5</v>
      </c>
      <c r="K29" s="2">
        <v>-479.988</v>
      </c>
      <c r="L29" s="3">
        <f>(Table1[[#This Row],[Profit]]/Table1[[#This Row],[Sales]])*100</f>
        <v>-74.303273295819565</v>
      </c>
    </row>
    <row r="30" spans="1:12" x14ac:dyDescent="0.3">
      <c r="A30" t="s">
        <v>3071</v>
      </c>
      <c r="B30" s="1">
        <v>43751</v>
      </c>
      <c r="C30" t="s">
        <v>3072</v>
      </c>
      <c r="D30" t="s">
        <v>3073</v>
      </c>
      <c r="E30" t="s">
        <v>14</v>
      </c>
      <c r="F30" t="s">
        <v>23</v>
      </c>
      <c r="G30" t="s">
        <v>16</v>
      </c>
      <c r="H30" t="s">
        <v>3074</v>
      </c>
      <c r="I30" s="2">
        <v>727.45</v>
      </c>
      <c r="J30">
        <v>5</v>
      </c>
      <c r="K30" s="2">
        <v>-465.56799999999998</v>
      </c>
      <c r="L30" s="3">
        <f>(Table1[[#This Row],[Profit]]/Table1[[#This Row],[Sales]])*100</f>
        <v>-63.999999999999993</v>
      </c>
    </row>
    <row r="31" spans="1:12" x14ac:dyDescent="0.3">
      <c r="A31" t="s">
        <v>6075</v>
      </c>
      <c r="B31" s="1">
        <v>44167</v>
      </c>
      <c r="C31" t="s">
        <v>371</v>
      </c>
      <c r="D31" t="s">
        <v>372</v>
      </c>
      <c r="E31" t="s">
        <v>14</v>
      </c>
      <c r="F31" t="s">
        <v>15</v>
      </c>
      <c r="G31" t="s">
        <v>24</v>
      </c>
      <c r="H31" t="s">
        <v>2746</v>
      </c>
      <c r="I31" s="2">
        <v>155.17599999999999</v>
      </c>
      <c r="J31">
        <v>4</v>
      </c>
      <c r="K31" s="2">
        <v>-462.86239999999998</v>
      </c>
      <c r="L31" s="3">
        <f>(Table1[[#This Row],[Profit]]/Table1[[#This Row],[Sales]])*100</f>
        <v>-298.28220858895708</v>
      </c>
    </row>
    <row r="32" spans="1:12" x14ac:dyDescent="0.3">
      <c r="A32" t="s">
        <v>4566</v>
      </c>
      <c r="B32" s="1">
        <v>43952</v>
      </c>
      <c r="C32" t="s">
        <v>565</v>
      </c>
      <c r="D32" t="s">
        <v>566</v>
      </c>
      <c r="E32" t="s">
        <v>14</v>
      </c>
      <c r="F32" t="s">
        <v>41</v>
      </c>
      <c r="G32" t="s">
        <v>16</v>
      </c>
      <c r="H32" t="s">
        <v>1110</v>
      </c>
      <c r="I32" s="2">
        <v>952.26199999999994</v>
      </c>
      <c r="J32">
        <v>4</v>
      </c>
      <c r="K32" s="2">
        <v>-458.14679999999998</v>
      </c>
      <c r="L32" s="3">
        <f>(Table1[[#This Row],[Profit]]/Table1[[#This Row],[Sales]])*100</f>
        <v>-48.111423116747282</v>
      </c>
    </row>
    <row r="33" spans="1:12" x14ac:dyDescent="0.3">
      <c r="A33" t="s">
        <v>5028</v>
      </c>
      <c r="B33" s="1">
        <v>44030</v>
      </c>
      <c r="C33" t="s">
        <v>2973</v>
      </c>
      <c r="D33" t="s">
        <v>2974</v>
      </c>
      <c r="E33" t="s">
        <v>14</v>
      </c>
      <c r="F33" t="s">
        <v>23</v>
      </c>
      <c r="G33" t="s">
        <v>16</v>
      </c>
      <c r="H33" t="s">
        <v>2280</v>
      </c>
      <c r="I33" s="2">
        <v>830.6</v>
      </c>
      <c r="J33">
        <v>5</v>
      </c>
      <c r="K33" s="2">
        <v>-448.89600000000002</v>
      </c>
      <c r="L33" s="3">
        <f>(Table1[[#This Row],[Profit]]/Table1[[#This Row],[Sales]])*100</f>
        <v>-54.044786901035394</v>
      </c>
    </row>
    <row r="34" spans="1:12" x14ac:dyDescent="0.3">
      <c r="A34" t="s">
        <v>5596</v>
      </c>
      <c r="B34" s="1">
        <v>44113</v>
      </c>
      <c r="C34" t="s">
        <v>249</v>
      </c>
      <c r="D34" t="s">
        <v>250</v>
      </c>
      <c r="E34" t="s">
        <v>14</v>
      </c>
      <c r="F34" t="s">
        <v>29</v>
      </c>
      <c r="G34" t="s">
        <v>16</v>
      </c>
      <c r="H34" t="s">
        <v>3591</v>
      </c>
      <c r="I34" s="2">
        <v>690.45</v>
      </c>
      <c r="J34">
        <v>5</v>
      </c>
      <c r="K34" s="2">
        <v>-430.61700000000002</v>
      </c>
      <c r="L34" s="3">
        <f>(Table1[[#This Row],[Profit]]/Table1[[#This Row],[Sales]])*100</f>
        <v>-62.367586356723869</v>
      </c>
    </row>
    <row r="35" spans="1:12" x14ac:dyDescent="0.3">
      <c r="A35" t="s">
        <v>5839</v>
      </c>
      <c r="B35" s="1">
        <v>44145</v>
      </c>
      <c r="C35" t="s">
        <v>942</v>
      </c>
      <c r="D35" t="s">
        <v>943</v>
      </c>
      <c r="E35" t="s">
        <v>14</v>
      </c>
      <c r="F35" t="s">
        <v>29</v>
      </c>
      <c r="G35" t="s">
        <v>16</v>
      </c>
      <c r="H35" t="s">
        <v>5840</v>
      </c>
      <c r="I35" s="2">
        <v>353.96</v>
      </c>
      <c r="J35">
        <v>5</v>
      </c>
      <c r="K35" s="2">
        <v>-427.45</v>
      </c>
      <c r="L35" s="3">
        <f>(Table1[[#This Row],[Profit]]/Table1[[#This Row],[Sales]])*100</f>
        <v>-120.7622330206803</v>
      </c>
    </row>
    <row r="36" spans="1:12" x14ac:dyDescent="0.3">
      <c r="A36" t="s">
        <v>4109</v>
      </c>
      <c r="B36" s="1">
        <v>43866</v>
      </c>
      <c r="C36" t="s">
        <v>3607</v>
      </c>
      <c r="D36" t="s">
        <v>3608</v>
      </c>
      <c r="E36" t="s">
        <v>14</v>
      </c>
      <c r="F36" t="s">
        <v>29</v>
      </c>
      <c r="G36" t="s">
        <v>24</v>
      </c>
      <c r="H36" t="s">
        <v>3560</v>
      </c>
      <c r="I36" s="2">
        <v>285.99200000000002</v>
      </c>
      <c r="J36">
        <v>4</v>
      </c>
      <c r="K36" s="2">
        <v>-426.98599999999999</v>
      </c>
      <c r="L36" s="3">
        <f>(Table1[[#This Row],[Profit]]/Table1[[#This Row],[Sales]])*100</f>
        <v>-149.29998041903269</v>
      </c>
    </row>
    <row r="37" spans="1:12" x14ac:dyDescent="0.3">
      <c r="A37" t="s">
        <v>6166</v>
      </c>
      <c r="B37" s="1">
        <v>44176</v>
      </c>
      <c r="C37" t="s">
        <v>1702</v>
      </c>
      <c r="D37" t="s">
        <v>1703</v>
      </c>
      <c r="E37" t="s">
        <v>14</v>
      </c>
      <c r="F37" t="s">
        <v>41</v>
      </c>
      <c r="G37" t="s">
        <v>16</v>
      </c>
      <c r="H37" t="s">
        <v>5325</v>
      </c>
      <c r="I37" s="2">
        <v>271.875</v>
      </c>
      <c r="J37">
        <v>6</v>
      </c>
      <c r="K37" s="2">
        <v>-420</v>
      </c>
      <c r="L37" s="3">
        <f>(Table1[[#This Row],[Profit]]/Table1[[#This Row],[Sales]])*100</f>
        <v>-154.48275862068965</v>
      </c>
    </row>
    <row r="38" spans="1:12" x14ac:dyDescent="0.3">
      <c r="A38" t="s">
        <v>4116</v>
      </c>
      <c r="B38" s="1">
        <v>43870</v>
      </c>
      <c r="C38" t="s">
        <v>2485</v>
      </c>
      <c r="D38" t="s">
        <v>2486</v>
      </c>
      <c r="E38" t="s">
        <v>14</v>
      </c>
      <c r="F38" t="s">
        <v>29</v>
      </c>
      <c r="G38" t="s">
        <v>24</v>
      </c>
      <c r="H38" t="s">
        <v>1009</v>
      </c>
      <c r="I38" s="2">
        <v>290.78399999999999</v>
      </c>
      <c r="J38">
        <v>4</v>
      </c>
      <c r="K38" s="2">
        <v>-417.09359999999998</v>
      </c>
      <c r="L38" s="3">
        <f>(Table1[[#This Row],[Profit]]/Table1[[#This Row],[Sales]])*100</f>
        <v>-143.43760316936283</v>
      </c>
    </row>
    <row r="39" spans="1:12" x14ac:dyDescent="0.3">
      <c r="A39" t="s">
        <v>5416</v>
      </c>
      <c r="B39" s="1">
        <v>44090</v>
      </c>
      <c r="C39" t="s">
        <v>1208</v>
      </c>
      <c r="D39" t="s">
        <v>1209</v>
      </c>
      <c r="E39" t="s">
        <v>14</v>
      </c>
      <c r="F39" t="s">
        <v>15</v>
      </c>
      <c r="G39" t="s">
        <v>24</v>
      </c>
      <c r="H39" t="s">
        <v>3836</v>
      </c>
      <c r="I39" s="2">
        <v>585.19399999999996</v>
      </c>
      <c r="J39">
        <v>2</v>
      </c>
      <c r="K39" s="2">
        <v>-412.61540000000002</v>
      </c>
      <c r="L39" s="3">
        <f>(Table1[[#This Row],[Profit]]/Table1[[#This Row],[Sales]])*100</f>
        <v>-70.509164482205904</v>
      </c>
    </row>
    <row r="40" spans="1:12" x14ac:dyDescent="0.3">
      <c r="A40" t="s">
        <v>3906</v>
      </c>
      <c r="B40" s="1">
        <v>43824</v>
      </c>
      <c r="C40" t="s">
        <v>3907</v>
      </c>
      <c r="D40" t="s">
        <v>3908</v>
      </c>
      <c r="E40" t="s">
        <v>14</v>
      </c>
      <c r="F40" t="s">
        <v>23</v>
      </c>
      <c r="G40" t="s">
        <v>18</v>
      </c>
      <c r="H40" t="s">
        <v>1618</v>
      </c>
      <c r="I40" s="2">
        <v>269.97000000000003</v>
      </c>
      <c r="J40">
        <v>2</v>
      </c>
      <c r="K40" s="2">
        <v>-386.95699999999999</v>
      </c>
      <c r="L40" s="3">
        <f>(Table1[[#This Row],[Profit]]/Table1[[#This Row],[Sales]])*100</f>
        <v>-143.33333333333331</v>
      </c>
    </row>
    <row r="41" spans="1:12" x14ac:dyDescent="0.3">
      <c r="A41" t="s">
        <v>5335</v>
      </c>
      <c r="B41" s="1">
        <v>44083</v>
      </c>
      <c r="C41" t="s">
        <v>3726</v>
      </c>
      <c r="D41" t="s">
        <v>3727</v>
      </c>
      <c r="E41" t="s">
        <v>14</v>
      </c>
      <c r="F41" t="s">
        <v>15</v>
      </c>
      <c r="G41" t="s">
        <v>18</v>
      </c>
      <c r="H41" t="s">
        <v>3899</v>
      </c>
      <c r="I41" s="2">
        <v>1981.9580000000001</v>
      </c>
      <c r="J41">
        <v>7</v>
      </c>
      <c r="K41" s="2">
        <v>-386.39159999999998</v>
      </c>
      <c r="L41" s="3">
        <f>(Table1[[#This Row],[Profit]]/Table1[[#This Row],[Sales]])*100</f>
        <v>-19.495448440380674</v>
      </c>
    </row>
    <row r="42" spans="1:12" x14ac:dyDescent="0.3">
      <c r="A42" t="s">
        <v>5552</v>
      </c>
      <c r="B42" s="1">
        <v>44106</v>
      </c>
      <c r="C42" t="s">
        <v>5553</v>
      </c>
      <c r="D42" t="s">
        <v>5554</v>
      </c>
      <c r="E42" t="s">
        <v>14</v>
      </c>
      <c r="F42" t="s">
        <v>23</v>
      </c>
      <c r="G42" t="s">
        <v>16</v>
      </c>
      <c r="H42" t="s">
        <v>4517</v>
      </c>
      <c r="I42" s="2">
        <v>252.76400000000001</v>
      </c>
      <c r="J42">
        <v>6</v>
      </c>
      <c r="K42" s="2">
        <v>-384.71640000000002</v>
      </c>
      <c r="L42" s="3">
        <f>(Table1[[#This Row],[Profit]]/Table1[[#This Row],[Sales]])*100</f>
        <v>-152.20379484420249</v>
      </c>
    </row>
    <row r="43" spans="1:12" x14ac:dyDescent="0.3">
      <c r="A43" t="s">
        <v>2207</v>
      </c>
      <c r="B43" s="1">
        <v>43674</v>
      </c>
      <c r="C43" t="s">
        <v>1243</v>
      </c>
      <c r="D43" t="s">
        <v>1244</v>
      </c>
      <c r="E43" t="s">
        <v>14</v>
      </c>
      <c r="F43" t="s">
        <v>29</v>
      </c>
      <c r="G43" t="s">
        <v>16</v>
      </c>
      <c r="H43" t="s">
        <v>2208</v>
      </c>
      <c r="I43" s="2">
        <v>302.72000000000003</v>
      </c>
      <c r="J43">
        <v>5</v>
      </c>
      <c r="K43" s="2">
        <v>-378.4</v>
      </c>
      <c r="L43" s="3">
        <f>(Table1[[#This Row],[Profit]]/Table1[[#This Row],[Sales]])*100</f>
        <v>-124.99999999999997</v>
      </c>
    </row>
    <row r="44" spans="1:12" x14ac:dyDescent="0.3">
      <c r="A44" t="s">
        <v>5011</v>
      </c>
      <c r="B44" s="1">
        <v>44026</v>
      </c>
      <c r="C44" t="s">
        <v>1183</v>
      </c>
      <c r="D44" t="s">
        <v>1184</v>
      </c>
      <c r="E44" t="s">
        <v>14</v>
      </c>
      <c r="F44" t="s">
        <v>15</v>
      </c>
      <c r="G44" t="s">
        <v>18</v>
      </c>
      <c r="H44" t="s">
        <v>3702</v>
      </c>
      <c r="I44" s="2">
        <v>1912.9459999999999</v>
      </c>
      <c r="J44">
        <v>9</v>
      </c>
      <c r="K44" s="2">
        <v>-377.98919999999998</v>
      </c>
      <c r="L44" s="3">
        <f>(Table1[[#This Row],[Profit]]/Table1[[#This Row],[Sales]])*100</f>
        <v>-19.759533201669051</v>
      </c>
    </row>
    <row r="45" spans="1:12" x14ac:dyDescent="0.3">
      <c r="A45" t="s">
        <v>3875</v>
      </c>
      <c r="B45" s="1">
        <v>43822</v>
      </c>
      <c r="C45" t="s">
        <v>1661</v>
      </c>
      <c r="D45" t="s">
        <v>1662</v>
      </c>
      <c r="E45" t="s">
        <v>14</v>
      </c>
      <c r="F45" t="s">
        <v>15</v>
      </c>
      <c r="G45" t="s">
        <v>18</v>
      </c>
      <c r="H45" t="s">
        <v>3876</v>
      </c>
      <c r="I45" s="2">
        <v>1499.97</v>
      </c>
      <c r="J45">
        <v>5</v>
      </c>
      <c r="K45" s="2">
        <v>-374.99250000000001</v>
      </c>
      <c r="L45" s="3">
        <f>(Table1[[#This Row],[Profit]]/Table1[[#This Row],[Sales]])*100</f>
        <v>-25</v>
      </c>
    </row>
    <row r="46" spans="1:12" x14ac:dyDescent="0.3">
      <c r="A46" t="s">
        <v>6069</v>
      </c>
      <c r="B46" s="1">
        <v>44167</v>
      </c>
      <c r="C46" t="s">
        <v>4254</v>
      </c>
      <c r="D46" t="s">
        <v>4255</v>
      </c>
      <c r="E46" t="s">
        <v>14</v>
      </c>
      <c r="F46" t="s">
        <v>23</v>
      </c>
      <c r="G46" t="s">
        <v>16</v>
      </c>
      <c r="H46" t="s">
        <v>2112</v>
      </c>
      <c r="I46" s="2">
        <v>281.35199999999998</v>
      </c>
      <c r="J46">
        <v>8</v>
      </c>
      <c r="K46" s="2">
        <v>-363.52800000000002</v>
      </c>
      <c r="L46" s="3">
        <f>(Table1[[#This Row],[Profit]]/Table1[[#This Row],[Sales]])*100</f>
        <v>-129.20754073189457</v>
      </c>
    </row>
    <row r="47" spans="1:12" x14ac:dyDescent="0.3">
      <c r="A47" t="s">
        <v>4619</v>
      </c>
      <c r="B47" s="1">
        <v>43962</v>
      </c>
      <c r="C47" t="s">
        <v>4620</v>
      </c>
      <c r="D47" t="s">
        <v>4621</v>
      </c>
      <c r="E47" t="s">
        <v>14</v>
      </c>
      <c r="F47" t="s">
        <v>23</v>
      </c>
      <c r="G47" t="s">
        <v>16</v>
      </c>
      <c r="H47" t="s">
        <v>2926</v>
      </c>
      <c r="I47" s="2">
        <v>233.97900000000001</v>
      </c>
      <c r="J47">
        <v>7</v>
      </c>
      <c r="K47" s="2">
        <v>-356.96429999999998</v>
      </c>
      <c r="L47" s="3">
        <f>(Table1[[#This Row],[Profit]]/Table1[[#This Row],[Sales]])*100</f>
        <v>-152.56253766363645</v>
      </c>
    </row>
    <row r="48" spans="1:12" x14ac:dyDescent="0.3">
      <c r="A48" t="s">
        <v>1609</v>
      </c>
      <c r="B48" s="1">
        <v>43620</v>
      </c>
      <c r="C48" t="s">
        <v>1472</v>
      </c>
      <c r="D48" t="s">
        <v>1473</v>
      </c>
      <c r="E48" t="s">
        <v>14</v>
      </c>
      <c r="F48" t="s">
        <v>29</v>
      </c>
      <c r="G48" t="s">
        <v>16</v>
      </c>
      <c r="H48" t="s">
        <v>1433</v>
      </c>
      <c r="I48" s="2">
        <v>419.68</v>
      </c>
      <c r="J48">
        <v>5</v>
      </c>
      <c r="K48" s="2">
        <v>-356.72800000000001</v>
      </c>
      <c r="L48" s="3">
        <f>(Table1[[#This Row],[Profit]]/Table1[[#This Row],[Sales]])*100</f>
        <v>-85</v>
      </c>
    </row>
    <row r="49" spans="1:12" x14ac:dyDescent="0.3">
      <c r="A49" t="s">
        <v>4958</v>
      </c>
      <c r="B49" s="1">
        <v>44017</v>
      </c>
      <c r="C49" t="s">
        <v>2088</v>
      </c>
      <c r="D49" t="s">
        <v>2089</v>
      </c>
      <c r="E49" t="s">
        <v>14</v>
      </c>
      <c r="F49" t="s">
        <v>29</v>
      </c>
      <c r="G49" t="s">
        <v>16</v>
      </c>
      <c r="H49" t="s">
        <v>269</v>
      </c>
      <c r="I49" s="2">
        <v>353.02800000000002</v>
      </c>
      <c r="J49">
        <v>9</v>
      </c>
      <c r="K49" s="2">
        <v>-348.62939999999998</v>
      </c>
      <c r="L49" s="3">
        <f>(Table1[[#This Row],[Profit]]/Table1[[#This Row],[Sales]])*100</f>
        <v>-98.754036507019265</v>
      </c>
    </row>
    <row r="50" spans="1:12" x14ac:dyDescent="0.3">
      <c r="A50" t="s">
        <v>2379</v>
      </c>
      <c r="B50" s="1">
        <v>43698</v>
      </c>
      <c r="C50" t="s">
        <v>554</v>
      </c>
      <c r="D50" t="s">
        <v>555</v>
      </c>
      <c r="E50" t="s">
        <v>14</v>
      </c>
      <c r="F50" t="s">
        <v>15</v>
      </c>
      <c r="G50" t="s">
        <v>16</v>
      </c>
      <c r="H50" t="s">
        <v>2380</v>
      </c>
      <c r="I50" s="2">
        <v>815.29200000000003</v>
      </c>
      <c r="J50">
        <v>9</v>
      </c>
      <c r="K50" s="2">
        <v>-339.70499999999998</v>
      </c>
      <c r="L50" s="3">
        <f>(Table1[[#This Row],[Profit]]/Table1[[#This Row],[Sales]])*100</f>
        <v>-41.666666666666664</v>
      </c>
    </row>
    <row r="51" spans="1:12" x14ac:dyDescent="0.3">
      <c r="A51" t="s">
        <v>5151</v>
      </c>
      <c r="B51" s="1">
        <v>44058</v>
      </c>
      <c r="C51" t="s">
        <v>139</v>
      </c>
      <c r="D51" t="s">
        <v>140</v>
      </c>
      <c r="E51" t="s">
        <v>14</v>
      </c>
      <c r="F51" t="s">
        <v>15</v>
      </c>
      <c r="G51" t="s">
        <v>24</v>
      </c>
      <c r="H51" t="s">
        <v>3620</v>
      </c>
      <c r="I51" s="2">
        <v>1829.6320000000001</v>
      </c>
      <c r="J51">
        <v>6</v>
      </c>
      <c r="K51" s="2">
        <v>-337.80599999999998</v>
      </c>
      <c r="L51" s="3">
        <f>(Table1[[#This Row],[Profit]]/Table1[[#This Row],[Sales]])*100</f>
        <v>-18.463057051909889</v>
      </c>
    </row>
    <row r="52" spans="1:12" x14ac:dyDescent="0.3">
      <c r="A52" t="s">
        <v>3830</v>
      </c>
      <c r="B52" s="1">
        <v>43816</v>
      </c>
      <c r="C52" t="s">
        <v>3134</v>
      </c>
      <c r="D52" t="s">
        <v>3135</v>
      </c>
      <c r="E52" t="s">
        <v>14</v>
      </c>
      <c r="F52" t="s">
        <v>23</v>
      </c>
      <c r="G52" t="s">
        <v>16</v>
      </c>
      <c r="H52" t="s">
        <v>229</v>
      </c>
      <c r="I52" s="2">
        <v>1003.52</v>
      </c>
      <c r="J52">
        <v>6</v>
      </c>
      <c r="K52" s="2">
        <v>-325.572</v>
      </c>
      <c r="L52" s="3">
        <f>(Table1[[#This Row],[Profit]]/Table1[[#This Row],[Sales]])*100</f>
        <v>-32.443000637755105</v>
      </c>
    </row>
    <row r="53" spans="1:12" x14ac:dyDescent="0.3">
      <c r="A53" t="s">
        <v>4287</v>
      </c>
      <c r="B53" s="1">
        <v>43908</v>
      </c>
      <c r="C53" t="s">
        <v>3551</v>
      </c>
      <c r="D53" t="s">
        <v>3552</v>
      </c>
      <c r="E53" t="s">
        <v>14</v>
      </c>
      <c r="F53" t="s">
        <v>29</v>
      </c>
      <c r="G53" t="s">
        <v>24</v>
      </c>
      <c r="H53" t="s">
        <v>3560</v>
      </c>
      <c r="I53" s="2">
        <v>198.994</v>
      </c>
      <c r="J53">
        <v>3</v>
      </c>
      <c r="K53" s="2">
        <v>-320.23950000000002</v>
      </c>
      <c r="L53" s="3">
        <f>(Table1[[#This Row],[Profit]]/Table1[[#This Row],[Sales]])*100</f>
        <v>-160.92922399670343</v>
      </c>
    </row>
    <row r="54" spans="1:12" x14ac:dyDescent="0.3">
      <c r="A54" t="s">
        <v>4889</v>
      </c>
      <c r="B54" s="1">
        <v>44006</v>
      </c>
      <c r="C54" t="s">
        <v>394</v>
      </c>
      <c r="D54" t="s">
        <v>395</v>
      </c>
      <c r="E54" t="s">
        <v>14</v>
      </c>
      <c r="F54" t="s">
        <v>29</v>
      </c>
      <c r="G54" t="s">
        <v>24</v>
      </c>
      <c r="H54" t="s">
        <v>3560</v>
      </c>
      <c r="I54" s="2">
        <v>207.994</v>
      </c>
      <c r="J54">
        <v>3</v>
      </c>
      <c r="K54" s="2">
        <v>-320.23950000000002</v>
      </c>
      <c r="L54" s="3">
        <f>(Table1[[#This Row],[Profit]]/Table1[[#This Row],[Sales]])*100</f>
        <v>-153.96573939632876</v>
      </c>
    </row>
    <row r="55" spans="1:12" x14ac:dyDescent="0.3">
      <c r="A55" t="s">
        <v>2011</v>
      </c>
      <c r="B55" s="1">
        <v>43656</v>
      </c>
      <c r="C55" t="s">
        <v>361</v>
      </c>
      <c r="D55" t="s">
        <v>362</v>
      </c>
      <c r="E55" t="s">
        <v>14</v>
      </c>
      <c r="F55" t="s">
        <v>15</v>
      </c>
      <c r="G55" t="s">
        <v>18</v>
      </c>
      <c r="H55" t="s">
        <v>2012</v>
      </c>
      <c r="I55" s="2">
        <v>341.99099999999999</v>
      </c>
      <c r="J55">
        <v>3</v>
      </c>
      <c r="K55" s="2">
        <v>-319.19159999999999</v>
      </c>
      <c r="L55" s="3">
        <f>(Table1[[#This Row],[Profit]]/Table1[[#This Row],[Sales]])*100</f>
        <v>-93.333333333333329</v>
      </c>
    </row>
    <row r="56" spans="1:12" x14ac:dyDescent="0.3">
      <c r="A56" t="s">
        <v>2658</v>
      </c>
      <c r="B56" s="1">
        <v>43716</v>
      </c>
      <c r="C56" t="s">
        <v>103</v>
      </c>
      <c r="D56" t="s">
        <v>104</v>
      </c>
      <c r="E56" t="s">
        <v>14</v>
      </c>
      <c r="F56" t="s">
        <v>29</v>
      </c>
      <c r="G56" t="s">
        <v>16</v>
      </c>
      <c r="H56" t="s">
        <v>2659</v>
      </c>
      <c r="I56" s="2">
        <v>2396.2656000000002</v>
      </c>
      <c r="J56">
        <v>4</v>
      </c>
      <c r="K56" s="2">
        <v>-317.15280000000001</v>
      </c>
      <c r="L56" s="3">
        <f>(Table1[[#This Row],[Profit]]/Table1[[#This Row],[Sales]])*100</f>
        <v>-13.23529411764706</v>
      </c>
    </row>
    <row r="57" spans="1:12" x14ac:dyDescent="0.3">
      <c r="A57" t="s">
        <v>3813</v>
      </c>
      <c r="B57" s="1">
        <v>43814</v>
      </c>
      <c r="C57" t="s">
        <v>3714</v>
      </c>
      <c r="D57" t="s">
        <v>3715</v>
      </c>
      <c r="E57" t="s">
        <v>14</v>
      </c>
      <c r="F57" t="s">
        <v>23</v>
      </c>
      <c r="G57" t="s">
        <v>16</v>
      </c>
      <c r="H57" t="s">
        <v>1700</v>
      </c>
      <c r="I57" s="2">
        <v>564.19500000000005</v>
      </c>
      <c r="J57">
        <v>3</v>
      </c>
      <c r="K57" s="2">
        <v>-304.6653</v>
      </c>
      <c r="L57" s="3">
        <f>(Table1[[#This Row],[Profit]]/Table1[[#This Row],[Sales]])*100</f>
        <v>-53.999999999999993</v>
      </c>
    </row>
    <row r="58" spans="1:12" x14ac:dyDescent="0.3">
      <c r="A58" t="s">
        <v>3576</v>
      </c>
      <c r="B58" s="1">
        <v>43794</v>
      </c>
      <c r="C58" t="s">
        <v>2771</v>
      </c>
      <c r="D58" t="s">
        <v>2772</v>
      </c>
      <c r="E58" t="s">
        <v>14</v>
      </c>
      <c r="F58" t="s">
        <v>15</v>
      </c>
      <c r="G58" t="s">
        <v>24</v>
      </c>
      <c r="H58" t="s">
        <v>2205</v>
      </c>
      <c r="I58" s="2">
        <v>456.58800000000002</v>
      </c>
      <c r="J58">
        <v>2</v>
      </c>
      <c r="K58" s="2">
        <v>-304.392</v>
      </c>
      <c r="L58" s="3">
        <f>(Table1[[#This Row],[Profit]]/Table1[[#This Row],[Sales]])*100</f>
        <v>-66.666666666666657</v>
      </c>
    </row>
    <row r="59" spans="1:12" x14ac:dyDescent="0.3">
      <c r="A59" t="s">
        <v>3628</v>
      </c>
      <c r="B59" s="1">
        <v>43798</v>
      </c>
      <c r="C59" t="s">
        <v>3011</v>
      </c>
      <c r="D59" t="s">
        <v>3012</v>
      </c>
      <c r="E59" t="s">
        <v>14</v>
      </c>
      <c r="F59" t="s">
        <v>29</v>
      </c>
      <c r="G59" t="s">
        <v>16</v>
      </c>
      <c r="H59" t="s">
        <v>2208</v>
      </c>
      <c r="I59" s="2">
        <v>242.17599999999999</v>
      </c>
      <c r="J59">
        <v>4</v>
      </c>
      <c r="K59" s="2">
        <v>-302.72000000000003</v>
      </c>
      <c r="L59" s="3">
        <f>(Table1[[#This Row],[Profit]]/Table1[[#This Row],[Sales]])*100</f>
        <v>-125.00000000000003</v>
      </c>
    </row>
    <row r="60" spans="1:12" x14ac:dyDescent="0.3">
      <c r="A60" t="s">
        <v>2664</v>
      </c>
      <c r="B60" s="1">
        <v>43716</v>
      </c>
      <c r="C60" t="s">
        <v>261</v>
      </c>
      <c r="D60" t="s">
        <v>262</v>
      </c>
      <c r="E60" t="s">
        <v>14</v>
      </c>
      <c r="F60" t="s">
        <v>29</v>
      </c>
      <c r="G60" t="s">
        <v>16</v>
      </c>
      <c r="H60" t="s">
        <v>2383</v>
      </c>
      <c r="I60" s="2">
        <v>601.47</v>
      </c>
      <c r="J60">
        <v>3</v>
      </c>
      <c r="K60" s="2">
        <v>-300.73500000000001</v>
      </c>
      <c r="L60" s="3">
        <f>(Table1[[#This Row],[Profit]]/Table1[[#This Row],[Sales]])*100</f>
        <v>-50</v>
      </c>
    </row>
    <row r="61" spans="1:12" x14ac:dyDescent="0.3">
      <c r="A61" t="s">
        <v>4265</v>
      </c>
      <c r="B61" s="1">
        <v>43903</v>
      </c>
      <c r="C61" t="s">
        <v>261</v>
      </c>
      <c r="D61" t="s">
        <v>262</v>
      </c>
      <c r="E61" t="s">
        <v>14</v>
      </c>
      <c r="F61" t="s">
        <v>23</v>
      </c>
      <c r="G61" t="s">
        <v>24</v>
      </c>
      <c r="H61" t="s">
        <v>4008</v>
      </c>
      <c r="I61" s="2">
        <v>1346.4960000000001</v>
      </c>
      <c r="J61">
        <v>2</v>
      </c>
      <c r="K61" s="2">
        <v>-299.8116</v>
      </c>
      <c r="L61" s="3">
        <f>(Table1[[#This Row],[Profit]]/Table1[[#This Row],[Sales]])*100</f>
        <v>-22.266059461000999</v>
      </c>
    </row>
    <row r="62" spans="1:12" x14ac:dyDescent="0.3">
      <c r="A62" t="s">
        <v>5218</v>
      </c>
      <c r="B62" s="1">
        <v>44070</v>
      </c>
      <c r="C62" t="s">
        <v>4695</v>
      </c>
      <c r="D62" t="s">
        <v>4696</v>
      </c>
      <c r="E62" t="s">
        <v>14</v>
      </c>
      <c r="F62" t="s">
        <v>15</v>
      </c>
      <c r="G62" t="s">
        <v>16</v>
      </c>
      <c r="H62" t="s">
        <v>477</v>
      </c>
      <c r="I62" s="2">
        <v>1505.424</v>
      </c>
      <c r="J62">
        <v>7</v>
      </c>
      <c r="K62" s="2">
        <v>-297.6848</v>
      </c>
      <c r="L62" s="3">
        <f>(Table1[[#This Row],[Profit]]/Table1[[#This Row],[Sales]])*100</f>
        <v>-19.774150006908354</v>
      </c>
    </row>
    <row r="63" spans="1:12" x14ac:dyDescent="0.3">
      <c r="A63" t="s">
        <v>4930</v>
      </c>
      <c r="B63" s="1">
        <v>44012</v>
      </c>
      <c r="C63" t="s">
        <v>2400</v>
      </c>
      <c r="D63" t="s">
        <v>2401</v>
      </c>
      <c r="E63" t="s">
        <v>14</v>
      </c>
      <c r="F63" t="s">
        <v>15</v>
      </c>
      <c r="G63" t="s">
        <v>16</v>
      </c>
      <c r="H63" t="s">
        <v>3801</v>
      </c>
      <c r="I63" s="2">
        <v>1063.6300000000001</v>
      </c>
      <c r="J63">
        <v>5</v>
      </c>
      <c r="K63" s="2">
        <v>-295.9785</v>
      </c>
      <c r="L63" s="3">
        <f>(Table1[[#This Row],[Profit]]/Table1[[#This Row],[Sales]])*100</f>
        <v>-27.827204949089435</v>
      </c>
    </row>
    <row r="64" spans="1:12" x14ac:dyDescent="0.3">
      <c r="A64" t="s">
        <v>6184</v>
      </c>
      <c r="B64" s="1">
        <v>44179</v>
      </c>
      <c r="C64" t="s">
        <v>706</v>
      </c>
      <c r="D64" t="s">
        <v>707</v>
      </c>
      <c r="E64" t="s">
        <v>14</v>
      </c>
      <c r="F64" t="s">
        <v>29</v>
      </c>
      <c r="G64" t="s">
        <v>16</v>
      </c>
      <c r="H64" t="s">
        <v>1787</v>
      </c>
      <c r="I64" s="2">
        <v>171.352</v>
      </c>
      <c r="J64">
        <v>6</v>
      </c>
      <c r="K64" s="2">
        <v>-292.98719999999997</v>
      </c>
      <c r="L64" s="3">
        <f>(Table1[[#This Row],[Profit]]/Table1[[#This Row],[Sales]])*100</f>
        <v>-170.98557355618843</v>
      </c>
    </row>
    <row r="65" spans="1:12" x14ac:dyDescent="0.3">
      <c r="A65" t="s">
        <v>3269</v>
      </c>
      <c r="B65" s="1">
        <v>43773</v>
      </c>
      <c r="C65" t="s">
        <v>2645</v>
      </c>
      <c r="D65" t="s">
        <v>2646</v>
      </c>
      <c r="E65" t="s">
        <v>14</v>
      </c>
      <c r="F65" t="s">
        <v>41</v>
      </c>
      <c r="G65" t="s">
        <v>16</v>
      </c>
      <c r="H65" t="s">
        <v>2302</v>
      </c>
      <c r="I65" s="2">
        <v>876.3</v>
      </c>
      <c r="J65">
        <v>10</v>
      </c>
      <c r="K65" s="2">
        <v>-292.10000000000002</v>
      </c>
      <c r="L65" s="3">
        <f>(Table1[[#This Row],[Profit]]/Table1[[#This Row],[Sales]])*100</f>
        <v>-33.333333333333336</v>
      </c>
    </row>
    <row r="66" spans="1:12" x14ac:dyDescent="0.3">
      <c r="A66" t="s">
        <v>6100</v>
      </c>
      <c r="B66" s="1">
        <v>44169</v>
      </c>
      <c r="C66" t="s">
        <v>21</v>
      </c>
      <c r="D66" t="s">
        <v>22</v>
      </c>
      <c r="E66" t="s">
        <v>14</v>
      </c>
      <c r="F66" t="s">
        <v>41</v>
      </c>
      <c r="G66" t="s">
        <v>18</v>
      </c>
      <c r="H66" t="s">
        <v>2531</v>
      </c>
      <c r="I66" s="2">
        <v>665</v>
      </c>
      <c r="J66">
        <v>2</v>
      </c>
      <c r="K66" s="2">
        <v>-272.58</v>
      </c>
      <c r="L66" s="3">
        <f>(Table1[[#This Row],[Profit]]/Table1[[#This Row],[Sales]])*100</f>
        <v>-40.989473684210523</v>
      </c>
    </row>
    <row r="67" spans="1:12" x14ac:dyDescent="0.3">
      <c r="A67" t="s">
        <v>4149</v>
      </c>
      <c r="B67" s="1">
        <v>43878</v>
      </c>
      <c r="C67" t="s">
        <v>1020</v>
      </c>
      <c r="D67" t="s">
        <v>1021</v>
      </c>
      <c r="E67" t="s">
        <v>14</v>
      </c>
      <c r="F67" t="s">
        <v>29</v>
      </c>
      <c r="G67" t="s">
        <v>16</v>
      </c>
      <c r="H67" t="s">
        <v>2280</v>
      </c>
      <c r="I67" s="2">
        <v>524.96</v>
      </c>
      <c r="J67">
        <v>3</v>
      </c>
      <c r="K67" s="2">
        <v>-269.33760000000001</v>
      </c>
      <c r="L67" s="3">
        <f>(Table1[[#This Row],[Profit]]/Table1[[#This Row],[Sales]])*100</f>
        <v>-51.306309052118259</v>
      </c>
    </row>
    <row r="68" spans="1:12" x14ac:dyDescent="0.3">
      <c r="A68" t="s">
        <v>450</v>
      </c>
      <c r="B68" s="1">
        <v>43525</v>
      </c>
      <c r="C68" t="s">
        <v>451</v>
      </c>
      <c r="D68" t="s">
        <v>452</v>
      </c>
      <c r="E68" t="s">
        <v>14</v>
      </c>
      <c r="F68" t="s">
        <v>15</v>
      </c>
      <c r="G68" t="s">
        <v>16</v>
      </c>
      <c r="H68" t="s">
        <v>200</v>
      </c>
      <c r="I68" s="2">
        <v>836.59199999999998</v>
      </c>
      <c r="J68">
        <v>8</v>
      </c>
      <c r="K68" s="2">
        <v>-264.92079999999999</v>
      </c>
      <c r="L68" s="3">
        <f>(Table1[[#This Row],[Profit]]/Table1[[#This Row],[Sales]])*100</f>
        <v>-31.666666666666664</v>
      </c>
    </row>
    <row r="69" spans="1:12" x14ac:dyDescent="0.3">
      <c r="A69" t="s">
        <v>3844</v>
      </c>
      <c r="B69" s="1">
        <v>43817</v>
      </c>
      <c r="C69" t="s">
        <v>1926</v>
      </c>
      <c r="D69" t="s">
        <v>1927</v>
      </c>
      <c r="E69" t="s">
        <v>14</v>
      </c>
      <c r="F69" t="s">
        <v>23</v>
      </c>
      <c r="G69" t="s">
        <v>16</v>
      </c>
      <c r="H69" t="s">
        <v>2380</v>
      </c>
      <c r="I69" s="2">
        <v>377.45</v>
      </c>
      <c r="J69">
        <v>5</v>
      </c>
      <c r="K69" s="2">
        <v>-264.21499999999997</v>
      </c>
      <c r="L69" s="3">
        <f>(Table1[[#This Row],[Profit]]/Table1[[#This Row],[Sales]])*100</f>
        <v>-70</v>
      </c>
    </row>
    <row r="70" spans="1:12" x14ac:dyDescent="0.3">
      <c r="A70" t="s">
        <v>5097</v>
      </c>
      <c r="B70" s="1">
        <v>44044</v>
      </c>
      <c r="C70" t="s">
        <v>788</v>
      </c>
      <c r="D70" t="s">
        <v>789</v>
      </c>
      <c r="E70" t="s">
        <v>14</v>
      </c>
      <c r="F70" t="s">
        <v>29</v>
      </c>
      <c r="G70" t="s">
        <v>18</v>
      </c>
      <c r="H70" t="s">
        <v>1284</v>
      </c>
      <c r="I70" s="2">
        <v>1453.982</v>
      </c>
      <c r="J70">
        <v>3</v>
      </c>
      <c r="K70" s="2">
        <v>-263.99669999999998</v>
      </c>
      <c r="L70" s="3">
        <f>(Table1[[#This Row],[Profit]]/Table1[[#This Row],[Sales]])*100</f>
        <v>-18.156806617963632</v>
      </c>
    </row>
    <row r="71" spans="1:12" x14ac:dyDescent="0.3">
      <c r="A71" t="s">
        <v>2499</v>
      </c>
      <c r="B71" s="1">
        <v>43707</v>
      </c>
      <c r="C71" t="s">
        <v>2500</v>
      </c>
      <c r="D71" t="s">
        <v>2501</v>
      </c>
      <c r="E71" t="s">
        <v>14</v>
      </c>
      <c r="F71" t="s">
        <v>15</v>
      </c>
      <c r="G71" t="s">
        <v>16</v>
      </c>
      <c r="H71" t="s">
        <v>2502</v>
      </c>
      <c r="I71" s="2">
        <v>786.74400000000003</v>
      </c>
      <c r="J71">
        <v>4</v>
      </c>
      <c r="K71" s="2">
        <v>-258.5016</v>
      </c>
      <c r="L71" s="3">
        <f>(Table1[[#This Row],[Profit]]/Table1[[#This Row],[Sales]])*100</f>
        <v>-32.857142857142854</v>
      </c>
    </row>
    <row r="72" spans="1:12" x14ac:dyDescent="0.3">
      <c r="A72" t="s">
        <v>2301</v>
      </c>
      <c r="B72" s="1">
        <v>43689</v>
      </c>
      <c r="C72" t="s">
        <v>1071</v>
      </c>
      <c r="D72" t="s">
        <v>1072</v>
      </c>
      <c r="E72" t="s">
        <v>14</v>
      </c>
      <c r="F72" t="s">
        <v>41</v>
      </c>
      <c r="G72" t="s">
        <v>16</v>
      </c>
      <c r="H72" t="s">
        <v>2302</v>
      </c>
      <c r="I72" s="2">
        <v>562.29250000000002</v>
      </c>
      <c r="J72">
        <v>7</v>
      </c>
      <c r="K72" s="2">
        <v>-255.58750000000001</v>
      </c>
      <c r="L72" s="3">
        <f>(Table1[[#This Row],[Profit]]/Table1[[#This Row],[Sales]])*100</f>
        <v>-45.454545454545453</v>
      </c>
    </row>
    <row r="73" spans="1:12" x14ac:dyDescent="0.3">
      <c r="A73" t="s">
        <v>5503</v>
      </c>
      <c r="B73" s="1">
        <v>44098</v>
      </c>
      <c r="C73" t="s">
        <v>2414</v>
      </c>
      <c r="D73" t="s">
        <v>2415</v>
      </c>
      <c r="E73" t="s">
        <v>14</v>
      </c>
      <c r="F73" t="s">
        <v>15</v>
      </c>
      <c r="G73" t="s">
        <v>18</v>
      </c>
      <c r="H73" t="s">
        <v>576</v>
      </c>
      <c r="I73" s="2">
        <v>1191.694</v>
      </c>
      <c r="J73">
        <v>3</v>
      </c>
      <c r="K73" s="2">
        <v>-253.43369999999999</v>
      </c>
      <c r="L73" s="3">
        <f>(Table1[[#This Row],[Profit]]/Table1[[#This Row],[Sales]])*100</f>
        <v>-21.266675841281401</v>
      </c>
    </row>
    <row r="74" spans="1:12" x14ac:dyDescent="0.3">
      <c r="A74" t="s">
        <v>3248</v>
      </c>
      <c r="B74" s="1">
        <v>43772</v>
      </c>
      <c r="C74" t="s">
        <v>3249</v>
      </c>
      <c r="D74" t="s">
        <v>3250</v>
      </c>
      <c r="E74" t="s">
        <v>14</v>
      </c>
      <c r="F74" t="s">
        <v>23</v>
      </c>
      <c r="G74" t="s">
        <v>18</v>
      </c>
      <c r="H74" t="s">
        <v>3251</v>
      </c>
      <c r="I74" s="2">
        <v>179.99100000000001</v>
      </c>
      <c r="J74">
        <v>3</v>
      </c>
      <c r="K74" s="2">
        <v>-251.98740000000001</v>
      </c>
      <c r="L74" s="3">
        <f>(Table1[[#This Row],[Profit]]/Table1[[#This Row],[Sales]])*100</f>
        <v>-140</v>
      </c>
    </row>
    <row r="75" spans="1:12" x14ac:dyDescent="0.3">
      <c r="A75" t="s">
        <v>2940</v>
      </c>
      <c r="B75" s="1">
        <v>43734</v>
      </c>
      <c r="C75" t="s">
        <v>2941</v>
      </c>
      <c r="D75" t="s">
        <v>2942</v>
      </c>
      <c r="E75" t="s">
        <v>14</v>
      </c>
      <c r="F75" t="s">
        <v>29</v>
      </c>
      <c r="G75" t="s">
        <v>24</v>
      </c>
      <c r="H75" t="s">
        <v>2943</v>
      </c>
      <c r="I75" s="2">
        <v>93.031999999999996</v>
      </c>
      <c r="J75">
        <v>2</v>
      </c>
      <c r="K75" s="2">
        <v>-251.18639999999999</v>
      </c>
      <c r="L75" s="3">
        <f>(Table1[[#This Row],[Profit]]/Table1[[#This Row],[Sales]])*100</f>
        <v>-270</v>
      </c>
    </row>
    <row r="76" spans="1:12" x14ac:dyDescent="0.3">
      <c r="A76" t="s">
        <v>6242</v>
      </c>
      <c r="B76" s="1">
        <v>44187</v>
      </c>
      <c r="C76" t="s">
        <v>1153</v>
      </c>
      <c r="D76" t="s">
        <v>1154</v>
      </c>
      <c r="E76" t="s">
        <v>14</v>
      </c>
      <c r="F76" t="s">
        <v>41</v>
      </c>
      <c r="G76" t="s">
        <v>16</v>
      </c>
      <c r="H76" t="s">
        <v>116</v>
      </c>
      <c r="I76" s="2">
        <v>510.95600000000002</v>
      </c>
      <c r="J76">
        <v>6</v>
      </c>
      <c r="K76" s="2">
        <v>-249.32159999999999</v>
      </c>
      <c r="L76" s="3">
        <f>(Table1[[#This Row],[Profit]]/Table1[[#This Row],[Sales]])*100</f>
        <v>-48.795121302029912</v>
      </c>
    </row>
    <row r="77" spans="1:12" x14ac:dyDescent="0.3">
      <c r="A77" t="s">
        <v>4419</v>
      </c>
      <c r="B77" s="1">
        <v>43928</v>
      </c>
      <c r="C77" t="s">
        <v>1333</v>
      </c>
      <c r="D77" t="s">
        <v>1334</v>
      </c>
      <c r="E77" t="s">
        <v>14</v>
      </c>
      <c r="F77" t="s">
        <v>41</v>
      </c>
      <c r="G77" t="s">
        <v>16</v>
      </c>
      <c r="H77" t="s">
        <v>1700</v>
      </c>
      <c r="I77" s="2">
        <v>648.61450000000002</v>
      </c>
      <c r="J77">
        <v>3</v>
      </c>
      <c r="K77" s="2">
        <v>-248.2458</v>
      </c>
      <c r="L77" s="3">
        <f>(Table1[[#This Row],[Profit]]/Table1[[#This Row],[Sales]])*100</f>
        <v>-38.273242426741923</v>
      </c>
    </row>
    <row r="78" spans="1:12" x14ac:dyDescent="0.3">
      <c r="A78" t="s">
        <v>4498</v>
      </c>
      <c r="B78" s="1">
        <v>43942</v>
      </c>
      <c r="C78" t="s">
        <v>3502</v>
      </c>
      <c r="D78" t="s">
        <v>3503</v>
      </c>
      <c r="E78" t="s">
        <v>14</v>
      </c>
      <c r="F78" t="s">
        <v>29</v>
      </c>
      <c r="G78" t="s">
        <v>24</v>
      </c>
      <c r="H78" t="s">
        <v>1579</v>
      </c>
      <c r="I78" s="2">
        <v>114.264</v>
      </c>
      <c r="J78">
        <v>4</v>
      </c>
      <c r="K78" s="2">
        <v>-243.16</v>
      </c>
      <c r="L78" s="3">
        <f>(Table1[[#This Row],[Profit]]/Table1[[#This Row],[Sales]])*100</f>
        <v>-212.80543303227611</v>
      </c>
    </row>
    <row r="79" spans="1:12" x14ac:dyDescent="0.3">
      <c r="A79" t="s">
        <v>761</v>
      </c>
      <c r="B79" s="1">
        <v>43548</v>
      </c>
      <c r="C79" t="s">
        <v>762</v>
      </c>
      <c r="D79" t="s">
        <v>763</v>
      </c>
      <c r="E79" t="s">
        <v>14</v>
      </c>
      <c r="F79" t="s">
        <v>15</v>
      </c>
      <c r="G79" t="s">
        <v>16</v>
      </c>
      <c r="H79" t="s">
        <v>764</v>
      </c>
      <c r="I79" s="2">
        <v>301.47000000000003</v>
      </c>
      <c r="J79">
        <v>3</v>
      </c>
      <c r="K79" s="2">
        <v>-241.17599999999999</v>
      </c>
      <c r="L79" s="3">
        <f>(Table1[[#This Row],[Profit]]/Table1[[#This Row],[Sales]])*100</f>
        <v>-80</v>
      </c>
    </row>
    <row r="80" spans="1:12" x14ac:dyDescent="0.3">
      <c r="A80" t="s">
        <v>5483</v>
      </c>
      <c r="B80" s="1">
        <v>44097</v>
      </c>
      <c r="C80" t="s">
        <v>1024</v>
      </c>
      <c r="D80" t="s">
        <v>1025</v>
      </c>
      <c r="E80" t="s">
        <v>14</v>
      </c>
      <c r="F80" t="s">
        <v>23</v>
      </c>
      <c r="G80" t="s">
        <v>16</v>
      </c>
      <c r="H80" t="s">
        <v>1965</v>
      </c>
      <c r="I80" s="2">
        <v>229.58799999999999</v>
      </c>
      <c r="J80">
        <v>2</v>
      </c>
      <c r="K80" s="2">
        <v>-240.78399999999999</v>
      </c>
      <c r="L80" s="3">
        <f>(Table1[[#This Row],[Profit]]/Table1[[#This Row],[Sales]])*100</f>
        <v>-104.87656149276094</v>
      </c>
    </row>
    <row r="81" spans="1:12" x14ac:dyDescent="0.3">
      <c r="A81" t="s">
        <v>3137</v>
      </c>
      <c r="B81" s="1">
        <v>43759</v>
      </c>
      <c r="C81" t="s">
        <v>3138</v>
      </c>
      <c r="D81" t="s">
        <v>3139</v>
      </c>
      <c r="E81" t="s">
        <v>14</v>
      </c>
      <c r="F81" t="s">
        <v>15</v>
      </c>
      <c r="G81" t="s">
        <v>16</v>
      </c>
      <c r="H81" t="s">
        <v>2630</v>
      </c>
      <c r="I81" s="2">
        <v>661.17600000000004</v>
      </c>
      <c r="J81">
        <v>2</v>
      </c>
      <c r="K81" s="2">
        <v>-231.41159999999999</v>
      </c>
      <c r="L81" s="3">
        <f>(Table1[[#This Row],[Profit]]/Table1[[#This Row],[Sales]])*100</f>
        <v>-35</v>
      </c>
    </row>
    <row r="82" spans="1:12" x14ac:dyDescent="0.3">
      <c r="A82" t="s">
        <v>3998</v>
      </c>
      <c r="B82" s="1">
        <v>43839</v>
      </c>
      <c r="C82" t="s">
        <v>977</v>
      </c>
      <c r="D82" t="s">
        <v>978</v>
      </c>
      <c r="E82" t="s">
        <v>14</v>
      </c>
      <c r="F82" t="s">
        <v>15</v>
      </c>
      <c r="G82" t="s">
        <v>24</v>
      </c>
      <c r="H82" t="s">
        <v>3560</v>
      </c>
      <c r="I82" s="2">
        <v>311.49099999999999</v>
      </c>
      <c r="J82">
        <v>3</v>
      </c>
      <c r="K82" s="2">
        <v>-228.74250000000001</v>
      </c>
      <c r="L82" s="3">
        <f>(Table1[[#This Row],[Profit]]/Table1[[#This Row],[Sales]])*100</f>
        <v>-73.434705978663914</v>
      </c>
    </row>
    <row r="83" spans="1:12" x14ac:dyDescent="0.3">
      <c r="A83" t="s">
        <v>4346</v>
      </c>
      <c r="B83" s="1">
        <v>43916</v>
      </c>
      <c r="C83" t="s">
        <v>1135</v>
      </c>
      <c r="D83" t="s">
        <v>1136</v>
      </c>
      <c r="E83" t="s">
        <v>14</v>
      </c>
      <c r="F83" t="s">
        <v>29</v>
      </c>
      <c r="G83" t="s">
        <v>24</v>
      </c>
      <c r="H83" t="s">
        <v>416</v>
      </c>
      <c r="I83" s="2">
        <v>114.16800000000001</v>
      </c>
      <c r="J83">
        <v>8</v>
      </c>
      <c r="K83" s="2">
        <v>-226.63679999999999</v>
      </c>
      <c r="L83" s="3">
        <f>(Table1[[#This Row],[Profit]]/Table1[[#This Row],[Sales]])*100</f>
        <v>-198.51166701702752</v>
      </c>
    </row>
    <row r="84" spans="1:12" x14ac:dyDescent="0.3">
      <c r="A84" t="s">
        <v>360</v>
      </c>
      <c r="B84" s="1">
        <v>43512</v>
      </c>
      <c r="C84" t="s">
        <v>361</v>
      </c>
      <c r="D84" t="s">
        <v>362</v>
      </c>
      <c r="E84" t="s">
        <v>14</v>
      </c>
      <c r="F84" t="s">
        <v>29</v>
      </c>
      <c r="G84" t="s">
        <v>24</v>
      </c>
      <c r="H84" t="s">
        <v>363</v>
      </c>
      <c r="I84" s="2">
        <v>92.063999999999993</v>
      </c>
      <c r="J84">
        <v>6</v>
      </c>
      <c r="K84" s="2">
        <v>-225.55680000000001</v>
      </c>
      <c r="L84" s="3">
        <f>(Table1[[#This Row],[Profit]]/Table1[[#This Row],[Sales]])*100</f>
        <v>-245.00000000000003</v>
      </c>
    </row>
    <row r="85" spans="1:12" x14ac:dyDescent="0.3">
      <c r="A85" t="s">
        <v>2947</v>
      </c>
      <c r="B85" s="1">
        <v>43735</v>
      </c>
      <c r="C85" t="s">
        <v>1347</v>
      </c>
      <c r="D85" t="s">
        <v>1348</v>
      </c>
      <c r="E85" t="s">
        <v>14</v>
      </c>
      <c r="F85" t="s">
        <v>29</v>
      </c>
      <c r="G85" t="s">
        <v>16</v>
      </c>
      <c r="H85" t="s">
        <v>2948</v>
      </c>
      <c r="I85" s="2">
        <v>956.66480000000001</v>
      </c>
      <c r="J85">
        <v>7</v>
      </c>
      <c r="K85" s="2">
        <v>-225.0976</v>
      </c>
      <c r="L85" s="3">
        <f>(Table1[[#This Row],[Profit]]/Table1[[#This Row],[Sales]])*100</f>
        <v>-23.52941176470588</v>
      </c>
    </row>
    <row r="86" spans="1:12" x14ac:dyDescent="0.3">
      <c r="A86" t="s">
        <v>3275</v>
      </c>
      <c r="B86" s="1">
        <v>43774</v>
      </c>
      <c r="C86" t="s">
        <v>3064</v>
      </c>
      <c r="D86" t="s">
        <v>3065</v>
      </c>
      <c r="E86" t="s">
        <v>14</v>
      </c>
      <c r="F86" t="s">
        <v>29</v>
      </c>
      <c r="G86" t="s">
        <v>16</v>
      </c>
      <c r="H86" t="s">
        <v>2948</v>
      </c>
      <c r="I86" s="2">
        <v>956.66480000000001</v>
      </c>
      <c r="J86">
        <v>7</v>
      </c>
      <c r="K86" s="2">
        <v>-225.0976</v>
      </c>
      <c r="L86" s="3">
        <f>(Table1[[#This Row],[Profit]]/Table1[[#This Row],[Sales]])*100</f>
        <v>-23.52941176470588</v>
      </c>
    </row>
    <row r="87" spans="1:12" x14ac:dyDescent="0.3">
      <c r="A87" t="s">
        <v>3852</v>
      </c>
      <c r="B87" s="1">
        <v>43818</v>
      </c>
      <c r="C87" t="s">
        <v>899</v>
      </c>
      <c r="D87" t="s">
        <v>900</v>
      </c>
      <c r="E87" t="s">
        <v>14</v>
      </c>
      <c r="F87" t="s">
        <v>23</v>
      </c>
      <c r="G87" t="s">
        <v>16</v>
      </c>
      <c r="H87" t="s">
        <v>3853</v>
      </c>
      <c r="I87" s="2">
        <v>455.97</v>
      </c>
      <c r="J87">
        <v>6</v>
      </c>
      <c r="K87" s="2">
        <v>-218.8656</v>
      </c>
      <c r="L87" s="3">
        <f>(Table1[[#This Row],[Profit]]/Table1[[#This Row],[Sales]])*100</f>
        <v>-48</v>
      </c>
    </row>
    <row r="88" spans="1:12" x14ac:dyDescent="0.3">
      <c r="A88" t="s">
        <v>1680</v>
      </c>
      <c r="B88" s="1">
        <v>43626</v>
      </c>
      <c r="C88" t="s">
        <v>1681</v>
      </c>
      <c r="D88" t="s">
        <v>1682</v>
      </c>
      <c r="E88" t="s">
        <v>14</v>
      </c>
      <c r="F88" t="s">
        <v>23</v>
      </c>
      <c r="G88" t="s">
        <v>16</v>
      </c>
      <c r="H88" t="s">
        <v>229</v>
      </c>
      <c r="I88" s="2">
        <v>1335.68</v>
      </c>
      <c r="J88">
        <v>4</v>
      </c>
      <c r="K88" s="2">
        <v>-217.048</v>
      </c>
      <c r="L88" s="3">
        <f>(Table1[[#This Row],[Profit]]/Table1[[#This Row],[Sales]])*100</f>
        <v>-16.25</v>
      </c>
    </row>
    <row r="89" spans="1:12" x14ac:dyDescent="0.3">
      <c r="A89" t="s">
        <v>1793</v>
      </c>
      <c r="B89" s="1">
        <v>43633</v>
      </c>
      <c r="C89" t="s">
        <v>1794</v>
      </c>
      <c r="D89" t="s">
        <v>1795</v>
      </c>
      <c r="E89" t="s">
        <v>14</v>
      </c>
      <c r="F89" t="s">
        <v>15</v>
      </c>
      <c r="G89" t="s">
        <v>16</v>
      </c>
      <c r="H89" t="s">
        <v>1796</v>
      </c>
      <c r="I89" s="2">
        <v>376.86599999999999</v>
      </c>
      <c r="J89">
        <v>3</v>
      </c>
      <c r="K89" s="2">
        <v>-213.5574</v>
      </c>
      <c r="L89" s="3">
        <f>(Table1[[#This Row],[Profit]]/Table1[[#This Row],[Sales]])*100</f>
        <v>-56.666666666666664</v>
      </c>
    </row>
    <row r="90" spans="1:12" x14ac:dyDescent="0.3">
      <c r="A90" t="s">
        <v>2902</v>
      </c>
      <c r="B90" s="1">
        <v>43733</v>
      </c>
      <c r="C90" t="s">
        <v>257</v>
      </c>
      <c r="D90" t="s">
        <v>258</v>
      </c>
      <c r="E90" t="s">
        <v>14</v>
      </c>
      <c r="F90" t="s">
        <v>23</v>
      </c>
      <c r="G90" t="s">
        <v>16</v>
      </c>
      <c r="H90" t="s">
        <v>349</v>
      </c>
      <c r="I90" s="2">
        <v>393.16500000000002</v>
      </c>
      <c r="J90">
        <v>3</v>
      </c>
      <c r="K90" s="2">
        <v>-204.44579999999999</v>
      </c>
      <c r="L90" s="3">
        <f>(Table1[[#This Row],[Profit]]/Table1[[#This Row],[Sales]])*100</f>
        <v>-51.999999999999993</v>
      </c>
    </row>
    <row r="91" spans="1:12" x14ac:dyDescent="0.3">
      <c r="A91" t="s">
        <v>3837</v>
      </c>
      <c r="B91" s="1">
        <v>43817</v>
      </c>
      <c r="C91" t="s">
        <v>3838</v>
      </c>
      <c r="D91" t="s">
        <v>3839</v>
      </c>
      <c r="E91" t="s">
        <v>14</v>
      </c>
      <c r="F91" t="s">
        <v>41</v>
      </c>
      <c r="G91" t="s">
        <v>24</v>
      </c>
      <c r="H91" t="s">
        <v>882</v>
      </c>
      <c r="I91" s="2">
        <v>961.48</v>
      </c>
      <c r="J91">
        <v>5</v>
      </c>
      <c r="K91" s="2">
        <v>-204.31450000000001</v>
      </c>
      <c r="L91" s="3">
        <f>(Table1[[#This Row],[Profit]]/Table1[[#This Row],[Sales]])*100</f>
        <v>-21.25</v>
      </c>
    </row>
    <row r="92" spans="1:12" x14ac:dyDescent="0.3">
      <c r="A92" t="s">
        <v>3438</v>
      </c>
      <c r="B92" s="1">
        <v>43784</v>
      </c>
      <c r="C92" t="s">
        <v>456</v>
      </c>
      <c r="D92" t="s">
        <v>457</v>
      </c>
      <c r="E92" t="s">
        <v>14</v>
      </c>
      <c r="F92" t="s">
        <v>41</v>
      </c>
      <c r="G92" t="s">
        <v>16</v>
      </c>
      <c r="H92" t="s">
        <v>2539</v>
      </c>
      <c r="I92" s="2">
        <v>630.024</v>
      </c>
      <c r="J92">
        <v>4</v>
      </c>
      <c r="K92" s="2">
        <v>-199.5076</v>
      </c>
      <c r="L92" s="3">
        <f>(Table1[[#This Row],[Profit]]/Table1[[#This Row],[Sales]])*100</f>
        <v>-31.666666666666664</v>
      </c>
    </row>
    <row r="93" spans="1:12" x14ac:dyDescent="0.3">
      <c r="A93" t="s">
        <v>5490</v>
      </c>
      <c r="B93" s="1">
        <v>44097</v>
      </c>
      <c r="C93" t="s">
        <v>443</v>
      </c>
      <c r="D93" t="s">
        <v>444</v>
      </c>
      <c r="E93" t="s">
        <v>14</v>
      </c>
      <c r="F93" t="s">
        <v>29</v>
      </c>
      <c r="G93" t="s">
        <v>24</v>
      </c>
      <c r="H93" t="s">
        <v>1328</v>
      </c>
      <c r="I93" s="2">
        <v>188.17599999999999</v>
      </c>
      <c r="J93">
        <v>6</v>
      </c>
      <c r="K93" s="2">
        <v>-197.5752</v>
      </c>
      <c r="L93" s="3">
        <f>(Table1[[#This Row],[Profit]]/Table1[[#This Row],[Sales]])*100</f>
        <v>-104.9948983929938</v>
      </c>
    </row>
    <row r="94" spans="1:12" x14ac:dyDescent="0.3">
      <c r="A94" t="s">
        <v>3725</v>
      </c>
      <c r="B94" s="1">
        <v>43807</v>
      </c>
      <c r="C94" t="s">
        <v>3726</v>
      </c>
      <c r="D94" t="s">
        <v>3727</v>
      </c>
      <c r="E94" t="s">
        <v>14</v>
      </c>
      <c r="F94" t="s">
        <v>23</v>
      </c>
      <c r="G94" t="s">
        <v>16</v>
      </c>
      <c r="H94" t="s">
        <v>3728</v>
      </c>
      <c r="I94" s="2">
        <v>1421.664</v>
      </c>
      <c r="J94">
        <v>6</v>
      </c>
      <c r="K94" s="2">
        <v>-195.47880000000001</v>
      </c>
      <c r="L94" s="3">
        <f>(Table1[[#This Row],[Profit]]/Table1[[#This Row],[Sales]])*100</f>
        <v>-13.750000000000002</v>
      </c>
    </row>
    <row r="95" spans="1:12" x14ac:dyDescent="0.3">
      <c r="A95" t="s">
        <v>519</v>
      </c>
      <c r="B95" s="1">
        <v>43530</v>
      </c>
      <c r="C95" t="s">
        <v>443</v>
      </c>
      <c r="D95" t="s">
        <v>444</v>
      </c>
      <c r="E95" t="s">
        <v>14</v>
      </c>
      <c r="F95" t="s">
        <v>29</v>
      </c>
      <c r="G95" t="s">
        <v>16</v>
      </c>
      <c r="H95" t="s">
        <v>373</v>
      </c>
      <c r="I95" s="2">
        <v>159.04</v>
      </c>
      <c r="J95">
        <v>5</v>
      </c>
      <c r="K95" s="2">
        <v>-194.82400000000001</v>
      </c>
      <c r="L95" s="3">
        <f>(Table1[[#This Row],[Profit]]/Table1[[#This Row],[Sales]])*100</f>
        <v>-122.50000000000001</v>
      </c>
    </row>
    <row r="96" spans="1:12" x14ac:dyDescent="0.3">
      <c r="A96" t="s">
        <v>5778</v>
      </c>
      <c r="B96" s="1">
        <v>44139</v>
      </c>
      <c r="C96" t="s">
        <v>2869</v>
      </c>
      <c r="D96" t="s">
        <v>2870</v>
      </c>
      <c r="E96" t="s">
        <v>14</v>
      </c>
      <c r="F96" t="s">
        <v>41</v>
      </c>
      <c r="G96" t="s">
        <v>16</v>
      </c>
      <c r="H96" t="s">
        <v>3074</v>
      </c>
      <c r="I96" s="2">
        <v>539.76400000000001</v>
      </c>
      <c r="J96">
        <v>3</v>
      </c>
      <c r="K96" s="2">
        <v>-192.04679999999999</v>
      </c>
      <c r="L96" s="3">
        <f>(Table1[[#This Row],[Profit]]/Table1[[#This Row],[Sales]])*100</f>
        <v>-35.579771900311982</v>
      </c>
    </row>
    <row r="97" spans="1:12" x14ac:dyDescent="0.3">
      <c r="A97" t="s">
        <v>3060</v>
      </c>
      <c r="B97" s="1">
        <v>43748</v>
      </c>
      <c r="C97" t="s">
        <v>719</v>
      </c>
      <c r="D97" t="s">
        <v>720</v>
      </c>
      <c r="E97" t="s">
        <v>14</v>
      </c>
      <c r="F97" t="s">
        <v>23</v>
      </c>
      <c r="G97" t="s">
        <v>16</v>
      </c>
      <c r="H97" t="s">
        <v>3061</v>
      </c>
      <c r="I97" s="2">
        <v>90.882000000000005</v>
      </c>
      <c r="J97">
        <v>3</v>
      </c>
      <c r="K97" s="2">
        <v>-190.85220000000001</v>
      </c>
      <c r="L97" s="3">
        <f>(Table1[[#This Row],[Profit]]/Table1[[#This Row],[Sales]])*100</f>
        <v>-210</v>
      </c>
    </row>
    <row r="98" spans="1:12" x14ac:dyDescent="0.3">
      <c r="A98" t="s">
        <v>5522</v>
      </c>
      <c r="B98" s="1">
        <v>44103</v>
      </c>
      <c r="C98" t="s">
        <v>4784</v>
      </c>
      <c r="D98" t="s">
        <v>4785</v>
      </c>
      <c r="E98" t="s">
        <v>14</v>
      </c>
      <c r="F98" t="s">
        <v>15</v>
      </c>
      <c r="G98" t="s">
        <v>16</v>
      </c>
      <c r="H98" t="s">
        <v>5529</v>
      </c>
      <c r="I98" s="2">
        <v>372.22</v>
      </c>
      <c r="J98">
        <v>2</v>
      </c>
      <c r="K98" s="2">
        <v>-189.321</v>
      </c>
      <c r="L98" s="3">
        <f>(Table1[[#This Row],[Profit]]/Table1[[#This Row],[Sales]])*100</f>
        <v>-50.862661866638007</v>
      </c>
    </row>
    <row r="99" spans="1:12" x14ac:dyDescent="0.3">
      <c r="A99" t="s">
        <v>3972</v>
      </c>
      <c r="B99" s="1">
        <v>43831</v>
      </c>
      <c r="C99" t="s">
        <v>800</v>
      </c>
      <c r="D99" t="s">
        <v>801</v>
      </c>
      <c r="E99" t="s">
        <v>14</v>
      </c>
      <c r="F99" t="s">
        <v>29</v>
      </c>
      <c r="G99" t="s">
        <v>16</v>
      </c>
      <c r="H99" t="s">
        <v>1397</v>
      </c>
      <c r="I99" s="2">
        <v>164.42</v>
      </c>
      <c r="J99">
        <v>5</v>
      </c>
      <c r="K99" s="2">
        <v>-187.38149999999999</v>
      </c>
      <c r="L99" s="3">
        <f>(Table1[[#This Row],[Profit]]/Table1[[#This Row],[Sales]])*100</f>
        <v>-113.96515022503347</v>
      </c>
    </row>
    <row r="100" spans="1:12" x14ac:dyDescent="0.3">
      <c r="A100" t="s">
        <v>5747</v>
      </c>
      <c r="B100" s="1">
        <v>44137</v>
      </c>
      <c r="C100" t="s">
        <v>1066</v>
      </c>
      <c r="D100" t="s">
        <v>1067</v>
      </c>
      <c r="E100" t="s">
        <v>14</v>
      </c>
      <c r="F100" t="s">
        <v>15</v>
      </c>
      <c r="G100" t="s">
        <v>18</v>
      </c>
      <c r="H100" t="s">
        <v>1545</v>
      </c>
      <c r="I100" s="2">
        <v>879.2</v>
      </c>
      <c r="J100">
        <v>4</v>
      </c>
      <c r="K100" s="2">
        <v>-186.16</v>
      </c>
      <c r="L100" s="3">
        <f>(Table1[[#This Row],[Profit]]/Table1[[#This Row],[Sales]])*100</f>
        <v>-21.173794358507735</v>
      </c>
    </row>
    <row r="101" spans="1:12" x14ac:dyDescent="0.3">
      <c r="A101" t="s">
        <v>4162</v>
      </c>
      <c r="B101" s="1">
        <v>43881</v>
      </c>
      <c r="C101" t="s">
        <v>2186</v>
      </c>
      <c r="D101" t="s">
        <v>2187</v>
      </c>
      <c r="E101" t="s">
        <v>14</v>
      </c>
      <c r="F101" t="s">
        <v>23</v>
      </c>
      <c r="G101" t="s">
        <v>16</v>
      </c>
      <c r="H101" t="s">
        <v>973</v>
      </c>
      <c r="I101" s="2">
        <v>427.91</v>
      </c>
      <c r="J101">
        <v>9</v>
      </c>
      <c r="K101" s="2">
        <v>-185.71680000000001</v>
      </c>
      <c r="L101" s="3">
        <f>(Table1[[#This Row],[Profit]]/Table1[[#This Row],[Sales]])*100</f>
        <v>-43.400902058844146</v>
      </c>
    </row>
    <row r="102" spans="1:12" x14ac:dyDescent="0.3">
      <c r="A102" t="s">
        <v>6215</v>
      </c>
      <c r="B102" s="1">
        <v>44184</v>
      </c>
      <c r="C102" t="s">
        <v>2915</v>
      </c>
      <c r="D102" t="s">
        <v>2916</v>
      </c>
      <c r="E102" t="s">
        <v>14</v>
      </c>
      <c r="F102" t="s">
        <v>23</v>
      </c>
      <c r="G102" t="s">
        <v>16</v>
      </c>
      <c r="H102" t="s">
        <v>219</v>
      </c>
      <c r="I102" s="2">
        <v>363.01799999999997</v>
      </c>
      <c r="J102">
        <v>7</v>
      </c>
      <c r="K102" s="2">
        <v>-183.63239999999999</v>
      </c>
      <c r="L102" s="3">
        <f>(Table1[[#This Row],[Profit]]/Table1[[#This Row],[Sales]])*100</f>
        <v>-50.584929672908785</v>
      </c>
    </row>
    <row r="103" spans="1:12" x14ac:dyDescent="0.3">
      <c r="A103" t="s">
        <v>4247</v>
      </c>
      <c r="B103" s="1">
        <v>43901</v>
      </c>
      <c r="C103" t="s">
        <v>1745</v>
      </c>
      <c r="D103" t="s">
        <v>1746</v>
      </c>
      <c r="E103" t="s">
        <v>14</v>
      </c>
      <c r="F103" t="s">
        <v>15</v>
      </c>
      <c r="G103" t="s">
        <v>18</v>
      </c>
      <c r="H103" t="s">
        <v>886</v>
      </c>
      <c r="I103" s="2">
        <v>799.85</v>
      </c>
      <c r="J103">
        <v>5</v>
      </c>
      <c r="K103" s="2">
        <v>-181.26499999999999</v>
      </c>
      <c r="L103" s="3">
        <f>(Table1[[#This Row],[Profit]]/Table1[[#This Row],[Sales]])*100</f>
        <v>-22.66237419516159</v>
      </c>
    </row>
    <row r="104" spans="1:12" x14ac:dyDescent="0.3">
      <c r="A104" t="s">
        <v>6010</v>
      </c>
      <c r="B104" s="1">
        <v>44160</v>
      </c>
      <c r="C104" t="s">
        <v>702</v>
      </c>
      <c r="D104" t="s">
        <v>703</v>
      </c>
      <c r="E104" t="s">
        <v>14</v>
      </c>
      <c r="F104" t="s">
        <v>29</v>
      </c>
      <c r="G104" t="s">
        <v>24</v>
      </c>
      <c r="H104" t="s">
        <v>3455</v>
      </c>
      <c r="I104" s="2">
        <v>104.84</v>
      </c>
      <c r="J104">
        <v>5</v>
      </c>
      <c r="K104" s="2">
        <v>-179.77600000000001</v>
      </c>
      <c r="L104" s="3">
        <f>(Table1[[#This Row],[Profit]]/Table1[[#This Row],[Sales]])*100</f>
        <v>-171.47653567340711</v>
      </c>
    </row>
    <row r="105" spans="1:12" x14ac:dyDescent="0.3">
      <c r="A105" t="s">
        <v>6196</v>
      </c>
      <c r="B105" s="1">
        <v>44182</v>
      </c>
      <c r="C105" t="s">
        <v>914</v>
      </c>
      <c r="D105" t="s">
        <v>915</v>
      </c>
      <c r="E105" t="s">
        <v>14</v>
      </c>
      <c r="F105" t="s">
        <v>29</v>
      </c>
      <c r="G105" t="s">
        <v>24</v>
      </c>
      <c r="H105" t="s">
        <v>1460</v>
      </c>
      <c r="I105" s="2">
        <v>283.28399999999999</v>
      </c>
      <c r="J105">
        <v>2</v>
      </c>
      <c r="K105" s="2">
        <v>-178.96680000000001</v>
      </c>
      <c r="L105" s="3">
        <f>(Table1[[#This Row],[Profit]]/Table1[[#This Row],[Sales]])*100</f>
        <v>-63.175752954632102</v>
      </c>
    </row>
    <row r="106" spans="1:12" x14ac:dyDescent="0.3">
      <c r="A106" t="s">
        <v>4929</v>
      </c>
      <c r="B106" s="1">
        <v>44012</v>
      </c>
      <c r="C106" t="s">
        <v>2292</v>
      </c>
      <c r="D106" t="s">
        <v>2293</v>
      </c>
      <c r="E106" t="s">
        <v>14</v>
      </c>
      <c r="F106" t="s">
        <v>29</v>
      </c>
      <c r="G106" t="s">
        <v>16</v>
      </c>
      <c r="H106" t="s">
        <v>1732</v>
      </c>
      <c r="I106" s="2">
        <v>579.05799999999999</v>
      </c>
      <c r="J106">
        <v>3</v>
      </c>
      <c r="K106" s="2">
        <v>-178.8468</v>
      </c>
      <c r="L106" s="3">
        <f>(Table1[[#This Row],[Profit]]/Table1[[#This Row],[Sales]])*100</f>
        <v>-30.885818000960182</v>
      </c>
    </row>
    <row r="107" spans="1:12" x14ac:dyDescent="0.3">
      <c r="A107" t="s">
        <v>4240</v>
      </c>
      <c r="B107" s="1">
        <v>43900</v>
      </c>
      <c r="C107" t="s">
        <v>2633</v>
      </c>
      <c r="D107" t="s">
        <v>2634</v>
      </c>
      <c r="E107" t="s">
        <v>14</v>
      </c>
      <c r="F107" t="s">
        <v>29</v>
      </c>
      <c r="G107" t="s">
        <v>16</v>
      </c>
      <c r="H107" t="s">
        <v>3685</v>
      </c>
      <c r="I107" s="2">
        <v>948.40800000000002</v>
      </c>
      <c r="J107">
        <v>4</v>
      </c>
      <c r="K107" s="2">
        <v>-173.34719999999999</v>
      </c>
      <c r="L107" s="3">
        <f>(Table1[[#This Row],[Profit]]/Table1[[#This Row],[Sales]])*100</f>
        <v>-18.2777032669484</v>
      </c>
    </row>
    <row r="108" spans="1:12" x14ac:dyDescent="0.3">
      <c r="A108" t="s">
        <v>2413</v>
      </c>
      <c r="B108" s="1">
        <v>43700</v>
      </c>
      <c r="C108" t="s">
        <v>2414</v>
      </c>
      <c r="D108" t="s">
        <v>2415</v>
      </c>
      <c r="E108" t="s">
        <v>14</v>
      </c>
      <c r="F108" t="s">
        <v>29</v>
      </c>
      <c r="G108" t="s">
        <v>24</v>
      </c>
      <c r="H108" t="s">
        <v>2416</v>
      </c>
      <c r="I108" s="2">
        <v>727.29600000000005</v>
      </c>
      <c r="J108">
        <v>8</v>
      </c>
      <c r="K108" s="2">
        <v>-172.7328</v>
      </c>
      <c r="L108" s="3">
        <f>(Table1[[#This Row],[Profit]]/Table1[[#This Row],[Sales]])*100</f>
        <v>-23.75</v>
      </c>
    </row>
    <row r="109" spans="1:12" x14ac:dyDescent="0.3">
      <c r="A109" t="s">
        <v>3981</v>
      </c>
      <c r="B109" s="1">
        <v>43832</v>
      </c>
      <c r="C109" t="s">
        <v>3904</v>
      </c>
      <c r="D109" t="s">
        <v>3905</v>
      </c>
      <c r="E109" t="s">
        <v>14</v>
      </c>
      <c r="F109" t="s">
        <v>29</v>
      </c>
      <c r="G109" t="s">
        <v>16</v>
      </c>
      <c r="H109" t="s">
        <v>3591</v>
      </c>
      <c r="I109" s="2">
        <v>953.43</v>
      </c>
      <c r="J109">
        <v>5</v>
      </c>
      <c r="K109" s="2">
        <v>-169.637</v>
      </c>
      <c r="L109" s="3">
        <f>(Table1[[#This Row],[Profit]]/Table1[[#This Row],[Sales]])*100</f>
        <v>-17.792286796094103</v>
      </c>
    </row>
    <row r="110" spans="1:12" x14ac:dyDescent="0.3">
      <c r="A110" t="s">
        <v>3837</v>
      </c>
      <c r="B110" s="1">
        <v>43817</v>
      </c>
      <c r="C110" t="s">
        <v>3838</v>
      </c>
      <c r="D110" t="s">
        <v>3839</v>
      </c>
      <c r="E110" t="s">
        <v>14</v>
      </c>
      <c r="F110" t="s">
        <v>41</v>
      </c>
      <c r="G110" t="s">
        <v>24</v>
      </c>
      <c r="H110" t="s">
        <v>3845</v>
      </c>
      <c r="I110" s="2">
        <v>254.05799999999999</v>
      </c>
      <c r="J110">
        <v>7</v>
      </c>
      <c r="K110" s="2">
        <v>-169.37200000000001</v>
      </c>
      <c r="L110" s="3">
        <f>(Table1[[#This Row],[Profit]]/Table1[[#This Row],[Sales]])*100</f>
        <v>-66.666666666666671</v>
      </c>
    </row>
    <row r="111" spans="1:12" x14ac:dyDescent="0.3">
      <c r="A111" t="s">
        <v>5387</v>
      </c>
      <c r="B111" s="1">
        <v>44088</v>
      </c>
      <c r="C111" t="s">
        <v>558</v>
      </c>
      <c r="D111" t="s">
        <v>559</v>
      </c>
      <c r="E111" t="s">
        <v>14</v>
      </c>
      <c r="F111" t="s">
        <v>15</v>
      </c>
      <c r="G111" t="s">
        <v>18</v>
      </c>
      <c r="H111" t="s">
        <v>5388</v>
      </c>
      <c r="I111" s="2">
        <v>264.17</v>
      </c>
      <c r="J111">
        <v>2</v>
      </c>
      <c r="K111" s="2">
        <v>-168.81899999999999</v>
      </c>
      <c r="L111" s="3">
        <f>(Table1[[#This Row],[Profit]]/Table1[[#This Row],[Sales]])*100</f>
        <v>-63.905439678994583</v>
      </c>
    </row>
    <row r="112" spans="1:12" x14ac:dyDescent="0.3">
      <c r="A112" t="s">
        <v>806</v>
      </c>
      <c r="B112" s="1">
        <v>43553</v>
      </c>
      <c r="C112" t="s">
        <v>807</v>
      </c>
      <c r="D112" t="s">
        <v>808</v>
      </c>
      <c r="E112" t="s">
        <v>14</v>
      </c>
      <c r="F112" t="s">
        <v>15</v>
      </c>
      <c r="G112" t="s">
        <v>16</v>
      </c>
      <c r="H112" t="s">
        <v>292</v>
      </c>
      <c r="I112" s="2">
        <v>299.97500000000002</v>
      </c>
      <c r="J112">
        <v>5</v>
      </c>
      <c r="K112" s="2">
        <v>-167.98599999999999</v>
      </c>
      <c r="L112" s="3">
        <f>(Table1[[#This Row],[Profit]]/Table1[[#This Row],[Sales]])*100</f>
        <v>-55.999999999999993</v>
      </c>
    </row>
    <row r="113" spans="1:12" x14ac:dyDescent="0.3">
      <c r="A113" t="s">
        <v>2794</v>
      </c>
      <c r="B113" s="1">
        <v>43726</v>
      </c>
      <c r="C113" t="s">
        <v>1168</v>
      </c>
      <c r="D113" t="s">
        <v>1169</v>
      </c>
      <c r="E113" t="s">
        <v>14</v>
      </c>
      <c r="F113" t="s">
        <v>41</v>
      </c>
      <c r="G113" t="s">
        <v>16</v>
      </c>
      <c r="H113" t="s">
        <v>200</v>
      </c>
      <c r="I113" s="2">
        <v>383.43799999999999</v>
      </c>
      <c r="J113">
        <v>4</v>
      </c>
      <c r="K113" s="2">
        <v>-167.3184</v>
      </c>
      <c r="L113" s="3">
        <f>(Table1[[#This Row],[Profit]]/Table1[[#This Row],[Sales]])*100</f>
        <v>-43.636363636363633</v>
      </c>
    </row>
    <row r="114" spans="1:12" x14ac:dyDescent="0.3">
      <c r="A114" t="s">
        <v>2613</v>
      </c>
      <c r="B114" s="1">
        <v>43713</v>
      </c>
      <c r="C114" t="s">
        <v>2292</v>
      </c>
      <c r="D114" t="s">
        <v>2293</v>
      </c>
      <c r="E114" t="s">
        <v>14</v>
      </c>
      <c r="F114" t="s">
        <v>29</v>
      </c>
      <c r="G114" t="s">
        <v>24</v>
      </c>
      <c r="H114" t="s">
        <v>2518</v>
      </c>
      <c r="I114" s="2">
        <v>62.79</v>
      </c>
      <c r="J114">
        <v>3</v>
      </c>
      <c r="K114" s="2">
        <v>-166.39349999999999</v>
      </c>
      <c r="L114" s="3">
        <f>(Table1[[#This Row],[Profit]]/Table1[[#This Row],[Sales]])*100</f>
        <v>-265</v>
      </c>
    </row>
    <row r="115" spans="1:12" x14ac:dyDescent="0.3">
      <c r="A115" t="s">
        <v>1225</v>
      </c>
      <c r="B115" s="1">
        <v>43588</v>
      </c>
      <c r="C115" t="s">
        <v>1226</v>
      </c>
      <c r="D115" t="s">
        <v>1227</v>
      </c>
      <c r="E115" t="s">
        <v>14</v>
      </c>
      <c r="F115" t="s">
        <v>15</v>
      </c>
      <c r="G115" t="s">
        <v>18</v>
      </c>
      <c r="H115" t="s">
        <v>1232</v>
      </c>
      <c r="I115" s="2">
        <v>224.93700000000001</v>
      </c>
      <c r="J115">
        <v>3</v>
      </c>
      <c r="K115" s="2">
        <v>-164.9538</v>
      </c>
      <c r="L115" s="3">
        <f>(Table1[[#This Row],[Profit]]/Table1[[#This Row],[Sales]])*100</f>
        <v>-73.333333333333329</v>
      </c>
    </row>
    <row r="116" spans="1:12" x14ac:dyDescent="0.3">
      <c r="A116" t="s">
        <v>5038</v>
      </c>
      <c r="B116" s="1">
        <v>44033</v>
      </c>
      <c r="C116" t="s">
        <v>2869</v>
      </c>
      <c r="D116" t="s">
        <v>2870</v>
      </c>
      <c r="E116" t="s">
        <v>14</v>
      </c>
      <c r="F116" t="s">
        <v>29</v>
      </c>
      <c r="G116" t="s">
        <v>24</v>
      </c>
      <c r="H116" t="s">
        <v>927</v>
      </c>
      <c r="I116" s="2">
        <v>122.19199999999999</v>
      </c>
      <c r="J116">
        <v>7</v>
      </c>
      <c r="K116" s="2">
        <v>-164.83600000000001</v>
      </c>
      <c r="L116" s="3">
        <f>(Table1[[#This Row],[Profit]]/Table1[[#This Row],[Sales]])*100</f>
        <v>-134.89917506874428</v>
      </c>
    </row>
    <row r="117" spans="1:12" x14ac:dyDescent="0.3">
      <c r="A117" t="s">
        <v>879</v>
      </c>
      <c r="B117" s="1">
        <v>43560</v>
      </c>
      <c r="C117" t="s">
        <v>880</v>
      </c>
      <c r="D117" t="s">
        <v>881</v>
      </c>
      <c r="E117" t="s">
        <v>14</v>
      </c>
      <c r="F117" t="s">
        <v>15</v>
      </c>
      <c r="G117" t="s">
        <v>24</v>
      </c>
      <c r="H117" t="s">
        <v>882</v>
      </c>
      <c r="I117" s="2">
        <v>769.18399999999997</v>
      </c>
      <c r="J117">
        <v>4</v>
      </c>
      <c r="K117" s="2">
        <v>-163.45160000000001</v>
      </c>
      <c r="L117" s="3">
        <f>(Table1[[#This Row],[Profit]]/Table1[[#This Row],[Sales]])*100</f>
        <v>-21.250000000000004</v>
      </c>
    </row>
    <row r="118" spans="1:12" x14ac:dyDescent="0.3">
      <c r="A118" t="s">
        <v>1725</v>
      </c>
      <c r="B118" s="1">
        <v>43628</v>
      </c>
      <c r="C118" t="s">
        <v>1726</v>
      </c>
      <c r="D118" t="s">
        <v>1727</v>
      </c>
      <c r="E118" t="s">
        <v>14</v>
      </c>
      <c r="F118" t="s">
        <v>29</v>
      </c>
      <c r="G118" t="s">
        <v>24</v>
      </c>
      <c r="H118" t="s">
        <v>1728</v>
      </c>
      <c r="I118" s="2">
        <v>64.384</v>
      </c>
      <c r="J118">
        <v>4</v>
      </c>
      <c r="K118" s="2">
        <v>-160.96</v>
      </c>
      <c r="L118" s="3">
        <f>(Table1[[#This Row],[Profit]]/Table1[[#This Row],[Sales]])*100</f>
        <v>-250</v>
      </c>
    </row>
    <row r="119" spans="1:12" x14ac:dyDescent="0.3">
      <c r="A119" t="s">
        <v>3275</v>
      </c>
      <c r="B119" s="1">
        <v>43774</v>
      </c>
      <c r="C119" t="s">
        <v>3064</v>
      </c>
      <c r="D119" t="s">
        <v>3065</v>
      </c>
      <c r="E119" t="s">
        <v>14</v>
      </c>
      <c r="F119" t="s">
        <v>29</v>
      </c>
      <c r="G119" t="s">
        <v>16</v>
      </c>
      <c r="H119" t="s">
        <v>2232</v>
      </c>
      <c r="I119" s="2">
        <v>863.12800000000004</v>
      </c>
      <c r="J119">
        <v>8</v>
      </c>
      <c r="K119" s="2">
        <v>-160.29519999999999</v>
      </c>
      <c r="L119" s="3">
        <f>(Table1[[#This Row],[Profit]]/Table1[[#This Row],[Sales]])*100</f>
        <v>-18.571428571428569</v>
      </c>
    </row>
    <row r="120" spans="1:12" x14ac:dyDescent="0.3">
      <c r="A120" t="s">
        <v>4553</v>
      </c>
      <c r="B120" s="1">
        <v>43951</v>
      </c>
      <c r="C120" t="s">
        <v>967</v>
      </c>
      <c r="D120" t="s">
        <v>968</v>
      </c>
      <c r="E120" t="s">
        <v>14</v>
      </c>
      <c r="F120" t="s">
        <v>15</v>
      </c>
      <c r="G120" t="s">
        <v>18</v>
      </c>
      <c r="H120" t="s">
        <v>3437</v>
      </c>
      <c r="I120" s="2">
        <v>719.58</v>
      </c>
      <c r="J120">
        <v>5</v>
      </c>
      <c r="K120" s="2">
        <v>-158.102</v>
      </c>
      <c r="L120" s="3">
        <f>(Table1[[#This Row],[Profit]]/Table1[[#This Row],[Sales]])*100</f>
        <v>-21.971427777314545</v>
      </c>
    </row>
    <row r="121" spans="1:12" x14ac:dyDescent="0.3">
      <c r="A121" t="s">
        <v>2701</v>
      </c>
      <c r="B121" s="1">
        <v>43719</v>
      </c>
      <c r="C121" t="s">
        <v>2702</v>
      </c>
      <c r="D121" t="s">
        <v>2703</v>
      </c>
      <c r="E121" t="s">
        <v>14</v>
      </c>
      <c r="F121" t="s">
        <v>15</v>
      </c>
      <c r="G121" t="s">
        <v>18</v>
      </c>
      <c r="H121" t="s">
        <v>2705</v>
      </c>
      <c r="I121" s="2">
        <v>728.94600000000003</v>
      </c>
      <c r="J121">
        <v>9</v>
      </c>
      <c r="K121" s="2">
        <v>-157.9383</v>
      </c>
      <c r="L121" s="3">
        <f>(Table1[[#This Row],[Profit]]/Table1[[#This Row],[Sales]])*100</f>
        <v>-21.666666666666664</v>
      </c>
    </row>
    <row r="122" spans="1:12" x14ac:dyDescent="0.3">
      <c r="A122" t="s">
        <v>3682</v>
      </c>
      <c r="B122" s="1">
        <v>43802</v>
      </c>
      <c r="C122" t="s">
        <v>3683</v>
      </c>
      <c r="D122" t="s">
        <v>3684</v>
      </c>
      <c r="E122" t="s">
        <v>14</v>
      </c>
      <c r="F122" t="s">
        <v>15</v>
      </c>
      <c r="G122" t="s">
        <v>16</v>
      </c>
      <c r="H122" t="s">
        <v>3685</v>
      </c>
      <c r="I122" s="2">
        <v>400.03199999999998</v>
      </c>
      <c r="J122">
        <v>2</v>
      </c>
      <c r="K122" s="2">
        <v>-153.34559999999999</v>
      </c>
      <c r="L122" s="3">
        <f>(Table1[[#This Row],[Profit]]/Table1[[#This Row],[Sales]])*100</f>
        <v>-38.333333333333329</v>
      </c>
    </row>
    <row r="123" spans="1:12" x14ac:dyDescent="0.3">
      <c r="A123" t="s">
        <v>2319</v>
      </c>
      <c r="B123" s="1">
        <v>43690</v>
      </c>
      <c r="C123" t="s">
        <v>2320</v>
      </c>
      <c r="D123" t="s">
        <v>2321</v>
      </c>
      <c r="E123" t="s">
        <v>14</v>
      </c>
      <c r="F123" t="s">
        <v>29</v>
      </c>
      <c r="G123" t="s">
        <v>24</v>
      </c>
      <c r="H123" t="s">
        <v>2322</v>
      </c>
      <c r="I123" s="2">
        <v>58.923999999999999</v>
      </c>
      <c r="J123">
        <v>1</v>
      </c>
      <c r="K123" s="2">
        <v>-153.20240000000001</v>
      </c>
      <c r="L123" s="3">
        <f>(Table1[[#This Row],[Profit]]/Table1[[#This Row],[Sales]])*100</f>
        <v>-260</v>
      </c>
    </row>
    <row r="124" spans="1:12" x14ac:dyDescent="0.3">
      <c r="A124" t="s">
        <v>4583</v>
      </c>
      <c r="B124" s="1">
        <v>43956</v>
      </c>
      <c r="C124" t="s">
        <v>3257</v>
      </c>
      <c r="D124" t="s">
        <v>3258</v>
      </c>
      <c r="E124" t="s">
        <v>14</v>
      </c>
      <c r="F124" t="s">
        <v>23</v>
      </c>
      <c r="G124" t="s">
        <v>16</v>
      </c>
      <c r="H124" t="s">
        <v>2926</v>
      </c>
      <c r="I124" s="2">
        <v>136.99100000000001</v>
      </c>
      <c r="J124">
        <v>3</v>
      </c>
      <c r="K124" s="2">
        <v>-152.9847</v>
      </c>
      <c r="L124" s="3">
        <f>(Table1[[#This Row],[Profit]]/Table1[[#This Row],[Sales]])*100</f>
        <v>-111.6750005474812</v>
      </c>
    </row>
    <row r="125" spans="1:12" x14ac:dyDescent="0.3">
      <c r="A125" t="s">
        <v>3075</v>
      </c>
      <c r="B125" s="1">
        <v>43751</v>
      </c>
      <c r="C125" t="s">
        <v>2286</v>
      </c>
      <c r="D125" t="s">
        <v>2287</v>
      </c>
      <c r="E125" t="s">
        <v>14</v>
      </c>
      <c r="F125" t="s">
        <v>29</v>
      </c>
      <c r="G125" t="s">
        <v>16</v>
      </c>
      <c r="H125" t="s">
        <v>2558</v>
      </c>
      <c r="I125" s="2">
        <v>139.91999999999999</v>
      </c>
      <c r="J125">
        <v>5</v>
      </c>
      <c r="K125" s="2">
        <v>-150.41399999999999</v>
      </c>
      <c r="L125" s="3">
        <f>(Table1[[#This Row],[Profit]]/Table1[[#This Row],[Sales]])*100</f>
        <v>-107.5</v>
      </c>
    </row>
    <row r="126" spans="1:12" x14ac:dyDescent="0.3">
      <c r="A126" t="s">
        <v>2536</v>
      </c>
      <c r="B126" s="1">
        <v>43710</v>
      </c>
      <c r="C126" t="s">
        <v>1992</v>
      </c>
      <c r="D126" t="s">
        <v>1993</v>
      </c>
      <c r="E126" t="s">
        <v>14</v>
      </c>
      <c r="F126" t="s">
        <v>41</v>
      </c>
      <c r="G126" t="s">
        <v>16</v>
      </c>
      <c r="H126" t="s">
        <v>2539</v>
      </c>
      <c r="I126" s="2">
        <v>472.51799999999997</v>
      </c>
      <c r="J126">
        <v>3</v>
      </c>
      <c r="K126" s="2">
        <v>-149.63069999999999</v>
      </c>
      <c r="L126" s="3">
        <f>(Table1[[#This Row],[Profit]]/Table1[[#This Row],[Sales]])*100</f>
        <v>-31.666666666666664</v>
      </c>
    </row>
    <row r="127" spans="1:12" x14ac:dyDescent="0.3">
      <c r="A127" t="s">
        <v>3729</v>
      </c>
      <c r="B127" s="1">
        <v>43807</v>
      </c>
      <c r="C127" t="s">
        <v>3730</v>
      </c>
      <c r="D127" t="s">
        <v>3731</v>
      </c>
      <c r="E127" t="s">
        <v>14</v>
      </c>
      <c r="F127" t="s">
        <v>29</v>
      </c>
      <c r="G127" t="s">
        <v>16</v>
      </c>
      <c r="H127" t="s">
        <v>2738</v>
      </c>
      <c r="I127" s="2">
        <v>190.92</v>
      </c>
      <c r="J127">
        <v>5</v>
      </c>
      <c r="K127" s="2">
        <v>-147.96299999999999</v>
      </c>
      <c r="L127" s="3">
        <f>(Table1[[#This Row],[Profit]]/Table1[[#This Row],[Sales]])*100</f>
        <v>-77.5</v>
      </c>
    </row>
    <row r="128" spans="1:12" x14ac:dyDescent="0.3">
      <c r="A128" t="s">
        <v>3775</v>
      </c>
      <c r="B128" s="1">
        <v>43810</v>
      </c>
      <c r="C128" t="s">
        <v>267</v>
      </c>
      <c r="D128" t="s">
        <v>268</v>
      </c>
      <c r="E128" t="s">
        <v>14</v>
      </c>
      <c r="F128" t="s">
        <v>15</v>
      </c>
      <c r="G128" t="s">
        <v>16</v>
      </c>
      <c r="H128" t="s">
        <v>2674</v>
      </c>
      <c r="I128" s="2">
        <v>328.59</v>
      </c>
      <c r="J128">
        <v>3</v>
      </c>
      <c r="K128" s="2">
        <v>-147.8655</v>
      </c>
      <c r="L128" s="3">
        <f>(Table1[[#This Row],[Profit]]/Table1[[#This Row],[Sales]])*100</f>
        <v>-45</v>
      </c>
    </row>
    <row r="129" spans="1:12" x14ac:dyDescent="0.3">
      <c r="A129" t="s">
        <v>4991</v>
      </c>
      <c r="B129" s="1">
        <v>44021</v>
      </c>
      <c r="C129" t="s">
        <v>267</v>
      </c>
      <c r="D129" t="s">
        <v>268</v>
      </c>
      <c r="E129" t="s">
        <v>14</v>
      </c>
      <c r="F129" t="s">
        <v>29</v>
      </c>
      <c r="G129" t="s">
        <v>24</v>
      </c>
      <c r="H129" t="s">
        <v>3355</v>
      </c>
      <c r="I129" s="2">
        <v>152.464</v>
      </c>
      <c r="J129">
        <v>9</v>
      </c>
      <c r="K129" s="2">
        <v>-146.16</v>
      </c>
      <c r="L129" s="3">
        <f>(Table1[[#This Row],[Profit]]/Table1[[#This Row],[Sales]])*100</f>
        <v>-95.865253436876898</v>
      </c>
    </row>
    <row r="130" spans="1:12" x14ac:dyDescent="0.3">
      <c r="A130" t="s">
        <v>5834</v>
      </c>
      <c r="B130" s="1">
        <v>44145</v>
      </c>
      <c r="C130" t="s">
        <v>5835</v>
      </c>
      <c r="D130" t="s">
        <v>5836</v>
      </c>
      <c r="E130" t="s">
        <v>14</v>
      </c>
      <c r="F130" t="s">
        <v>23</v>
      </c>
      <c r="G130" t="s">
        <v>16</v>
      </c>
      <c r="H130" t="s">
        <v>2502</v>
      </c>
      <c r="I130" s="2">
        <v>931.13599999999997</v>
      </c>
      <c r="J130">
        <v>4</v>
      </c>
      <c r="K130" s="2">
        <v>-146.1096</v>
      </c>
      <c r="L130" s="3">
        <f>(Table1[[#This Row],[Profit]]/Table1[[#This Row],[Sales]])*100</f>
        <v>-15.691542374046326</v>
      </c>
    </row>
    <row r="131" spans="1:12" x14ac:dyDescent="0.3">
      <c r="A131" t="s">
        <v>1006</v>
      </c>
      <c r="B131" s="1">
        <v>43570</v>
      </c>
      <c r="C131" t="s">
        <v>1007</v>
      </c>
      <c r="D131" t="s">
        <v>1008</v>
      </c>
      <c r="E131" t="s">
        <v>14</v>
      </c>
      <c r="F131" t="s">
        <v>41</v>
      </c>
      <c r="G131" t="s">
        <v>24</v>
      </c>
      <c r="H131" t="s">
        <v>1009</v>
      </c>
      <c r="I131" s="2">
        <v>189.58799999999999</v>
      </c>
      <c r="J131">
        <v>2</v>
      </c>
      <c r="K131" s="2">
        <v>-145.35079999999999</v>
      </c>
      <c r="L131" s="3">
        <f>(Table1[[#This Row],[Profit]]/Table1[[#This Row],[Sales]])*100</f>
        <v>-76.666666666666657</v>
      </c>
    </row>
    <row r="132" spans="1:12" x14ac:dyDescent="0.3">
      <c r="A132" t="s">
        <v>5614</v>
      </c>
      <c r="B132" s="1">
        <v>44117</v>
      </c>
      <c r="C132" t="s">
        <v>2678</v>
      </c>
      <c r="D132" t="s">
        <v>2679</v>
      </c>
      <c r="E132" t="s">
        <v>14</v>
      </c>
      <c r="F132" t="s">
        <v>29</v>
      </c>
      <c r="G132" t="s">
        <v>24</v>
      </c>
      <c r="H132" t="s">
        <v>3845</v>
      </c>
      <c r="I132" s="2">
        <v>117.78400000000001</v>
      </c>
      <c r="J132">
        <v>4</v>
      </c>
      <c r="K132" s="2">
        <v>-145.17599999999999</v>
      </c>
      <c r="L132" s="3">
        <f>(Table1[[#This Row],[Profit]]/Table1[[#This Row],[Sales]])*100</f>
        <v>-123.25612986483732</v>
      </c>
    </row>
    <row r="133" spans="1:12" x14ac:dyDescent="0.3">
      <c r="A133" t="s">
        <v>678</v>
      </c>
      <c r="B133" s="1">
        <v>43539</v>
      </c>
      <c r="C133" t="s">
        <v>679</v>
      </c>
      <c r="D133" t="s">
        <v>680</v>
      </c>
      <c r="E133" t="s">
        <v>14</v>
      </c>
      <c r="F133" t="s">
        <v>29</v>
      </c>
      <c r="G133" t="s">
        <v>16</v>
      </c>
      <c r="H133" t="s">
        <v>681</v>
      </c>
      <c r="I133" s="2">
        <v>528.42999999999995</v>
      </c>
      <c r="J133">
        <v>5</v>
      </c>
      <c r="K133" s="2">
        <v>-143.43100000000001</v>
      </c>
      <c r="L133" s="3">
        <f>(Table1[[#This Row],[Profit]]/Table1[[#This Row],[Sales]])*100</f>
        <v>-27.142857142857146</v>
      </c>
    </row>
    <row r="134" spans="1:12" x14ac:dyDescent="0.3">
      <c r="A134" t="s">
        <v>1192</v>
      </c>
      <c r="B134" s="1">
        <v>43586</v>
      </c>
      <c r="C134" t="s">
        <v>950</v>
      </c>
      <c r="D134" t="s">
        <v>951</v>
      </c>
      <c r="E134" t="s">
        <v>14</v>
      </c>
      <c r="F134" t="s">
        <v>41</v>
      </c>
      <c r="G134" t="s">
        <v>16</v>
      </c>
      <c r="H134" t="s">
        <v>1194</v>
      </c>
      <c r="I134" s="2">
        <v>370.62</v>
      </c>
      <c r="J134">
        <v>3</v>
      </c>
      <c r="K134" s="2">
        <v>-142.071</v>
      </c>
      <c r="L134" s="3">
        <f>(Table1[[#This Row],[Profit]]/Table1[[#This Row],[Sales]])*100</f>
        <v>-38.333333333333329</v>
      </c>
    </row>
    <row r="135" spans="1:12" x14ac:dyDescent="0.3">
      <c r="A135" t="s">
        <v>5812</v>
      </c>
      <c r="B135" s="1">
        <v>44142</v>
      </c>
      <c r="C135" t="s">
        <v>3064</v>
      </c>
      <c r="D135" t="s">
        <v>3065</v>
      </c>
      <c r="E135" t="s">
        <v>14</v>
      </c>
      <c r="F135" t="s">
        <v>15</v>
      </c>
      <c r="G135" t="s">
        <v>16</v>
      </c>
      <c r="H135" t="s">
        <v>522</v>
      </c>
      <c r="I135" s="2">
        <v>377.35199999999998</v>
      </c>
      <c r="J135">
        <v>4</v>
      </c>
      <c r="K135" s="2">
        <v>-140.14080000000001</v>
      </c>
      <c r="L135" s="3">
        <f>(Table1[[#This Row],[Profit]]/Table1[[#This Row],[Sales]])*100</f>
        <v>-37.1379507727533</v>
      </c>
    </row>
    <row r="136" spans="1:12" x14ac:dyDescent="0.3">
      <c r="A136" t="s">
        <v>636</v>
      </c>
      <c r="B136" s="1">
        <v>43537</v>
      </c>
      <c r="C136" t="s">
        <v>637</v>
      </c>
      <c r="D136" t="s">
        <v>638</v>
      </c>
      <c r="E136" t="s">
        <v>14</v>
      </c>
      <c r="F136" t="s">
        <v>15</v>
      </c>
      <c r="G136" t="s">
        <v>24</v>
      </c>
      <c r="H136" t="s">
        <v>643</v>
      </c>
      <c r="I136" s="2">
        <v>552.55999999999995</v>
      </c>
      <c r="J136">
        <v>5</v>
      </c>
      <c r="K136" s="2">
        <v>-138.13999999999999</v>
      </c>
      <c r="L136" s="3">
        <f>(Table1[[#This Row],[Profit]]/Table1[[#This Row],[Sales]])*100</f>
        <v>-25</v>
      </c>
    </row>
    <row r="137" spans="1:12" x14ac:dyDescent="0.3">
      <c r="A137" t="s">
        <v>3659</v>
      </c>
      <c r="B137" s="1">
        <v>43801</v>
      </c>
      <c r="C137" t="s">
        <v>679</v>
      </c>
      <c r="D137" t="s">
        <v>680</v>
      </c>
      <c r="E137" t="s">
        <v>14</v>
      </c>
      <c r="F137" t="s">
        <v>29</v>
      </c>
      <c r="G137" t="s">
        <v>16</v>
      </c>
      <c r="H137" t="s">
        <v>3660</v>
      </c>
      <c r="I137" s="2">
        <v>81.864000000000004</v>
      </c>
      <c r="J137">
        <v>10</v>
      </c>
      <c r="K137" s="2">
        <v>-137.976</v>
      </c>
      <c r="L137" s="3">
        <f>(Table1[[#This Row],[Profit]]/Table1[[#This Row],[Sales]])*100</f>
        <v>-168.54294928173553</v>
      </c>
    </row>
    <row r="138" spans="1:12" x14ac:dyDescent="0.3">
      <c r="A138" t="s">
        <v>3775</v>
      </c>
      <c r="B138" s="1">
        <v>43810</v>
      </c>
      <c r="C138" t="s">
        <v>267</v>
      </c>
      <c r="D138" t="s">
        <v>268</v>
      </c>
      <c r="E138" t="s">
        <v>14</v>
      </c>
      <c r="F138" t="s">
        <v>15</v>
      </c>
      <c r="G138" t="s">
        <v>16</v>
      </c>
      <c r="H138" t="s">
        <v>1216</v>
      </c>
      <c r="I138" s="2">
        <v>458.43</v>
      </c>
      <c r="J138">
        <v>5</v>
      </c>
      <c r="K138" s="2">
        <v>-137.529</v>
      </c>
      <c r="L138" s="3">
        <f>(Table1[[#This Row],[Profit]]/Table1[[#This Row],[Sales]])*100</f>
        <v>-30</v>
      </c>
    </row>
    <row r="139" spans="1:12" x14ac:dyDescent="0.3">
      <c r="A139" t="s">
        <v>2940</v>
      </c>
      <c r="B139" s="1">
        <v>43734</v>
      </c>
      <c r="C139" t="s">
        <v>2941</v>
      </c>
      <c r="D139" t="s">
        <v>2942</v>
      </c>
      <c r="E139" t="s">
        <v>14</v>
      </c>
      <c r="F139" t="s">
        <v>29</v>
      </c>
      <c r="G139" t="s">
        <v>16</v>
      </c>
      <c r="H139" t="s">
        <v>2944</v>
      </c>
      <c r="I139" s="2">
        <v>454.96499999999997</v>
      </c>
      <c r="J139">
        <v>5</v>
      </c>
      <c r="K139" s="2">
        <v>-136.48949999999999</v>
      </c>
      <c r="L139" s="3">
        <f>(Table1[[#This Row],[Profit]]/Table1[[#This Row],[Sales]])*100</f>
        <v>-30</v>
      </c>
    </row>
    <row r="140" spans="1:12" x14ac:dyDescent="0.3">
      <c r="A140" t="s">
        <v>6234</v>
      </c>
      <c r="B140" s="1">
        <v>44187</v>
      </c>
      <c r="C140" t="s">
        <v>2244</v>
      </c>
      <c r="D140" t="s">
        <v>2245</v>
      </c>
      <c r="E140" t="s">
        <v>14</v>
      </c>
      <c r="F140" t="s">
        <v>23</v>
      </c>
      <c r="G140" t="s">
        <v>16</v>
      </c>
      <c r="H140" t="s">
        <v>2674</v>
      </c>
      <c r="I140" s="2">
        <v>466.55</v>
      </c>
      <c r="J140">
        <v>2</v>
      </c>
      <c r="K140" s="2">
        <v>-135.08699999999999</v>
      </c>
      <c r="L140" s="3">
        <f>(Table1[[#This Row],[Profit]]/Table1[[#This Row],[Sales]])*100</f>
        <v>-28.954452898939014</v>
      </c>
    </row>
    <row r="141" spans="1:12" x14ac:dyDescent="0.3">
      <c r="A141" t="s">
        <v>1323</v>
      </c>
      <c r="B141" s="1">
        <v>43594</v>
      </c>
      <c r="C141" t="s">
        <v>1324</v>
      </c>
      <c r="D141" t="s">
        <v>1325</v>
      </c>
      <c r="E141" t="s">
        <v>14</v>
      </c>
      <c r="F141" t="s">
        <v>29</v>
      </c>
      <c r="G141" t="s">
        <v>24</v>
      </c>
      <c r="H141" t="s">
        <v>1328</v>
      </c>
      <c r="I141" s="2">
        <v>48.783999999999999</v>
      </c>
      <c r="J141">
        <v>4</v>
      </c>
      <c r="K141" s="2">
        <v>-131.71680000000001</v>
      </c>
      <c r="L141" s="3">
        <f>(Table1[[#This Row],[Profit]]/Table1[[#This Row],[Sales]])*100</f>
        <v>-270</v>
      </c>
    </row>
    <row r="142" spans="1:12" x14ac:dyDescent="0.3">
      <c r="A142" t="s">
        <v>4297</v>
      </c>
      <c r="B142" s="1">
        <v>43909</v>
      </c>
      <c r="C142" t="s">
        <v>1235</v>
      </c>
      <c r="D142" t="s">
        <v>1236</v>
      </c>
      <c r="E142" t="s">
        <v>14</v>
      </c>
      <c r="F142" t="s">
        <v>23</v>
      </c>
      <c r="G142" t="s">
        <v>18</v>
      </c>
      <c r="H142" t="s">
        <v>4152</v>
      </c>
      <c r="I142" s="2">
        <v>696.50400000000002</v>
      </c>
      <c r="J142">
        <v>6</v>
      </c>
      <c r="K142" s="2">
        <v>-131.5008</v>
      </c>
      <c r="L142" s="3">
        <f>(Table1[[#This Row],[Profit]]/Table1[[#This Row],[Sales]])*100</f>
        <v>-18.880121291478584</v>
      </c>
    </row>
    <row r="143" spans="1:12" x14ac:dyDescent="0.3">
      <c r="A143" t="s">
        <v>5945</v>
      </c>
      <c r="B143" s="1">
        <v>44154</v>
      </c>
      <c r="C143" t="s">
        <v>3021</v>
      </c>
      <c r="D143" t="s">
        <v>3022</v>
      </c>
      <c r="E143" t="s">
        <v>14</v>
      </c>
      <c r="F143" t="s">
        <v>29</v>
      </c>
      <c r="G143" t="s">
        <v>16</v>
      </c>
      <c r="H143" t="s">
        <v>2302</v>
      </c>
      <c r="I143" s="2">
        <v>249.07499999999999</v>
      </c>
      <c r="J143">
        <v>3</v>
      </c>
      <c r="K143" s="2">
        <v>-131.44499999999999</v>
      </c>
      <c r="L143" s="3">
        <f>(Table1[[#This Row],[Profit]]/Table1[[#This Row],[Sales]])*100</f>
        <v>-52.773261065943991</v>
      </c>
    </row>
    <row r="144" spans="1:12" x14ac:dyDescent="0.3">
      <c r="A144" t="s">
        <v>5443</v>
      </c>
      <c r="B144" s="1">
        <v>44093</v>
      </c>
      <c r="C144" t="s">
        <v>328</v>
      </c>
      <c r="D144" t="s">
        <v>329</v>
      </c>
      <c r="E144" t="s">
        <v>14</v>
      </c>
      <c r="F144" t="s">
        <v>23</v>
      </c>
      <c r="G144" t="s">
        <v>16</v>
      </c>
      <c r="H144" t="s">
        <v>4517</v>
      </c>
      <c r="I144" s="2">
        <v>111.58799999999999</v>
      </c>
      <c r="J144">
        <v>2</v>
      </c>
      <c r="K144" s="2">
        <v>-128.2388</v>
      </c>
      <c r="L144" s="3">
        <f>(Table1[[#This Row],[Profit]]/Table1[[#This Row],[Sales]])*100</f>
        <v>-114.92167616589597</v>
      </c>
    </row>
    <row r="145" spans="1:12" x14ac:dyDescent="0.3">
      <c r="A145" t="s">
        <v>474</v>
      </c>
      <c r="B145" s="1">
        <v>43527</v>
      </c>
      <c r="C145" t="s">
        <v>475</v>
      </c>
      <c r="D145" t="s">
        <v>476</v>
      </c>
      <c r="E145" t="s">
        <v>14</v>
      </c>
      <c r="F145" t="s">
        <v>29</v>
      </c>
      <c r="G145" t="s">
        <v>16</v>
      </c>
      <c r="H145" t="s">
        <v>477</v>
      </c>
      <c r="I145" s="2">
        <v>637.89599999999996</v>
      </c>
      <c r="J145">
        <v>3</v>
      </c>
      <c r="K145" s="2">
        <v>-127.5792</v>
      </c>
      <c r="L145" s="3">
        <f>(Table1[[#This Row],[Profit]]/Table1[[#This Row],[Sales]])*100</f>
        <v>-20</v>
      </c>
    </row>
    <row r="146" spans="1:12" x14ac:dyDescent="0.3">
      <c r="A146" t="s">
        <v>5692</v>
      </c>
      <c r="B146" s="1">
        <v>44127</v>
      </c>
      <c r="C146" t="s">
        <v>1883</v>
      </c>
      <c r="D146" t="s">
        <v>1884</v>
      </c>
      <c r="E146" t="s">
        <v>14</v>
      </c>
      <c r="F146" t="s">
        <v>15</v>
      </c>
      <c r="G146" t="s">
        <v>16</v>
      </c>
      <c r="H146" t="s">
        <v>477</v>
      </c>
      <c r="I146" s="2">
        <v>668.89599999999996</v>
      </c>
      <c r="J146">
        <v>3</v>
      </c>
      <c r="K146" s="2">
        <v>-127.5792</v>
      </c>
      <c r="L146" s="3">
        <f>(Table1[[#This Row],[Profit]]/Table1[[#This Row],[Sales]])*100</f>
        <v>-19.07309955508779</v>
      </c>
    </row>
    <row r="147" spans="1:12" x14ac:dyDescent="0.3">
      <c r="A147" t="s">
        <v>1095</v>
      </c>
      <c r="B147" s="1">
        <v>43576</v>
      </c>
      <c r="C147" t="s">
        <v>664</v>
      </c>
      <c r="D147" t="s">
        <v>665</v>
      </c>
      <c r="E147" t="s">
        <v>14</v>
      </c>
      <c r="F147" t="s">
        <v>29</v>
      </c>
      <c r="G147" t="s">
        <v>24</v>
      </c>
      <c r="H147" t="s">
        <v>1097</v>
      </c>
      <c r="I147" s="2">
        <v>48.792000000000002</v>
      </c>
      <c r="J147">
        <v>3</v>
      </c>
      <c r="K147" s="2">
        <v>-126.8592</v>
      </c>
      <c r="L147" s="3">
        <f>(Table1[[#This Row],[Profit]]/Table1[[#This Row],[Sales]])*100</f>
        <v>-260</v>
      </c>
    </row>
    <row r="148" spans="1:12" x14ac:dyDescent="0.3">
      <c r="A148" t="s">
        <v>4638</v>
      </c>
      <c r="B148" s="1">
        <v>43964</v>
      </c>
      <c r="C148" t="s">
        <v>2414</v>
      </c>
      <c r="D148" t="s">
        <v>2415</v>
      </c>
      <c r="E148" t="s">
        <v>14</v>
      </c>
      <c r="F148" t="s">
        <v>15</v>
      </c>
      <c r="G148" t="s">
        <v>16</v>
      </c>
      <c r="H148" t="s">
        <v>4639</v>
      </c>
      <c r="I148" s="2">
        <v>504.43</v>
      </c>
      <c r="J148">
        <v>5</v>
      </c>
      <c r="K148" s="2">
        <v>-124.431</v>
      </c>
      <c r="L148" s="3">
        <f>(Table1[[#This Row],[Profit]]/Table1[[#This Row],[Sales]])*100</f>
        <v>-24.667644668239397</v>
      </c>
    </row>
    <row r="149" spans="1:12" x14ac:dyDescent="0.3">
      <c r="A149" t="s">
        <v>1332</v>
      </c>
      <c r="B149" s="1">
        <v>43595</v>
      </c>
      <c r="C149" t="s">
        <v>1333</v>
      </c>
      <c r="D149" t="s">
        <v>1334</v>
      </c>
      <c r="E149" t="s">
        <v>14</v>
      </c>
      <c r="F149" t="s">
        <v>15</v>
      </c>
      <c r="G149" t="s">
        <v>18</v>
      </c>
      <c r="H149" t="s">
        <v>1335</v>
      </c>
      <c r="I149" s="2">
        <v>743.98800000000006</v>
      </c>
      <c r="J149">
        <v>2</v>
      </c>
      <c r="K149" s="2">
        <v>-123.998</v>
      </c>
      <c r="L149" s="3">
        <f>(Table1[[#This Row],[Profit]]/Table1[[#This Row],[Sales]])*100</f>
        <v>-16.666666666666664</v>
      </c>
    </row>
    <row r="150" spans="1:12" x14ac:dyDescent="0.3">
      <c r="A150" t="s">
        <v>1609</v>
      </c>
      <c r="B150" s="1">
        <v>43620</v>
      </c>
      <c r="C150" t="s">
        <v>1472</v>
      </c>
      <c r="D150" t="s">
        <v>1473</v>
      </c>
      <c r="E150" t="s">
        <v>14</v>
      </c>
      <c r="F150" t="s">
        <v>29</v>
      </c>
      <c r="G150" t="s">
        <v>16</v>
      </c>
      <c r="H150" t="s">
        <v>1612</v>
      </c>
      <c r="I150" s="2">
        <v>177.22499999999999</v>
      </c>
      <c r="J150">
        <v>5</v>
      </c>
      <c r="K150" s="2">
        <v>-120.51300000000001</v>
      </c>
      <c r="L150" s="3">
        <f>(Table1[[#This Row],[Profit]]/Table1[[#This Row],[Sales]])*100</f>
        <v>-68</v>
      </c>
    </row>
    <row r="151" spans="1:12" x14ac:dyDescent="0.3">
      <c r="A151" t="s">
        <v>5683</v>
      </c>
      <c r="B151" s="1">
        <v>44126</v>
      </c>
      <c r="C151" t="s">
        <v>3490</v>
      </c>
      <c r="D151" t="s">
        <v>3491</v>
      </c>
      <c r="E151" t="s">
        <v>14</v>
      </c>
      <c r="F151" t="s">
        <v>23</v>
      </c>
      <c r="G151" t="s">
        <v>16</v>
      </c>
      <c r="H151" t="s">
        <v>1612</v>
      </c>
      <c r="I151" s="2">
        <v>195.22499999999999</v>
      </c>
      <c r="J151">
        <v>5</v>
      </c>
      <c r="K151" s="2">
        <v>-120.51300000000001</v>
      </c>
      <c r="L151" s="3">
        <f>(Table1[[#This Row],[Profit]]/Table1[[#This Row],[Sales]])*100</f>
        <v>-61.730311179408382</v>
      </c>
    </row>
    <row r="152" spans="1:12" x14ac:dyDescent="0.3">
      <c r="A152" t="s">
        <v>3590</v>
      </c>
      <c r="B152" s="1">
        <v>43795</v>
      </c>
      <c r="C152" t="s">
        <v>605</v>
      </c>
      <c r="D152" t="s">
        <v>606</v>
      </c>
      <c r="E152" t="s">
        <v>14</v>
      </c>
      <c r="F152" t="s">
        <v>15</v>
      </c>
      <c r="G152" t="s">
        <v>16</v>
      </c>
      <c r="H152" t="s">
        <v>3591</v>
      </c>
      <c r="I152" s="2">
        <v>313.17599999999999</v>
      </c>
      <c r="J152">
        <v>2</v>
      </c>
      <c r="K152" s="2">
        <v>-120.0508</v>
      </c>
      <c r="L152" s="3">
        <f>(Table1[[#This Row],[Profit]]/Table1[[#This Row],[Sales]])*100</f>
        <v>-38.333333333333336</v>
      </c>
    </row>
    <row r="153" spans="1:12" x14ac:dyDescent="0.3">
      <c r="A153" t="s">
        <v>3902</v>
      </c>
      <c r="B153" s="1">
        <v>43824</v>
      </c>
      <c r="C153" t="s">
        <v>2163</v>
      </c>
      <c r="D153" t="s">
        <v>2164</v>
      </c>
      <c r="E153" t="s">
        <v>14</v>
      </c>
      <c r="F153" t="s">
        <v>15</v>
      </c>
      <c r="G153" t="s">
        <v>16</v>
      </c>
      <c r="H153" t="s">
        <v>3591</v>
      </c>
      <c r="I153" s="2">
        <v>313.17599999999999</v>
      </c>
      <c r="J153">
        <v>2</v>
      </c>
      <c r="K153" s="2">
        <v>-120.0508</v>
      </c>
      <c r="L153" s="3">
        <f>(Table1[[#This Row],[Profit]]/Table1[[#This Row],[Sales]])*100</f>
        <v>-38.333333333333336</v>
      </c>
    </row>
    <row r="154" spans="1:12" x14ac:dyDescent="0.3">
      <c r="A154" t="s">
        <v>1725</v>
      </c>
      <c r="B154" s="1">
        <v>43628</v>
      </c>
      <c r="C154" t="s">
        <v>1726</v>
      </c>
      <c r="D154" t="s">
        <v>1727</v>
      </c>
      <c r="E154" t="s">
        <v>14</v>
      </c>
      <c r="F154" t="s">
        <v>29</v>
      </c>
      <c r="G154" t="s">
        <v>16</v>
      </c>
      <c r="H154" t="s">
        <v>1732</v>
      </c>
      <c r="I154" s="2">
        <v>379.37200000000001</v>
      </c>
      <c r="J154">
        <v>2</v>
      </c>
      <c r="K154" s="2">
        <v>-119.2312</v>
      </c>
      <c r="L154" s="3">
        <f>(Table1[[#This Row],[Profit]]/Table1[[#This Row],[Sales]])*100</f>
        <v>-31.428571428571427</v>
      </c>
    </row>
    <row r="155" spans="1:12" x14ac:dyDescent="0.3">
      <c r="A155" t="s">
        <v>4596</v>
      </c>
      <c r="B155" s="1">
        <v>43957</v>
      </c>
      <c r="C155" t="s">
        <v>4189</v>
      </c>
      <c r="D155" t="s">
        <v>4190</v>
      </c>
      <c r="E155" t="s">
        <v>14</v>
      </c>
      <c r="F155" t="s">
        <v>29</v>
      </c>
      <c r="G155" t="s">
        <v>16</v>
      </c>
      <c r="H155" t="s">
        <v>4148</v>
      </c>
      <c r="I155" s="2">
        <v>650.46479999999997</v>
      </c>
      <c r="J155">
        <v>7</v>
      </c>
      <c r="K155" s="2">
        <v>-119.1918</v>
      </c>
      <c r="L155" s="3">
        <f>(Table1[[#This Row],[Profit]]/Table1[[#This Row],[Sales]])*100</f>
        <v>-18.324096861198331</v>
      </c>
    </row>
    <row r="156" spans="1:12" x14ac:dyDescent="0.3">
      <c r="A156" t="s">
        <v>1749</v>
      </c>
      <c r="B156" s="1">
        <v>43630</v>
      </c>
      <c r="C156" t="s">
        <v>1750</v>
      </c>
      <c r="D156" t="s">
        <v>1751</v>
      </c>
      <c r="E156" t="s">
        <v>14</v>
      </c>
      <c r="F156" t="s">
        <v>15</v>
      </c>
      <c r="G156" t="s">
        <v>16</v>
      </c>
      <c r="H156" t="s">
        <v>1261</v>
      </c>
      <c r="I156" s="2">
        <v>337.17599999999999</v>
      </c>
      <c r="J156">
        <v>2</v>
      </c>
      <c r="K156" s="2">
        <v>-118.0116</v>
      </c>
      <c r="L156" s="3">
        <f>(Table1[[#This Row],[Profit]]/Table1[[#This Row],[Sales]])*100</f>
        <v>-35</v>
      </c>
    </row>
    <row r="157" spans="1:12" x14ac:dyDescent="0.3">
      <c r="A157" t="s">
        <v>5281</v>
      </c>
      <c r="B157" s="1">
        <v>44078</v>
      </c>
      <c r="C157" t="s">
        <v>2359</v>
      </c>
      <c r="D157" t="s">
        <v>2360</v>
      </c>
      <c r="E157" t="s">
        <v>14</v>
      </c>
      <c r="F157" t="s">
        <v>29</v>
      </c>
      <c r="G157" t="s">
        <v>16</v>
      </c>
      <c r="H157" t="s">
        <v>5282</v>
      </c>
      <c r="I157" s="2">
        <v>843.17399999999998</v>
      </c>
      <c r="J157">
        <v>9</v>
      </c>
      <c r="K157" s="2">
        <v>-117.88200000000001</v>
      </c>
      <c r="L157" s="3">
        <f>(Table1[[#This Row],[Profit]]/Table1[[#This Row],[Sales]])*100</f>
        <v>-13.980744188032364</v>
      </c>
    </row>
    <row r="158" spans="1:12" x14ac:dyDescent="0.3">
      <c r="A158" t="s">
        <v>636</v>
      </c>
      <c r="B158" s="1">
        <v>43537</v>
      </c>
      <c r="C158" t="s">
        <v>637</v>
      </c>
      <c r="D158" t="s">
        <v>638</v>
      </c>
      <c r="E158" t="s">
        <v>14</v>
      </c>
      <c r="F158" t="s">
        <v>15</v>
      </c>
      <c r="G158" t="s">
        <v>18</v>
      </c>
      <c r="H158" t="s">
        <v>641</v>
      </c>
      <c r="I158" s="2">
        <v>539.91</v>
      </c>
      <c r="J158">
        <v>3</v>
      </c>
      <c r="K158" s="2">
        <v>-116.98050000000001</v>
      </c>
      <c r="L158" s="3">
        <f>(Table1[[#This Row],[Profit]]/Table1[[#This Row],[Sales]])*100</f>
        <v>-21.666666666666671</v>
      </c>
    </row>
    <row r="159" spans="1:12" x14ac:dyDescent="0.3">
      <c r="A159" t="s">
        <v>2982</v>
      </c>
      <c r="B159" s="1">
        <v>43739</v>
      </c>
      <c r="C159" t="s">
        <v>1668</v>
      </c>
      <c r="D159" t="s">
        <v>1669</v>
      </c>
      <c r="E159" t="s">
        <v>14</v>
      </c>
      <c r="F159" t="s">
        <v>15</v>
      </c>
      <c r="G159" t="s">
        <v>16</v>
      </c>
      <c r="H159" t="s">
        <v>2630</v>
      </c>
      <c r="I159" s="2">
        <v>330.58800000000002</v>
      </c>
      <c r="J159">
        <v>1</v>
      </c>
      <c r="K159" s="2">
        <v>-115.7058</v>
      </c>
      <c r="L159" s="3">
        <f>(Table1[[#This Row],[Profit]]/Table1[[#This Row],[Sales]])*100</f>
        <v>-35</v>
      </c>
    </row>
    <row r="160" spans="1:12" x14ac:dyDescent="0.3">
      <c r="A160" t="s">
        <v>3588</v>
      </c>
      <c r="B160" s="1">
        <v>43795</v>
      </c>
      <c r="C160" t="s">
        <v>2320</v>
      </c>
      <c r="D160" t="s">
        <v>2321</v>
      </c>
      <c r="E160" t="s">
        <v>14</v>
      </c>
      <c r="F160" t="s">
        <v>15</v>
      </c>
      <c r="G160" t="s">
        <v>18</v>
      </c>
      <c r="H160" t="s">
        <v>1474</v>
      </c>
      <c r="I160" s="2">
        <v>494.98200000000003</v>
      </c>
      <c r="J160">
        <v>3</v>
      </c>
      <c r="K160" s="2">
        <v>-115.4958</v>
      </c>
      <c r="L160" s="3">
        <f>(Table1[[#This Row],[Profit]]/Table1[[#This Row],[Sales]])*100</f>
        <v>-23.333333333333332</v>
      </c>
    </row>
    <row r="161" spans="1:12" x14ac:dyDescent="0.3">
      <c r="A161" t="s">
        <v>4763</v>
      </c>
      <c r="B161" s="1">
        <v>43985</v>
      </c>
      <c r="C161" t="s">
        <v>4503</v>
      </c>
      <c r="D161" t="s">
        <v>4504</v>
      </c>
      <c r="E161" t="s">
        <v>14</v>
      </c>
      <c r="F161" t="s">
        <v>15</v>
      </c>
      <c r="G161" t="s">
        <v>16</v>
      </c>
      <c r="H161" t="s">
        <v>2280</v>
      </c>
      <c r="I161" s="2">
        <v>400.76799999999997</v>
      </c>
      <c r="J161">
        <v>2</v>
      </c>
      <c r="K161" s="2">
        <v>-115.43040000000001</v>
      </c>
      <c r="L161" s="3">
        <f>(Table1[[#This Row],[Profit]]/Table1[[#This Row],[Sales]])*100</f>
        <v>-28.802299584797193</v>
      </c>
    </row>
    <row r="162" spans="1:12" x14ac:dyDescent="0.3">
      <c r="A162" t="s">
        <v>2057</v>
      </c>
      <c r="B162" s="1">
        <v>43662</v>
      </c>
      <c r="C162" t="s">
        <v>1631</v>
      </c>
      <c r="D162" t="s">
        <v>1632</v>
      </c>
      <c r="E162" t="s">
        <v>14</v>
      </c>
      <c r="F162" t="s">
        <v>15</v>
      </c>
      <c r="G162" t="s">
        <v>18</v>
      </c>
      <c r="H162" t="s">
        <v>2059</v>
      </c>
      <c r="I162" s="2">
        <v>494.37599999999998</v>
      </c>
      <c r="J162">
        <v>4</v>
      </c>
      <c r="K162" s="2">
        <v>-115.3544</v>
      </c>
      <c r="L162" s="3">
        <f>(Table1[[#This Row],[Profit]]/Table1[[#This Row],[Sales]])*100</f>
        <v>-23.333333333333332</v>
      </c>
    </row>
    <row r="163" spans="1:12" x14ac:dyDescent="0.3">
      <c r="A163" t="s">
        <v>3604</v>
      </c>
      <c r="B163" s="1">
        <v>43796</v>
      </c>
      <c r="C163" t="s">
        <v>950</v>
      </c>
      <c r="D163" t="s">
        <v>951</v>
      </c>
      <c r="E163" t="s">
        <v>14</v>
      </c>
      <c r="F163" t="s">
        <v>41</v>
      </c>
      <c r="G163" t="s">
        <v>16</v>
      </c>
      <c r="H163" t="s">
        <v>973</v>
      </c>
      <c r="I163" s="2">
        <v>331.02300000000002</v>
      </c>
      <c r="J163">
        <v>7</v>
      </c>
      <c r="K163" s="2">
        <v>-114.35339999999999</v>
      </c>
      <c r="L163" s="3">
        <f>(Table1[[#This Row],[Profit]]/Table1[[#This Row],[Sales]])*100</f>
        <v>-34.54545454545454</v>
      </c>
    </row>
    <row r="164" spans="1:12" x14ac:dyDescent="0.3">
      <c r="A164" t="s">
        <v>4965</v>
      </c>
      <c r="B164" s="1">
        <v>44019</v>
      </c>
      <c r="C164" t="s">
        <v>1547</v>
      </c>
      <c r="D164" t="s">
        <v>1548</v>
      </c>
      <c r="E164" t="s">
        <v>14</v>
      </c>
      <c r="F164" t="s">
        <v>15</v>
      </c>
      <c r="G164" t="s">
        <v>18</v>
      </c>
      <c r="H164" t="s">
        <v>4967</v>
      </c>
      <c r="I164" s="2">
        <v>725.98800000000006</v>
      </c>
      <c r="J164">
        <v>2</v>
      </c>
      <c r="K164" s="2">
        <v>-113.998</v>
      </c>
      <c r="L164" s="3">
        <f>(Table1[[#This Row],[Profit]]/Table1[[#This Row],[Sales]])*100</f>
        <v>-15.702463401598923</v>
      </c>
    </row>
    <row r="165" spans="1:12" x14ac:dyDescent="0.3">
      <c r="A165" t="s">
        <v>6132</v>
      </c>
      <c r="B165" s="1">
        <v>44173</v>
      </c>
      <c r="C165" t="s">
        <v>5720</v>
      </c>
      <c r="D165" t="s">
        <v>5721</v>
      </c>
      <c r="E165" t="s">
        <v>14</v>
      </c>
      <c r="F165" t="s">
        <v>23</v>
      </c>
      <c r="G165" t="s">
        <v>16</v>
      </c>
      <c r="H165" t="s">
        <v>4940</v>
      </c>
      <c r="I165" s="2">
        <v>822.024</v>
      </c>
      <c r="J165">
        <v>7</v>
      </c>
      <c r="K165" s="2">
        <v>-112.95269999999999</v>
      </c>
      <c r="L165" s="3">
        <f>(Table1[[#This Row],[Profit]]/Table1[[#This Row],[Sales]])*100</f>
        <v>-13.740803188228078</v>
      </c>
    </row>
    <row r="166" spans="1:12" x14ac:dyDescent="0.3">
      <c r="A166" t="s">
        <v>4572</v>
      </c>
      <c r="B166" s="1">
        <v>43954</v>
      </c>
      <c r="C166" t="s">
        <v>34</v>
      </c>
      <c r="D166" t="s">
        <v>35</v>
      </c>
      <c r="E166" t="s">
        <v>14</v>
      </c>
      <c r="F166" t="s">
        <v>15</v>
      </c>
      <c r="G166" t="s">
        <v>16</v>
      </c>
      <c r="H166" t="s">
        <v>1251</v>
      </c>
      <c r="I166" s="2">
        <v>394.47</v>
      </c>
      <c r="J166">
        <v>5</v>
      </c>
      <c r="K166" s="2">
        <v>-112.041</v>
      </c>
      <c r="L166" s="3">
        <f>(Table1[[#This Row],[Profit]]/Table1[[#This Row],[Sales]])*100</f>
        <v>-28.40292037417294</v>
      </c>
    </row>
    <row r="167" spans="1:12" x14ac:dyDescent="0.3">
      <c r="A167" t="s">
        <v>2147</v>
      </c>
      <c r="B167" s="1">
        <v>43669</v>
      </c>
      <c r="C167" t="s">
        <v>282</v>
      </c>
      <c r="D167" t="s">
        <v>283</v>
      </c>
      <c r="E167" t="s">
        <v>14</v>
      </c>
      <c r="F167" t="s">
        <v>41</v>
      </c>
      <c r="G167" t="s">
        <v>18</v>
      </c>
      <c r="H167" t="s">
        <v>2149</v>
      </c>
      <c r="I167" s="2">
        <v>265.47500000000002</v>
      </c>
      <c r="J167">
        <v>1</v>
      </c>
      <c r="K167" s="2">
        <v>-111.4995</v>
      </c>
      <c r="L167" s="3">
        <f>(Table1[[#This Row],[Profit]]/Table1[[#This Row],[Sales]])*100</f>
        <v>-41.999999999999993</v>
      </c>
    </row>
    <row r="168" spans="1:12" x14ac:dyDescent="0.3">
      <c r="A168" t="s">
        <v>1213</v>
      </c>
      <c r="B168" s="1">
        <v>43587</v>
      </c>
      <c r="C168" t="s">
        <v>1214</v>
      </c>
      <c r="D168" t="s">
        <v>1215</v>
      </c>
      <c r="E168" t="s">
        <v>14</v>
      </c>
      <c r="F168" t="s">
        <v>29</v>
      </c>
      <c r="G168" t="s">
        <v>16</v>
      </c>
      <c r="H168" t="s">
        <v>1216</v>
      </c>
      <c r="I168" s="2">
        <v>366.74400000000003</v>
      </c>
      <c r="J168">
        <v>4</v>
      </c>
      <c r="K168" s="2">
        <v>-110.0232</v>
      </c>
      <c r="L168" s="3">
        <f>(Table1[[#This Row],[Profit]]/Table1[[#This Row],[Sales]])*100</f>
        <v>-30</v>
      </c>
    </row>
    <row r="169" spans="1:12" x14ac:dyDescent="0.3">
      <c r="A169" t="s">
        <v>3972</v>
      </c>
      <c r="B169" s="1">
        <v>43831</v>
      </c>
      <c r="C169" t="s">
        <v>800</v>
      </c>
      <c r="D169" t="s">
        <v>801</v>
      </c>
      <c r="E169" t="s">
        <v>14</v>
      </c>
      <c r="F169" t="s">
        <v>29</v>
      </c>
      <c r="G169" t="s">
        <v>24</v>
      </c>
      <c r="H169" t="s">
        <v>2416</v>
      </c>
      <c r="I169" s="2">
        <v>472.56</v>
      </c>
      <c r="J169">
        <v>5</v>
      </c>
      <c r="K169" s="2">
        <v>-107.958</v>
      </c>
      <c r="L169" s="3">
        <f>(Table1[[#This Row],[Profit]]/Table1[[#This Row],[Sales]])*100</f>
        <v>-22.845352971051295</v>
      </c>
    </row>
    <row r="170" spans="1:12" x14ac:dyDescent="0.3">
      <c r="A170" t="s">
        <v>4143</v>
      </c>
      <c r="B170" s="1">
        <v>43878</v>
      </c>
      <c r="C170" t="s">
        <v>937</v>
      </c>
      <c r="D170" t="s">
        <v>938</v>
      </c>
      <c r="E170" t="s">
        <v>14</v>
      </c>
      <c r="F170" t="s">
        <v>15</v>
      </c>
      <c r="G170" t="s">
        <v>16</v>
      </c>
      <c r="H170" t="s">
        <v>3853</v>
      </c>
      <c r="I170" s="2">
        <v>504.97</v>
      </c>
      <c r="J170">
        <v>5</v>
      </c>
      <c r="K170" s="2">
        <v>-106.393</v>
      </c>
      <c r="L170" s="3">
        <f>(Table1[[#This Row],[Profit]]/Table1[[#This Row],[Sales]])*100</f>
        <v>-21.069172426084716</v>
      </c>
    </row>
    <row r="171" spans="1:12" x14ac:dyDescent="0.3">
      <c r="A171" t="s">
        <v>5269</v>
      </c>
      <c r="B171" s="1">
        <v>44077</v>
      </c>
      <c r="C171" t="s">
        <v>1403</v>
      </c>
      <c r="D171" t="s">
        <v>1404</v>
      </c>
      <c r="E171" t="s">
        <v>14</v>
      </c>
      <c r="F171" t="s">
        <v>29</v>
      </c>
      <c r="G171" t="s">
        <v>16</v>
      </c>
      <c r="H171" t="s">
        <v>4500</v>
      </c>
      <c r="I171" s="2">
        <v>142.4</v>
      </c>
      <c r="J171">
        <v>5</v>
      </c>
      <c r="K171" s="2">
        <v>-105.69</v>
      </c>
      <c r="L171" s="3">
        <f>(Table1[[#This Row],[Profit]]/Table1[[#This Row],[Sales]])*100</f>
        <v>-74.220505617977523</v>
      </c>
    </row>
    <row r="172" spans="1:12" x14ac:dyDescent="0.3">
      <c r="A172" t="s">
        <v>6273</v>
      </c>
      <c r="B172" s="1">
        <v>44190</v>
      </c>
      <c r="C172" t="s">
        <v>714</v>
      </c>
      <c r="D172" t="s">
        <v>715</v>
      </c>
      <c r="E172" t="s">
        <v>14</v>
      </c>
      <c r="F172" t="s">
        <v>15</v>
      </c>
      <c r="G172" t="s">
        <v>16</v>
      </c>
      <c r="H172" t="s">
        <v>1567</v>
      </c>
      <c r="I172" s="2">
        <v>591.05999999999995</v>
      </c>
      <c r="J172">
        <v>2</v>
      </c>
      <c r="K172" s="2">
        <v>-104.673</v>
      </c>
      <c r="L172" s="3">
        <f>(Table1[[#This Row],[Profit]]/Table1[[#This Row],[Sales]])*100</f>
        <v>-17.709369607146485</v>
      </c>
    </row>
    <row r="173" spans="1:12" x14ac:dyDescent="0.3">
      <c r="A173" t="s">
        <v>4939</v>
      </c>
      <c r="B173" s="1">
        <v>44015</v>
      </c>
      <c r="C173" t="s">
        <v>2528</v>
      </c>
      <c r="D173" t="s">
        <v>2529</v>
      </c>
      <c r="E173" t="s">
        <v>14</v>
      </c>
      <c r="F173" t="s">
        <v>15</v>
      </c>
      <c r="G173" t="s">
        <v>16</v>
      </c>
      <c r="H173" t="s">
        <v>4940</v>
      </c>
      <c r="I173" s="2">
        <v>236.148</v>
      </c>
      <c r="J173">
        <v>2</v>
      </c>
      <c r="K173" s="2">
        <v>-103.98820000000001</v>
      </c>
      <c r="L173" s="3">
        <f>(Table1[[#This Row],[Profit]]/Table1[[#This Row],[Sales]])*100</f>
        <v>-44.035181326964448</v>
      </c>
    </row>
    <row r="174" spans="1:12" x14ac:dyDescent="0.3">
      <c r="A174" t="s">
        <v>4419</v>
      </c>
      <c r="B174" s="1">
        <v>43928</v>
      </c>
      <c r="C174" t="s">
        <v>1333</v>
      </c>
      <c r="D174" t="s">
        <v>1334</v>
      </c>
      <c r="E174" t="s">
        <v>14</v>
      </c>
      <c r="F174" t="s">
        <v>41</v>
      </c>
      <c r="G174" t="s">
        <v>16</v>
      </c>
      <c r="H174" t="s">
        <v>4420</v>
      </c>
      <c r="I174" s="2">
        <v>255.86</v>
      </c>
      <c r="J174">
        <v>2</v>
      </c>
      <c r="K174" s="2">
        <v>-102.048</v>
      </c>
      <c r="L174" s="3">
        <f>(Table1[[#This Row],[Profit]]/Table1[[#This Row],[Sales]])*100</f>
        <v>-39.884311732978972</v>
      </c>
    </row>
    <row r="175" spans="1:12" x14ac:dyDescent="0.3">
      <c r="A175" t="s">
        <v>923</v>
      </c>
      <c r="B175" s="1">
        <v>43563</v>
      </c>
      <c r="C175" t="s">
        <v>924</v>
      </c>
      <c r="D175" t="s">
        <v>925</v>
      </c>
      <c r="E175" t="s">
        <v>14</v>
      </c>
      <c r="F175" t="s">
        <v>15</v>
      </c>
      <c r="G175" t="s">
        <v>24</v>
      </c>
      <c r="H175" t="s">
        <v>927</v>
      </c>
      <c r="I175" s="2">
        <v>121.104</v>
      </c>
      <c r="J175">
        <v>6</v>
      </c>
      <c r="K175" s="2">
        <v>-100.92</v>
      </c>
      <c r="L175" s="3">
        <f>(Table1[[#This Row],[Profit]]/Table1[[#This Row],[Sales]])*100</f>
        <v>-83.333333333333343</v>
      </c>
    </row>
    <row r="176" spans="1:12" x14ac:dyDescent="0.3">
      <c r="A176" t="s">
        <v>2807</v>
      </c>
      <c r="B176" s="1">
        <v>43726</v>
      </c>
      <c r="C176" t="s">
        <v>2808</v>
      </c>
      <c r="D176" t="s">
        <v>2809</v>
      </c>
      <c r="E176" t="s">
        <v>14</v>
      </c>
      <c r="F176" t="s">
        <v>23</v>
      </c>
      <c r="G176" t="s">
        <v>16</v>
      </c>
      <c r="H176" t="s">
        <v>661</v>
      </c>
      <c r="I176" s="2">
        <v>885.52800000000002</v>
      </c>
      <c r="J176">
        <v>9</v>
      </c>
      <c r="K176" s="2">
        <v>-99.621899999999997</v>
      </c>
      <c r="L176" s="3">
        <f>(Table1[[#This Row],[Profit]]/Table1[[#This Row],[Sales]])*100</f>
        <v>-11.249999999999998</v>
      </c>
    </row>
    <row r="177" spans="1:12" x14ac:dyDescent="0.3">
      <c r="A177" t="s">
        <v>196</v>
      </c>
      <c r="B177" s="1">
        <v>43490</v>
      </c>
      <c r="C177" t="s">
        <v>197</v>
      </c>
      <c r="D177" t="s">
        <v>198</v>
      </c>
      <c r="E177" t="s">
        <v>14</v>
      </c>
      <c r="F177" t="s">
        <v>15</v>
      </c>
      <c r="G177" t="s">
        <v>16</v>
      </c>
      <c r="H177" t="s">
        <v>200</v>
      </c>
      <c r="I177" s="2">
        <v>313.72199999999998</v>
      </c>
      <c r="J177">
        <v>3</v>
      </c>
      <c r="K177" s="2">
        <v>-99.345299999999995</v>
      </c>
      <c r="L177" s="3">
        <f>(Table1[[#This Row],[Profit]]/Table1[[#This Row],[Sales]])*100</f>
        <v>-31.666666666666664</v>
      </c>
    </row>
    <row r="178" spans="1:12" x14ac:dyDescent="0.3">
      <c r="A178" t="s">
        <v>519</v>
      </c>
      <c r="B178" s="1">
        <v>43530</v>
      </c>
      <c r="C178" t="s">
        <v>443</v>
      </c>
      <c r="D178" t="s">
        <v>444</v>
      </c>
      <c r="E178" t="s">
        <v>14</v>
      </c>
      <c r="F178" t="s">
        <v>29</v>
      </c>
      <c r="G178" t="s">
        <v>16</v>
      </c>
      <c r="H178" t="s">
        <v>522</v>
      </c>
      <c r="I178" s="2">
        <v>145.97999999999999</v>
      </c>
      <c r="J178">
        <v>2</v>
      </c>
      <c r="K178" s="2">
        <v>-99.266400000000004</v>
      </c>
      <c r="L178" s="3">
        <f>(Table1[[#This Row],[Profit]]/Table1[[#This Row],[Sales]])*100</f>
        <v>-68</v>
      </c>
    </row>
    <row r="179" spans="1:12" x14ac:dyDescent="0.3">
      <c r="A179" t="s">
        <v>5283</v>
      </c>
      <c r="B179" s="1">
        <v>44078</v>
      </c>
      <c r="C179" t="s">
        <v>2830</v>
      </c>
      <c r="D179" t="s">
        <v>2831</v>
      </c>
      <c r="E179" t="s">
        <v>14</v>
      </c>
      <c r="F179" t="s">
        <v>23</v>
      </c>
      <c r="G179" t="s">
        <v>16</v>
      </c>
      <c r="H179" t="s">
        <v>3812</v>
      </c>
      <c r="I179" s="2">
        <v>1334.3520000000001</v>
      </c>
      <c r="J179">
        <v>3</v>
      </c>
      <c r="K179" s="2">
        <v>-99.176400000000001</v>
      </c>
      <c r="L179" s="3">
        <f>(Table1[[#This Row],[Profit]]/Table1[[#This Row],[Sales]])*100</f>
        <v>-7.4325515306305974</v>
      </c>
    </row>
    <row r="180" spans="1:12" x14ac:dyDescent="0.3">
      <c r="A180" t="s">
        <v>5160</v>
      </c>
      <c r="B180" s="1">
        <v>44060</v>
      </c>
      <c r="C180" t="s">
        <v>3168</v>
      </c>
      <c r="D180" t="s">
        <v>3169</v>
      </c>
      <c r="E180" t="s">
        <v>14</v>
      </c>
      <c r="F180" t="s">
        <v>29</v>
      </c>
      <c r="G180" t="s">
        <v>24</v>
      </c>
      <c r="H180" t="s">
        <v>1421</v>
      </c>
      <c r="I180" s="2">
        <v>103.864</v>
      </c>
      <c r="J180">
        <v>4</v>
      </c>
      <c r="K180" s="2">
        <v>-99.103200000000001</v>
      </c>
      <c r="L180" s="3">
        <f>(Table1[[#This Row],[Profit]]/Table1[[#This Row],[Sales]])*100</f>
        <v>-95.416313640915035</v>
      </c>
    </row>
    <row r="181" spans="1:12" x14ac:dyDescent="0.3">
      <c r="A181" t="s">
        <v>709</v>
      </c>
      <c r="B181" s="1">
        <v>43543</v>
      </c>
      <c r="C181" t="s">
        <v>710</v>
      </c>
      <c r="D181" t="s">
        <v>711</v>
      </c>
      <c r="E181" t="s">
        <v>14</v>
      </c>
      <c r="F181" t="s">
        <v>23</v>
      </c>
      <c r="G181" t="s">
        <v>16</v>
      </c>
      <c r="H181" t="s">
        <v>712</v>
      </c>
      <c r="I181" s="2">
        <v>72.293999999999997</v>
      </c>
      <c r="J181">
        <v>1</v>
      </c>
      <c r="K181" s="2">
        <v>-98.8018</v>
      </c>
      <c r="L181" s="3">
        <f>(Table1[[#This Row],[Profit]]/Table1[[#This Row],[Sales]])*100</f>
        <v>-136.66666666666666</v>
      </c>
    </row>
    <row r="182" spans="1:12" x14ac:dyDescent="0.3">
      <c r="A182" t="s">
        <v>3260</v>
      </c>
      <c r="B182" s="1">
        <v>43773</v>
      </c>
      <c r="C182" t="s">
        <v>3002</v>
      </c>
      <c r="D182" t="s">
        <v>3003</v>
      </c>
      <c r="E182" t="s">
        <v>14</v>
      </c>
      <c r="F182" t="s">
        <v>23</v>
      </c>
      <c r="G182" t="s">
        <v>16</v>
      </c>
      <c r="H182" t="s">
        <v>1732</v>
      </c>
      <c r="I182" s="2">
        <v>650.35199999999998</v>
      </c>
      <c r="J182">
        <v>3</v>
      </c>
      <c r="K182" s="2">
        <v>-97.552800000000005</v>
      </c>
      <c r="L182" s="3">
        <f>(Table1[[#This Row],[Profit]]/Table1[[#This Row],[Sales]])*100</f>
        <v>-15.000000000000002</v>
      </c>
    </row>
    <row r="183" spans="1:12" x14ac:dyDescent="0.3">
      <c r="A183" t="s">
        <v>6187</v>
      </c>
      <c r="B183" s="1">
        <v>44179</v>
      </c>
      <c r="C183" t="s">
        <v>1785</v>
      </c>
      <c r="D183" t="s">
        <v>1786</v>
      </c>
      <c r="E183" t="s">
        <v>14</v>
      </c>
      <c r="F183" t="s">
        <v>29</v>
      </c>
      <c r="G183" t="s">
        <v>16</v>
      </c>
      <c r="H183" t="s">
        <v>3801</v>
      </c>
      <c r="I183" s="2">
        <v>287.988</v>
      </c>
      <c r="J183">
        <v>4</v>
      </c>
      <c r="K183" s="2">
        <v>-97.498800000000003</v>
      </c>
      <c r="L183" s="3">
        <f>(Table1[[#This Row],[Profit]]/Table1[[#This Row],[Sales]])*100</f>
        <v>-33.855160631692989</v>
      </c>
    </row>
    <row r="184" spans="1:12" x14ac:dyDescent="0.3">
      <c r="A184" t="s">
        <v>4690</v>
      </c>
      <c r="B184" s="1">
        <v>43971</v>
      </c>
      <c r="C184" t="s">
        <v>133</v>
      </c>
      <c r="D184" t="s">
        <v>134</v>
      </c>
      <c r="E184" t="s">
        <v>14</v>
      </c>
      <c r="F184" t="s">
        <v>23</v>
      </c>
      <c r="G184" t="s">
        <v>16</v>
      </c>
      <c r="H184" t="s">
        <v>983</v>
      </c>
      <c r="I184" s="2">
        <v>552.27200000000005</v>
      </c>
      <c r="J184">
        <v>8</v>
      </c>
      <c r="K184" s="2">
        <v>-97.176000000000002</v>
      </c>
      <c r="L184" s="3">
        <f>(Table1[[#This Row],[Profit]]/Table1[[#This Row],[Sales]])*100</f>
        <v>-17.595677492250196</v>
      </c>
    </row>
    <row r="185" spans="1:12" x14ac:dyDescent="0.3">
      <c r="A185" t="s">
        <v>4914</v>
      </c>
      <c r="B185" s="1">
        <v>44011</v>
      </c>
      <c r="C185" t="s">
        <v>2333</v>
      </c>
      <c r="D185" t="s">
        <v>2334</v>
      </c>
      <c r="E185" t="s">
        <v>14</v>
      </c>
      <c r="F185" t="s">
        <v>29</v>
      </c>
      <c r="G185" t="s">
        <v>16</v>
      </c>
      <c r="H185" t="s">
        <v>2948</v>
      </c>
      <c r="I185" s="2">
        <v>424.99919999999997</v>
      </c>
      <c r="J185">
        <v>3</v>
      </c>
      <c r="K185" s="2">
        <v>-96.470399999999998</v>
      </c>
      <c r="L185" s="3">
        <f>(Table1[[#This Row],[Profit]]/Table1[[#This Row],[Sales]])*100</f>
        <v>-22.698960374513646</v>
      </c>
    </row>
    <row r="186" spans="1:12" x14ac:dyDescent="0.3">
      <c r="A186" t="s">
        <v>2924</v>
      </c>
      <c r="B186" s="1">
        <v>43734</v>
      </c>
      <c r="C186" t="s">
        <v>2367</v>
      </c>
      <c r="D186" t="s">
        <v>2368</v>
      </c>
      <c r="E186" t="s">
        <v>14</v>
      </c>
      <c r="F186" t="s">
        <v>29</v>
      </c>
      <c r="G186" t="s">
        <v>16</v>
      </c>
      <c r="H186" t="s">
        <v>2090</v>
      </c>
      <c r="I186" s="2">
        <v>747.55799999999999</v>
      </c>
      <c r="J186">
        <v>3</v>
      </c>
      <c r="K186" s="2">
        <v>-96.114599999999996</v>
      </c>
      <c r="L186" s="3">
        <f>(Table1[[#This Row],[Profit]]/Table1[[#This Row],[Sales]])*100</f>
        <v>-12.857142857142856</v>
      </c>
    </row>
    <row r="187" spans="1:12" x14ac:dyDescent="0.3">
      <c r="A187" t="s">
        <v>2893</v>
      </c>
      <c r="B187" s="1">
        <v>43732</v>
      </c>
      <c r="C187" t="s">
        <v>1157</v>
      </c>
      <c r="D187" t="s">
        <v>1158</v>
      </c>
      <c r="E187" t="s">
        <v>14</v>
      </c>
      <c r="F187" t="s">
        <v>23</v>
      </c>
      <c r="G187" t="s">
        <v>24</v>
      </c>
      <c r="H187" t="s">
        <v>2895</v>
      </c>
      <c r="I187" s="2">
        <v>511.05599999999998</v>
      </c>
      <c r="J187">
        <v>9</v>
      </c>
      <c r="K187" s="2">
        <v>-95.822999999999993</v>
      </c>
      <c r="L187" s="3">
        <f>(Table1[[#This Row],[Profit]]/Table1[[#This Row],[Sales]])*100</f>
        <v>-18.75</v>
      </c>
    </row>
    <row r="188" spans="1:12" x14ac:dyDescent="0.3">
      <c r="A188" t="s">
        <v>701</v>
      </c>
      <c r="B188" s="1">
        <v>43542</v>
      </c>
      <c r="C188" t="s">
        <v>702</v>
      </c>
      <c r="D188" t="s">
        <v>703</v>
      </c>
      <c r="E188" t="s">
        <v>14</v>
      </c>
      <c r="F188" t="s">
        <v>41</v>
      </c>
      <c r="G188" t="s">
        <v>16</v>
      </c>
      <c r="H188" t="s">
        <v>704</v>
      </c>
      <c r="I188" s="2">
        <v>189.88200000000001</v>
      </c>
      <c r="J188">
        <v>3</v>
      </c>
      <c r="K188" s="2">
        <v>-94.941000000000003</v>
      </c>
      <c r="L188" s="3">
        <f>(Table1[[#This Row],[Profit]]/Table1[[#This Row],[Sales]])*100</f>
        <v>-50</v>
      </c>
    </row>
    <row r="189" spans="1:12" x14ac:dyDescent="0.3">
      <c r="A189" t="s">
        <v>1065</v>
      </c>
      <c r="B189" s="1">
        <v>43573</v>
      </c>
      <c r="C189" t="s">
        <v>1066</v>
      </c>
      <c r="D189" t="s">
        <v>1067</v>
      </c>
      <c r="E189" t="s">
        <v>14</v>
      </c>
      <c r="F189" t="s">
        <v>29</v>
      </c>
      <c r="G189" t="s">
        <v>16</v>
      </c>
      <c r="H189" t="s">
        <v>661</v>
      </c>
      <c r="I189" s="2">
        <v>344.37200000000001</v>
      </c>
      <c r="J189">
        <v>4</v>
      </c>
      <c r="K189" s="2">
        <v>-93.472399999999993</v>
      </c>
      <c r="L189" s="3">
        <f>(Table1[[#This Row],[Profit]]/Table1[[#This Row],[Sales]])*100</f>
        <v>-27.142857142857142</v>
      </c>
    </row>
    <row r="190" spans="1:12" x14ac:dyDescent="0.3">
      <c r="A190" t="s">
        <v>5250</v>
      </c>
      <c r="B190" s="1">
        <v>44076</v>
      </c>
      <c r="C190" t="s">
        <v>4172</v>
      </c>
      <c r="D190" t="s">
        <v>4173</v>
      </c>
      <c r="E190" t="s">
        <v>14</v>
      </c>
      <c r="F190" t="s">
        <v>15</v>
      </c>
      <c r="G190" t="s">
        <v>16</v>
      </c>
      <c r="H190" t="s">
        <v>1110</v>
      </c>
      <c r="I190" s="2">
        <v>303.52600000000001</v>
      </c>
      <c r="J190">
        <v>1</v>
      </c>
      <c r="K190" s="2">
        <v>-93.3262</v>
      </c>
      <c r="L190" s="3">
        <f>(Table1[[#This Row],[Profit]]/Table1[[#This Row],[Sales]])*100</f>
        <v>-30.747349485711272</v>
      </c>
    </row>
    <row r="191" spans="1:12" x14ac:dyDescent="0.3">
      <c r="A191" t="s">
        <v>4031</v>
      </c>
      <c r="B191" s="1">
        <v>43849</v>
      </c>
      <c r="C191" t="s">
        <v>3546</v>
      </c>
      <c r="D191" t="s">
        <v>3547</v>
      </c>
      <c r="E191" t="s">
        <v>14</v>
      </c>
      <c r="F191" t="s">
        <v>15</v>
      </c>
      <c r="G191" t="s">
        <v>18</v>
      </c>
      <c r="H191" t="s">
        <v>1545</v>
      </c>
      <c r="I191" s="2">
        <v>455.6</v>
      </c>
      <c r="J191">
        <v>2</v>
      </c>
      <c r="K191" s="2">
        <v>-93.08</v>
      </c>
      <c r="L191" s="3">
        <f>(Table1[[#This Row],[Profit]]/Table1[[#This Row],[Sales]])*100</f>
        <v>-20.430201931518873</v>
      </c>
    </row>
    <row r="192" spans="1:12" x14ac:dyDescent="0.3">
      <c r="A192" t="s">
        <v>5870</v>
      </c>
      <c r="B192" s="1">
        <v>44147</v>
      </c>
      <c r="C192" t="s">
        <v>4138</v>
      </c>
      <c r="D192" t="s">
        <v>4139</v>
      </c>
      <c r="E192" t="s">
        <v>14</v>
      </c>
      <c r="F192" t="s">
        <v>15</v>
      </c>
      <c r="G192" t="s">
        <v>18</v>
      </c>
      <c r="H192" t="s">
        <v>1998</v>
      </c>
      <c r="I192" s="2">
        <v>417.78199999999998</v>
      </c>
      <c r="J192">
        <v>3</v>
      </c>
      <c r="K192" s="2">
        <v>-92.695499999999996</v>
      </c>
      <c r="L192" s="3">
        <f>(Table1[[#This Row],[Profit]]/Table1[[#This Row],[Sales]])*100</f>
        <v>-22.187528423914866</v>
      </c>
    </row>
    <row r="193" spans="1:12" x14ac:dyDescent="0.3">
      <c r="A193" t="s">
        <v>5652</v>
      </c>
      <c r="B193" s="1">
        <v>44123</v>
      </c>
      <c r="C193" t="s">
        <v>309</v>
      </c>
      <c r="D193" t="s">
        <v>310</v>
      </c>
      <c r="E193" t="s">
        <v>14</v>
      </c>
      <c r="F193" t="s">
        <v>29</v>
      </c>
      <c r="G193" t="s">
        <v>16</v>
      </c>
      <c r="H193" t="s">
        <v>5653</v>
      </c>
      <c r="I193" s="2">
        <v>364.39920000000001</v>
      </c>
      <c r="J193">
        <v>3</v>
      </c>
      <c r="K193" s="2">
        <v>-91.758600000000001</v>
      </c>
      <c r="L193" s="3">
        <f>(Table1[[#This Row],[Profit]]/Table1[[#This Row],[Sales]])*100</f>
        <v>-25.180790737191522</v>
      </c>
    </row>
    <row r="194" spans="1:12" x14ac:dyDescent="0.3">
      <c r="A194" t="s">
        <v>4395</v>
      </c>
      <c r="B194" s="1">
        <v>43921</v>
      </c>
      <c r="C194" t="s">
        <v>4396</v>
      </c>
      <c r="D194" t="s">
        <v>4397</v>
      </c>
      <c r="E194" t="s">
        <v>14</v>
      </c>
      <c r="F194" t="s">
        <v>29</v>
      </c>
      <c r="G194" t="s">
        <v>24</v>
      </c>
      <c r="H194" t="s">
        <v>4398</v>
      </c>
      <c r="I194" s="2">
        <v>161.62</v>
      </c>
      <c r="J194">
        <v>5</v>
      </c>
      <c r="K194" s="2">
        <v>-90.774000000000001</v>
      </c>
      <c r="L194" s="3">
        <f>(Table1[[#This Row],[Profit]]/Table1[[#This Row],[Sales]])*100</f>
        <v>-56.165078579383746</v>
      </c>
    </row>
    <row r="195" spans="1:12" x14ac:dyDescent="0.3">
      <c r="A195" t="s">
        <v>2557</v>
      </c>
      <c r="B195" s="1">
        <v>43711</v>
      </c>
      <c r="C195" t="s">
        <v>1020</v>
      </c>
      <c r="D195" t="s">
        <v>1021</v>
      </c>
      <c r="E195" t="s">
        <v>14</v>
      </c>
      <c r="F195" t="s">
        <v>29</v>
      </c>
      <c r="G195" t="s">
        <v>16</v>
      </c>
      <c r="H195" t="s">
        <v>2558</v>
      </c>
      <c r="I195" s="2">
        <v>83.951999999999998</v>
      </c>
      <c r="J195">
        <v>3</v>
      </c>
      <c r="K195" s="2">
        <v>-90.248400000000004</v>
      </c>
      <c r="L195" s="3">
        <f>(Table1[[#This Row],[Profit]]/Table1[[#This Row],[Sales]])*100</f>
        <v>-107.50000000000001</v>
      </c>
    </row>
    <row r="196" spans="1:12" x14ac:dyDescent="0.3">
      <c r="A196" t="s">
        <v>5206</v>
      </c>
      <c r="B196" s="1">
        <v>44068</v>
      </c>
      <c r="C196" t="s">
        <v>1698</v>
      </c>
      <c r="D196" t="s">
        <v>1699</v>
      </c>
      <c r="E196" t="s">
        <v>14</v>
      </c>
      <c r="F196" t="s">
        <v>15</v>
      </c>
      <c r="G196" t="s">
        <v>16</v>
      </c>
      <c r="H196" t="s">
        <v>952</v>
      </c>
      <c r="I196" s="2">
        <v>165.98</v>
      </c>
      <c r="J196">
        <v>2</v>
      </c>
      <c r="K196" s="2">
        <v>-89.066400000000002</v>
      </c>
      <c r="L196" s="3">
        <f>(Table1[[#This Row],[Profit]]/Table1[[#This Row],[Sales]])*100</f>
        <v>-53.660923002771419</v>
      </c>
    </row>
    <row r="197" spans="1:12" x14ac:dyDescent="0.3">
      <c r="A197" t="s">
        <v>1495</v>
      </c>
      <c r="B197" s="1">
        <v>43611</v>
      </c>
      <c r="C197" t="s">
        <v>1496</v>
      </c>
      <c r="D197" t="s">
        <v>1497</v>
      </c>
      <c r="E197" t="s">
        <v>14</v>
      </c>
      <c r="F197" t="s">
        <v>29</v>
      </c>
      <c r="G197" t="s">
        <v>16</v>
      </c>
      <c r="H197" t="s">
        <v>1498</v>
      </c>
      <c r="I197" s="2">
        <v>388.43</v>
      </c>
      <c r="J197">
        <v>5</v>
      </c>
      <c r="K197" s="2">
        <v>-88.784000000000006</v>
      </c>
      <c r="L197" s="3">
        <f>(Table1[[#This Row],[Profit]]/Table1[[#This Row],[Sales]])*100</f>
        <v>-22.857142857142858</v>
      </c>
    </row>
    <row r="198" spans="1:12" x14ac:dyDescent="0.3">
      <c r="A198" t="s">
        <v>4145</v>
      </c>
      <c r="B198" s="1">
        <v>43878</v>
      </c>
      <c r="C198" t="s">
        <v>4146</v>
      </c>
      <c r="D198" t="s">
        <v>4147</v>
      </c>
      <c r="E198" t="s">
        <v>14</v>
      </c>
      <c r="F198" t="s">
        <v>29</v>
      </c>
      <c r="G198" t="s">
        <v>18</v>
      </c>
      <c r="H198" t="s">
        <v>4152</v>
      </c>
      <c r="I198" s="2">
        <v>479.33600000000001</v>
      </c>
      <c r="J198">
        <v>4</v>
      </c>
      <c r="K198" s="2">
        <v>-87.667199999999994</v>
      </c>
      <c r="L198" s="3">
        <f>(Table1[[#This Row],[Profit]]/Table1[[#This Row],[Sales]])*100</f>
        <v>-18.289300198608071</v>
      </c>
    </row>
    <row r="199" spans="1:12" x14ac:dyDescent="0.3">
      <c r="A199" t="s">
        <v>4823</v>
      </c>
      <c r="B199" s="1">
        <v>43995</v>
      </c>
      <c r="C199" t="s">
        <v>2816</v>
      </c>
      <c r="D199" t="s">
        <v>2817</v>
      </c>
      <c r="E199" t="s">
        <v>14</v>
      </c>
      <c r="F199" t="s">
        <v>29</v>
      </c>
      <c r="G199" t="s">
        <v>16</v>
      </c>
      <c r="H199" t="s">
        <v>145</v>
      </c>
      <c r="I199" s="2">
        <v>520.30200000000002</v>
      </c>
      <c r="J199">
        <v>7</v>
      </c>
      <c r="K199" s="2">
        <v>-87.341800000000006</v>
      </c>
      <c r="L199" s="3">
        <f>(Table1[[#This Row],[Profit]]/Table1[[#This Row],[Sales]])*100</f>
        <v>-16.786750771667226</v>
      </c>
    </row>
    <row r="200" spans="1:12" x14ac:dyDescent="0.3">
      <c r="A200" t="s">
        <v>4866</v>
      </c>
      <c r="B200" s="1">
        <v>44001</v>
      </c>
      <c r="C200" t="s">
        <v>2307</v>
      </c>
      <c r="D200" t="s">
        <v>2308</v>
      </c>
      <c r="E200" t="s">
        <v>14</v>
      </c>
      <c r="F200" t="s">
        <v>29</v>
      </c>
      <c r="G200" t="s">
        <v>16</v>
      </c>
      <c r="H200" t="s">
        <v>4792</v>
      </c>
      <c r="I200" s="2">
        <v>471.48500000000001</v>
      </c>
      <c r="J200">
        <v>3</v>
      </c>
      <c r="K200" s="2">
        <v>-84.961500000000001</v>
      </c>
      <c r="L200" s="3">
        <f>(Table1[[#This Row],[Profit]]/Table1[[#This Row],[Sales]])*100</f>
        <v>-18.019979426704985</v>
      </c>
    </row>
    <row r="201" spans="1:12" x14ac:dyDescent="0.3">
      <c r="A201" t="s">
        <v>1506</v>
      </c>
      <c r="B201" s="1">
        <v>43611</v>
      </c>
      <c r="C201" t="s">
        <v>1507</v>
      </c>
      <c r="D201" t="s">
        <v>1508</v>
      </c>
      <c r="E201" t="s">
        <v>14</v>
      </c>
      <c r="F201" t="s">
        <v>23</v>
      </c>
      <c r="G201" t="s">
        <v>16</v>
      </c>
      <c r="H201" t="s">
        <v>1512</v>
      </c>
      <c r="I201" s="2">
        <v>484.70400000000001</v>
      </c>
      <c r="J201">
        <v>6</v>
      </c>
      <c r="K201" s="2">
        <v>-84.8232</v>
      </c>
      <c r="L201" s="3">
        <f>(Table1[[#This Row],[Profit]]/Table1[[#This Row],[Sales]])*100</f>
        <v>-17.5</v>
      </c>
    </row>
    <row r="202" spans="1:12" x14ac:dyDescent="0.3">
      <c r="A202" t="s">
        <v>3272</v>
      </c>
      <c r="B202" s="1">
        <v>43773</v>
      </c>
      <c r="C202" t="s">
        <v>1845</v>
      </c>
      <c r="D202" t="s">
        <v>1846</v>
      </c>
      <c r="E202" t="s">
        <v>14</v>
      </c>
      <c r="F202" t="s">
        <v>29</v>
      </c>
      <c r="G202" t="s">
        <v>16</v>
      </c>
      <c r="H202" t="s">
        <v>307</v>
      </c>
      <c r="I202" s="2">
        <v>66.111999999999995</v>
      </c>
      <c r="J202">
        <v>4</v>
      </c>
      <c r="K202" s="2">
        <v>-84.2928</v>
      </c>
      <c r="L202" s="3">
        <f>(Table1[[#This Row],[Profit]]/Table1[[#This Row],[Sales]])*100</f>
        <v>-127.50000000000001</v>
      </c>
    </row>
    <row r="203" spans="1:12" x14ac:dyDescent="0.3">
      <c r="A203" t="s">
        <v>5202</v>
      </c>
      <c r="B203" s="1">
        <v>44065</v>
      </c>
      <c r="C203" t="s">
        <v>108</v>
      </c>
      <c r="D203" t="s">
        <v>109</v>
      </c>
      <c r="E203" t="s">
        <v>14</v>
      </c>
      <c r="F203" t="s">
        <v>15</v>
      </c>
      <c r="G203" t="s">
        <v>16</v>
      </c>
      <c r="H203" t="s">
        <v>349</v>
      </c>
      <c r="I203" s="2">
        <v>362.53199999999998</v>
      </c>
      <c r="J203">
        <v>2</v>
      </c>
      <c r="K203" s="2">
        <v>-83.875200000000007</v>
      </c>
      <c r="L203" s="3">
        <f>(Table1[[#This Row],[Profit]]/Table1[[#This Row],[Sales]])*100</f>
        <v>-23.135943861507403</v>
      </c>
    </row>
    <row r="204" spans="1:12" x14ac:dyDescent="0.3">
      <c r="A204" t="s">
        <v>854</v>
      </c>
      <c r="B204" s="1">
        <v>43558</v>
      </c>
      <c r="C204" t="s">
        <v>815</v>
      </c>
      <c r="D204" t="s">
        <v>816</v>
      </c>
      <c r="E204" t="s">
        <v>14</v>
      </c>
      <c r="F204" t="s">
        <v>15</v>
      </c>
      <c r="G204" t="s">
        <v>24</v>
      </c>
      <c r="H204" t="s">
        <v>855</v>
      </c>
      <c r="I204" s="2">
        <v>99.846000000000004</v>
      </c>
      <c r="J204">
        <v>9</v>
      </c>
      <c r="K204" s="2">
        <v>-83.204999999999998</v>
      </c>
      <c r="L204" s="3">
        <f>(Table1[[#This Row],[Profit]]/Table1[[#This Row],[Sales]])*100</f>
        <v>-83.333333333333329</v>
      </c>
    </row>
    <row r="205" spans="1:12" x14ac:dyDescent="0.3">
      <c r="A205" t="s">
        <v>2914</v>
      </c>
      <c r="B205" s="1">
        <v>43733</v>
      </c>
      <c r="C205" t="s">
        <v>2915</v>
      </c>
      <c r="D205" t="s">
        <v>2916</v>
      </c>
      <c r="E205" t="s">
        <v>14</v>
      </c>
      <c r="F205" t="s">
        <v>15</v>
      </c>
      <c r="G205" t="s">
        <v>24</v>
      </c>
      <c r="H205" t="s">
        <v>643</v>
      </c>
      <c r="I205" s="2">
        <v>331.536</v>
      </c>
      <c r="J205">
        <v>3</v>
      </c>
      <c r="K205" s="2">
        <v>-82.884</v>
      </c>
      <c r="L205" s="3">
        <f>(Table1[[#This Row],[Profit]]/Table1[[#This Row],[Sales]])*100</f>
        <v>-25</v>
      </c>
    </row>
    <row r="206" spans="1:12" x14ac:dyDescent="0.3">
      <c r="A206" t="s">
        <v>2496</v>
      </c>
      <c r="B206" s="1">
        <v>43706</v>
      </c>
      <c r="C206" t="s">
        <v>1288</v>
      </c>
      <c r="D206" t="s">
        <v>1289</v>
      </c>
      <c r="E206" t="s">
        <v>14</v>
      </c>
      <c r="F206" t="s">
        <v>15</v>
      </c>
      <c r="G206" t="s">
        <v>16</v>
      </c>
      <c r="H206" t="s">
        <v>2497</v>
      </c>
      <c r="I206" s="2">
        <v>163.88</v>
      </c>
      <c r="J206">
        <v>4</v>
      </c>
      <c r="K206" s="2">
        <v>-81.94</v>
      </c>
      <c r="L206" s="3">
        <f>(Table1[[#This Row],[Profit]]/Table1[[#This Row],[Sales]])*100</f>
        <v>-50</v>
      </c>
    </row>
    <row r="207" spans="1:12" x14ac:dyDescent="0.3">
      <c r="A207" t="s">
        <v>5744</v>
      </c>
      <c r="B207" s="1">
        <v>44137</v>
      </c>
      <c r="C207" t="s">
        <v>1756</v>
      </c>
      <c r="D207" t="s">
        <v>1757</v>
      </c>
      <c r="E207" t="s">
        <v>14</v>
      </c>
      <c r="F207" t="s">
        <v>15</v>
      </c>
      <c r="G207" t="s">
        <v>24</v>
      </c>
      <c r="H207" t="s">
        <v>882</v>
      </c>
      <c r="I207" s="2">
        <v>426.59199999999998</v>
      </c>
      <c r="J207">
        <v>2</v>
      </c>
      <c r="K207" s="2">
        <v>-81.725800000000007</v>
      </c>
      <c r="L207" s="3">
        <f>(Table1[[#This Row],[Profit]]/Table1[[#This Row],[Sales]])*100</f>
        <v>-19.157836996474387</v>
      </c>
    </row>
    <row r="208" spans="1:12" x14ac:dyDescent="0.3">
      <c r="A208" t="s">
        <v>4276</v>
      </c>
      <c r="B208" s="1">
        <v>43906</v>
      </c>
      <c r="C208" t="s">
        <v>3535</v>
      </c>
      <c r="D208" t="s">
        <v>3536</v>
      </c>
      <c r="E208" t="s">
        <v>14</v>
      </c>
      <c r="F208" t="s">
        <v>15</v>
      </c>
      <c r="G208" t="s">
        <v>18</v>
      </c>
      <c r="H208" t="s">
        <v>2599</v>
      </c>
      <c r="I208" s="2">
        <v>475.44</v>
      </c>
      <c r="J208">
        <v>8</v>
      </c>
      <c r="K208" s="2">
        <v>-81.664000000000001</v>
      </c>
      <c r="L208" s="3">
        <f>(Table1[[#This Row],[Profit]]/Table1[[#This Row],[Sales]])*100</f>
        <v>-17.176510180043749</v>
      </c>
    </row>
    <row r="209" spans="1:12" x14ac:dyDescent="0.3">
      <c r="A209" t="s">
        <v>6014</v>
      </c>
      <c r="B209" s="1">
        <v>44160</v>
      </c>
      <c r="C209" t="s">
        <v>652</v>
      </c>
      <c r="D209" t="s">
        <v>653</v>
      </c>
      <c r="E209" t="s">
        <v>14</v>
      </c>
      <c r="F209" t="s">
        <v>41</v>
      </c>
      <c r="G209" t="s">
        <v>16</v>
      </c>
      <c r="H209" t="s">
        <v>5589</v>
      </c>
      <c r="I209" s="2">
        <v>768.92</v>
      </c>
      <c r="J209">
        <v>5</v>
      </c>
      <c r="K209" s="2">
        <v>-81.441000000000003</v>
      </c>
      <c r="L209" s="3">
        <f>(Table1[[#This Row],[Profit]]/Table1[[#This Row],[Sales]])*100</f>
        <v>-10.591609010040056</v>
      </c>
    </row>
    <row r="210" spans="1:12" x14ac:dyDescent="0.3">
      <c r="A210" t="s">
        <v>5705</v>
      </c>
      <c r="B210" s="1">
        <v>44128</v>
      </c>
      <c r="C210" t="s">
        <v>2500</v>
      </c>
      <c r="D210" t="s">
        <v>2501</v>
      </c>
      <c r="E210" t="s">
        <v>14</v>
      </c>
      <c r="F210" t="s">
        <v>29</v>
      </c>
      <c r="G210" t="s">
        <v>16</v>
      </c>
      <c r="H210" t="s">
        <v>5016</v>
      </c>
      <c r="I210" s="2">
        <v>531.40499999999997</v>
      </c>
      <c r="J210">
        <v>5</v>
      </c>
      <c r="K210" s="2">
        <v>-81.3065</v>
      </c>
      <c r="L210" s="3">
        <f>(Table1[[#This Row],[Profit]]/Table1[[#This Row],[Sales]])*100</f>
        <v>-15.300288856898222</v>
      </c>
    </row>
    <row r="211" spans="1:12" x14ac:dyDescent="0.3">
      <c r="A211" t="s">
        <v>43</v>
      </c>
      <c r="B211" s="1">
        <v>43469</v>
      </c>
      <c r="C211" t="s">
        <v>44</v>
      </c>
      <c r="D211" t="s">
        <v>45</v>
      </c>
      <c r="E211" t="s">
        <v>14</v>
      </c>
      <c r="F211" t="s">
        <v>15</v>
      </c>
      <c r="G211" t="s">
        <v>24</v>
      </c>
      <c r="H211" t="s">
        <v>47</v>
      </c>
      <c r="I211" s="2">
        <v>104.58</v>
      </c>
      <c r="J211">
        <v>6</v>
      </c>
      <c r="K211" s="2">
        <v>-80.177999999999997</v>
      </c>
      <c r="L211" s="3">
        <f>(Table1[[#This Row],[Profit]]/Table1[[#This Row],[Sales]])*100</f>
        <v>-76.666666666666657</v>
      </c>
    </row>
    <row r="212" spans="1:12" x14ac:dyDescent="0.3">
      <c r="A212" t="s">
        <v>2204</v>
      </c>
      <c r="B212" s="1">
        <v>43674</v>
      </c>
      <c r="C212" t="s">
        <v>1681</v>
      </c>
      <c r="D212" t="s">
        <v>1682</v>
      </c>
      <c r="E212" t="s">
        <v>14</v>
      </c>
      <c r="F212" t="s">
        <v>15</v>
      </c>
      <c r="G212" t="s">
        <v>16</v>
      </c>
      <c r="H212" t="s">
        <v>656</v>
      </c>
      <c r="I212" s="2">
        <v>177.45</v>
      </c>
      <c r="J212">
        <v>5</v>
      </c>
      <c r="K212" s="2">
        <v>-78.078000000000003</v>
      </c>
      <c r="L212" s="3">
        <f>(Table1[[#This Row],[Profit]]/Table1[[#This Row],[Sales]])*100</f>
        <v>-44.000000000000007</v>
      </c>
    </row>
    <row r="213" spans="1:12" x14ac:dyDescent="0.3">
      <c r="A213" t="s">
        <v>4209</v>
      </c>
      <c r="B213" s="1">
        <v>43894</v>
      </c>
      <c r="C213" t="s">
        <v>1119</v>
      </c>
      <c r="D213" t="s">
        <v>1120</v>
      </c>
      <c r="E213" t="s">
        <v>14</v>
      </c>
      <c r="F213" t="s">
        <v>29</v>
      </c>
      <c r="G213" t="s">
        <v>16</v>
      </c>
      <c r="H213" t="s">
        <v>804</v>
      </c>
      <c r="I213" s="2">
        <v>117.5</v>
      </c>
      <c r="J213">
        <v>5</v>
      </c>
      <c r="K213" s="2">
        <v>-77.625</v>
      </c>
      <c r="L213" s="3">
        <f>(Table1[[#This Row],[Profit]]/Table1[[#This Row],[Sales]])*100</f>
        <v>-66.063829787234042</v>
      </c>
    </row>
    <row r="214" spans="1:12" x14ac:dyDescent="0.3">
      <c r="A214" t="s">
        <v>266</v>
      </c>
      <c r="B214" s="1">
        <v>43498</v>
      </c>
      <c r="C214" t="s">
        <v>267</v>
      </c>
      <c r="D214" t="s">
        <v>268</v>
      </c>
      <c r="E214" t="s">
        <v>14</v>
      </c>
      <c r="F214" t="s">
        <v>29</v>
      </c>
      <c r="G214" t="s">
        <v>16</v>
      </c>
      <c r="H214" t="s">
        <v>269</v>
      </c>
      <c r="I214" s="2">
        <v>73.784000000000006</v>
      </c>
      <c r="J214">
        <v>2</v>
      </c>
      <c r="K214" s="2">
        <v>-77.473200000000006</v>
      </c>
      <c r="L214" s="3">
        <f>(Table1[[#This Row],[Profit]]/Table1[[#This Row],[Sales]])*100</f>
        <v>-105</v>
      </c>
    </row>
    <row r="215" spans="1:12" x14ac:dyDescent="0.3">
      <c r="A215" t="s">
        <v>3489</v>
      </c>
      <c r="B215" s="1">
        <v>43789</v>
      </c>
      <c r="C215" t="s">
        <v>3490</v>
      </c>
      <c r="D215" t="s">
        <v>3491</v>
      </c>
      <c r="E215" t="s">
        <v>14</v>
      </c>
      <c r="F215" t="s">
        <v>29</v>
      </c>
      <c r="G215" t="s">
        <v>16</v>
      </c>
      <c r="H215" t="s">
        <v>3383</v>
      </c>
      <c r="I215" s="2">
        <v>318.43</v>
      </c>
      <c r="J215">
        <v>5</v>
      </c>
      <c r="K215" s="2">
        <v>-77.332999999999998</v>
      </c>
      <c r="L215" s="3">
        <f>(Table1[[#This Row],[Profit]]/Table1[[#This Row],[Sales]])*100</f>
        <v>-24.285714285714285</v>
      </c>
    </row>
    <row r="216" spans="1:12" x14ac:dyDescent="0.3">
      <c r="A216" t="s">
        <v>5426</v>
      </c>
      <c r="B216" s="1">
        <v>44091</v>
      </c>
      <c r="C216" t="s">
        <v>544</v>
      </c>
      <c r="D216" t="s">
        <v>545</v>
      </c>
      <c r="E216" t="s">
        <v>14</v>
      </c>
      <c r="F216" t="s">
        <v>29</v>
      </c>
      <c r="G216" t="s">
        <v>16</v>
      </c>
      <c r="H216" t="s">
        <v>3383</v>
      </c>
      <c r="I216" s="2">
        <v>348.43</v>
      </c>
      <c r="J216">
        <v>5</v>
      </c>
      <c r="K216" s="2">
        <v>-77.332999999999998</v>
      </c>
      <c r="L216" s="3">
        <f>(Table1[[#This Row],[Profit]]/Table1[[#This Row],[Sales]])*100</f>
        <v>-22.194701948741496</v>
      </c>
    </row>
    <row r="217" spans="1:12" x14ac:dyDescent="0.3">
      <c r="A217" t="s">
        <v>4751</v>
      </c>
      <c r="B217" s="1">
        <v>43983</v>
      </c>
      <c r="C217" t="s">
        <v>4752</v>
      </c>
      <c r="D217" t="s">
        <v>4753</v>
      </c>
      <c r="E217" t="s">
        <v>14</v>
      </c>
      <c r="F217" t="s">
        <v>15</v>
      </c>
      <c r="G217" t="s">
        <v>24</v>
      </c>
      <c r="H217" t="s">
        <v>607</v>
      </c>
      <c r="I217" s="2">
        <v>353.74400000000003</v>
      </c>
      <c r="J217">
        <v>3</v>
      </c>
      <c r="K217" s="2">
        <v>-77.1267</v>
      </c>
      <c r="L217" s="3">
        <f>(Table1[[#This Row],[Profit]]/Table1[[#This Row],[Sales]])*100</f>
        <v>-21.802970509747162</v>
      </c>
    </row>
    <row r="218" spans="1:12" x14ac:dyDescent="0.3">
      <c r="A218" t="s">
        <v>5673</v>
      </c>
      <c r="B218" s="1">
        <v>44125</v>
      </c>
      <c r="C218" t="s">
        <v>3134</v>
      </c>
      <c r="D218" t="s">
        <v>3135</v>
      </c>
      <c r="E218" t="s">
        <v>14</v>
      </c>
      <c r="F218" t="s">
        <v>15</v>
      </c>
      <c r="G218" t="s">
        <v>18</v>
      </c>
      <c r="H218" t="s">
        <v>1474</v>
      </c>
      <c r="I218" s="2">
        <v>344.988</v>
      </c>
      <c r="J218">
        <v>2</v>
      </c>
      <c r="K218" s="2">
        <v>-76.997200000000007</v>
      </c>
      <c r="L218" s="3">
        <f>(Table1[[#This Row],[Profit]]/Table1[[#This Row],[Sales]])*100</f>
        <v>-22.318805291778265</v>
      </c>
    </row>
    <row r="219" spans="1:12" x14ac:dyDescent="0.3">
      <c r="A219" t="s">
        <v>5608</v>
      </c>
      <c r="B219" s="1">
        <v>44116</v>
      </c>
      <c r="C219" t="s">
        <v>2367</v>
      </c>
      <c r="D219" t="s">
        <v>2368</v>
      </c>
      <c r="E219" t="s">
        <v>14</v>
      </c>
      <c r="F219" t="s">
        <v>15</v>
      </c>
      <c r="G219" t="s">
        <v>16</v>
      </c>
      <c r="H219" t="s">
        <v>2280</v>
      </c>
      <c r="I219" s="2">
        <v>699.34400000000005</v>
      </c>
      <c r="J219">
        <v>3</v>
      </c>
      <c r="K219" s="2">
        <v>-76.953599999999994</v>
      </c>
      <c r="L219" s="3">
        <f>(Table1[[#This Row],[Profit]]/Table1[[#This Row],[Sales]])*100</f>
        <v>-11.003683451920656</v>
      </c>
    </row>
    <row r="220" spans="1:12" x14ac:dyDescent="0.3">
      <c r="A220" t="s">
        <v>2532</v>
      </c>
      <c r="B220" s="1">
        <v>43710</v>
      </c>
      <c r="C220" t="s">
        <v>2533</v>
      </c>
      <c r="D220" t="s">
        <v>2534</v>
      </c>
      <c r="E220" t="s">
        <v>14</v>
      </c>
      <c r="F220" t="s">
        <v>29</v>
      </c>
      <c r="G220" t="s">
        <v>16</v>
      </c>
      <c r="H220" t="s">
        <v>2535</v>
      </c>
      <c r="I220" s="2">
        <v>84.272000000000006</v>
      </c>
      <c r="J220">
        <v>2</v>
      </c>
      <c r="K220" s="2">
        <v>-75.844800000000006</v>
      </c>
      <c r="L220" s="3">
        <f>(Table1[[#This Row],[Profit]]/Table1[[#This Row],[Sales]])*100</f>
        <v>-90</v>
      </c>
    </row>
    <row r="221" spans="1:12" x14ac:dyDescent="0.3">
      <c r="A221" t="s">
        <v>5664</v>
      </c>
      <c r="B221" s="1">
        <v>44124</v>
      </c>
      <c r="C221" t="s">
        <v>524</v>
      </c>
      <c r="D221" t="s">
        <v>525</v>
      </c>
      <c r="E221" t="s">
        <v>14</v>
      </c>
      <c r="F221" t="s">
        <v>15</v>
      </c>
      <c r="G221" t="s">
        <v>16</v>
      </c>
      <c r="H221" t="s">
        <v>2552</v>
      </c>
      <c r="I221" s="2">
        <v>317.36399999999998</v>
      </c>
      <c r="J221">
        <v>2</v>
      </c>
      <c r="K221" s="2">
        <v>-75.830399999999997</v>
      </c>
      <c r="L221" s="3">
        <f>(Table1[[#This Row],[Profit]]/Table1[[#This Row],[Sales]])*100</f>
        <v>-23.893825386622304</v>
      </c>
    </row>
    <row r="222" spans="1:12" x14ac:dyDescent="0.3">
      <c r="A222" t="s">
        <v>1225</v>
      </c>
      <c r="B222" s="1">
        <v>43588</v>
      </c>
      <c r="C222" t="s">
        <v>1226</v>
      </c>
      <c r="D222" t="s">
        <v>1227</v>
      </c>
      <c r="E222" t="s">
        <v>14</v>
      </c>
      <c r="F222" t="s">
        <v>15</v>
      </c>
      <c r="G222" t="s">
        <v>18</v>
      </c>
      <c r="H222" t="s">
        <v>1231</v>
      </c>
      <c r="I222" s="2">
        <v>431.976</v>
      </c>
      <c r="J222">
        <v>3</v>
      </c>
      <c r="K222" s="2">
        <v>-75.595799999999997</v>
      </c>
      <c r="L222" s="3">
        <f>(Table1[[#This Row],[Profit]]/Table1[[#This Row],[Sales]])*100</f>
        <v>-17.5</v>
      </c>
    </row>
    <row r="223" spans="1:12" x14ac:dyDescent="0.3">
      <c r="A223" t="s">
        <v>2935</v>
      </c>
      <c r="B223" s="1">
        <v>43734</v>
      </c>
      <c r="C223" t="s">
        <v>1107</v>
      </c>
      <c r="D223" t="s">
        <v>1108</v>
      </c>
      <c r="E223" t="s">
        <v>14</v>
      </c>
      <c r="F223" t="s">
        <v>41</v>
      </c>
      <c r="G223" t="s">
        <v>18</v>
      </c>
      <c r="H223" t="s">
        <v>1231</v>
      </c>
      <c r="I223" s="2">
        <v>431.976</v>
      </c>
      <c r="J223">
        <v>3</v>
      </c>
      <c r="K223" s="2">
        <v>-75.595799999999997</v>
      </c>
      <c r="L223" s="3">
        <f>(Table1[[#This Row],[Profit]]/Table1[[#This Row],[Sales]])*100</f>
        <v>-17.5</v>
      </c>
    </row>
    <row r="224" spans="1:12" x14ac:dyDescent="0.3">
      <c r="A224" t="s">
        <v>5048</v>
      </c>
      <c r="B224" s="1">
        <v>44034</v>
      </c>
      <c r="C224" t="s">
        <v>435</v>
      </c>
      <c r="D224" t="s">
        <v>436</v>
      </c>
      <c r="E224" t="s">
        <v>14</v>
      </c>
      <c r="F224" t="s">
        <v>29</v>
      </c>
      <c r="G224" t="s">
        <v>16</v>
      </c>
      <c r="H224" t="s">
        <v>3388</v>
      </c>
      <c r="I224" s="2">
        <v>556.34400000000005</v>
      </c>
      <c r="J224">
        <v>4</v>
      </c>
      <c r="K224" s="2">
        <v>-75.191999999999993</v>
      </c>
      <c r="L224" s="3">
        <f>(Table1[[#This Row],[Profit]]/Table1[[#This Row],[Sales]])*100</f>
        <v>-13.515378974159869</v>
      </c>
    </row>
    <row r="225" spans="1:12" x14ac:dyDescent="0.3">
      <c r="A225" t="s">
        <v>6252</v>
      </c>
      <c r="B225" s="1">
        <v>44188</v>
      </c>
      <c r="C225" t="s">
        <v>1125</v>
      </c>
      <c r="D225" t="s">
        <v>1126</v>
      </c>
      <c r="E225" t="s">
        <v>14</v>
      </c>
      <c r="F225" t="s">
        <v>29</v>
      </c>
      <c r="G225" t="s">
        <v>24</v>
      </c>
      <c r="H225" t="s">
        <v>3472</v>
      </c>
      <c r="I225" s="2">
        <v>355.31200000000001</v>
      </c>
      <c r="J225">
        <v>8</v>
      </c>
      <c r="K225" s="2">
        <v>-74.745599999999996</v>
      </c>
      <c r="L225" s="3">
        <f>(Table1[[#This Row],[Profit]]/Table1[[#This Row],[Sales]])*100</f>
        <v>-21.036610077903362</v>
      </c>
    </row>
    <row r="226" spans="1:12" x14ac:dyDescent="0.3">
      <c r="A226" t="s">
        <v>3622</v>
      </c>
      <c r="B226" s="1">
        <v>43797</v>
      </c>
      <c r="C226" t="s">
        <v>784</v>
      </c>
      <c r="D226" t="s">
        <v>785</v>
      </c>
      <c r="E226" t="s">
        <v>14</v>
      </c>
      <c r="F226" t="s">
        <v>15</v>
      </c>
      <c r="G226" t="s">
        <v>18</v>
      </c>
      <c r="H226" t="s">
        <v>1791</v>
      </c>
      <c r="I226" s="2">
        <v>340.18200000000002</v>
      </c>
      <c r="J226">
        <v>3</v>
      </c>
      <c r="K226" s="2">
        <v>-73.706100000000006</v>
      </c>
      <c r="L226" s="3">
        <f>(Table1[[#This Row],[Profit]]/Table1[[#This Row],[Sales]])*100</f>
        <v>-21.666666666666668</v>
      </c>
    </row>
    <row r="227" spans="1:12" x14ac:dyDescent="0.3">
      <c r="A227" t="s">
        <v>5795</v>
      </c>
      <c r="B227" s="1">
        <v>44141</v>
      </c>
      <c r="C227" t="s">
        <v>627</v>
      </c>
      <c r="D227" t="s">
        <v>628</v>
      </c>
      <c r="E227" t="s">
        <v>14</v>
      </c>
      <c r="F227" t="s">
        <v>23</v>
      </c>
      <c r="G227" t="s">
        <v>16</v>
      </c>
      <c r="H227" t="s">
        <v>2502</v>
      </c>
      <c r="I227" s="2">
        <v>491.56799999999998</v>
      </c>
      <c r="J227">
        <v>2</v>
      </c>
      <c r="K227" s="2">
        <v>-73.0548</v>
      </c>
      <c r="L227" s="3">
        <f>(Table1[[#This Row],[Profit]]/Table1[[#This Row],[Sales]])*100</f>
        <v>-14.861585782638414</v>
      </c>
    </row>
    <row r="228" spans="1:12" x14ac:dyDescent="0.3">
      <c r="A228" t="s">
        <v>5812</v>
      </c>
      <c r="B228" s="1">
        <v>44142</v>
      </c>
      <c r="C228" t="s">
        <v>3064</v>
      </c>
      <c r="D228" t="s">
        <v>3065</v>
      </c>
      <c r="E228" t="s">
        <v>14</v>
      </c>
      <c r="F228" t="s">
        <v>15</v>
      </c>
      <c r="G228" t="s">
        <v>18</v>
      </c>
      <c r="H228" t="s">
        <v>3314</v>
      </c>
      <c r="I228" s="2">
        <v>409.97</v>
      </c>
      <c r="J228">
        <v>5</v>
      </c>
      <c r="K228" s="2">
        <v>-71.994</v>
      </c>
      <c r="L228" s="3">
        <f>(Table1[[#This Row],[Profit]]/Table1[[#This Row],[Sales]])*100</f>
        <v>-17.560797131497424</v>
      </c>
    </row>
    <row r="229" spans="1:12" x14ac:dyDescent="0.3">
      <c r="A229" t="s">
        <v>513</v>
      </c>
      <c r="B229" s="1">
        <v>43530</v>
      </c>
      <c r="C229" t="s">
        <v>514</v>
      </c>
      <c r="D229" t="s">
        <v>515</v>
      </c>
      <c r="E229" t="s">
        <v>14</v>
      </c>
      <c r="F229" t="s">
        <v>15</v>
      </c>
      <c r="G229" t="s">
        <v>18</v>
      </c>
      <c r="H229" t="s">
        <v>516</v>
      </c>
      <c r="I229" s="2">
        <v>431.94</v>
      </c>
      <c r="J229">
        <v>2</v>
      </c>
      <c r="K229" s="2">
        <v>-71.989999999999995</v>
      </c>
      <c r="L229" s="3">
        <f>(Table1[[#This Row],[Profit]]/Table1[[#This Row],[Sales]])*100</f>
        <v>-16.666666666666664</v>
      </c>
    </row>
    <row r="230" spans="1:12" x14ac:dyDescent="0.3">
      <c r="A230" t="s">
        <v>4791</v>
      </c>
      <c r="B230" s="1">
        <v>43991</v>
      </c>
      <c r="C230" t="s">
        <v>2494</v>
      </c>
      <c r="D230" t="s">
        <v>2495</v>
      </c>
      <c r="E230" t="s">
        <v>14</v>
      </c>
      <c r="F230" t="s">
        <v>29</v>
      </c>
      <c r="G230" t="s">
        <v>16</v>
      </c>
      <c r="H230" t="s">
        <v>4792</v>
      </c>
      <c r="I230" s="2">
        <v>155.92500000000001</v>
      </c>
      <c r="J230">
        <v>1</v>
      </c>
      <c r="K230" s="2">
        <v>-71.890500000000003</v>
      </c>
      <c r="L230" s="3">
        <f>(Table1[[#This Row],[Profit]]/Table1[[#This Row],[Sales]])*100</f>
        <v>-46.105820105820108</v>
      </c>
    </row>
    <row r="231" spans="1:12" x14ac:dyDescent="0.3">
      <c r="A231" t="s">
        <v>5949</v>
      </c>
      <c r="B231" s="1">
        <v>44154</v>
      </c>
      <c r="C231" t="s">
        <v>637</v>
      </c>
      <c r="D231" t="s">
        <v>638</v>
      </c>
      <c r="E231" t="s">
        <v>14</v>
      </c>
      <c r="F231" t="s">
        <v>29</v>
      </c>
      <c r="G231" t="s">
        <v>16</v>
      </c>
      <c r="H231" t="s">
        <v>1075</v>
      </c>
      <c r="I231" s="2">
        <v>760.11599999999999</v>
      </c>
      <c r="J231">
        <v>6</v>
      </c>
      <c r="K231" s="2">
        <v>-71.811599999999999</v>
      </c>
      <c r="L231" s="3">
        <f>(Table1[[#This Row],[Profit]]/Table1[[#This Row],[Sales]])*100</f>
        <v>-9.4474527572107423</v>
      </c>
    </row>
    <row r="232" spans="1:12" x14ac:dyDescent="0.3">
      <c r="A232" t="s">
        <v>1222</v>
      </c>
      <c r="B232" s="1">
        <v>43588</v>
      </c>
      <c r="C232" t="s">
        <v>178</v>
      </c>
      <c r="D232" t="s">
        <v>179</v>
      </c>
      <c r="E232" t="s">
        <v>14</v>
      </c>
      <c r="F232" t="s">
        <v>29</v>
      </c>
      <c r="G232" t="s">
        <v>24</v>
      </c>
      <c r="H232" t="s">
        <v>1224</v>
      </c>
      <c r="I232" s="2">
        <v>26.405999999999999</v>
      </c>
      <c r="J232">
        <v>3</v>
      </c>
      <c r="K232" s="2">
        <v>-71.296199999999999</v>
      </c>
      <c r="L232" s="3">
        <f>(Table1[[#This Row],[Profit]]/Table1[[#This Row],[Sales]])*100</f>
        <v>-270</v>
      </c>
    </row>
    <row r="233" spans="1:12" x14ac:dyDescent="0.3">
      <c r="A233" t="s">
        <v>4547</v>
      </c>
      <c r="B233" s="1">
        <v>43950</v>
      </c>
      <c r="C233" t="s">
        <v>956</v>
      </c>
      <c r="D233" t="s">
        <v>957</v>
      </c>
      <c r="E233" t="s">
        <v>14</v>
      </c>
      <c r="F233" t="s">
        <v>15</v>
      </c>
      <c r="G233" t="s">
        <v>16</v>
      </c>
      <c r="H233" t="s">
        <v>2472</v>
      </c>
      <c r="I233" s="2">
        <v>1088.3499999999999</v>
      </c>
      <c r="J233">
        <v>5</v>
      </c>
      <c r="K233" s="2">
        <v>-69.89</v>
      </c>
      <c r="L233" s="3">
        <f>(Table1[[#This Row],[Profit]]/Table1[[#This Row],[Sales]])*100</f>
        <v>-6.4216474479717007</v>
      </c>
    </row>
    <row r="234" spans="1:12" x14ac:dyDescent="0.3">
      <c r="A234" t="s">
        <v>4562</v>
      </c>
      <c r="B234" s="1">
        <v>43951</v>
      </c>
      <c r="C234" t="s">
        <v>2407</v>
      </c>
      <c r="D234" t="s">
        <v>2408</v>
      </c>
      <c r="E234" t="s">
        <v>14</v>
      </c>
      <c r="F234" t="s">
        <v>29</v>
      </c>
      <c r="G234" t="s">
        <v>24</v>
      </c>
      <c r="H234" t="s">
        <v>3897</v>
      </c>
      <c r="I234" s="2">
        <v>123.372</v>
      </c>
      <c r="J234">
        <v>7</v>
      </c>
      <c r="K234" s="2">
        <v>-69.395200000000003</v>
      </c>
      <c r="L234" s="3">
        <f>(Table1[[#This Row],[Profit]]/Table1[[#This Row],[Sales]])*100</f>
        <v>-56.248743637129984</v>
      </c>
    </row>
    <row r="235" spans="1:12" x14ac:dyDescent="0.3">
      <c r="A235" t="s">
        <v>5274</v>
      </c>
      <c r="B235" s="1">
        <v>44077</v>
      </c>
      <c r="C235" t="s">
        <v>3064</v>
      </c>
      <c r="D235" t="s">
        <v>3065</v>
      </c>
      <c r="E235" t="s">
        <v>14</v>
      </c>
      <c r="F235" t="s">
        <v>29</v>
      </c>
      <c r="G235" t="s">
        <v>24</v>
      </c>
      <c r="H235" t="s">
        <v>2218</v>
      </c>
      <c r="I235" s="2">
        <v>129.61600000000001</v>
      </c>
      <c r="J235">
        <v>7</v>
      </c>
      <c r="K235" s="2">
        <v>-68.185599999999994</v>
      </c>
      <c r="L235" s="3">
        <f>(Table1[[#This Row],[Profit]]/Table1[[#This Row],[Sales]])*100</f>
        <v>-52.605851129490176</v>
      </c>
    </row>
    <row r="236" spans="1:12" x14ac:dyDescent="0.3">
      <c r="A236" t="s">
        <v>5322</v>
      </c>
      <c r="B236" s="1">
        <v>44082</v>
      </c>
      <c r="C236" t="s">
        <v>1976</v>
      </c>
      <c r="D236" t="s">
        <v>1977</v>
      </c>
      <c r="E236" t="s">
        <v>14</v>
      </c>
      <c r="F236" t="s">
        <v>29</v>
      </c>
      <c r="G236" t="s">
        <v>24</v>
      </c>
      <c r="H236" t="s">
        <v>2218</v>
      </c>
      <c r="I236" s="2">
        <v>125.616</v>
      </c>
      <c r="J236">
        <v>7</v>
      </c>
      <c r="K236" s="2">
        <v>-68.185599999999994</v>
      </c>
      <c r="L236" s="3">
        <f>(Table1[[#This Row],[Profit]]/Table1[[#This Row],[Sales]])*100</f>
        <v>-54.280983314227484</v>
      </c>
    </row>
    <row r="237" spans="1:12" x14ac:dyDescent="0.3">
      <c r="A237" t="s">
        <v>5732</v>
      </c>
      <c r="B237" s="1">
        <v>44134</v>
      </c>
      <c r="C237" t="s">
        <v>4851</v>
      </c>
      <c r="D237" t="s">
        <v>4852</v>
      </c>
      <c r="E237" t="s">
        <v>14</v>
      </c>
      <c r="F237" t="s">
        <v>29</v>
      </c>
      <c r="G237" t="s">
        <v>16</v>
      </c>
      <c r="H237" t="s">
        <v>4940</v>
      </c>
      <c r="I237" s="2">
        <v>296.00599999999997</v>
      </c>
      <c r="J237">
        <v>2</v>
      </c>
      <c r="K237" s="2">
        <v>-68.130200000000002</v>
      </c>
      <c r="L237" s="3">
        <f>(Table1[[#This Row],[Profit]]/Table1[[#This Row],[Sales]])*100</f>
        <v>-23.016492908927525</v>
      </c>
    </row>
    <row r="238" spans="1:12" x14ac:dyDescent="0.3">
      <c r="A238" t="s">
        <v>4093</v>
      </c>
      <c r="B238" s="1">
        <v>43860</v>
      </c>
      <c r="C238" t="s">
        <v>2999</v>
      </c>
      <c r="D238" t="s">
        <v>3000</v>
      </c>
      <c r="E238" t="s">
        <v>14</v>
      </c>
      <c r="F238" t="s">
        <v>41</v>
      </c>
      <c r="G238" t="s">
        <v>16</v>
      </c>
      <c r="H238" t="s">
        <v>4094</v>
      </c>
      <c r="I238" s="2">
        <v>437.13600000000002</v>
      </c>
      <c r="J238">
        <v>4</v>
      </c>
      <c r="K238" s="2">
        <v>-68.1096</v>
      </c>
      <c r="L238" s="3">
        <f>(Table1[[#This Row],[Profit]]/Table1[[#This Row],[Sales]])*100</f>
        <v>-15.580871856813438</v>
      </c>
    </row>
    <row r="239" spans="1:12" x14ac:dyDescent="0.3">
      <c r="A239" t="s">
        <v>2499</v>
      </c>
      <c r="B239" s="1">
        <v>43707</v>
      </c>
      <c r="C239" t="s">
        <v>2500</v>
      </c>
      <c r="D239" t="s">
        <v>2501</v>
      </c>
      <c r="E239" t="s">
        <v>14</v>
      </c>
      <c r="F239" t="s">
        <v>15</v>
      </c>
      <c r="G239" t="s">
        <v>18</v>
      </c>
      <c r="H239" t="s">
        <v>295</v>
      </c>
      <c r="I239" s="2">
        <v>290.89800000000002</v>
      </c>
      <c r="J239">
        <v>3</v>
      </c>
      <c r="K239" s="2">
        <v>-67.876199999999997</v>
      </c>
      <c r="L239" s="3">
        <f>(Table1[[#This Row],[Profit]]/Table1[[#This Row],[Sales]])*100</f>
        <v>-23.333333333333332</v>
      </c>
    </row>
    <row r="240" spans="1:12" x14ac:dyDescent="0.3">
      <c r="A240" t="s">
        <v>3046</v>
      </c>
      <c r="B240" s="1">
        <v>43746</v>
      </c>
      <c r="C240" t="s">
        <v>3047</v>
      </c>
      <c r="D240" t="s">
        <v>3048</v>
      </c>
      <c r="E240" t="s">
        <v>14</v>
      </c>
      <c r="F240" t="s">
        <v>41</v>
      </c>
      <c r="G240" t="s">
        <v>24</v>
      </c>
      <c r="H240" t="s">
        <v>3049</v>
      </c>
      <c r="I240" s="2">
        <v>387.72</v>
      </c>
      <c r="J240">
        <v>5</v>
      </c>
      <c r="K240" s="2">
        <v>-67.850999999999999</v>
      </c>
      <c r="L240" s="3">
        <f>(Table1[[#This Row],[Profit]]/Table1[[#This Row],[Sales]])*100</f>
        <v>-17.5</v>
      </c>
    </row>
    <row r="241" spans="1:12" x14ac:dyDescent="0.3">
      <c r="A241" t="s">
        <v>151</v>
      </c>
      <c r="B241" s="1">
        <v>43487</v>
      </c>
      <c r="C241" t="s">
        <v>152</v>
      </c>
      <c r="D241" t="s">
        <v>153</v>
      </c>
      <c r="E241" t="s">
        <v>14</v>
      </c>
      <c r="F241" t="s">
        <v>41</v>
      </c>
      <c r="G241" t="s">
        <v>16</v>
      </c>
      <c r="H241" t="s">
        <v>155</v>
      </c>
      <c r="I241" s="2">
        <v>451.13600000000002</v>
      </c>
      <c r="J241">
        <v>4</v>
      </c>
      <c r="K241" s="2">
        <v>-67.670400000000001</v>
      </c>
      <c r="L241" s="3">
        <f>(Table1[[#This Row],[Profit]]/Table1[[#This Row],[Sales]])*100</f>
        <v>-15</v>
      </c>
    </row>
    <row r="242" spans="1:12" x14ac:dyDescent="0.3">
      <c r="A242" t="s">
        <v>5650</v>
      </c>
      <c r="B242" s="1">
        <v>44123</v>
      </c>
      <c r="C242" t="s">
        <v>2649</v>
      </c>
      <c r="D242" t="s">
        <v>2650</v>
      </c>
      <c r="E242" t="s">
        <v>14</v>
      </c>
      <c r="F242" t="s">
        <v>29</v>
      </c>
      <c r="G242" t="s">
        <v>16</v>
      </c>
      <c r="H242" t="s">
        <v>2674</v>
      </c>
      <c r="I242" s="2">
        <v>105.27500000000001</v>
      </c>
      <c r="J242">
        <v>1</v>
      </c>
      <c r="K242" s="2">
        <v>-67.543499999999995</v>
      </c>
      <c r="L242" s="3">
        <f>(Table1[[#This Row],[Profit]]/Table1[[#This Row],[Sales]])*100</f>
        <v>-64.159107100451195</v>
      </c>
    </row>
    <row r="243" spans="1:12" x14ac:dyDescent="0.3">
      <c r="A243" t="s">
        <v>1095</v>
      </c>
      <c r="B243" s="1">
        <v>43576</v>
      </c>
      <c r="C243" t="s">
        <v>664</v>
      </c>
      <c r="D243" t="s">
        <v>665</v>
      </c>
      <c r="E243" t="s">
        <v>14</v>
      </c>
      <c r="F243" t="s">
        <v>29</v>
      </c>
      <c r="G243" t="s">
        <v>24</v>
      </c>
      <c r="H243" t="s">
        <v>1098</v>
      </c>
      <c r="I243" s="2">
        <v>44.847999999999999</v>
      </c>
      <c r="J243">
        <v>8</v>
      </c>
      <c r="K243" s="2">
        <v>-67.272000000000006</v>
      </c>
      <c r="L243" s="3">
        <f>(Table1[[#This Row],[Profit]]/Table1[[#This Row],[Sales]])*100</f>
        <v>-150.00000000000003</v>
      </c>
    </row>
    <row r="244" spans="1:12" x14ac:dyDescent="0.3">
      <c r="A244" t="s">
        <v>1065</v>
      </c>
      <c r="B244" s="1">
        <v>43573</v>
      </c>
      <c r="C244" t="s">
        <v>1066</v>
      </c>
      <c r="D244" t="s">
        <v>1067</v>
      </c>
      <c r="E244" t="s">
        <v>14</v>
      </c>
      <c r="F244" t="s">
        <v>29</v>
      </c>
      <c r="G244" t="s">
        <v>16</v>
      </c>
      <c r="H244" t="s">
        <v>1069</v>
      </c>
      <c r="I244" s="2">
        <v>127.88</v>
      </c>
      <c r="J244">
        <v>5</v>
      </c>
      <c r="K244" s="2">
        <v>-67.137</v>
      </c>
      <c r="L244" s="3">
        <f>(Table1[[#This Row],[Profit]]/Table1[[#This Row],[Sales]])*100</f>
        <v>-52.5</v>
      </c>
    </row>
    <row r="245" spans="1:12" x14ac:dyDescent="0.3">
      <c r="A245" t="s">
        <v>5786</v>
      </c>
      <c r="B245" s="1">
        <v>44140</v>
      </c>
      <c r="C245" t="s">
        <v>5787</v>
      </c>
      <c r="D245" t="s">
        <v>5788</v>
      </c>
      <c r="E245" t="s">
        <v>14</v>
      </c>
      <c r="F245" t="s">
        <v>15</v>
      </c>
      <c r="G245" t="s">
        <v>16</v>
      </c>
      <c r="H245" t="s">
        <v>4088</v>
      </c>
      <c r="I245" s="2">
        <v>209.5</v>
      </c>
      <c r="J245">
        <v>2</v>
      </c>
      <c r="K245" s="2">
        <v>-66.599999999999994</v>
      </c>
      <c r="L245" s="3">
        <f>(Table1[[#This Row],[Profit]]/Table1[[#This Row],[Sales]])*100</f>
        <v>-31.78997613365155</v>
      </c>
    </row>
    <row r="246" spans="1:12" x14ac:dyDescent="0.3">
      <c r="A246" t="s">
        <v>4360</v>
      </c>
      <c r="B246" s="1">
        <v>43917</v>
      </c>
      <c r="C246" t="s">
        <v>565</v>
      </c>
      <c r="D246" t="s">
        <v>566</v>
      </c>
      <c r="E246" t="s">
        <v>14</v>
      </c>
      <c r="F246" t="s">
        <v>29</v>
      </c>
      <c r="G246" t="s">
        <v>16</v>
      </c>
      <c r="H246" t="s">
        <v>3940</v>
      </c>
      <c r="I246" s="2">
        <v>233.24600000000001</v>
      </c>
      <c r="J246">
        <v>2</v>
      </c>
      <c r="K246" s="2">
        <v>-66.391599999999997</v>
      </c>
      <c r="L246" s="3">
        <f>(Table1[[#This Row],[Profit]]/Table1[[#This Row],[Sales]])*100</f>
        <v>-28.464196599298592</v>
      </c>
    </row>
    <row r="247" spans="1:12" x14ac:dyDescent="0.3">
      <c r="A247" t="s">
        <v>2303</v>
      </c>
      <c r="B247" s="1">
        <v>43689</v>
      </c>
      <c r="C247" t="s">
        <v>2304</v>
      </c>
      <c r="D247" t="s">
        <v>2305</v>
      </c>
      <c r="E247" t="s">
        <v>14</v>
      </c>
      <c r="F247" t="s">
        <v>15</v>
      </c>
      <c r="G247" t="s">
        <v>16</v>
      </c>
      <c r="H247" t="s">
        <v>200</v>
      </c>
      <c r="I247" s="2">
        <v>209.148</v>
      </c>
      <c r="J247">
        <v>2</v>
      </c>
      <c r="K247" s="2">
        <v>-66.230199999999996</v>
      </c>
      <c r="L247" s="3">
        <f>(Table1[[#This Row],[Profit]]/Table1[[#This Row],[Sales]])*100</f>
        <v>-31.666666666666664</v>
      </c>
    </row>
    <row r="248" spans="1:12" x14ac:dyDescent="0.3">
      <c r="A248" t="s">
        <v>6170</v>
      </c>
      <c r="B248" s="1">
        <v>44176</v>
      </c>
      <c r="C248" t="s">
        <v>3421</v>
      </c>
      <c r="D248" t="s">
        <v>3422</v>
      </c>
      <c r="E248" t="s">
        <v>14</v>
      </c>
      <c r="F248" t="s">
        <v>29</v>
      </c>
      <c r="G248" t="s">
        <v>16</v>
      </c>
      <c r="H248" t="s">
        <v>696</v>
      </c>
      <c r="I248" s="2">
        <v>447.72</v>
      </c>
      <c r="J248">
        <v>1</v>
      </c>
      <c r="K248" s="2">
        <v>-66.061999999999998</v>
      </c>
      <c r="L248" s="3">
        <f>(Table1[[#This Row],[Profit]]/Table1[[#This Row],[Sales]])*100</f>
        <v>-14.755204145448047</v>
      </c>
    </row>
    <row r="249" spans="1:12" x14ac:dyDescent="0.3">
      <c r="A249" t="s">
        <v>5368</v>
      </c>
      <c r="B249" s="1">
        <v>44085</v>
      </c>
      <c r="C249" t="s">
        <v>1203</v>
      </c>
      <c r="D249" t="s">
        <v>1204</v>
      </c>
      <c r="E249" t="s">
        <v>14</v>
      </c>
      <c r="F249" t="s">
        <v>29</v>
      </c>
      <c r="G249" t="s">
        <v>16</v>
      </c>
      <c r="H249" t="s">
        <v>4915</v>
      </c>
      <c r="I249" s="2">
        <v>527.19000000000005</v>
      </c>
      <c r="J249">
        <v>5</v>
      </c>
      <c r="K249" s="2">
        <v>-65.852999999999994</v>
      </c>
      <c r="L249" s="3">
        <f>(Table1[[#This Row],[Profit]]/Table1[[#This Row],[Sales]])*100</f>
        <v>-12.491321914300345</v>
      </c>
    </row>
    <row r="250" spans="1:12" x14ac:dyDescent="0.3">
      <c r="A250" t="s">
        <v>6276</v>
      </c>
      <c r="B250" s="1">
        <v>44190</v>
      </c>
      <c r="C250" t="s">
        <v>3979</v>
      </c>
      <c r="D250" t="s">
        <v>3980</v>
      </c>
      <c r="E250" t="s">
        <v>14</v>
      </c>
      <c r="F250" t="s">
        <v>29</v>
      </c>
      <c r="G250" t="s">
        <v>24</v>
      </c>
      <c r="H250" t="s">
        <v>2610</v>
      </c>
      <c r="I250" s="2">
        <v>399.98</v>
      </c>
      <c r="J250">
        <v>5</v>
      </c>
      <c r="K250" s="2">
        <v>-65.567999999999998</v>
      </c>
      <c r="L250" s="3">
        <f>(Table1[[#This Row],[Profit]]/Table1[[#This Row],[Sales]])*100</f>
        <v>-16.392819640982047</v>
      </c>
    </row>
    <row r="251" spans="1:12" x14ac:dyDescent="0.3">
      <c r="A251" t="s">
        <v>5710</v>
      </c>
      <c r="B251" s="1">
        <v>44130</v>
      </c>
      <c r="C251" t="s">
        <v>5477</v>
      </c>
      <c r="D251" t="s">
        <v>5478</v>
      </c>
      <c r="E251" t="s">
        <v>14</v>
      </c>
      <c r="F251" t="s">
        <v>15</v>
      </c>
      <c r="G251" t="s">
        <v>24</v>
      </c>
      <c r="H251" t="s">
        <v>1825</v>
      </c>
      <c r="I251" s="2">
        <v>180.43799999999999</v>
      </c>
      <c r="J251">
        <v>7</v>
      </c>
      <c r="K251" s="2">
        <v>-65.150400000000005</v>
      </c>
      <c r="L251" s="3">
        <f>(Table1[[#This Row],[Profit]]/Table1[[#This Row],[Sales]])*100</f>
        <v>-36.106806770192534</v>
      </c>
    </row>
    <row r="252" spans="1:12" x14ac:dyDescent="0.3">
      <c r="A252" t="s">
        <v>4727</v>
      </c>
      <c r="B252" s="1">
        <v>43979</v>
      </c>
      <c r="C252" t="s">
        <v>2054</v>
      </c>
      <c r="D252" t="s">
        <v>2055</v>
      </c>
      <c r="E252" t="s">
        <v>14</v>
      </c>
      <c r="F252" t="s">
        <v>15</v>
      </c>
      <c r="G252" t="s">
        <v>16</v>
      </c>
      <c r="H252" t="s">
        <v>17</v>
      </c>
      <c r="I252" s="2">
        <v>156.96</v>
      </c>
      <c r="J252">
        <v>4</v>
      </c>
      <c r="K252" s="2">
        <v>-64.937600000000003</v>
      </c>
      <c r="L252" s="3">
        <f>(Table1[[#This Row],[Profit]]/Table1[[#This Row],[Sales]])*100</f>
        <v>-41.372069317023445</v>
      </c>
    </row>
    <row r="253" spans="1:12" x14ac:dyDescent="0.3">
      <c r="A253" t="s">
        <v>5834</v>
      </c>
      <c r="B253" s="1">
        <v>44145</v>
      </c>
      <c r="C253" t="s">
        <v>5835</v>
      </c>
      <c r="D253" t="s">
        <v>5836</v>
      </c>
      <c r="E253" t="s">
        <v>14</v>
      </c>
      <c r="F253" t="s">
        <v>23</v>
      </c>
      <c r="G253" t="s">
        <v>18</v>
      </c>
      <c r="H253" t="s">
        <v>5837</v>
      </c>
      <c r="I253" s="2">
        <v>132.994</v>
      </c>
      <c r="J253">
        <v>2</v>
      </c>
      <c r="K253" s="2">
        <v>-63.996000000000002</v>
      </c>
      <c r="L253" s="3">
        <f>(Table1[[#This Row],[Profit]]/Table1[[#This Row],[Sales]])*100</f>
        <v>-48.119464035971546</v>
      </c>
    </row>
    <row r="254" spans="1:12" x14ac:dyDescent="0.3">
      <c r="A254" t="s">
        <v>2638</v>
      </c>
      <c r="B254" s="1">
        <v>43713</v>
      </c>
      <c r="C254" t="s">
        <v>774</v>
      </c>
      <c r="D254" t="s">
        <v>775</v>
      </c>
      <c r="E254" t="s">
        <v>14</v>
      </c>
      <c r="F254" t="s">
        <v>15</v>
      </c>
      <c r="G254" t="s">
        <v>16</v>
      </c>
      <c r="H254" t="s">
        <v>675</v>
      </c>
      <c r="I254" s="2">
        <v>887.27099999999996</v>
      </c>
      <c r="J254">
        <v>3</v>
      </c>
      <c r="K254" s="2">
        <v>-63.3765</v>
      </c>
      <c r="L254" s="3">
        <f>(Table1[[#This Row],[Profit]]/Table1[[#This Row],[Sales]])*100</f>
        <v>-7.1428571428571441</v>
      </c>
    </row>
    <row r="255" spans="1:12" x14ac:dyDescent="0.3">
      <c r="A255" t="s">
        <v>4031</v>
      </c>
      <c r="B255" s="1">
        <v>43849</v>
      </c>
      <c r="C255" t="s">
        <v>3546</v>
      </c>
      <c r="D255" t="s">
        <v>3547</v>
      </c>
      <c r="E255" t="s">
        <v>14</v>
      </c>
      <c r="F255" t="s">
        <v>15</v>
      </c>
      <c r="G255" t="s">
        <v>16</v>
      </c>
      <c r="H255" t="s">
        <v>675</v>
      </c>
      <c r="I255" s="2">
        <v>914.27099999999996</v>
      </c>
      <c r="J255">
        <v>3</v>
      </c>
      <c r="K255" s="2">
        <v>-63.3765</v>
      </c>
      <c r="L255" s="3">
        <f>(Table1[[#This Row],[Profit]]/Table1[[#This Row],[Sales]])*100</f>
        <v>-6.9319162480271173</v>
      </c>
    </row>
    <row r="256" spans="1:12" x14ac:dyDescent="0.3">
      <c r="A256" t="s">
        <v>2609</v>
      </c>
      <c r="B256" s="1">
        <v>43713</v>
      </c>
      <c r="C256" t="s">
        <v>1248</v>
      </c>
      <c r="D256" t="s">
        <v>1249</v>
      </c>
      <c r="E256" t="s">
        <v>14</v>
      </c>
      <c r="F256" t="s">
        <v>41</v>
      </c>
      <c r="G256" t="s">
        <v>24</v>
      </c>
      <c r="H256" t="s">
        <v>2610</v>
      </c>
      <c r="I256" s="2">
        <v>86.058000000000007</v>
      </c>
      <c r="J256">
        <v>7</v>
      </c>
      <c r="K256" s="2">
        <v>-63.109200000000001</v>
      </c>
      <c r="L256" s="3">
        <f>(Table1[[#This Row],[Profit]]/Table1[[#This Row],[Sales]])*100</f>
        <v>-73.333333333333329</v>
      </c>
    </row>
    <row r="257" spans="1:12" x14ac:dyDescent="0.3">
      <c r="A257" t="s">
        <v>5888</v>
      </c>
      <c r="B257" s="1">
        <v>44148</v>
      </c>
      <c r="C257" t="s">
        <v>1384</v>
      </c>
      <c r="D257" t="s">
        <v>1385</v>
      </c>
      <c r="E257" t="s">
        <v>14</v>
      </c>
      <c r="F257" t="s">
        <v>41</v>
      </c>
      <c r="G257" t="s">
        <v>24</v>
      </c>
      <c r="H257" t="s">
        <v>338</v>
      </c>
      <c r="I257" s="2">
        <v>738.06399999999996</v>
      </c>
      <c r="J257">
        <v>4</v>
      </c>
      <c r="K257" s="2">
        <v>-63.005600000000001</v>
      </c>
      <c r="L257" s="3">
        <f>(Table1[[#This Row],[Profit]]/Table1[[#This Row],[Sales]])*100</f>
        <v>-8.5366038717509607</v>
      </c>
    </row>
    <row r="258" spans="1:12" x14ac:dyDescent="0.3">
      <c r="A258" t="s">
        <v>2787</v>
      </c>
      <c r="B258" s="1">
        <v>43725</v>
      </c>
      <c r="C258" t="s">
        <v>2678</v>
      </c>
      <c r="D258" t="s">
        <v>2679</v>
      </c>
      <c r="E258" t="s">
        <v>14</v>
      </c>
      <c r="F258" t="s">
        <v>15</v>
      </c>
      <c r="G258" t="s">
        <v>24</v>
      </c>
      <c r="H258" t="s">
        <v>2788</v>
      </c>
      <c r="I258" s="2">
        <v>295.39999999999998</v>
      </c>
      <c r="J258">
        <v>5</v>
      </c>
      <c r="K258" s="2">
        <v>-62.772500000000001</v>
      </c>
      <c r="L258" s="3">
        <f>(Table1[[#This Row],[Profit]]/Table1[[#This Row],[Sales]])*100</f>
        <v>-21.250000000000004</v>
      </c>
    </row>
    <row r="259" spans="1:12" x14ac:dyDescent="0.3">
      <c r="A259" t="s">
        <v>5681</v>
      </c>
      <c r="B259" s="1">
        <v>44125</v>
      </c>
      <c r="C259" t="s">
        <v>989</v>
      </c>
      <c r="D259" t="s">
        <v>990</v>
      </c>
      <c r="E259" t="s">
        <v>14</v>
      </c>
      <c r="F259" t="s">
        <v>29</v>
      </c>
      <c r="G259" t="s">
        <v>24</v>
      </c>
      <c r="H259" t="s">
        <v>5014</v>
      </c>
      <c r="I259" s="2">
        <v>130.99199999999999</v>
      </c>
      <c r="J259">
        <v>2</v>
      </c>
      <c r="K259" s="2">
        <v>-62.379199999999997</v>
      </c>
      <c r="L259" s="3">
        <f>(Table1[[#This Row],[Profit]]/Table1[[#This Row],[Sales]])*100</f>
        <v>-47.620618053010872</v>
      </c>
    </row>
    <row r="260" spans="1:12" x14ac:dyDescent="0.3">
      <c r="A260" t="s">
        <v>814</v>
      </c>
      <c r="B260" s="1">
        <v>43555</v>
      </c>
      <c r="C260" t="s">
        <v>815</v>
      </c>
      <c r="D260" t="s">
        <v>816</v>
      </c>
      <c r="E260" t="s">
        <v>14</v>
      </c>
      <c r="F260" t="s">
        <v>15</v>
      </c>
      <c r="G260" t="s">
        <v>18</v>
      </c>
      <c r="H260" t="s">
        <v>817</v>
      </c>
      <c r="I260" s="2">
        <v>280.78199999999998</v>
      </c>
      <c r="J260">
        <v>3</v>
      </c>
      <c r="K260" s="2">
        <v>-60.836100000000002</v>
      </c>
      <c r="L260" s="3">
        <f>(Table1[[#This Row],[Profit]]/Table1[[#This Row],[Sales]])*100</f>
        <v>-21.666666666666668</v>
      </c>
    </row>
    <row r="261" spans="1:12" x14ac:dyDescent="0.3">
      <c r="A261" t="s">
        <v>215</v>
      </c>
      <c r="B261" s="1">
        <v>43495</v>
      </c>
      <c r="C261" t="s">
        <v>216</v>
      </c>
      <c r="D261" t="s">
        <v>217</v>
      </c>
      <c r="E261" t="s">
        <v>14</v>
      </c>
      <c r="F261" t="s">
        <v>23</v>
      </c>
      <c r="G261" t="s">
        <v>16</v>
      </c>
      <c r="H261" t="s">
        <v>218</v>
      </c>
      <c r="I261" s="2">
        <v>435.16800000000001</v>
      </c>
      <c r="J261">
        <v>4</v>
      </c>
      <c r="K261" s="2">
        <v>-59.835599999999999</v>
      </c>
      <c r="L261" s="3">
        <f>(Table1[[#This Row],[Profit]]/Table1[[#This Row],[Sales]])*100</f>
        <v>-13.749999999999998</v>
      </c>
    </row>
    <row r="262" spans="1:12" x14ac:dyDescent="0.3">
      <c r="A262" t="s">
        <v>5570</v>
      </c>
      <c r="B262" s="1">
        <v>44109</v>
      </c>
      <c r="C262" t="s">
        <v>2363</v>
      </c>
      <c r="D262" t="s">
        <v>2364</v>
      </c>
      <c r="E262" t="s">
        <v>14</v>
      </c>
      <c r="F262" t="s">
        <v>23</v>
      </c>
      <c r="G262" t="s">
        <v>16</v>
      </c>
      <c r="H262" t="s">
        <v>218</v>
      </c>
      <c r="I262" s="2">
        <v>460.16800000000001</v>
      </c>
      <c r="J262">
        <v>4</v>
      </c>
      <c r="K262" s="2">
        <v>-59.835599999999999</v>
      </c>
      <c r="L262" s="3">
        <f>(Table1[[#This Row],[Profit]]/Table1[[#This Row],[Sales]])*100</f>
        <v>-13.002990212270301</v>
      </c>
    </row>
    <row r="263" spans="1:12" x14ac:dyDescent="0.3">
      <c r="A263" t="s">
        <v>6276</v>
      </c>
      <c r="B263" s="1">
        <v>44190</v>
      </c>
      <c r="C263" t="s">
        <v>3979</v>
      </c>
      <c r="D263" t="s">
        <v>3980</v>
      </c>
      <c r="E263" t="s">
        <v>14</v>
      </c>
      <c r="F263" t="s">
        <v>29</v>
      </c>
      <c r="G263" t="s">
        <v>24</v>
      </c>
      <c r="H263" t="s">
        <v>4575</v>
      </c>
      <c r="I263" s="2">
        <v>418.58199999999999</v>
      </c>
      <c r="J263">
        <v>9</v>
      </c>
      <c r="K263" s="2">
        <v>-59.372999999999998</v>
      </c>
      <c r="L263" s="3">
        <f>(Table1[[#This Row],[Profit]]/Table1[[#This Row],[Sales]])*100</f>
        <v>-14.184317529181856</v>
      </c>
    </row>
    <row r="264" spans="1:12" x14ac:dyDescent="0.3">
      <c r="A264" t="s">
        <v>5517</v>
      </c>
      <c r="B264" s="1">
        <v>44102</v>
      </c>
      <c r="C264" t="s">
        <v>4044</v>
      </c>
      <c r="D264" t="s">
        <v>4045</v>
      </c>
      <c r="E264" t="s">
        <v>14</v>
      </c>
      <c r="F264" t="s">
        <v>23</v>
      </c>
      <c r="G264" t="s">
        <v>24</v>
      </c>
      <c r="H264" t="s">
        <v>1361</v>
      </c>
      <c r="I264" s="2">
        <v>126.776</v>
      </c>
      <c r="J264">
        <v>4</v>
      </c>
      <c r="K264" s="2">
        <v>-58.861600000000003</v>
      </c>
      <c r="L264" s="3">
        <f>(Table1[[#This Row],[Profit]]/Table1[[#This Row],[Sales]])*100</f>
        <v>-46.429608127721337</v>
      </c>
    </row>
    <row r="265" spans="1:12" x14ac:dyDescent="0.3">
      <c r="A265" t="s">
        <v>5275</v>
      </c>
      <c r="B265" s="1">
        <v>44078</v>
      </c>
      <c r="C265" t="s">
        <v>788</v>
      </c>
      <c r="D265" t="s">
        <v>789</v>
      </c>
      <c r="E265" t="s">
        <v>14</v>
      </c>
      <c r="F265" t="s">
        <v>23</v>
      </c>
      <c r="G265" t="s">
        <v>24</v>
      </c>
      <c r="H265" t="s">
        <v>5276</v>
      </c>
      <c r="I265" s="2">
        <v>103.074</v>
      </c>
      <c r="J265">
        <v>7</v>
      </c>
      <c r="K265" s="2">
        <v>-58.716000000000001</v>
      </c>
      <c r="L265" s="3">
        <f>(Table1[[#This Row],[Profit]]/Table1[[#This Row],[Sales]])*100</f>
        <v>-56.964899004598635</v>
      </c>
    </row>
    <row r="266" spans="1:12" x14ac:dyDescent="0.3">
      <c r="A266" t="s">
        <v>6136</v>
      </c>
      <c r="B266" s="1">
        <v>44173</v>
      </c>
      <c r="C266" t="s">
        <v>3683</v>
      </c>
      <c r="D266" t="s">
        <v>3684</v>
      </c>
      <c r="E266" t="s">
        <v>14</v>
      </c>
      <c r="F266" t="s">
        <v>15</v>
      </c>
      <c r="G266" t="s">
        <v>16</v>
      </c>
      <c r="H266" t="s">
        <v>2885</v>
      </c>
      <c r="I266" s="2">
        <v>228.54400000000001</v>
      </c>
      <c r="J266">
        <v>4</v>
      </c>
      <c r="K266" s="2">
        <v>-58.504800000000003</v>
      </c>
      <c r="L266" s="3">
        <f>(Table1[[#This Row],[Profit]]/Table1[[#This Row],[Sales]])*100</f>
        <v>-25.598921870624476</v>
      </c>
    </row>
    <row r="267" spans="1:12" x14ac:dyDescent="0.3">
      <c r="A267" t="s">
        <v>5693</v>
      </c>
      <c r="B267" s="1">
        <v>44127</v>
      </c>
      <c r="C267" t="s">
        <v>5694</v>
      </c>
      <c r="D267" t="s">
        <v>5695</v>
      </c>
      <c r="E267" t="s">
        <v>14</v>
      </c>
      <c r="F267" t="s">
        <v>29</v>
      </c>
      <c r="G267" t="s">
        <v>24</v>
      </c>
      <c r="H267" t="s">
        <v>288</v>
      </c>
      <c r="I267" s="2">
        <v>291.13600000000002</v>
      </c>
      <c r="J267">
        <v>4</v>
      </c>
      <c r="K267" s="2">
        <v>-58.305599999999998</v>
      </c>
      <c r="L267" s="3">
        <f>(Table1[[#This Row],[Profit]]/Table1[[#This Row],[Sales]])*100</f>
        <v>-20.026928995383599</v>
      </c>
    </row>
    <row r="268" spans="1:12" x14ac:dyDescent="0.3">
      <c r="A268" t="s">
        <v>1074</v>
      </c>
      <c r="B268" s="1">
        <v>43574</v>
      </c>
      <c r="C268" t="s">
        <v>876</v>
      </c>
      <c r="D268" t="s">
        <v>877</v>
      </c>
      <c r="E268" t="s">
        <v>14</v>
      </c>
      <c r="F268" t="s">
        <v>15</v>
      </c>
      <c r="G268" t="s">
        <v>16</v>
      </c>
      <c r="H268" t="s">
        <v>1075</v>
      </c>
      <c r="I268" s="2">
        <v>205.17599999999999</v>
      </c>
      <c r="J268">
        <v>2</v>
      </c>
      <c r="K268" s="2">
        <v>-58.133200000000002</v>
      </c>
      <c r="L268" s="3">
        <f>(Table1[[#This Row],[Profit]]/Table1[[#This Row],[Sales]])*100</f>
        <v>-28.333333333333339</v>
      </c>
    </row>
    <row r="269" spans="1:12" x14ac:dyDescent="0.3">
      <c r="A269" t="s">
        <v>4596</v>
      </c>
      <c r="B269" s="1">
        <v>43957</v>
      </c>
      <c r="C269" t="s">
        <v>4189</v>
      </c>
      <c r="D269" t="s">
        <v>4190</v>
      </c>
      <c r="E269" t="s">
        <v>14</v>
      </c>
      <c r="F269" t="s">
        <v>29</v>
      </c>
      <c r="G269" t="s">
        <v>24</v>
      </c>
      <c r="H269" t="s">
        <v>963</v>
      </c>
      <c r="I269" s="2">
        <v>803.68</v>
      </c>
      <c r="J269">
        <v>5</v>
      </c>
      <c r="K269" s="2">
        <v>-57.951000000000001</v>
      </c>
      <c r="L269" s="3">
        <f>(Table1[[#This Row],[Profit]]/Table1[[#This Row],[Sales]])*100</f>
        <v>-7.2107057535337455</v>
      </c>
    </row>
    <row r="270" spans="1:12" x14ac:dyDescent="0.3">
      <c r="A270" t="s">
        <v>3594</v>
      </c>
      <c r="B270" s="1">
        <v>43795</v>
      </c>
      <c r="C270" t="s">
        <v>128</v>
      </c>
      <c r="D270" t="s">
        <v>129</v>
      </c>
      <c r="E270" t="s">
        <v>14</v>
      </c>
      <c r="F270" t="s">
        <v>15</v>
      </c>
      <c r="G270" t="s">
        <v>24</v>
      </c>
      <c r="H270" t="s">
        <v>1932</v>
      </c>
      <c r="I270" s="2">
        <v>78.759</v>
      </c>
      <c r="J270">
        <v>9</v>
      </c>
      <c r="K270" s="2">
        <v>-57.756599999999999</v>
      </c>
      <c r="L270" s="3">
        <f>(Table1[[#This Row],[Profit]]/Table1[[#This Row],[Sales]])*100</f>
        <v>-73.333333333333329</v>
      </c>
    </row>
    <row r="271" spans="1:12" x14ac:dyDescent="0.3">
      <c r="A271" t="s">
        <v>5514</v>
      </c>
      <c r="B271" s="1">
        <v>44100</v>
      </c>
      <c r="C271" t="s">
        <v>544</v>
      </c>
      <c r="D271" t="s">
        <v>545</v>
      </c>
      <c r="E271" t="s">
        <v>14</v>
      </c>
      <c r="F271" t="s">
        <v>41</v>
      </c>
      <c r="G271" t="s">
        <v>16</v>
      </c>
      <c r="H271" t="s">
        <v>1216</v>
      </c>
      <c r="I271" s="2">
        <v>446.13600000000002</v>
      </c>
      <c r="J271">
        <v>4</v>
      </c>
      <c r="K271" s="2">
        <v>-57.6312</v>
      </c>
      <c r="L271" s="3">
        <f>(Table1[[#This Row],[Profit]]/Table1[[#This Row],[Sales]])*100</f>
        <v>-12.917854645220292</v>
      </c>
    </row>
    <row r="272" spans="1:12" x14ac:dyDescent="0.3">
      <c r="A272" t="s">
        <v>5086</v>
      </c>
      <c r="B272" s="1">
        <v>44043</v>
      </c>
      <c r="C272" t="s">
        <v>1668</v>
      </c>
      <c r="D272" t="s">
        <v>1669</v>
      </c>
      <c r="E272" t="s">
        <v>14</v>
      </c>
      <c r="F272" t="s">
        <v>15</v>
      </c>
      <c r="G272" t="s">
        <v>18</v>
      </c>
      <c r="H272" t="s">
        <v>2229</v>
      </c>
      <c r="I272" s="2">
        <v>319.57600000000002</v>
      </c>
      <c r="J272">
        <v>4</v>
      </c>
      <c r="K272" s="2">
        <v>-57.115200000000002</v>
      </c>
      <c r="L272" s="3">
        <f>(Table1[[#This Row],[Profit]]/Table1[[#This Row],[Sales]])*100</f>
        <v>-17.872180639347135</v>
      </c>
    </row>
    <row r="273" spans="1:12" x14ac:dyDescent="0.3">
      <c r="A273" t="s">
        <v>5651</v>
      </c>
      <c r="B273" s="1">
        <v>44123</v>
      </c>
      <c r="C273" t="s">
        <v>1347</v>
      </c>
      <c r="D273" t="s">
        <v>1348</v>
      </c>
      <c r="E273" t="s">
        <v>14</v>
      </c>
      <c r="F273" t="s">
        <v>15</v>
      </c>
      <c r="G273" t="s">
        <v>18</v>
      </c>
      <c r="H273" t="s">
        <v>1462</v>
      </c>
      <c r="I273" s="2">
        <v>350.57600000000002</v>
      </c>
      <c r="J273">
        <v>4</v>
      </c>
      <c r="K273" s="2">
        <v>-56.755600000000001</v>
      </c>
      <c r="L273" s="3">
        <f>(Table1[[#This Row],[Profit]]/Table1[[#This Row],[Sales]])*100</f>
        <v>-16.189242846059056</v>
      </c>
    </row>
    <row r="274" spans="1:12" x14ac:dyDescent="0.3">
      <c r="A274" t="s">
        <v>2496</v>
      </c>
      <c r="B274" s="1">
        <v>43706</v>
      </c>
      <c r="C274" t="s">
        <v>1288</v>
      </c>
      <c r="D274" t="s">
        <v>1289</v>
      </c>
      <c r="E274" t="s">
        <v>14</v>
      </c>
      <c r="F274" t="s">
        <v>15</v>
      </c>
      <c r="G274" t="s">
        <v>16</v>
      </c>
      <c r="H274" t="s">
        <v>2353</v>
      </c>
      <c r="I274" s="2">
        <v>241.92</v>
      </c>
      <c r="J274">
        <v>4</v>
      </c>
      <c r="K274" s="2">
        <v>-56.448</v>
      </c>
      <c r="L274" s="3">
        <f>(Table1[[#This Row],[Profit]]/Table1[[#This Row],[Sales]])*100</f>
        <v>-23.333333333333332</v>
      </c>
    </row>
    <row r="275" spans="1:12" x14ac:dyDescent="0.3">
      <c r="A275" t="s">
        <v>465</v>
      </c>
      <c r="B275" s="1">
        <v>43527</v>
      </c>
      <c r="C275" t="s">
        <v>466</v>
      </c>
      <c r="D275" t="s">
        <v>467</v>
      </c>
      <c r="E275" t="s">
        <v>14</v>
      </c>
      <c r="F275" t="s">
        <v>29</v>
      </c>
      <c r="G275" t="s">
        <v>16</v>
      </c>
      <c r="H275" t="s">
        <v>469</v>
      </c>
      <c r="I275" s="2">
        <v>563.42999999999995</v>
      </c>
      <c r="J275">
        <v>5</v>
      </c>
      <c r="K275" s="2">
        <v>-56.343000000000004</v>
      </c>
      <c r="L275" s="3">
        <f>(Table1[[#This Row],[Profit]]/Table1[[#This Row],[Sales]])*100</f>
        <v>-10.000000000000002</v>
      </c>
    </row>
    <row r="276" spans="1:12" x14ac:dyDescent="0.3">
      <c r="A276" t="s">
        <v>2329</v>
      </c>
      <c r="B276" s="1">
        <v>43691</v>
      </c>
      <c r="C276" t="s">
        <v>550</v>
      </c>
      <c r="D276" t="s">
        <v>551</v>
      </c>
      <c r="E276" t="s">
        <v>14</v>
      </c>
      <c r="F276" t="s">
        <v>15</v>
      </c>
      <c r="G276" t="s">
        <v>18</v>
      </c>
      <c r="H276" t="s">
        <v>2330</v>
      </c>
      <c r="I276" s="2">
        <v>259.89600000000002</v>
      </c>
      <c r="J276">
        <v>2</v>
      </c>
      <c r="K276" s="2">
        <v>-56.3108</v>
      </c>
      <c r="L276" s="3">
        <f>(Table1[[#This Row],[Profit]]/Table1[[#This Row],[Sales]])*100</f>
        <v>-21.666666666666664</v>
      </c>
    </row>
    <row r="277" spans="1:12" x14ac:dyDescent="0.3">
      <c r="A277" t="s">
        <v>5350</v>
      </c>
      <c r="B277" s="1">
        <v>44084</v>
      </c>
      <c r="C277" t="s">
        <v>2837</v>
      </c>
      <c r="D277" t="s">
        <v>2838</v>
      </c>
      <c r="E277" t="s">
        <v>14</v>
      </c>
      <c r="F277" t="s">
        <v>15</v>
      </c>
      <c r="G277" t="s">
        <v>18</v>
      </c>
      <c r="H277" t="s">
        <v>2330</v>
      </c>
      <c r="I277" s="2">
        <v>282.89600000000002</v>
      </c>
      <c r="J277">
        <v>2</v>
      </c>
      <c r="K277" s="2">
        <v>-56.3108</v>
      </c>
      <c r="L277" s="3">
        <f>(Table1[[#This Row],[Profit]]/Table1[[#This Row],[Sales]])*100</f>
        <v>-19.90512414456196</v>
      </c>
    </row>
    <row r="278" spans="1:12" x14ac:dyDescent="0.3">
      <c r="A278" t="s">
        <v>5559</v>
      </c>
      <c r="B278" s="1">
        <v>44106</v>
      </c>
      <c r="C278" t="s">
        <v>1970</v>
      </c>
      <c r="D278" t="s">
        <v>1971</v>
      </c>
      <c r="E278" t="s">
        <v>14</v>
      </c>
      <c r="F278" t="s">
        <v>29</v>
      </c>
      <c r="G278" t="s">
        <v>24</v>
      </c>
      <c r="H278" t="s">
        <v>3472</v>
      </c>
      <c r="I278" s="2">
        <v>111.98399999999999</v>
      </c>
      <c r="J278">
        <v>6</v>
      </c>
      <c r="K278" s="2">
        <v>-56.059199999999997</v>
      </c>
      <c r="L278" s="3">
        <f>(Table1[[#This Row],[Profit]]/Table1[[#This Row],[Sales]])*100</f>
        <v>-50.060008572653238</v>
      </c>
    </row>
    <row r="279" spans="1:12" x14ac:dyDescent="0.3">
      <c r="A279" t="s">
        <v>5733</v>
      </c>
      <c r="B279" s="1">
        <v>44134</v>
      </c>
      <c r="C279" t="s">
        <v>3034</v>
      </c>
      <c r="D279" t="s">
        <v>3035</v>
      </c>
      <c r="E279" t="s">
        <v>14</v>
      </c>
      <c r="F279" t="s">
        <v>15</v>
      </c>
      <c r="G279" t="s">
        <v>18</v>
      </c>
      <c r="H279" t="s">
        <v>141</v>
      </c>
      <c r="I279" s="2">
        <v>455.4</v>
      </c>
      <c r="J279">
        <v>7</v>
      </c>
      <c r="K279" s="2">
        <v>-55.3</v>
      </c>
      <c r="L279" s="3">
        <f>(Table1[[#This Row],[Profit]]/Table1[[#This Row],[Sales]])*100</f>
        <v>-12.143170838823012</v>
      </c>
    </row>
    <row r="280" spans="1:12" x14ac:dyDescent="0.3">
      <c r="A280" t="s">
        <v>4660</v>
      </c>
      <c r="B280" s="1">
        <v>43967</v>
      </c>
      <c r="C280" t="s">
        <v>3641</v>
      </c>
      <c r="D280" t="s">
        <v>3642</v>
      </c>
      <c r="E280" t="s">
        <v>14</v>
      </c>
      <c r="F280" t="s">
        <v>15</v>
      </c>
      <c r="G280" t="s">
        <v>24</v>
      </c>
      <c r="H280" t="s">
        <v>643</v>
      </c>
      <c r="I280" s="2">
        <v>237.024</v>
      </c>
      <c r="J280">
        <v>2</v>
      </c>
      <c r="K280" s="2">
        <v>-55.256</v>
      </c>
      <c r="L280" s="3">
        <f>(Table1[[#This Row],[Profit]]/Table1[[#This Row],[Sales]])*100</f>
        <v>-23.312407182395031</v>
      </c>
    </row>
    <row r="281" spans="1:12" x14ac:dyDescent="0.3">
      <c r="A281" t="s">
        <v>5869</v>
      </c>
      <c r="B281" s="1">
        <v>44147</v>
      </c>
      <c r="C281" t="s">
        <v>2078</v>
      </c>
      <c r="D281" t="s">
        <v>2079</v>
      </c>
      <c r="E281" t="s">
        <v>14</v>
      </c>
      <c r="F281" t="s">
        <v>15</v>
      </c>
      <c r="G281" t="s">
        <v>24</v>
      </c>
      <c r="H281" t="s">
        <v>643</v>
      </c>
      <c r="I281" s="2">
        <v>267.024</v>
      </c>
      <c r="J281">
        <v>2</v>
      </c>
      <c r="K281" s="2">
        <v>-55.256</v>
      </c>
      <c r="L281" s="3">
        <f>(Table1[[#This Row],[Profit]]/Table1[[#This Row],[Sales]])*100</f>
        <v>-20.693271016837439</v>
      </c>
    </row>
    <row r="282" spans="1:12" x14ac:dyDescent="0.3">
      <c r="A282" t="s">
        <v>5526</v>
      </c>
      <c r="B282" s="1">
        <v>44103</v>
      </c>
      <c r="C282" t="s">
        <v>1078</v>
      </c>
      <c r="D282" t="s">
        <v>1079</v>
      </c>
      <c r="E282" t="s">
        <v>14</v>
      </c>
      <c r="F282" t="s">
        <v>41</v>
      </c>
      <c r="G282" t="s">
        <v>24</v>
      </c>
      <c r="H282" t="s">
        <v>3695</v>
      </c>
      <c r="I282" s="2">
        <v>293.92</v>
      </c>
      <c r="J282">
        <v>5</v>
      </c>
      <c r="K282" s="2">
        <v>-54.881999999999998</v>
      </c>
      <c r="L282" s="3">
        <f>(Table1[[#This Row],[Profit]]/Table1[[#This Row],[Sales]])*100</f>
        <v>-18.672427871529663</v>
      </c>
    </row>
    <row r="283" spans="1:12" x14ac:dyDescent="0.3">
      <c r="A283" t="s">
        <v>4700</v>
      </c>
      <c r="B283" s="1">
        <v>43973</v>
      </c>
      <c r="C283" t="s">
        <v>1416</v>
      </c>
      <c r="D283" t="s">
        <v>1417</v>
      </c>
      <c r="E283" t="s">
        <v>14</v>
      </c>
      <c r="F283" t="s">
        <v>29</v>
      </c>
      <c r="G283" t="s">
        <v>16</v>
      </c>
      <c r="H283" t="s">
        <v>2944</v>
      </c>
      <c r="I283" s="2">
        <v>219.98599999999999</v>
      </c>
      <c r="J283">
        <v>2</v>
      </c>
      <c r="K283" s="2">
        <v>-54.595799999999997</v>
      </c>
      <c r="L283" s="3">
        <f>(Table1[[#This Row],[Profit]]/Table1[[#This Row],[Sales]])*100</f>
        <v>-24.817852045130145</v>
      </c>
    </row>
    <row r="284" spans="1:12" x14ac:dyDescent="0.3">
      <c r="A284" t="s">
        <v>6251</v>
      </c>
      <c r="B284" s="1">
        <v>44188</v>
      </c>
      <c r="C284" t="s">
        <v>4586</v>
      </c>
      <c r="D284" t="s">
        <v>4587</v>
      </c>
      <c r="E284" t="s">
        <v>14</v>
      </c>
      <c r="F284" t="s">
        <v>41</v>
      </c>
      <c r="G284" t="s">
        <v>24</v>
      </c>
      <c r="H284" t="s">
        <v>1422</v>
      </c>
      <c r="I284" s="2">
        <v>560.35199999999998</v>
      </c>
      <c r="J284">
        <v>3</v>
      </c>
      <c r="K284" s="2">
        <v>-54.588000000000001</v>
      </c>
      <c r="L284" s="3">
        <f>(Table1[[#This Row],[Profit]]/Table1[[#This Row],[Sales]])*100</f>
        <v>-9.7417337673462399</v>
      </c>
    </row>
    <row r="285" spans="1:12" x14ac:dyDescent="0.3">
      <c r="A285" t="s">
        <v>4914</v>
      </c>
      <c r="B285" s="1">
        <v>44011</v>
      </c>
      <c r="C285" t="s">
        <v>2333</v>
      </c>
      <c r="D285" t="s">
        <v>2334</v>
      </c>
      <c r="E285" t="s">
        <v>14</v>
      </c>
      <c r="F285" t="s">
        <v>29</v>
      </c>
      <c r="G285" t="s">
        <v>24</v>
      </c>
      <c r="H285" t="s">
        <v>4920</v>
      </c>
      <c r="I285" s="2">
        <v>123.392</v>
      </c>
      <c r="J285">
        <v>2</v>
      </c>
      <c r="K285" s="2">
        <v>-54.549599999999998</v>
      </c>
      <c r="L285" s="3">
        <f>(Table1[[#This Row],[Profit]]/Table1[[#This Row],[Sales]])*100</f>
        <v>-44.208376556016596</v>
      </c>
    </row>
    <row r="286" spans="1:12" x14ac:dyDescent="0.3">
      <c r="A286" t="s">
        <v>5080</v>
      </c>
      <c r="B286" s="1">
        <v>44042</v>
      </c>
      <c r="C286" t="s">
        <v>2407</v>
      </c>
      <c r="D286" t="s">
        <v>2408</v>
      </c>
      <c r="E286" t="s">
        <v>14</v>
      </c>
      <c r="F286" t="s">
        <v>15</v>
      </c>
      <c r="G286" t="s">
        <v>24</v>
      </c>
      <c r="H286" t="s">
        <v>462</v>
      </c>
      <c r="I286" s="2">
        <v>110.776</v>
      </c>
      <c r="J286">
        <v>4</v>
      </c>
      <c r="K286" s="2">
        <v>-53.743200000000002</v>
      </c>
      <c r="L286" s="3">
        <f>(Table1[[#This Row],[Profit]]/Table1[[#This Row],[Sales]])*100</f>
        <v>-48.515201848775916</v>
      </c>
    </row>
    <row r="287" spans="1:12" x14ac:dyDescent="0.3">
      <c r="A287" t="s">
        <v>6025</v>
      </c>
      <c r="B287" s="1">
        <v>44161</v>
      </c>
      <c r="C287" t="s">
        <v>1953</v>
      </c>
      <c r="D287" t="s">
        <v>1954</v>
      </c>
      <c r="E287" t="s">
        <v>14</v>
      </c>
      <c r="F287" t="s">
        <v>29</v>
      </c>
      <c r="G287" t="s">
        <v>24</v>
      </c>
      <c r="H287" t="s">
        <v>1909</v>
      </c>
      <c r="I287" s="2">
        <v>130.56800000000001</v>
      </c>
      <c r="J287">
        <v>8</v>
      </c>
      <c r="K287" s="2">
        <v>-53.708799999999997</v>
      </c>
      <c r="L287" s="3">
        <f>(Table1[[#This Row],[Profit]]/Table1[[#This Row],[Sales]])*100</f>
        <v>-41.134734391275039</v>
      </c>
    </row>
    <row r="288" spans="1:12" x14ac:dyDescent="0.3">
      <c r="A288" t="s">
        <v>5946</v>
      </c>
      <c r="B288" s="1">
        <v>44154</v>
      </c>
      <c r="C288" t="s">
        <v>1145</v>
      </c>
      <c r="D288" t="s">
        <v>1146</v>
      </c>
      <c r="E288" t="s">
        <v>14</v>
      </c>
      <c r="F288" t="s">
        <v>29</v>
      </c>
      <c r="G288" t="s">
        <v>16</v>
      </c>
      <c r="H288" t="s">
        <v>1498</v>
      </c>
      <c r="I288" s="2">
        <v>275.05799999999999</v>
      </c>
      <c r="J288">
        <v>3</v>
      </c>
      <c r="K288" s="2">
        <v>-53.270400000000002</v>
      </c>
      <c r="L288" s="3">
        <f>(Table1[[#This Row],[Profit]]/Table1[[#This Row],[Sales]])*100</f>
        <v>-19.366969875444454</v>
      </c>
    </row>
    <row r="289" spans="1:12" x14ac:dyDescent="0.3">
      <c r="A289" t="s">
        <v>4628</v>
      </c>
      <c r="B289" s="1">
        <v>43963</v>
      </c>
      <c r="C289" t="s">
        <v>424</v>
      </c>
      <c r="D289" t="s">
        <v>425</v>
      </c>
      <c r="E289" t="s">
        <v>14</v>
      </c>
      <c r="F289" t="s">
        <v>29</v>
      </c>
      <c r="G289" t="s">
        <v>24</v>
      </c>
      <c r="H289" t="s">
        <v>3504</v>
      </c>
      <c r="I289" s="2">
        <v>131.24</v>
      </c>
      <c r="J289">
        <v>4</v>
      </c>
      <c r="K289" s="2">
        <v>-53.072000000000003</v>
      </c>
      <c r="L289" s="3">
        <f>(Table1[[#This Row],[Profit]]/Table1[[#This Row],[Sales]])*100</f>
        <v>-40.438890582139592</v>
      </c>
    </row>
    <row r="290" spans="1:12" x14ac:dyDescent="0.3">
      <c r="A290" t="s">
        <v>2484</v>
      </c>
      <c r="B290" s="1">
        <v>43705</v>
      </c>
      <c r="C290" t="s">
        <v>2485</v>
      </c>
      <c r="D290" t="s">
        <v>2486</v>
      </c>
      <c r="E290" t="s">
        <v>14</v>
      </c>
      <c r="F290" t="s">
        <v>29</v>
      </c>
      <c r="G290" t="s">
        <v>16</v>
      </c>
      <c r="H290" t="s">
        <v>2487</v>
      </c>
      <c r="I290" s="2">
        <v>156.37280000000001</v>
      </c>
      <c r="J290">
        <v>2</v>
      </c>
      <c r="K290" s="2">
        <v>-52.890799999999999</v>
      </c>
      <c r="L290" s="3">
        <f>(Table1[[#This Row],[Profit]]/Table1[[#This Row],[Sales]])*100</f>
        <v>-33.823529411764703</v>
      </c>
    </row>
    <row r="291" spans="1:12" x14ac:dyDescent="0.3">
      <c r="A291" t="s">
        <v>6183</v>
      </c>
      <c r="B291" s="1">
        <v>44179</v>
      </c>
      <c r="C291" t="s">
        <v>244</v>
      </c>
      <c r="D291" t="s">
        <v>245</v>
      </c>
      <c r="E291" t="s">
        <v>14</v>
      </c>
      <c r="F291" t="s">
        <v>15</v>
      </c>
      <c r="G291" t="s">
        <v>16</v>
      </c>
      <c r="H291" t="s">
        <v>1700</v>
      </c>
      <c r="I291" s="2">
        <v>239.58199999999999</v>
      </c>
      <c r="J291">
        <v>2</v>
      </c>
      <c r="K291" s="2">
        <v>-52.658200000000001</v>
      </c>
      <c r="L291" s="3">
        <f>(Table1[[#This Row],[Profit]]/Table1[[#This Row],[Sales]])*100</f>
        <v>-21.979197101618652</v>
      </c>
    </row>
    <row r="292" spans="1:12" x14ac:dyDescent="0.3">
      <c r="A292" t="s">
        <v>5040</v>
      </c>
      <c r="B292" s="1">
        <v>44033</v>
      </c>
      <c r="C292" t="s">
        <v>946</v>
      </c>
      <c r="D292" t="s">
        <v>947</v>
      </c>
      <c r="E292" t="s">
        <v>14</v>
      </c>
      <c r="F292" t="s">
        <v>15</v>
      </c>
      <c r="G292" t="s">
        <v>18</v>
      </c>
      <c r="H292" t="s">
        <v>5041</v>
      </c>
      <c r="I292" s="2">
        <v>227.56399999999999</v>
      </c>
      <c r="J292">
        <v>6</v>
      </c>
      <c r="K292" s="2">
        <v>-52.640999999999998</v>
      </c>
      <c r="L292" s="3">
        <f>(Table1[[#This Row],[Profit]]/Table1[[#This Row],[Sales]])*100</f>
        <v>-23.132393524459051</v>
      </c>
    </row>
    <row r="293" spans="1:12" x14ac:dyDescent="0.3">
      <c r="A293" t="s">
        <v>4592</v>
      </c>
      <c r="B293" s="1">
        <v>43957</v>
      </c>
      <c r="C293" t="s">
        <v>589</v>
      </c>
      <c r="D293" t="s">
        <v>590</v>
      </c>
      <c r="E293" t="s">
        <v>14</v>
      </c>
      <c r="F293" t="s">
        <v>41</v>
      </c>
      <c r="G293" t="s">
        <v>24</v>
      </c>
      <c r="H293" t="s">
        <v>3351</v>
      </c>
      <c r="I293" s="2">
        <v>144.541</v>
      </c>
      <c r="J293">
        <v>11</v>
      </c>
      <c r="K293" s="2">
        <v>-52.548099999999998</v>
      </c>
      <c r="L293" s="3">
        <f>(Table1[[#This Row],[Profit]]/Table1[[#This Row],[Sales]])*100</f>
        <v>-36.355151825433616</v>
      </c>
    </row>
    <row r="294" spans="1:12" x14ac:dyDescent="0.3">
      <c r="A294" t="s">
        <v>4019</v>
      </c>
      <c r="B294" s="1">
        <v>43845</v>
      </c>
      <c r="C294" t="s">
        <v>216</v>
      </c>
      <c r="D294" t="s">
        <v>217</v>
      </c>
      <c r="E294" t="s">
        <v>14</v>
      </c>
      <c r="F294" t="s">
        <v>29</v>
      </c>
      <c r="G294" t="s">
        <v>24</v>
      </c>
      <c r="H294" t="s">
        <v>2610</v>
      </c>
      <c r="I294" s="2">
        <v>118.78400000000001</v>
      </c>
      <c r="J294">
        <v>4</v>
      </c>
      <c r="K294" s="2">
        <v>-52.4544</v>
      </c>
      <c r="L294" s="3">
        <f>(Table1[[#This Row],[Profit]]/Table1[[#This Row],[Sales]])*100</f>
        <v>-44.15948275862069</v>
      </c>
    </row>
    <row r="295" spans="1:12" x14ac:dyDescent="0.3">
      <c r="A295" t="s">
        <v>4736</v>
      </c>
      <c r="B295" s="1">
        <v>43980</v>
      </c>
      <c r="C295" t="s">
        <v>652</v>
      </c>
      <c r="D295" t="s">
        <v>653</v>
      </c>
      <c r="E295" t="s">
        <v>14</v>
      </c>
      <c r="F295" t="s">
        <v>29</v>
      </c>
      <c r="G295" t="s">
        <v>16</v>
      </c>
      <c r="H295" t="s">
        <v>1862</v>
      </c>
      <c r="I295" s="2">
        <v>2112.424</v>
      </c>
      <c r="J295">
        <v>4</v>
      </c>
      <c r="K295" s="2">
        <v>-52.339199999999998</v>
      </c>
      <c r="L295" s="3">
        <f>(Table1[[#This Row],[Profit]]/Table1[[#This Row],[Sales]])*100</f>
        <v>-2.4776844042673249</v>
      </c>
    </row>
    <row r="296" spans="1:12" x14ac:dyDescent="0.3">
      <c r="A296" t="s">
        <v>4497</v>
      </c>
      <c r="B296" s="1">
        <v>43941</v>
      </c>
      <c r="C296" t="s">
        <v>544</v>
      </c>
      <c r="D296" t="s">
        <v>545</v>
      </c>
      <c r="E296" t="s">
        <v>14</v>
      </c>
      <c r="F296" t="s">
        <v>29</v>
      </c>
      <c r="G296" t="s">
        <v>16</v>
      </c>
      <c r="H296" t="s">
        <v>4107</v>
      </c>
      <c r="I296" s="2">
        <v>136.4</v>
      </c>
      <c r="J296">
        <v>2</v>
      </c>
      <c r="K296" s="2">
        <v>-52.17</v>
      </c>
      <c r="L296" s="3">
        <f>(Table1[[#This Row],[Profit]]/Table1[[#This Row],[Sales]])*100</f>
        <v>-38.247800586510259</v>
      </c>
    </row>
    <row r="297" spans="1:12" x14ac:dyDescent="0.3">
      <c r="A297" t="s">
        <v>5797</v>
      </c>
      <c r="B297" s="1">
        <v>44141</v>
      </c>
      <c r="C297" t="s">
        <v>376</v>
      </c>
      <c r="D297" t="s">
        <v>377</v>
      </c>
      <c r="E297" t="s">
        <v>14</v>
      </c>
      <c r="F297" t="s">
        <v>41</v>
      </c>
      <c r="G297" t="s">
        <v>24</v>
      </c>
      <c r="H297" t="s">
        <v>383</v>
      </c>
      <c r="I297" s="2">
        <v>304.13600000000002</v>
      </c>
      <c r="J297">
        <v>4</v>
      </c>
      <c r="K297" s="2">
        <v>-51.827199999999998</v>
      </c>
      <c r="L297" s="3">
        <f>(Table1[[#This Row],[Profit]]/Table1[[#This Row],[Sales]])*100</f>
        <v>-17.040797537943551</v>
      </c>
    </row>
    <row r="298" spans="1:12" x14ac:dyDescent="0.3">
      <c r="A298" t="s">
        <v>3780</v>
      </c>
      <c r="B298" s="1">
        <v>43810</v>
      </c>
      <c r="C298" t="s">
        <v>352</v>
      </c>
      <c r="D298" t="s">
        <v>353</v>
      </c>
      <c r="E298" t="s">
        <v>14</v>
      </c>
      <c r="F298" t="s">
        <v>23</v>
      </c>
      <c r="G298" t="s">
        <v>24</v>
      </c>
      <c r="H298" t="s">
        <v>3782</v>
      </c>
      <c r="I298" s="2">
        <v>243.38399999999999</v>
      </c>
      <c r="J298">
        <v>3</v>
      </c>
      <c r="K298" s="2">
        <v>-51.719099999999997</v>
      </c>
      <c r="L298" s="3">
        <f>(Table1[[#This Row],[Profit]]/Table1[[#This Row],[Sales]])*100</f>
        <v>-21.25</v>
      </c>
    </row>
    <row r="299" spans="1:12" x14ac:dyDescent="0.3">
      <c r="A299" t="s">
        <v>1857</v>
      </c>
      <c r="B299" s="1">
        <v>43641</v>
      </c>
      <c r="C299" t="s">
        <v>481</v>
      </c>
      <c r="D299" t="s">
        <v>482</v>
      </c>
      <c r="E299" t="s">
        <v>14</v>
      </c>
      <c r="F299" t="s">
        <v>15</v>
      </c>
      <c r="G299" t="s">
        <v>24</v>
      </c>
      <c r="H299" t="s">
        <v>1858</v>
      </c>
      <c r="I299" s="2">
        <v>254.352</v>
      </c>
      <c r="J299">
        <v>6</v>
      </c>
      <c r="K299" s="2">
        <v>-50.870399999999997</v>
      </c>
      <c r="L299" s="3">
        <f>(Table1[[#This Row],[Profit]]/Table1[[#This Row],[Sales]])*100</f>
        <v>-20</v>
      </c>
    </row>
    <row r="300" spans="1:12" x14ac:dyDescent="0.3">
      <c r="A300" t="s">
        <v>2811</v>
      </c>
      <c r="B300" s="1">
        <v>43727</v>
      </c>
      <c r="C300" t="s">
        <v>924</v>
      </c>
      <c r="D300" t="s">
        <v>925</v>
      </c>
      <c r="E300" t="s">
        <v>14</v>
      </c>
      <c r="F300" t="s">
        <v>29</v>
      </c>
      <c r="G300" t="s">
        <v>16</v>
      </c>
      <c r="H300" t="s">
        <v>1557</v>
      </c>
      <c r="I300" s="2">
        <v>701.37199999999996</v>
      </c>
      <c r="J300">
        <v>2</v>
      </c>
      <c r="K300" s="2">
        <v>-50.097999999999999</v>
      </c>
      <c r="L300" s="3">
        <f>(Table1[[#This Row],[Profit]]/Table1[[#This Row],[Sales]])*100</f>
        <v>-7.1428571428571423</v>
      </c>
    </row>
    <row r="301" spans="1:12" x14ac:dyDescent="0.3">
      <c r="A301" t="s">
        <v>2329</v>
      </c>
      <c r="B301" s="1">
        <v>43691</v>
      </c>
      <c r="C301" t="s">
        <v>550</v>
      </c>
      <c r="D301" t="s">
        <v>551</v>
      </c>
      <c r="E301" t="s">
        <v>14</v>
      </c>
      <c r="F301" t="s">
        <v>15</v>
      </c>
      <c r="G301" t="s">
        <v>18</v>
      </c>
      <c r="H301" t="s">
        <v>2331</v>
      </c>
      <c r="I301" s="2">
        <v>247.18799999999999</v>
      </c>
      <c r="J301">
        <v>2</v>
      </c>
      <c r="K301" s="2">
        <v>-49.437600000000003</v>
      </c>
      <c r="L301" s="3">
        <f>(Table1[[#This Row],[Profit]]/Table1[[#This Row],[Sales]])*100</f>
        <v>-20</v>
      </c>
    </row>
    <row r="302" spans="1:12" x14ac:dyDescent="0.3">
      <c r="A302" t="s">
        <v>1055</v>
      </c>
      <c r="B302" s="1">
        <v>43573</v>
      </c>
      <c r="C302" t="s">
        <v>1056</v>
      </c>
      <c r="D302" t="s">
        <v>1057</v>
      </c>
      <c r="E302" t="s">
        <v>14</v>
      </c>
      <c r="F302" t="s">
        <v>29</v>
      </c>
      <c r="G302" t="s">
        <v>24</v>
      </c>
      <c r="H302" t="s">
        <v>1058</v>
      </c>
      <c r="I302" s="2">
        <v>230.376</v>
      </c>
      <c r="J302">
        <v>3</v>
      </c>
      <c r="K302" s="2">
        <v>-48.954900000000002</v>
      </c>
      <c r="L302" s="3">
        <f>(Table1[[#This Row],[Profit]]/Table1[[#This Row],[Sales]])*100</f>
        <v>-21.25</v>
      </c>
    </row>
    <row r="303" spans="1:12" x14ac:dyDescent="0.3">
      <c r="A303" t="s">
        <v>5883</v>
      </c>
      <c r="B303" s="1">
        <v>44148</v>
      </c>
      <c r="C303" t="s">
        <v>1333</v>
      </c>
      <c r="D303" t="s">
        <v>1334</v>
      </c>
      <c r="E303" t="s">
        <v>14</v>
      </c>
      <c r="F303" t="s">
        <v>29</v>
      </c>
      <c r="G303" t="s">
        <v>24</v>
      </c>
      <c r="H303" t="s">
        <v>1058</v>
      </c>
      <c r="I303" s="2">
        <v>265.37599999999998</v>
      </c>
      <c r="J303">
        <v>3</v>
      </c>
      <c r="K303" s="2">
        <v>-48.954900000000002</v>
      </c>
      <c r="L303" s="3">
        <f>(Table1[[#This Row],[Profit]]/Table1[[#This Row],[Sales]])*100</f>
        <v>-18.447372784275899</v>
      </c>
    </row>
    <row r="304" spans="1:12" x14ac:dyDescent="0.3">
      <c r="A304" t="s">
        <v>5015</v>
      </c>
      <c r="B304" s="1">
        <v>44027</v>
      </c>
      <c r="C304" t="s">
        <v>2802</v>
      </c>
      <c r="D304" t="s">
        <v>2803</v>
      </c>
      <c r="E304" t="s">
        <v>14</v>
      </c>
      <c r="F304" t="s">
        <v>15</v>
      </c>
      <c r="G304" t="s">
        <v>16</v>
      </c>
      <c r="H304" t="s">
        <v>5016</v>
      </c>
      <c r="I304" s="2">
        <v>341.44299999999998</v>
      </c>
      <c r="J304">
        <v>3</v>
      </c>
      <c r="K304" s="2">
        <v>-48.783900000000003</v>
      </c>
      <c r="L304" s="3">
        <f>(Table1[[#This Row],[Profit]]/Table1[[#This Row],[Sales]])*100</f>
        <v>-14.28756776387274</v>
      </c>
    </row>
    <row r="305" spans="1:12" x14ac:dyDescent="0.3">
      <c r="A305" t="s">
        <v>3482</v>
      </c>
      <c r="B305" s="1">
        <v>43789</v>
      </c>
      <c r="C305" t="s">
        <v>1941</v>
      </c>
      <c r="D305" t="s">
        <v>1942</v>
      </c>
      <c r="E305" t="s">
        <v>14</v>
      </c>
      <c r="F305" t="s">
        <v>15</v>
      </c>
      <c r="G305" t="s">
        <v>16</v>
      </c>
      <c r="H305" t="s">
        <v>17</v>
      </c>
      <c r="I305" s="2">
        <v>86.97</v>
      </c>
      <c r="J305">
        <v>3</v>
      </c>
      <c r="K305" s="2">
        <v>-48.703200000000002</v>
      </c>
      <c r="L305" s="3">
        <f>(Table1[[#This Row],[Profit]]/Table1[[#This Row],[Sales]])*100</f>
        <v>-56.000000000000007</v>
      </c>
    </row>
    <row r="306" spans="1:12" x14ac:dyDescent="0.3">
      <c r="A306" t="s">
        <v>4805</v>
      </c>
      <c r="B306" s="1">
        <v>43993</v>
      </c>
      <c r="C306" t="s">
        <v>871</v>
      </c>
      <c r="D306" t="s">
        <v>872</v>
      </c>
      <c r="E306" t="s">
        <v>14</v>
      </c>
      <c r="F306" t="s">
        <v>23</v>
      </c>
      <c r="G306" t="s">
        <v>24</v>
      </c>
      <c r="H306" t="s">
        <v>398</v>
      </c>
      <c r="I306" s="2">
        <v>261.59199999999998</v>
      </c>
      <c r="J306">
        <v>3</v>
      </c>
      <c r="K306" s="2">
        <v>-48.508200000000002</v>
      </c>
      <c r="L306" s="3">
        <f>(Table1[[#This Row],[Profit]]/Table1[[#This Row],[Sales]])*100</f>
        <v>-18.543456986452185</v>
      </c>
    </row>
    <row r="307" spans="1:12" x14ac:dyDescent="0.3">
      <c r="A307" t="s">
        <v>5335</v>
      </c>
      <c r="B307" s="1">
        <v>44083</v>
      </c>
      <c r="C307" t="s">
        <v>3726</v>
      </c>
      <c r="D307" t="s">
        <v>3727</v>
      </c>
      <c r="E307" t="s">
        <v>14</v>
      </c>
      <c r="F307" t="s">
        <v>15</v>
      </c>
      <c r="G307" t="s">
        <v>16</v>
      </c>
      <c r="H307" t="s">
        <v>1512</v>
      </c>
      <c r="I307" s="2">
        <v>167.37200000000001</v>
      </c>
      <c r="J307">
        <v>2</v>
      </c>
      <c r="K307" s="2">
        <v>-48.470399999999998</v>
      </c>
      <c r="L307" s="3">
        <f>(Table1[[#This Row],[Profit]]/Table1[[#This Row],[Sales]])*100</f>
        <v>-28.959682623138871</v>
      </c>
    </row>
    <row r="308" spans="1:12" x14ac:dyDescent="0.3">
      <c r="A308" t="s">
        <v>4781</v>
      </c>
      <c r="B308" s="1">
        <v>43990</v>
      </c>
      <c r="C308" t="s">
        <v>3223</v>
      </c>
      <c r="D308" t="s">
        <v>3224</v>
      </c>
      <c r="E308" t="s">
        <v>14</v>
      </c>
      <c r="F308" t="s">
        <v>23</v>
      </c>
      <c r="G308" t="s">
        <v>24</v>
      </c>
      <c r="H308" t="s">
        <v>3845</v>
      </c>
      <c r="I308" s="2">
        <v>102.58799999999999</v>
      </c>
      <c r="J308">
        <v>2</v>
      </c>
      <c r="K308" s="2">
        <v>-48.392000000000003</v>
      </c>
      <c r="L308" s="3">
        <f>(Table1[[#This Row],[Profit]]/Table1[[#This Row],[Sales]])*100</f>
        <v>-47.171209108277779</v>
      </c>
    </row>
    <row r="309" spans="1:12" x14ac:dyDescent="0.3">
      <c r="A309" t="s">
        <v>4365</v>
      </c>
      <c r="B309" s="1">
        <v>43918</v>
      </c>
      <c r="C309" t="s">
        <v>249</v>
      </c>
      <c r="D309" t="s">
        <v>250</v>
      </c>
      <c r="E309" t="s">
        <v>14</v>
      </c>
      <c r="F309" t="s">
        <v>41</v>
      </c>
      <c r="G309" t="s">
        <v>24</v>
      </c>
      <c r="H309" t="s">
        <v>3201</v>
      </c>
      <c r="I309" s="2">
        <v>105.742</v>
      </c>
      <c r="J309">
        <v>9</v>
      </c>
      <c r="K309" s="2">
        <v>-48.119399999999999</v>
      </c>
      <c r="L309" s="3">
        <f>(Table1[[#This Row],[Profit]]/Table1[[#This Row],[Sales]])*100</f>
        <v>-45.506421289553813</v>
      </c>
    </row>
    <row r="310" spans="1:12" x14ac:dyDescent="0.3">
      <c r="A310" t="s">
        <v>5602</v>
      </c>
      <c r="B310" s="1">
        <v>44114</v>
      </c>
      <c r="C310" t="s">
        <v>612</v>
      </c>
      <c r="D310" t="s">
        <v>613</v>
      </c>
      <c r="E310" t="s">
        <v>14</v>
      </c>
      <c r="F310" t="s">
        <v>29</v>
      </c>
      <c r="G310" t="s">
        <v>16</v>
      </c>
      <c r="H310" t="s">
        <v>369</v>
      </c>
      <c r="I310" s="2">
        <v>249.358</v>
      </c>
      <c r="J310">
        <v>3</v>
      </c>
      <c r="K310" s="2">
        <v>-47.871600000000001</v>
      </c>
      <c r="L310" s="3">
        <f>(Table1[[#This Row],[Profit]]/Table1[[#This Row],[Sales]])*100</f>
        <v>-19.197940310717922</v>
      </c>
    </row>
    <row r="311" spans="1:12" x14ac:dyDescent="0.3">
      <c r="A311" t="s">
        <v>5323</v>
      </c>
      <c r="B311" s="1">
        <v>44082</v>
      </c>
      <c r="C311" t="s">
        <v>2710</v>
      </c>
      <c r="D311" t="s">
        <v>2711</v>
      </c>
      <c r="E311" t="s">
        <v>14</v>
      </c>
      <c r="F311" t="s">
        <v>15</v>
      </c>
      <c r="G311" t="s">
        <v>18</v>
      </c>
      <c r="H311" t="s">
        <v>4664</v>
      </c>
      <c r="I311" s="2">
        <v>299.52800000000002</v>
      </c>
      <c r="J311">
        <v>2</v>
      </c>
      <c r="K311" s="2">
        <v>-47.396799999999999</v>
      </c>
      <c r="L311" s="3">
        <f>(Table1[[#This Row],[Profit]]/Table1[[#This Row],[Sales]])*100</f>
        <v>-15.82382949173366</v>
      </c>
    </row>
    <row r="312" spans="1:12" x14ac:dyDescent="0.3">
      <c r="A312" t="s">
        <v>3889</v>
      </c>
      <c r="B312" s="1">
        <v>43823</v>
      </c>
      <c r="C312" t="s">
        <v>1007</v>
      </c>
      <c r="D312" t="s">
        <v>1008</v>
      </c>
      <c r="E312" t="s">
        <v>14</v>
      </c>
      <c r="F312" t="s">
        <v>41</v>
      </c>
      <c r="G312" t="s">
        <v>24</v>
      </c>
      <c r="H312" t="s">
        <v>338</v>
      </c>
      <c r="I312" s="2">
        <v>540.048</v>
      </c>
      <c r="J312">
        <v>3</v>
      </c>
      <c r="K312" s="2">
        <v>-47.254199999999997</v>
      </c>
      <c r="L312" s="3">
        <f>(Table1[[#This Row],[Profit]]/Table1[[#This Row],[Sales]])*100</f>
        <v>-8.75</v>
      </c>
    </row>
    <row r="313" spans="1:12" x14ac:dyDescent="0.3">
      <c r="A313" t="s">
        <v>5865</v>
      </c>
      <c r="B313" s="1">
        <v>44147</v>
      </c>
      <c r="C313" t="s">
        <v>5866</v>
      </c>
      <c r="D313" t="s">
        <v>5867</v>
      </c>
      <c r="E313" t="s">
        <v>14</v>
      </c>
      <c r="F313" t="s">
        <v>29</v>
      </c>
      <c r="G313" t="s">
        <v>24</v>
      </c>
      <c r="H313" t="s">
        <v>338</v>
      </c>
      <c r="I313" s="2">
        <v>557.048</v>
      </c>
      <c r="J313">
        <v>3</v>
      </c>
      <c r="K313" s="2">
        <v>-47.254199999999997</v>
      </c>
      <c r="L313" s="3">
        <f>(Table1[[#This Row],[Profit]]/Table1[[#This Row],[Sales]])*100</f>
        <v>-8.4829673564935142</v>
      </c>
    </row>
    <row r="314" spans="1:12" x14ac:dyDescent="0.3">
      <c r="A314" t="s">
        <v>344</v>
      </c>
      <c r="B314" s="1">
        <v>43510</v>
      </c>
      <c r="C314" t="s">
        <v>345</v>
      </c>
      <c r="D314" t="s">
        <v>346</v>
      </c>
      <c r="E314" t="s">
        <v>14</v>
      </c>
      <c r="F314" t="s">
        <v>15</v>
      </c>
      <c r="G314" t="s">
        <v>16</v>
      </c>
      <c r="H314" t="s">
        <v>349</v>
      </c>
      <c r="I314" s="2">
        <v>550.43100000000004</v>
      </c>
      <c r="J314">
        <v>3</v>
      </c>
      <c r="K314" s="2">
        <v>-47.1798</v>
      </c>
      <c r="L314" s="3">
        <f>(Table1[[#This Row],[Profit]]/Table1[[#This Row],[Sales]])*100</f>
        <v>-8.5714285714285712</v>
      </c>
    </row>
    <row r="315" spans="1:12" x14ac:dyDescent="0.3">
      <c r="A315" t="s">
        <v>4087</v>
      </c>
      <c r="B315" s="1">
        <v>43860</v>
      </c>
      <c r="C315" t="s">
        <v>1656</v>
      </c>
      <c r="D315" t="s">
        <v>1657</v>
      </c>
      <c r="E315" t="s">
        <v>14</v>
      </c>
      <c r="F315" t="s">
        <v>29</v>
      </c>
      <c r="G315" t="s">
        <v>16</v>
      </c>
      <c r="H315" t="s">
        <v>4088</v>
      </c>
      <c r="I315" s="2">
        <v>100.375</v>
      </c>
      <c r="J315">
        <v>1</v>
      </c>
      <c r="K315" s="2">
        <v>-47.174999999999997</v>
      </c>
      <c r="L315" s="3">
        <f>(Table1[[#This Row],[Profit]]/Table1[[#This Row],[Sales]])*100</f>
        <v>-46.998754669987541</v>
      </c>
    </row>
    <row r="316" spans="1:12" x14ac:dyDescent="0.3">
      <c r="A316" t="s">
        <v>3635</v>
      </c>
      <c r="B316" s="1">
        <v>43800</v>
      </c>
      <c r="C316" t="s">
        <v>3636</v>
      </c>
      <c r="D316" t="s">
        <v>3637</v>
      </c>
      <c r="E316" t="s">
        <v>14</v>
      </c>
      <c r="F316" t="s">
        <v>15</v>
      </c>
      <c r="G316" t="s">
        <v>16</v>
      </c>
      <c r="H316" t="s">
        <v>200</v>
      </c>
      <c r="I316" s="2">
        <v>366.00900000000001</v>
      </c>
      <c r="J316">
        <v>3</v>
      </c>
      <c r="K316" s="2">
        <v>-47.058300000000003</v>
      </c>
      <c r="L316" s="3">
        <f>(Table1[[#This Row],[Profit]]/Table1[[#This Row],[Sales]])*100</f>
        <v>-12.857142857142859</v>
      </c>
    </row>
    <row r="317" spans="1:12" x14ac:dyDescent="0.3">
      <c r="A317" t="s">
        <v>3136</v>
      </c>
      <c r="B317" s="1">
        <v>43759</v>
      </c>
      <c r="C317" t="s">
        <v>714</v>
      </c>
      <c r="D317" t="s">
        <v>715</v>
      </c>
      <c r="E317" t="s">
        <v>14</v>
      </c>
      <c r="F317" t="s">
        <v>15</v>
      </c>
      <c r="G317" t="s">
        <v>18</v>
      </c>
      <c r="H317" t="s">
        <v>1852</v>
      </c>
      <c r="I317" s="2">
        <v>235.15199999999999</v>
      </c>
      <c r="J317">
        <v>8</v>
      </c>
      <c r="K317" s="2">
        <v>-47.0304</v>
      </c>
      <c r="L317" s="3">
        <f>(Table1[[#This Row],[Profit]]/Table1[[#This Row],[Sales]])*100</f>
        <v>-20</v>
      </c>
    </row>
    <row r="318" spans="1:12" x14ac:dyDescent="0.3">
      <c r="A318" t="s">
        <v>2553</v>
      </c>
      <c r="B318" s="1">
        <v>43711</v>
      </c>
      <c r="C318" t="s">
        <v>2554</v>
      </c>
      <c r="D318" t="s">
        <v>2555</v>
      </c>
      <c r="E318" t="s">
        <v>14</v>
      </c>
      <c r="F318" t="s">
        <v>15</v>
      </c>
      <c r="G318" t="s">
        <v>18</v>
      </c>
      <c r="H318" t="s">
        <v>2556</v>
      </c>
      <c r="I318" s="2">
        <v>280.78199999999998</v>
      </c>
      <c r="J318">
        <v>3</v>
      </c>
      <c r="K318" s="2">
        <v>-46.796999999999997</v>
      </c>
      <c r="L318" s="3">
        <f>(Table1[[#This Row],[Profit]]/Table1[[#This Row],[Sales]])*100</f>
        <v>-16.666666666666664</v>
      </c>
    </row>
    <row r="319" spans="1:12" x14ac:dyDescent="0.3">
      <c r="A319" t="s">
        <v>4706</v>
      </c>
      <c r="B319" s="1">
        <v>43974</v>
      </c>
      <c r="C319" t="s">
        <v>1472</v>
      </c>
      <c r="D319" t="s">
        <v>1473</v>
      </c>
      <c r="E319" t="s">
        <v>14</v>
      </c>
      <c r="F319" t="s">
        <v>29</v>
      </c>
      <c r="G319" t="s">
        <v>24</v>
      </c>
      <c r="H319" t="s">
        <v>3472</v>
      </c>
      <c r="I319" s="2">
        <v>132.32</v>
      </c>
      <c r="J319">
        <v>5</v>
      </c>
      <c r="K319" s="2">
        <v>-46.716000000000001</v>
      </c>
      <c r="L319" s="3">
        <f>(Table1[[#This Row],[Profit]]/Table1[[#This Row],[Sales]])*100</f>
        <v>-35.305320435308346</v>
      </c>
    </row>
    <row r="320" spans="1:12" x14ac:dyDescent="0.3">
      <c r="A320" t="s">
        <v>3339</v>
      </c>
      <c r="B320" s="1">
        <v>43779</v>
      </c>
      <c r="C320" t="s">
        <v>286</v>
      </c>
      <c r="D320" t="s">
        <v>287</v>
      </c>
      <c r="E320" t="s">
        <v>14</v>
      </c>
      <c r="F320" t="s">
        <v>15</v>
      </c>
      <c r="G320" t="s">
        <v>24</v>
      </c>
      <c r="H320" t="s">
        <v>1753</v>
      </c>
      <c r="I320" s="2">
        <v>69.888000000000005</v>
      </c>
      <c r="J320">
        <v>7</v>
      </c>
      <c r="K320" s="2">
        <v>-46.591999999999999</v>
      </c>
      <c r="L320" s="3">
        <f>(Table1[[#This Row],[Profit]]/Table1[[#This Row],[Sales]])*100</f>
        <v>-66.666666666666657</v>
      </c>
    </row>
    <row r="321" spans="1:12" x14ac:dyDescent="0.3">
      <c r="A321" t="s">
        <v>4649</v>
      </c>
      <c r="B321" s="1">
        <v>43965</v>
      </c>
      <c r="C321" t="s">
        <v>1380</v>
      </c>
      <c r="D321" t="s">
        <v>1381</v>
      </c>
      <c r="E321" t="s">
        <v>14</v>
      </c>
      <c r="F321" t="s">
        <v>15</v>
      </c>
      <c r="G321" t="s">
        <v>24</v>
      </c>
      <c r="H321" t="s">
        <v>1825</v>
      </c>
      <c r="I321" s="2">
        <v>132.16999999999999</v>
      </c>
      <c r="J321">
        <v>5</v>
      </c>
      <c r="K321" s="2">
        <v>-46.536000000000001</v>
      </c>
      <c r="L321" s="3">
        <f>(Table1[[#This Row],[Profit]]/Table1[[#This Row],[Sales]])*100</f>
        <v>-35.209200272376492</v>
      </c>
    </row>
    <row r="322" spans="1:12" x14ac:dyDescent="0.3">
      <c r="A322" t="s">
        <v>4247</v>
      </c>
      <c r="B322" s="1">
        <v>43901</v>
      </c>
      <c r="C322" t="s">
        <v>1745</v>
      </c>
      <c r="D322" t="s">
        <v>1746</v>
      </c>
      <c r="E322" t="s">
        <v>14</v>
      </c>
      <c r="F322" t="s">
        <v>15</v>
      </c>
      <c r="G322" t="s">
        <v>16</v>
      </c>
      <c r="H322" t="s">
        <v>973</v>
      </c>
      <c r="I322" s="2">
        <v>167.76400000000001</v>
      </c>
      <c r="J322">
        <v>3</v>
      </c>
      <c r="K322" s="2">
        <v>-46.429200000000002</v>
      </c>
      <c r="L322" s="3">
        <f>(Table1[[#This Row],[Profit]]/Table1[[#This Row],[Sales]])*100</f>
        <v>-27.675305786700367</v>
      </c>
    </row>
    <row r="323" spans="1:12" x14ac:dyDescent="0.3">
      <c r="A323" t="s">
        <v>5944</v>
      </c>
      <c r="B323" s="1">
        <v>44154</v>
      </c>
      <c r="C323" t="s">
        <v>3083</v>
      </c>
      <c r="D323" t="s">
        <v>3084</v>
      </c>
      <c r="E323" t="s">
        <v>14</v>
      </c>
      <c r="F323" t="s">
        <v>29</v>
      </c>
      <c r="G323" t="s">
        <v>16</v>
      </c>
      <c r="H323" t="s">
        <v>3383</v>
      </c>
      <c r="I323" s="2">
        <v>234.05799999999999</v>
      </c>
      <c r="J323">
        <v>3</v>
      </c>
      <c r="K323" s="2">
        <v>-46.399799999999999</v>
      </c>
      <c r="L323" s="3">
        <f>(Table1[[#This Row],[Profit]]/Table1[[#This Row],[Sales]])*100</f>
        <v>-19.824060702902699</v>
      </c>
    </row>
    <row r="324" spans="1:12" x14ac:dyDescent="0.3">
      <c r="A324" t="s">
        <v>5968</v>
      </c>
      <c r="B324" s="1">
        <v>44155</v>
      </c>
      <c r="C324" t="s">
        <v>3942</v>
      </c>
      <c r="D324" t="s">
        <v>3943</v>
      </c>
      <c r="E324" t="s">
        <v>14</v>
      </c>
      <c r="F324" t="s">
        <v>23</v>
      </c>
      <c r="G324" t="s">
        <v>16</v>
      </c>
      <c r="H324" t="s">
        <v>5969</v>
      </c>
      <c r="I324" s="2">
        <v>326.92</v>
      </c>
      <c r="J324">
        <v>5</v>
      </c>
      <c r="K324" s="2">
        <v>-46.137</v>
      </c>
      <c r="L324" s="3">
        <f>(Table1[[#This Row],[Profit]]/Table1[[#This Row],[Sales]])*100</f>
        <v>-14.112626942371223</v>
      </c>
    </row>
    <row r="325" spans="1:12" x14ac:dyDescent="0.3">
      <c r="A325" t="s">
        <v>5961</v>
      </c>
      <c r="B325" s="1">
        <v>44154</v>
      </c>
      <c r="C325" t="s">
        <v>5962</v>
      </c>
      <c r="D325" t="s">
        <v>5963</v>
      </c>
      <c r="E325" t="s">
        <v>14</v>
      </c>
      <c r="F325" t="s">
        <v>15</v>
      </c>
      <c r="G325" t="s">
        <v>24</v>
      </c>
      <c r="H325" t="s">
        <v>3966</v>
      </c>
      <c r="I325" s="2">
        <v>164.91300000000001</v>
      </c>
      <c r="J325">
        <v>7</v>
      </c>
      <c r="K325" s="2">
        <v>-45.933300000000003</v>
      </c>
      <c r="L325" s="3">
        <f>(Table1[[#This Row],[Profit]]/Table1[[#This Row],[Sales]])*100</f>
        <v>-27.853049789889212</v>
      </c>
    </row>
    <row r="326" spans="1:12" x14ac:dyDescent="0.3">
      <c r="A326" t="s">
        <v>5860</v>
      </c>
      <c r="B326" s="1">
        <v>44147</v>
      </c>
      <c r="C326" t="s">
        <v>2220</v>
      </c>
      <c r="D326" t="s">
        <v>2221</v>
      </c>
      <c r="E326" t="s">
        <v>14</v>
      </c>
      <c r="F326" t="s">
        <v>29</v>
      </c>
      <c r="G326" t="s">
        <v>24</v>
      </c>
      <c r="H326" t="s">
        <v>2375</v>
      </c>
      <c r="I326" s="2">
        <v>152.56</v>
      </c>
      <c r="J326">
        <v>5</v>
      </c>
      <c r="K326" s="2">
        <v>-45.84</v>
      </c>
      <c r="L326" s="3">
        <f>(Table1[[#This Row],[Profit]]/Table1[[#This Row],[Sales]])*100</f>
        <v>-30.047194546407972</v>
      </c>
    </row>
    <row r="327" spans="1:12" x14ac:dyDescent="0.3">
      <c r="A327" t="s">
        <v>4965</v>
      </c>
      <c r="B327" s="1">
        <v>44019</v>
      </c>
      <c r="C327" t="s">
        <v>1547</v>
      </c>
      <c r="D327" t="s">
        <v>1548</v>
      </c>
      <c r="E327" t="s">
        <v>14</v>
      </c>
      <c r="F327" t="s">
        <v>15</v>
      </c>
      <c r="G327" t="s">
        <v>16</v>
      </c>
      <c r="H327" t="s">
        <v>4808</v>
      </c>
      <c r="I327" s="2">
        <v>124.21</v>
      </c>
      <c r="J327">
        <v>3</v>
      </c>
      <c r="K327" s="2">
        <v>-45.349200000000003</v>
      </c>
      <c r="L327" s="3">
        <f>(Table1[[#This Row],[Profit]]/Table1[[#This Row],[Sales]])*100</f>
        <v>-36.510103856372275</v>
      </c>
    </row>
    <row r="328" spans="1:12" x14ac:dyDescent="0.3">
      <c r="A328" t="s">
        <v>6084</v>
      </c>
      <c r="B328" s="1">
        <v>44167</v>
      </c>
      <c r="C328" t="s">
        <v>714</v>
      </c>
      <c r="D328" t="s">
        <v>715</v>
      </c>
      <c r="E328" t="s">
        <v>14</v>
      </c>
      <c r="F328" t="s">
        <v>23</v>
      </c>
      <c r="G328" t="s">
        <v>24</v>
      </c>
      <c r="H328" t="s">
        <v>1219</v>
      </c>
      <c r="I328" s="2">
        <v>163.86</v>
      </c>
      <c r="J328">
        <v>6</v>
      </c>
      <c r="K328" s="2">
        <v>-45.24</v>
      </c>
      <c r="L328" s="3">
        <f>(Table1[[#This Row],[Profit]]/Table1[[#This Row],[Sales]])*100</f>
        <v>-27.608934456243134</v>
      </c>
    </row>
    <row r="329" spans="1:12" x14ac:dyDescent="0.3">
      <c r="A329" t="s">
        <v>4572</v>
      </c>
      <c r="B329" s="1">
        <v>43954</v>
      </c>
      <c r="C329" t="s">
        <v>34</v>
      </c>
      <c r="D329" t="s">
        <v>35</v>
      </c>
      <c r="E329" t="s">
        <v>14</v>
      </c>
      <c r="F329" t="s">
        <v>15</v>
      </c>
      <c r="G329" t="s">
        <v>24</v>
      </c>
      <c r="H329" t="s">
        <v>3504</v>
      </c>
      <c r="I329" s="2">
        <v>155.19999999999999</v>
      </c>
      <c r="J329">
        <v>5</v>
      </c>
      <c r="K329" s="2">
        <v>-44.94</v>
      </c>
      <c r="L329" s="3">
        <f>(Table1[[#This Row],[Profit]]/Table1[[#This Row],[Sales]])*100</f>
        <v>-28.956185567010312</v>
      </c>
    </row>
    <row r="330" spans="1:12" x14ac:dyDescent="0.3">
      <c r="A330" t="s">
        <v>4480</v>
      </c>
      <c r="B330" s="1">
        <v>43937</v>
      </c>
      <c r="C330" t="s">
        <v>1235</v>
      </c>
      <c r="D330" t="s">
        <v>1236</v>
      </c>
      <c r="E330" t="s">
        <v>14</v>
      </c>
      <c r="F330" t="s">
        <v>29</v>
      </c>
      <c r="G330" t="s">
        <v>24</v>
      </c>
      <c r="H330" t="s">
        <v>542</v>
      </c>
      <c r="I330" s="2">
        <v>120.04600000000001</v>
      </c>
      <c r="J330">
        <v>3</v>
      </c>
      <c r="K330" s="2">
        <v>-44.278199999999998</v>
      </c>
      <c r="L330" s="3">
        <f>(Table1[[#This Row],[Profit]]/Table1[[#This Row],[Sales]])*100</f>
        <v>-36.884360994951933</v>
      </c>
    </row>
    <row r="331" spans="1:12" x14ac:dyDescent="0.3">
      <c r="A331" t="s">
        <v>6301</v>
      </c>
      <c r="B331" s="1">
        <v>44194</v>
      </c>
      <c r="C331" t="s">
        <v>2167</v>
      </c>
      <c r="D331" t="s">
        <v>2168</v>
      </c>
      <c r="E331" t="s">
        <v>14</v>
      </c>
      <c r="F331" t="s">
        <v>23</v>
      </c>
      <c r="G331" t="s">
        <v>16</v>
      </c>
      <c r="H331" t="s">
        <v>661</v>
      </c>
      <c r="I331" s="2">
        <v>119.568</v>
      </c>
      <c r="J331">
        <v>4</v>
      </c>
      <c r="K331" s="2">
        <v>-44.276400000000002</v>
      </c>
      <c r="L331" s="3">
        <f>(Table1[[#This Row],[Profit]]/Table1[[#This Row],[Sales]])*100</f>
        <v>-37.030309112806101</v>
      </c>
    </row>
    <row r="332" spans="1:12" x14ac:dyDescent="0.3">
      <c r="A332" t="s">
        <v>5252</v>
      </c>
      <c r="B332" s="1">
        <v>44076</v>
      </c>
      <c r="C332" t="s">
        <v>3172</v>
      </c>
      <c r="D332" t="s">
        <v>3173</v>
      </c>
      <c r="E332" t="s">
        <v>14</v>
      </c>
      <c r="F332" t="s">
        <v>29</v>
      </c>
      <c r="G332" t="s">
        <v>24</v>
      </c>
      <c r="H332" t="s">
        <v>259</v>
      </c>
      <c r="I332" s="2">
        <v>260.92</v>
      </c>
      <c r="J332">
        <v>5</v>
      </c>
      <c r="K332" s="2">
        <v>-44.234999999999999</v>
      </c>
      <c r="L332" s="3">
        <f>(Table1[[#This Row],[Profit]]/Table1[[#This Row],[Sales]])*100</f>
        <v>-16.953472328683119</v>
      </c>
    </row>
    <row r="333" spans="1:12" x14ac:dyDescent="0.3">
      <c r="A333" t="s">
        <v>1823</v>
      </c>
      <c r="B333" s="1">
        <v>43637</v>
      </c>
      <c r="C333" t="s">
        <v>1208</v>
      </c>
      <c r="D333" t="s">
        <v>1209</v>
      </c>
      <c r="E333" t="s">
        <v>14</v>
      </c>
      <c r="F333" t="s">
        <v>15</v>
      </c>
      <c r="G333" t="s">
        <v>16</v>
      </c>
      <c r="H333" t="s">
        <v>567</v>
      </c>
      <c r="I333" s="2">
        <v>353.56799999999998</v>
      </c>
      <c r="J333">
        <v>2</v>
      </c>
      <c r="K333" s="2">
        <v>-44.195999999999998</v>
      </c>
      <c r="L333" s="3">
        <f>(Table1[[#This Row],[Profit]]/Table1[[#This Row],[Sales]])*100</f>
        <v>-12.5</v>
      </c>
    </row>
    <row r="334" spans="1:12" x14ac:dyDescent="0.3">
      <c r="A334" t="s">
        <v>1358</v>
      </c>
      <c r="B334" s="1">
        <v>43599</v>
      </c>
      <c r="C334" t="s">
        <v>1359</v>
      </c>
      <c r="D334" t="s">
        <v>1360</v>
      </c>
      <c r="E334" t="s">
        <v>14</v>
      </c>
      <c r="F334" t="s">
        <v>41</v>
      </c>
      <c r="G334" t="s">
        <v>24</v>
      </c>
      <c r="H334" t="s">
        <v>1361</v>
      </c>
      <c r="I334" s="2">
        <v>57.582000000000001</v>
      </c>
      <c r="J334">
        <v>3</v>
      </c>
      <c r="K334" s="2">
        <v>-44.1462</v>
      </c>
      <c r="L334" s="3">
        <f>(Table1[[#This Row],[Profit]]/Table1[[#This Row],[Sales]])*100</f>
        <v>-76.666666666666657</v>
      </c>
    </row>
    <row r="335" spans="1:12" x14ac:dyDescent="0.3">
      <c r="A335" t="s">
        <v>1225</v>
      </c>
      <c r="B335" s="1">
        <v>43588</v>
      </c>
      <c r="C335" t="s">
        <v>1226</v>
      </c>
      <c r="D335" t="s">
        <v>1227</v>
      </c>
      <c r="E335" t="s">
        <v>14</v>
      </c>
      <c r="F335" t="s">
        <v>15</v>
      </c>
      <c r="G335" t="s">
        <v>24</v>
      </c>
      <c r="H335" t="s">
        <v>1229</v>
      </c>
      <c r="I335" s="2">
        <v>195.64</v>
      </c>
      <c r="J335">
        <v>5</v>
      </c>
      <c r="K335" s="2">
        <v>-44.018999999999998</v>
      </c>
      <c r="L335" s="3">
        <f>(Table1[[#This Row],[Profit]]/Table1[[#This Row],[Sales]])*100</f>
        <v>-22.5</v>
      </c>
    </row>
    <row r="336" spans="1:12" x14ac:dyDescent="0.3">
      <c r="A336" t="s">
        <v>4487</v>
      </c>
      <c r="B336" s="1">
        <v>43938</v>
      </c>
      <c r="C336" t="s">
        <v>12</v>
      </c>
      <c r="D336" t="s">
        <v>13</v>
      </c>
      <c r="E336" t="s">
        <v>14</v>
      </c>
      <c r="F336" t="s">
        <v>29</v>
      </c>
      <c r="G336" t="s">
        <v>24</v>
      </c>
      <c r="H336" t="s">
        <v>3695</v>
      </c>
      <c r="I336" s="2">
        <v>212.136</v>
      </c>
      <c r="J336">
        <v>4</v>
      </c>
      <c r="K336" s="2">
        <v>-43.9056</v>
      </c>
      <c r="L336" s="3">
        <f>(Table1[[#This Row],[Profit]]/Table1[[#This Row],[Sales]])*100</f>
        <v>-20.696911415318475</v>
      </c>
    </row>
    <row r="337" spans="1:12" x14ac:dyDescent="0.3">
      <c r="A337" t="s">
        <v>5211</v>
      </c>
      <c r="B337" s="1">
        <v>44069</v>
      </c>
      <c r="C337" t="s">
        <v>1380</v>
      </c>
      <c r="D337" t="s">
        <v>1381</v>
      </c>
      <c r="E337" t="s">
        <v>14</v>
      </c>
      <c r="F337" t="s">
        <v>29</v>
      </c>
      <c r="G337" t="s">
        <v>16</v>
      </c>
      <c r="H337" t="s">
        <v>4563</v>
      </c>
      <c r="I337" s="2">
        <v>149.96</v>
      </c>
      <c r="J337">
        <v>5</v>
      </c>
      <c r="K337" s="2">
        <v>-43.847999999999999</v>
      </c>
      <c r="L337" s="3">
        <f>(Table1[[#This Row],[Profit]]/Table1[[#This Row],[Sales]])*100</f>
        <v>-29.23979727927447</v>
      </c>
    </row>
    <row r="338" spans="1:12" x14ac:dyDescent="0.3">
      <c r="A338" t="s">
        <v>5777</v>
      </c>
      <c r="B338" s="1">
        <v>44139</v>
      </c>
      <c r="C338" t="s">
        <v>188</v>
      </c>
      <c r="D338" t="s">
        <v>189</v>
      </c>
      <c r="E338" t="s">
        <v>14</v>
      </c>
      <c r="F338" t="s">
        <v>15</v>
      </c>
      <c r="G338" t="s">
        <v>24</v>
      </c>
      <c r="H338" t="s">
        <v>288</v>
      </c>
      <c r="I338" s="2">
        <v>212.352</v>
      </c>
      <c r="J338">
        <v>3</v>
      </c>
      <c r="K338" s="2">
        <v>-43.729199999999999</v>
      </c>
      <c r="L338" s="3">
        <f>(Table1[[#This Row],[Profit]]/Table1[[#This Row],[Sales]])*100</f>
        <v>-20.592789330922244</v>
      </c>
    </row>
    <row r="339" spans="1:12" x14ac:dyDescent="0.3">
      <c r="A339" t="s">
        <v>4863</v>
      </c>
      <c r="B339" s="1">
        <v>44001</v>
      </c>
      <c r="C339" t="s">
        <v>1898</v>
      </c>
      <c r="D339" t="s">
        <v>1899</v>
      </c>
      <c r="E339" t="s">
        <v>14</v>
      </c>
      <c r="F339" t="s">
        <v>15</v>
      </c>
      <c r="G339" t="s">
        <v>16</v>
      </c>
      <c r="H339" t="s">
        <v>146</v>
      </c>
      <c r="I339" s="2">
        <v>783.11599999999999</v>
      </c>
      <c r="J339">
        <v>6</v>
      </c>
      <c r="K339" s="2">
        <v>-43.435200000000002</v>
      </c>
      <c r="L339" s="3">
        <f>(Table1[[#This Row],[Profit]]/Table1[[#This Row],[Sales]])*100</f>
        <v>-5.5464579960057003</v>
      </c>
    </row>
    <row r="340" spans="1:12" x14ac:dyDescent="0.3">
      <c r="A340" t="s">
        <v>5509</v>
      </c>
      <c r="B340" s="1">
        <v>44099</v>
      </c>
      <c r="C340" t="s">
        <v>1883</v>
      </c>
      <c r="D340" t="s">
        <v>1884</v>
      </c>
      <c r="E340" t="s">
        <v>14</v>
      </c>
      <c r="F340" t="s">
        <v>15</v>
      </c>
      <c r="G340" t="s">
        <v>24</v>
      </c>
      <c r="H340" t="s">
        <v>1837</v>
      </c>
      <c r="I340" s="2">
        <v>220.89599999999999</v>
      </c>
      <c r="J340">
        <v>2</v>
      </c>
      <c r="K340" s="2">
        <v>-42.951599999999999</v>
      </c>
      <c r="L340" s="3">
        <f>(Table1[[#This Row],[Profit]]/Table1[[#This Row],[Sales]])*100</f>
        <v>-19.444263363754892</v>
      </c>
    </row>
    <row r="341" spans="1:12" x14ac:dyDescent="0.3">
      <c r="A341" t="s">
        <v>5028</v>
      </c>
      <c r="B341" s="1">
        <v>44030</v>
      </c>
      <c r="C341" t="s">
        <v>2973</v>
      </c>
      <c r="D341" t="s">
        <v>2974</v>
      </c>
      <c r="E341" t="s">
        <v>14</v>
      </c>
      <c r="F341" t="s">
        <v>23</v>
      </c>
      <c r="G341" t="s">
        <v>16</v>
      </c>
      <c r="H341" t="s">
        <v>2944</v>
      </c>
      <c r="I341" s="2">
        <v>350.976</v>
      </c>
      <c r="J341">
        <v>3</v>
      </c>
      <c r="K341" s="2">
        <v>-42.896700000000003</v>
      </c>
      <c r="L341" s="3">
        <f>(Table1[[#This Row],[Profit]]/Table1[[#This Row],[Sales]])*100</f>
        <v>-12.222117751641139</v>
      </c>
    </row>
    <row r="342" spans="1:12" x14ac:dyDescent="0.3">
      <c r="A342" t="s">
        <v>5596</v>
      </c>
      <c r="B342" s="1">
        <v>44113</v>
      </c>
      <c r="C342" t="s">
        <v>249</v>
      </c>
      <c r="D342" t="s">
        <v>250</v>
      </c>
      <c r="E342" t="s">
        <v>14</v>
      </c>
      <c r="F342" t="s">
        <v>29</v>
      </c>
      <c r="G342" t="s">
        <v>16</v>
      </c>
      <c r="H342" t="s">
        <v>1257</v>
      </c>
      <c r="I342" s="2">
        <v>157.64500000000001</v>
      </c>
      <c r="J342">
        <v>3</v>
      </c>
      <c r="K342" s="2">
        <v>-42.652799999999999</v>
      </c>
      <c r="L342" s="3">
        <f>(Table1[[#This Row],[Profit]]/Table1[[#This Row],[Sales]])*100</f>
        <v>-27.056233943353735</v>
      </c>
    </row>
    <row r="343" spans="1:12" x14ac:dyDescent="0.3">
      <c r="A343" t="s">
        <v>5623</v>
      </c>
      <c r="B343" s="1">
        <v>44118</v>
      </c>
      <c r="C343" t="s">
        <v>5624</v>
      </c>
      <c r="D343" t="s">
        <v>5625</v>
      </c>
      <c r="E343" t="s">
        <v>14</v>
      </c>
      <c r="F343" t="s">
        <v>29</v>
      </c>
      <c r="G343" t="s">
        <v>24</v>
      </c>
      <c r="H343" t="s">
        <v>1281</v>
      </c>
      <c r="I343" s="2">
        <v>130.39599999999999</v>
      </c>
      <c r="J343">
        <v>9</v>
      </c>
      <c r="K343" s="2">
        <v>-42.463799999999999</v>
      </c>
      <c r="L343" s="3">
        <f>(Table1[[#This Row],[Profit]]/Table1[[#This Row],[Sales]])*100</f>
        <v>-32.565262738120801</v>
      </c>
    </row>
    <row r="344" spans="1:12" x14ac:dyDescent="0.3">
      <c r="A344" t="s">
        <v>4543</v>
      </c>
      <c r="B344" s="1">
        <v>43948</v>
      </c>
      <c r="C344" t="s">
        <v>1324</v>
      </c>
      <c r="D344" t="s">
        <v>1325</v>
      </c>
      <c r="E344" t="s">
        <v>14</v>
      </c>
      <c r="F344" t="s">
        <v>29</v>
      </c>
      <c r="G344" t="s">
        <v>16</v>
      </c>
      <c r="H344" t="s">
        <v>910</v>
      </c>
      <c r="I344" s="2">
        <v>269.26560000000001</v>
      </c>
      <c r="J344">
        <v>4</v>
      </c>
      <c r="K344" s="2">
        <v>-42.1096</v>
      </c>
      <c r="L344" s="3">
        <f>(Table1[[#This Row],[Profit]]/Table1[[#This Row],[Sales]])*100</f>
        <v>-15.638685372360969</v>
      </c>
    </row>
    <row r="345" spans="1:12" x14ac:dyDescent="0.3">
      <c r="A345" t="s">
        <v>6001</v>
      </c>
      <c r="B345" s="1">
        <v>44159</v>
      </c>
      <c r="C345" t="s">
        <v>779</v>
      </c>
      <c r="D345" t="s">
        <v>780</v>
      </c>
      <c r="E345" t="s">
        <v>14</v>
      </c>
      <c r="F345" t="s">
        <v>23</v>
      </c>
      <c r="G345" t="s">
        <v>24</v>
      </c>
      <c r="H345" t="s">
        <v>986</v>
      </c>
      <c r="I345" s="2">
        <v>450.87200000000001</v>
      </c>
      <c r="J345">
        <v>8</v>
      </c>
      <c r="K345" s="2">
        <v>-41.587200000000003</v>
      </c>
      <c r="L345" s="3">
        <f>(Table1[[#This Row],[Profit]]/Table1[[#This Row],[Sales]])*100</f>
        <v>-9.2237264678223525</v>
      </c>
    </row>
    <row r="346" spans="1:12" x14ac:dyDescent="0.3">
      <c r="A346" t="s">
        <v>636</v>
      </c>
      <c r="B346" s="1">
        <v>43537</v>
      </c>
      <c r="C346" t="s">
        <v>637</v>
      </c>
      <c r="D346" t="s">
        <v>638</v>
      </c>
      <c r="E346" t="s">
        <v>14</v>
      </c>
      <c r="F346" t="s">
        <v>15</v>
      </c>
      <c r="G346" t="s">
        <v>24</v>
      </c>
      <c r="H346" t="s">
        <v>642</v>
      </c>
      <c r="I346" s="2">
        <v>51.896999999999998</v>
      </c>
      <c r="J346">
        <v>1</v>
      </c>
      <c r="K346" s="2">
        <v>-41.517600000000002</v>
      </c>
      <c r="L346" s="3">
        <f>(Table1[[#This Row],[Profit]]/Table1[[#This Row],[Sales]])*100</f>
        <v>-80</v>
      </c>
    </row>
    <row r="347" spans="1:12" x14ac:dyDescent="0.3">
      <c r="A347" t="s">
        <v>4287</v>
      </c>
      <c r="B347" s="1">
        <v>43908</v>
      </c>
      <c r="C347" t="s">
        <v>3551</v>
      </c>
      <c r="D347" t="s">
        <v>3552</v>
      </c>
      <c r="E347" t="s">
        <v>14</v>
      </c>
      <c r="F347" t="s">
        <v>29</v>
      </c>
      <c r="G347" t="s">
        <v>16</v>
      </c>
      <c r="H347" t="s">
        <v>3198</v>
      </c>
      <c r="I347" s="2">
        <v>113.524</v>
      </c>
      <c r="J347">
        <v>3</v>
      </c>
      <c r="K347" s="2">
        <v>-41.262</v>
      </c>
      <c r="L347" s="3">
        <f>(Table1[[#This Row],[Profit]]/Table1[[#This Row],[Sales]])*100</f>
        <v>-36.346499418625136</v>
      </c>
    </row>
    <row r="348" spans="1:12" x14ac:dyDescent="0.3">
      <c r="A348" t="s">
        <v>6023</v>
      </c>
      <c r="B348" s="1">
        <v>44161</v>
      </c>
      <c r="C348" t="s">
        <v>621</v>
      </c>
      <c r="D348" t="s">
        <v>622</v>
      </c>
      <c r="E348" t="s">
        <v>14</v>
      </c>
      <c r="F348" t="s">
        <v>15</v>
      </c>
      <c r="G348" t="s">
        <v>18</v>
      </c>
      <c r="H348" t="s">
        <v>1043</v>
      </c>
      <c r="I348" s="2">
        <v>232.75200000000001</v>
      </c>
      <c r="J348">
        <v>8</v>
      </c>
      <c r="K348" s="2">
        <v>-40.471200000000003</v>
      </c>
      <c r="L348" s="3">
        <f>(Table1[[#This Row],[Profit]]/Table1[[#This Row],[Sales]])*100</f>
        <v>-17.388121262115902</v>
      </c>
    </row>
    <row r="349" spans="1:12" x14ac:dyDescent="0.3">
      <c r="A349" t="s">
        <v>2992</v>
      </c>
      <c r="B349" s="1">
        <v>43740</v>
      </c>
      <c r="C349" t="s">
        <v>1656</v>
      </c>
      <c r="D349" t="s">
        <v>1657</v>
      </c>
      <c r="E349" t="s">
        <v>14</v>
      </c>
      <c r="F349" t="s">
        <v>23</v>
      </c>
      <c r="G349" t="s">
        <v>24</v>
      </c>
      <c r="H349" t="s">
        <v>2218</v>
      </c>
      <c r="I349" s="2">
        <v>54.792000000000002</v>
      </c>
      <c r="J349">
        <v>6</v>
      </c>
      <c r="K349" s="2">
        <v>-40.180799999999998</v>
      </c>
      <c r="L349" s="3">
        <f>(Table1[[#This Row],[Profit]]/Table1[[#This Row],[Sales]])*100</f>
        <v>-73.333333333333329</v>
      </c>
    </row>
    <row r="350" spans="1:12" x14ac:dyDescent="0.3">
      <c r="A350" t="s">
        <v>2418</v>
      </c>
      <c r="B350" s="1">
        <v>43700</v>
      </c>
      <c r="C350" t="s">
        <v>2419</v>
      </c>
      <c r="D350" t="s">
        <v>2420</v>
      </c>
      <c r="E350" t="s">
        <v>14</v>
      </c>
      <c r="F350" t="s">
        <v>23</v>
      </c>
      <c r="G350" t="s">
        <v>16</v>
      </c>
      <c r="H350" t="s">
        <v>1498</v>
      </c>
      <c r="I350" s="2">
        <v>532.70399999999995</v>
      </c>
      <c r="J350">
        <v>6</v>
      </c>
      <c r="K350" s="2">
        <v>-39.952800000000003</v>
      </c>
      <c r="L350" s="3">
        <f>(Table1[[#This Row],[Profit]]/Table1[[#This Row],[Sales]])*100</f>
        <v>-7.5000000000000009</v>
      </c>
    </row>
    <row r="351" spans="1:12" x14ac:dyDescent="0.3">
      <c r="A351" t="s">
        <v>5322</v>
      </c>
      <c r="B351" s="1">
        <v>44082</v>
      </c>
      <c r="C351" t="s">
        <v>1976</v>
      </c>
      <c r="D351" t="s">
        <v>1977</v>
      </c>
      <c r="E351" t="s">
        <v>14</v>
      </c>
      <c r="F351" t="s">
        <v>29</v>
      </c>
      <c r="G351" t="s">
        <v>16</v>
      </c>
      <c r="H351" t="s">
        <v>1913</v>
      </c>
      <c r="I351" s="2">
        <v>224.43</v>
      </c>
      <c r="J351">
        <v>5</v>
      </c>
      <c r="K351" s="2">
        <v>-39.637</v>
      </c>
      <c r="L351" s="3">
        <f>(Table1[[#This Row],[Profit]]/Table1[[#This Row],[Sales]])*100</f>
        <v>-17.661186115938154</v>
      </c>
    </row>
    <row r="352" spans="1:12" x14ac:dyDescent="0.3">
      <c r="A352" t="s">
        <v>4914</v>
      </c>
      <c r="B352" s="1">
        <v>44011</v>
      </c>
      <c r="C352" t="s">
        <v>2333</v>
      </c>
      <c r="D352" t="s">
        <v>2334</v>
      </c>
      <c r="E352" t="s">
        <v>14</v>
      </c>
      <c r="F352" t="s">
        <v>29</v>
      </c>
      <c r="G352" t="s">
        <v>16</v>
      </c>
      <c r="H352" t="s">
        <v>4915</v>
      </c>
      <c r="I352" s="2">
        <v>329.31400000000002</v>
      </c>
      <c r="J352">
        <v>3</v>
      </c>
      <c r="K352" s="2">
        <v>-39.511800000000001</v>
      </c>
      <c r="L352" s="3">
        <f>(Table1[[#This Row],[Profit]]/Table1[[#This Row],[Sales]])*100</f>
        <v>-11.998214470080226</v>
      </c>
    </row>
    <row r="353" spans="1:12" x14ac:dyDescent="0.3">
      <c r="A353" t="s">
        <v>4823</v>
      </c>
      <c r="B353" s="1">
        <v>43995</v>
      </c>
      <c r="C353" t="s">
        <v>2816</v>
      </c>
      <c r="D353" t="s">
        <v>2817</v>
      </c>
      <c r="E353" t="s">
        <v>14</v>
      </c>
      <c r="F353" t="s">
        <v>29</v>
      </c>
      <c r="G353" t="s">
        <v>24</v>
      </c>
      <c r="H353" t="s">
        <v>297</v>
      </c>
      <c r="I353" s="2">
        <v>190.73599999999999</v>
      </c>
      <c r="J353">
        <v>4</v>
      </c>
      <c r="K353" s="2">
        <v>-39.1248</v>
      </c>
      <c r="L353" s="3">
        <f>(Table1[[#This Row],[Profit]]/Table1[[#This Row],[Sales]])*100</f>
        <v>-20.512540894220287</v>
      </c>
    </row>
    <row r="354" spans="1:12" x14ac:dyDescent="0.3">
      <c r="A354" t="s">
        <v>3972</v>
      </c>
      <c r="B354" s="1">
        <v>43831</v>
      </c>
      <c r="C354" t="s">
        <v>800</v>
      </c>
      <c r="D354" t="s">
        <v>801</v>
      </c>
      <c r="E354" t="s">
        <v>14</v>
      </c>
      <c r="F354" t="s">
        <v>29</v>
      </c>
      <c r="G354" t="s">
        <v>24</v>
      </c>
      <c r="H354" t="s">
        <v>3977</v>
      </c>
      <c r="I354" s="2">
        <v>110.224</v>
      </c>
      <c r="J354">
        <v>2</v>
      </c>
      <c r="K354" s="2">
        <v>-38.821199999999997</v>
      </c>
      <c r="L354" s="3">
        <f>(Table1[[#This Row],[Profit]]/Table1[[#This Row],[Sales]])*100</f>
        <v>-35.220278705182174</v>
      </c>
    </row>
    <row r="355" spans="1:12" x14ac:dyDescent="0.3">
      <c r="A355" t="s">
        <v>5559</v>
      </c>
      <c r="B355" s="1">
        <v>44106</v>
      </c>
      <c r="C355" t="s">
        <v>1970</v>
      </c>
      <c r="D355" t="s">
        <v>1971</v>
      </c>
      <c r="E355" t="s">
        <v>14</v>
      </c>
      <c r="F355" t="s">
        <v>29</v>
      </c>
      <c r="G355" t="s">
        <v>24</v>
      </c>
      <c r="H355" t="s">
        <v>3977</v>
      </c>
      <c r="I355" s="2">
        <v>121.224</v>
      </c>
      <c r="J355">
        <v>2</v>
      </c>
      <c r="K355" s="2">
        <v>-38.821199999999997</v>
      </c>
      <c r="L355" s="3">
        <f>(Table1[[#This Row],[Profit]]/Table1[[#This Row],[Sales]])*100</f>
        <v>-32.024351613541867</v>
      </c>
    </row>
    <row r="356" spans="1:12" x14ac:dyDescent="0.3">
      <c r="A356" t="s">
        <v>1592</v>
      </c>
      <c r="B356" s="1">
        <v>43616</v>
      </c>
      <c r="C356" t="s">
        <v>977</v>
      </c>
      <c r="D356" t="s">
        <v>978</v>
      </c>
      <c r="E356" t="s">
        <v>14</v>
      </c>
      <c r="F356" t="s">
        <v>29</v>
      </c>
      <c r="G356" t="s">
        <v>16</v>
      </c>
      <c r="H356" t="s">
        <v>1595</v>
      </c>
      <c r="I356" s="2">
        <v>191.07900000000001</v>
      </c>
      <c r="J356">
        <v>3</v>
      </c>
      <c r="K356" s="2">
        <v>-38.215800000000002</v>
      </c>
      <c r="L356" s="3">
        <f>(Table1[[#This Row],[Profit]]/Table1[[#This Row],[Sales]])*100</f>
        <v>-20</v>
      </c>
    </row>
    <row r="357" spans="1:12" x14ac:dyDescent="0.3">
      <c r="A357" t="s">
        <v>4456</v>
      </c>
      <c r="B357" s="1">
        <v>43934</v>
      </c>
      <c r="C357" t="s">
        <v>4457</v>
      </c>
      <c r="D357" t="s">
        <v>4458</v>
      </c>
      <c r="E357" t="s">
        <v>14</v>
      </c>
      <c r="F357" t="s">
        <v>23</v>
      </c>
      <c r="G357" t="s">
        <v>16</v>
      </c>
      <c r="H357" t="s">
        <v>3383</v>
      </c>
      <c r="I357" s="2">
        <v>456.70400000000001</v>
      </c>
      <c r="J357">
        <v>6</v>
      </c>
      <c r="K357" s="2">
        <v>-38.211599999999997</v>
      </c>
      <c r="L357" s="3">
        <f>(Table1[[#This Row],[Profit]]/Table1[[#This Row],[Sales]])*100</f>
        <v>-8.3668196468609857</v>
      </c>
    </row>
    <row r="358" spans="1:12" x14ac:dyDescent="0.3">
      <c r="A358" t="s">
        <v>3104</v>
      </c>
      <c r="B358" s="1">
        <v>43754</v>
      </c>
      <c r="C358" t="s">
        <v>1168</v>
      </c>
      <c r="D358" t="s">
        <v>1169</v>
      </c>
      <c r="E358" t="s">
        <v>14</v>
      </c>
      <c r="F358" t="s">
        <v>15</v>
      </c>
      <c r="G358" t="s">
        <v>16</v>
      </c>
      <c r="H358" t="s">
        <v>2552</v>
      </c>
      <c r="I358" s="2">
        <v>142.18199999999999</v>
      </c>
      <c r="J358">
        <v>1</v>
      </c>
      <c r="K358" s="2">
        <v>-37.915199999999999</v>
      </c>
      <c r="L358" s="3">
        <f>(Table1[[#This Row],[Profit]]/Table1[[#This Row],[Sales]])*100</f>
        <v>-26.666666666666668</v>
      </c>
    </row>
    <row r="359" spans="1:12" x14ac:dyDescent="0.3">
      <c r="A359" t="s">
        <v>806</v>
      </c>
      <c r="B359" s="1">
        <v>43553</v>
      </c>
      <c r="C359" t="s">
        <v>807</v>
      </c>
      <c r="D359" t="s">
        <v>808</v>
      </c>
      <c r="E359" t="s">
        <v>14</v>
      </c>
      <c r="F359" t="s">
        <v>15</v>
      </c>
      <c r="G359" t="s">
        <v>18</v>
      </c>
      <c r="H359" t="s">
        <v>809</v>
      </c>
      <c r="I359" s="2">
        <v>158.376</v>
      </c>
      <c r="J359">
        <v>4</v>
      </c>
      <c r="K359" s="2">
        <v>-36.9544</v>
      </c>
      <c r="L359" s="3">
        <f>(Table1[[#This Row],[Profit]]/Table1[[#This Row],[Sales]])*100</f>
        <v>-23.333333333333332</v>
      </c>
    </row>
    <row r="360" spans="1:12" x14ac:dyDescent="0.3">
      <c r="A360" t="s">
        <v>5102</v>
      </c>
      <c r="B360" s="1">
        <v>44046</v>
      </c>
      <c r="C360" t="s">
        <v>5103</v>
      </c>
      <c r="D360" t="s">
        <v>5104</v>
      </c>
      <c r="E360" t="s">
        <v>14</v>
      </c>
      <c r="F360" t="s">
        <v>29</v>
      </c>
      <c r="G360" t="s">
        <v>16</v>
      </c>
      <c r="H360" t="s">
        <v>2979</v>
      </c>
      <c r="I360" s="2">
        <v>216.37200000000001</v>
      </c>
      <c r="J360">
        <v>2</v>
      </c>
      <c r="K360" s="2">
        <v>-36.674399999999999</v>
      </c>
      <c r="L360" s="3">
        <f>(Table1[[#This Row],[Profit]]/Table1[[#This Row],[Sales]])*100</f>
        <v>-16.94969774277633</v>
      </c>
    </row>
    <row r="361" spans="1:12" x14ac:dyDescent="0.3">
      <c r="A361" t="s">
        <v>980</v>
      </c>
      <c r="B361" s="1">
        <v>43567</v>
      </c>
      <c r="C361" t="s">
        <v>981</v>
      </c>
      <c r="D361" t="s">
        <v>982</v>
      </c>
      <c r="E361" t="s">
        <v>14</v>
      </c>
      <c r="F361" t="s">
        <v>23</v>
      </c>
      <c r="G361" t="s">
        <v>16</v>
      </c>
      <c r="H361" t="s">
        <v>983</v>
      </c>
      <c r="I361" s="2">
        <v>194.352</v>
      </c>
      <c r="J361">
        <v>3</v>
      </c>
      <c r="K361" s="2">
        <v>-36.441000000000003</v>
      </c>
      <c r="L361" s="3">
        <f>(Table1[[#This Row],[Profit]]/Table1[[#This Row],[Sales]])*100</f>
        <v>-18.75</v>
      </c>
    </row>
    <row r="362" spans="1:12" x14ac:dyDescent="0.3">
      <c r="A362" t="s">
        <v>4386</v>
      </c>
      <c r="B362" s="1">
        <v>43921</v>
      </c>
      <c r="C362" t="s">
        <v>784</v>
      </c>
      <c r="D362" t="s">
        <v>785</v>
      </c>
      <c r="E362" t="s">
        <v>14</v>
      </c>
      <c r="F362" t="s">
        <v>29</v>
      </c>
      <c r="G362" t="s">
        <v>16</v>
      </c>
      <c r="H362" t="s">
        <v>4387</v>
      </c>
      <c r="I362" s="2">
        <v>242.33279999999999</v>
      </c>
      <c r="J362">
        <v>2</v>
      </c>
      <c r="K362" s="2">
        <v>-36.235199999999999</v>
      </c>
      <c r="L362" s="3">
        <f>(Table1[[#This Row],[Profit]]/Table1[[#This Row],[Sales]])*100</f>
        <v>-14.952660143406094</v>
      </c>
    </row>
    <row r="363" spans="1:12" x14ac:dyDescent="0.3">
      <c r="A363" t="s">
        <v>5838</v>
      </c>
      <c r="B363" s="1">
        <v>44145</v>
      </c>
      <c r="C363" t="s">
        <v>795</v>
      </c>
      <c r="D363" t="s">
        <v>796</v>
      </c>
      <c r="E363" t="s">
        <v>14</v>
      </c>
      <c r="F363" t="s">
        <v>23</v>
      </c>
      <c r="G363" t="s">
        <v>16</v>
      </c>
      <c r="H363" t="s">
        <v>3940</v>
      </c>
      <c r="I363" s="2">
        <v>273.42399999999998</v>
      </c>
      <c r="J363">
        <v>2</v>
      </c>
      <c r="K363" s="2">
        <v>-36.2136</v>
      </c>
      <c r="L363" s="3">
        <f>(Table1[[#This Row],[Profit]]/Table1[[#This Row],[Sales]])*100</f>
        <v>-13.244484756275968</v>
      </c>
    </row>
    <row r="364" spans="1:12" x14ac:dyDescent="0.3">
      <c r="A364" t="s">
        <v>794</v>
      </c>
      <c r="B364" s="1">
        <v>43553</v>
      </c>
      <c r="C364" t="s">
        <v>795</v>
      </c>
      <c r="D364" t="s">
        <v>796</v>
      </c>
      <c r="E364" t="s">
        <v>14</v>
      </c>
      <c r="F364" t="s">
        <v>29</v>
      </c>
      <c r="G364" t="s">
        <v>16</v>
      </c>
      <c r="H364" t="s">
        <v>798</v>
      </c>
      <c r="I364" s="2">
        <v>844.11599999999999</v>
      </c>
      <c r="J364">
        <v>6</v>
      </c>
      <c r="K364" s="2">
        <v>-36.176400000000001</v>
      </c>
      <c r="L364" s="3">
        <f>(Table1[[#This Row],[Profit]]/Table1[[#This Row],[Sales]])*100</f>
        <v>-4.2857142857142856</v>
      </c>
    </row>
    <row r="365" spans="1:12" x14ac:dyDescent="0.3">
      <c r="A365" t="s">
        <v>5587</v>
      </c>
      <c r="B365" s="1">
        <v>44111</v>
      </c>
      <c r="C365" t="s">
        <v>108</v>
      </c>
      <c r="D365" t="s">
        <v>109</v>
      </c>
      <c r="E365" t="s">
        <v>14</v>
      </c>
      <c r="F365" t="s">
        <v>41</v>
      </c>
      <c r="G365" t="s">
        <v>16</v>
      </c>
      <c r="H365" t="s">
        <v>973</v>
      </c>
      <c r="I365" s="2">
        <v>200.76400000000001</v>
      </c>
      <c r="J365">
        <v>3</v>
      </c>
      <c r="K365" s="2">
        <v>-36.111600000000003</v>
      </c>
      <c r="L365" s="3">
        <f>(Table1[[#This Row],[Profit]]/Table1[[#This Row],[Sales]])*100</f>
        <v>-17.987089318802177</v>
      </c>
    </row>
    <row r="366" spans="1:12" x14ac:dyDescent="0.3">
      <c r="A366" t="s">
        <v>5834</v>
      </c>
      <c r="B366" s="1">
        <v>44145</v>
      </c>
      <c r="C366" t="s">
        <v>5835</v>
      </c>
      <c r="D366" t="s">
        <v>5836</v>
      </c>
      <c r="E366" t="s">
        <v>14</v>
      </c>
      <c r="F366" t="s">
        <v>23</v>
      </c>
      <c r="G366" t="s">
        <v>18</v>
      </c>
      <c r="H366" t="s">
        <v>777</v>
      </c>
      <c r="I366" s="2">
        <v>257.952</v>
      </c>
      <c r="J366">
        <v>6</v>
      </c>
      <c r="K366" s="2">
        <v>-35.992800000000003</v>
      </c>
      <c r="L366" s="3">
        <f>(Table1[[#This Row],[Profit]]/Table1[[#This Row],[Sales]])*100</f>
        <v>-13.953293636025307</v>
      </c>
    </row>
    <row r="367" spans="1:12" x14ac:dyDescent="0.3">
      <c r="A367" t="s">
        <v>2010</v>
      </c>
      <c r="B367" s="1">
        <v>43656</v>
      </c>
      <c r="C367" t="s">
        <v>1941</v>
      </c>
      <c r="D367" t="s">
        <v>1942</v>
      </c>
      <c r="E367" t="s">
        <v>14</v>
      </c>
      <c r="F367" t="s">
        <v>23</v>
      </c>
      <c r="G367" t="s">
        <v>24</v>
      </c>
      <c r="H367" t="s">
        <v>1556</v>
      </c>
      <c r="I367" s="2">
        <v>44.856000000000002</v>
      </c>
      <c r="J367">
        <v>6</v>
      </c>
      <c r="K367" s="2">
        <v>-35.884799999999998</v>
      </c>
      <c r="L367" s="3">
        <f>(Table1[[#This Row],[Profit]]/Table1[[#This Row],[Sales]])*100</f>
        <v>-80</v>
      </c>
    </row>
    <row r="368" spans="1:12" x14ac:dyDescent="0.3">
      <c r="A368" t="s">
        <v>678</v>
      </c>
      <c r="B368" s="1">
        <v>43539</v>
      </c>
      <c r="C368" t="s">
        <v>679</v>
      </c>
      <c r="D368" t="s">
        <v>680</v>
      </c>
      <c r="E368" t="s">
        <v>14</v>
      </c>
      <c r="F368" t="s">
        <v>29</v>
      </c>
      <c r="G368" t="s">
        <v>24</v>
      </c>
      <c r="H368" t="s">
        <v>682</v>
      </c>
      <c r="I368" s="2">
        <v>22.385999999999999</v>
      </c>
      <c r="J368">
        <v>7</v>
      </c>
      <c r="K368" s="2">
        <v>-35.817599999999999</v>
      </c>
      <c r="L368" s="3">
        <f>(Table1[[#This Row],[Profit]]/Table1[[#This Row],[Sales]])*100</f>
        <v>-160</v>
      </c>
    </row>
    <row r="369" spans="1:12" x14ac:dyDescent="0.3">
      <c r="A369" t="s">
        <v>6285</v>
      </c>
      <c r="B369" s="1">
        <v>44192</v>
      </c>
      <c r="C369" t="s">
        <v>754</v>
      </c>
      <c r="D369" t="s">
        <v>755</v>
      </c>
      <c r="E369" t="s">
        <v>14</v>
      </c>
      <c r="F369" t="s">
        <v>15</v>
      </c>
      <c r="G369" t="s">
        <v>18</v>
      </c>
      <c r="H369" t="s">
        <v>4418</v>
      </c>
      <c r="I369" s="2">
        <v>928.38800000000003</v>
      </c>
      <c r="J369">
        <v>2</v>
      </c>
      <c r="K369" s="2">
        <v>-35.617400000000004</v>
      </c>
      <c r="L369" s="3">
        <f>(Table1[[#This Row],[Profit]]/Table1[[#This Row],[Sales]])*100</f>
        <v>-3.8364778519325973</v>
      </c>
    </row>
    <row r="370" spans="1:12" x14ac:dyDescent="0.3">
      <c r="A370" t="s">
        <v>5743</v>
      </c>
      <c r="B370" s="1">
        <v>44137</v>
      </c>
      <c r="C370" t="s">
        <v>4491</v>
      </c>
      <c r="D370" t="s">
        <v>4492</v>
      </c>
      <c r="E370" t="s">
        <v>14</v>
      </c>
      <c r="F370" t="s">
        <v>15</v>
      </c>
      <c r="G370" t="s">
        <v>16</v>
      </c>
      <c r="H370" t="s">
        <v>1498</v>
      </c>
      <c r="I370" s="2">
        <v>199.37200000000001</v>
      </c>
      <c r="J370">
        <v>2</v>
      </c>
      <c r="K370" s="2">
        <v>-35.513599999999997</v>
      </c>
      <c r="L370" s="3">
        <f>(Table1[[#This Row],[Profit]]/Table1[[#This Row],[Sales]])*100</f>
        <v>-17.812731978412209</v>
      </c>
    </row>
    <row r="371" spans="1:12" x14ac:dyDescent="0.3">
      <c r="A371" t="s">
        <v>4679</v>
      </c>
      <c r="B371" s="1">
        <v>43970</v>
      </c>
      <c r="C371" t="s">
        <v>1883</v>
      </c>
      <c r="D371" t="s">
        <v>1884</v>
      </c>
      <c r="E371" t="s">
        <v>14</v>
      </c>
      <c r="F371" t="s">
        <v>41</v>
      </c>
      <c r="G371" t="s">
        <v>16</v>
      </c>
      <c r="H371" t="s">
        <v>4639</v>
      </c>
      <c r="I371" s="2">
        <v>325.35199999999998</v>
      </c>
      <c r="J371">
        <v>3</v>
      </c>
      <c r="K371" s="2">
        <v>-35.364600000000003</v>
      </c>
      <c r="L371" s="3">
        <f>(Table1[[#This Row],[Profit]]/Table1[[#This Row],[Sales]])*100</f>
        <v>-10.869642725417396</v>
      </c>
    </row>
    <row r="372" spans="1:12" x14ac:dyDescent="0.3">
      <c r="A372" t="s">
        <v>3967</v>
      </c>
      <c r="B372" s="1">
        <v>43830</v>
      </c>
      <c r="C372" t="s">
        <v>3968</v>
      </c>
      <c r="D372" t="s">
        <v>3969</v>
      </c>
      <c r="E372" t="s">
        <v>14</v>
      </c>
      <c r="F372" t="s">
        <v>15</v>
      </c>
      <c r="G372" t="s">
        <v>24</v>
      </c>
      <c r="H372" t="s">
        <v>1229</v>
      </c>
      <c r="I372" s="2">
        <v>156.512</v>
      </c>
      <c r="J372">
        <v>4</v>
      </c>
      <c r="K372" s="2">
        <v>-35.215200000000003</v>
      </c>
      <c r="L372" s="3">
        <f>(Table1[[#This Row],[Profit]]/Table1[[#This Row],[Sales]])*100</f>
        <v>-22.5</v>
      </c>
    </row>
    <row r="373" spans="1:12" x14ac:dyDescent="0.3">
      <c r="A373" t="s">
        <v>1106</v>
      </c>
      <c r="B373" s="1">
        <v>43577</v>
      </c>
      <c r="C373" t="s">
        <v>1107</v>
      </c>
      <c r="D373" t="s">
        <v>1108</v>
      </c>
      <c r="E373" t="s">
        <v>14</v>
      </c>
      <c r="F373" t="s">
        <v>23</v>
      </c>
      <c r="G373" t="s">
        <v>24</v>
      </c>
      <c r="H373" t="s">
        <v>1112</v>
      </c>
      <c r="I373" s="2">
        <v>185.376</v>
      </c>
      <c r="J373">
        <v>2</v>
      </c>
      <c r="K373" s="2">
        <v>-34.758000000000003</v>
      </c>
      <c r="L373" s="3">
        <f>(Table1[[#This Row],[Profit]]/Table1[[#This Row],[Sales]])*100</f>
        <v>-18.75</v>
      </c>
    </row>
    <row r="374" spans="1:12" x14ac:dyDescent="0.3">
      <c r="A374" t="s">
        <v>2319</v>
      </c>
      <c r="B374" s="1">
        <v>43690</v>
      </c>
      <c r="C374" t="s">
        <v>2320</v>
      </c>
      <c r="D374" t="s">
        <v>2321</v>
      </c>
      <c r="E374" t="s">
        <v>14</v>
      </c>
      <c r="F374" t="s">
        <v>29</v>
      </c>
      <c r="G374" t="s">
        <v>24</v>
      </c>
      <c r="H374" t="s">
        <v>1112</v>
      </c>
      <c r="I374" s="2">
        <v>185.376</v>
      </c>
      <c r="J374">
        <v>2</v>
      </c>
      <c r="K374" s="2">
        <v>-34.758000000000003</v>
      </c>
      <c r="L374" s="3">
        <f>(Table1[[#This Row],[Profit]]/Table1[[#This Row],[Sales]])*100</f>
        <v>-18.75</v>
      </c>
    </row>
    <row r="375" spans="1:12" x14ac:dyDescent="0.3">
      <c r="A375" t="s">
        <v>3269</v>
      </c>
      <c r="B375" s="1">
        <v>43773</v>
      </c>
      <c r="C375" t="s">
        <v>2645</v>
      </c>
      <c r="D375" t="s">
        <v>2646</v>
      </c>
      <c r="E375" t="s">
        <v>14</v>
      </c>
      <c r="F375" t="s">
        <v>41</v>
      </c>
      <c r="G375" t="s">
        <v>24</v>
      </c>
      <c r="H375" t="s">
        <v>1112</v>
      </c>
      <c r="I375" s="2">
        <v>185.376</v>
      </c>
      <c r="J375">
        <v>2</v>
      </c>
      <c r="K375" s="2">
        <v>-34.758000000000003</v>
      </c>
      <c r="L375" s="3">
        <f>(Table1[[#This Row],[Profit]]/Table1[[#This Row],[Sales]])*100</f>
        <v>-18.75</v>
      </c>
    </row>
    <row r="376" spans="1:12" x14ac:dyDescent="0.3">
      <c r="A376" t="s">
        <v>5061</v>
      </c>
      <c r="B376" s="1">
        <v>44037</v>
      </c>
      <c r="C376" t="s">
        <v>2341</v>
      </c>
      <c r="D376" t="s">
        <v>2342</v>
      </c>
      <c r="E376" t="s">
        <v>14</v>
      </c>
      <c r="F376" t="s">
        <v>15</v>
      </c>
      <c r="G376" t="s">
        <v>16</v>
      </c>
      <c r="H376" t="s">
        <v>1679</v>
      </c>
      <c r="I376" s="2">
        <v>180.58799999999999</v>
      </c>
      <c r="J376">
        <v>1</v>
      </c>
      <c r="K376" s="2">
        <v>-34.646999999999998</v>
      </c>
      <c r="L376" s="3">
        <f>(Table1[[#This Row],[Profit]]/Table1[[#This Row],[Sales]])*100</f>
        <v>-19.185660176755931</v>
      </c>
    </row>
    <row r="377" spans="1:12" x14ac:dyDescent="0.3">
      <c r="A377" t="s">
        <v>3114</v>
      </c>
      <c r="B377" s="1">
        <v>43756</v>
      </c>
      <c r="C377" t="s">
        <v>3064</v>
      </c>
      <c r="D377" t="s">
        <v>3065</v>
      </c>
      <c r="E377" t="s">
        <v>14</v>
      </c>
      <c r="F377" t="s">
        <v>23</v>
      </c>
      <c r="G377" t="s">
        <v>16</v>
      </c>
      <c r="H377" t="s">
        <v>2885</v>
      </c>
      <c r="I377" s="2">
        <v>307.92</v>
      </c>
      <c r="J377">
        <v>5</v>
      </c>
      <c r="K377" s="2">
        <v>-34.640999999999998</v>
      </c>
      <c r="L377" s="3">
        <f>(Table1[[#This Row],[Profit]]/Table1[[#This Row],[Sales]])*100</f>
        <v>-11.249999999999998</v>
      </c>
    </row>
    <row r="378" spans="1:12" x14ac:dyDescent="0.3">
      <c r="A378" t="s">
        <v>2689</v>
      </c>
      <c r="B378" s="1">
        <v>43718</v>
      </c>
      <c r="C378" t="s">
        <v>2690</v>
      </c>
      <c r="D378" t="s">
        <v>2691</v>
      </c>
      <c r="E378" t="s">
        <v>14</v>
      </c>
      <c r="F378" t="s">
        <v>29</v>
      </c>
      <c r="G378" t="s">
        <v>16</v>
      </c>
      <c r="H378" t="s">
        <v>973</v>
      </c>
      <c r="I378" s="2">
        <v>300.93</v>
      </c>
      <c r="J378">
        <v>5</v>
      </c>
      <c r="K378" s="2">
        <v>-34.392000000000003</v>
      </c>
      <c r="L378" s="3">
        <f>(Table1[[#This Row],[Profit]]/Table1[[#This Row],[Sales]])*100</f>
        <v>-11.428571428571429</v>
      </c>
    </row>
    <row r="379" spans="1:12" x14ac:dyDescent="0.3">
      <c r="A379" t="s">
        <v>4878</v>
      </c>
      <c r="B379" s="1">
        <v>44003</v>
      </c>
      <c r="C379" t="s">
        <v>903</v>
      </c>
      <c r="D379" t="s">
        <v>904</v>
      </c>
      <c r="E379" t="s">
        <v>14</v>
      </c>
      <c r="F379" t="s">
        <v>15</v>
      </c>
      <c r="G379" t="s">
        <v>24</v>
      </c>
      <c r="H379" t="s">
        <v>2460</v>
      </c>
      <c r="I379" s="2">
        <v>128.256</v>
      </c>
      <c r="J379">
        <v>6</v>
      </c>
      <c r="K379" s="2">
        <v>-34.380000000000003</v>
      </c>
      <c r="L379" s="3">
        <f>(Table1[[#This Row],[Profit]]/Table1[[#This Row],[Sales]])*100</f>
        <v>-26.805763473053894</v>
      </c>
    </row>
    <row r="380" spans="1:12" x14ac:dyDescent="0.3">
      <c r="A380" t="s">
        <v>4750</v>
      </c>
      <c r="B380" s="1">
        <v>43983</v>
      </c>
      <c r="C380" t="s">
        <v>4132</v>
      </c>
      <c r="D380" t="s">
        <v>4133</v>
      </c>
      <c r="E380" t="s">
        <v>14</v>
      </c>
      <c r="F380" t="s">
        <v>15</v>
      </c>
      <c r="G380" t="s">
        <v>18</v>
      </c>
      <c r="H380" t="s">
        <v>2265</v>
      </c>
      <c r="I380" s="2">
        <v>192.376</v>
      </c>
      <c r="J380">
        <v>4</v>
      </c>
      <c r="K380" s="2">
        <v>-34.314799999999998</v>
      </c>
      <c r="L380" s="3">
        <f>(Table1[[#This Row],[Profit]]/Table1[[#This Row],[Sales]])*100</f>
        <v>-17.837360169667733</v>
      </c>
    </row>
    <row r="381" spans="1:12" x14ac:dyDescent="0.3">
      <c r="A381" t="s">
        <v>6290</v>
      </c>
      <c r="B381" s="1">
        <v>44193</v>
      </c>
      <c r="C381" t="s">
        <v>466</v>
      </c>
      <c r="D381" t="s">
        <v>467</v>
      </c>
      <c r="E381" t="s">
        <v>14</v>
      </c>
      <c r="F381" t="s">
        <v>23</v>
      </c>
      <c r="G381" t="s">
        <v>16</v>
      </c>
      <c r="H381" t="s">
        <v>1772</v>
      </c>
      <c r="I381" s="2">
        <v>331.70400000000001</v>
      </c>
      <c r="J381">
        <v>6</v>
      </c>
      <c r="K381" s="2">
        <v>-34.070399999999999</v>
      </c>
      <c r="L381" s="3">
        <f>(Table1[[#This Row],[Profit]]/Table1[[#This Row],[Sales]])*100</f>
        <v>-10.27132624267419</v>
      </c>
    </row>
    <row r="382" spans="1:12" x14ac:dyDescent="0.3">
      <c r="A382" t="s">
        <v>2008</v>
      </c>
      <c r="B382" s="1">
        <v>43656</v>
      </c>
      <c r="C382" t="s">
        <v>1355</v>
      </c>
      <c r="D382" t="s">
        <v>1356</v>
      </c>
      <c r="E382" t="s">
        <v>14</v>
      </c>
      <c r="F382" t="s">
        <v>29</v>
      </c>
      <c r="G382" t="s">
        <v>24</v>
      </c>
      <c r="H382" t="s">
        <v>1494</v>
      </c>
      <c r="I382" s="2">
        <v>338.04</v>
      </c>
      <c r="J382">
        <v>3</v>
      </c>
      <c r="K382" s="2">
        <v>-33.804000000000002</v>
      </c>
      <c r="L382" s="3">
        <f>(Table1[[#This Row],[Profit]]/Table1[[#This Row],[Sales]])*100</f>
        <v>-10</v>
      </c>
    </row>
    <row r="383" spans="1:12" x14ac:dyDescent="0.3">
      <c r="A383" t="s">
        <v>2087</v>
      </c>
      <c r="B383" s="1">
        <v>43664</v>
      </c>
      <c r="C383" t="s">
        <v>2088</v>
      </c>
      <c r="D383" t="s">
        <v>2089</v>
      </c>
      <c r="E383" t="s">
        <v>14</v>
      </c>
      <c r="F383" t="s">
        <v>23</v>
      </c>
      <c r="G383" t="s">
        <v>24</v>
      </c>
      <c r="H383" t="s">
        <v>1494</v>
      </c>
      <c r="I383" s="2">
        <v>338.04</v>
      </c>
      <c r="J383">
        <v>3</v>
      </c>
      <c r="K383" s="2">
        <v>-33.804000000000002</v>
      </c>
      <c r="L383" s="3">
        <f>(Table1[[#This Row],[Profit]]/Table1[[#This Row],[Sales]])*100</f>
        <v>-10</v>
      </c>
    </row>
    <row r="384" spans="1:12" x14ac:dyDescent="0.3">
      <c r="A384" t="s">
        <v>5587</v>
      </c>
      <c r="B384" s="1">
        <v>44111</v>
      </c>
      <c r="C384" t="s">
        <v>108</v>
      </c>
      <c r="D384" t="s">
        <v>109</v>
      </c>
      <c r="E384" t="s">
        <v>14</v>
      </c>
      <c r="F384" t="s">
        <v>41</v>
      </c>
      <c r="G384" t="s">
        <v>24</v>
      </c>
      <c r="H384" t="s">
        <v>1098</v>
      </c>
      <c r="I384" s="2">
        <v>138.45400000000001</v>
      </c>
      <c r="J384">
        <v>6</v>
      </c>
      <c r="K384" s="2">
        <v>-33.636000000000003</v>
      </c>
      <c r="L384" s="3">
        <f>(Table1[[#This Row],[Profit]]/Table1[[#This Row],[Sales]])*100</f>
        <v>-24.293989339419593</v>
      </c>
    </row>
    <row r="385" spans="1:12" x14ac:dyDescent="0.3">
      <c r="A385" t="s">
        <v>6082</v>
      </c>
      <c r="B385" s="1">
        <v>44167</v>
      </c>
      <c r="C385" t="s">
        <v>847</v>
      </c>
      <c r="D385" t="s">
        <v>848</v>
      </c>
      <c r="E385" t="s">
        <v>14</v>
      </c>
      <c r="F385" t="s">
        <v>41</v>
      </c>
      <c r="G385" t="s">
        <v>24</v>
      </c>
      <c r="H385" t="s">
        <v>2218</v>
      </c>
      <c r="I385" s="2">
        <v>133.66</v>
      </c>
      <c r="J385">
        <v>5</v>
      </c>
      <c r="K385" s="2">
        <v>-33.484000000000002</v>
      </c>
      <c r="L385" s="3">
        <f>(Table1[[#This Row],[Profit]]/Table1[[#This Row],[Sales]])*100</f>
        <v>-25.051623522370196</v>
      </c>
    </row>
    <row r="386" spans="1:12" x14ac:dyDescent="0.3">
      <c r="A386" t="s">
        <v>1521</v>
      </c>
      <c r="B386" s="1">
        <v>43612</v>
      </c>
      <c r="C386" t="s">
        <v>1522</v>
      </c>
      <c r="D386" t="s">
        <v>1523</v>
      </c>
      <c r="E386" t="s">
        <v>14</v>
      </c>
      <c r="F386" t="s">
        <v>29</v>
      </c>
      <c r="G386" t="s">
        <v>16</v>
      </c>
      <c r="H386" t="s">
        <v>1524</v>
      </c>
      <c r="I386" s="2">
        <v>25.175999999999998</v>
      </c>
      <c r="J386">
        <v>3</v>
      </c>
      <c r="K386" s="2">
        <v>-33.358199999999997</v>
      </c>
      <c r="L386" s="3">
        <f>(Table1[[#This Row],[Profit]]/Table1[[#This Row],[Sales]])*100</f>
        <v>-132.5</v>
      </c>
    </row>
    <row r="387" spans="1:12" x14ac:dyDescent="0.3">
      <c r="A387" t="s">
        <v>2413</v>
      </c>
      <c r="B387" s="1">
        <v>43700</v>
      </c>
      <c r="C387" t="s">
        <v>2414</v>
      </c>
      <c r="D387" t="s">
        <v>2415</v>
      </c>
      <c r="E387" t="s">
        <v>14</v>
      </c>
      <c r="F387" t="s">
        <v>29</v>
      </c>
      <c r="G387" t="s">
        <v>18</v>
      </c>
      <c r="H387" t="s">
        <v>2417</v>
      </c>
      <c r="I387" s="2">
        <v>666.4</v>
      </c>
      <c r="J387">
        <v>7</v>
      </c>
      <c r="K387" s="2">
        <v>-33.32</v>
      </c>
      <c r="L387" s="3">
        <f>(Table1[[#This Row],[Profit]]/Table1[[#This Row],[Sales]])*100</f>
        <v>-5</v>
      </c>
    </row>
    <row r="388" spans="1:12" x14ac:dyDescent="0.3">
      <c r="A388" t="s">
        <v>5165</v>
      </c>
      <c r="B388" s="1">
        <v>44061</v>
      </c>
      <c r="C388" t="s">
        <v>2872</v>
      </c>
      <c r="D388" t="s">
        <v>2873</v>
      </c>
      <c r="E388" t="s">
        <v>14</v>
      </c>
      <c r="F388" t="s">
        <v>29</v>
      </c>
      <c r="G388" t="s">
        <v>24</v>
      </c>
      <c r="H388" t="s">
        <v>4022</v>
      </c>
      <c r="I388" s="2">
        <v>86.38</v>
      </c>
      <c r="J388">
        <v>5</v>
      </c>
      <c r="K388" s="2">
        <v>-33.139000000000003</v>
      </c>
      <c r="L388" s="3">
        <f>(Table1[[#This Row],[Profit]]/Table1[[#This Row],[Sales]])*100</f>
        <v>-38.364204677008573</v>
      </c>
    </row>
    <row r="389" spans="1:12" x14ac:dyDescent="0.3">
      <c r="A389" t="s">
        <v>5898</v>
      </c>
      <c r="B389" s="1">
        <v>44149</v>
      </c>
      <c r="C389" t="s">
        <v>1671</v>
      </c>
      <c r="D389" t="s">
        <v>1672</v>
      </c>
      <c r="E389" t="s">
        <v>14</v>
      </c>
      <c r="F389" t="s">
        <v>29</v>
      </c>
      <c r="G389" t="s">
        <v>24</v>
      </c>
      <c r="H389" t="s">
        <v>4575</v>
      </c>
      <c r="I389" s="2">
        <v>104.99</v>
      </c>
      <c r="J389">
        <v>5</v>
      </c>
      <c r="K389" s="2">
        <v>-32.984999999999999</v>
      </c>
      <c r="L389" s="3">
        <f>(Table1[[#This Row],[Profit]]/Table1[[#This Row],[Sales]])*100</f>
        <v>-31.417277835984379</v>
      </c>
    </row>
    <row r="390" spans="1:12" x14ac:dyDescent="0.3">
      <c r="A390" t="s">
        <v>4850</v>
      </c>
      <c r="B390" s="1">
        <v>43999</v>
      </c>
      <c r="C390" t="s">
        <v>4851</v>
      </c>
      <c r="D390" t="s">
        <v>4852</v>
      </c>
      <c r="E390" t="s">
        <v>14</v>
      </c>
      <c r="F390" t="s">
        <v>23</v>
      </c>
      <c r="G390" t="s">
        <v>24</v>
      </c>
      <c r="H390" t="s">
        <v>3695</v>
      </c>
      <c r="I390" s="2">
        <v>196.352</v>
      </c>
      <c r="J390">
        <v>3</v>
      </c>
      <c r="K390" s="2">
        <v>-32.929200000000002</v>
      </c>
      <c r="L390" s="3">
        <f>(Table1[[#This Row],[Profit]]/Table1[[#This Row],[Sales]])*100</f>
        <v>-16.770493807040417</v>
      </c>
    </row>
    <row r="391" spans="1:12" x14ac:dyDescent="0.3">
      <c r="A391" t="s">
        <v>2658</v>
      </c>
      <c r="B391" s="1">
        <v>43716</v>
      </c>
      <c r="C391" t="s">
        <v>103</v>
      </c>
      <c r="D391" t="s">
        <v>104</v>
      </c>
      <c r="E391" t="s">
        <v>14</v>
      </c>
      <c r="F391" t="s">
        <v>29</v>
      </c>
      <c r="G391" t="s">
        <v>24</v>
      </c>
      <c r="H391" t="s">
        <v>2660</v>
      </c>
      <c r="I391" s="2">
        <v>131.136</v>
      </c>
      <c r="J391">
        <v>4</v>
      </c>
      <c r="K391" s="2">
        <v>-32.783999999999999</v>
      </c>
      <c r="L391" s="3">
        <f>(Table1[[#This Row],[Profit]]/Table1[[#This Row],[Sales]])*100</f>
        <v>-25</v>
      </c>
    </row>
    <row r="392" spans="1:12" x14ac:dyDescent="0.3">
      <c r="A392" t="s">
        <v>5594</v>
      </c>
      <c r="B392" s="1">
        <v>44113</v>
      </c>
      <c r="C392" t="s">
        <v>3425</v>
      </c>
      <c r="D392" t="s">
        <v>3426</v>
      </c>
      <c r="E392" t="s">
        <v>14</v>
      </c>
      <c r="F392" t="s">
        <v>29</v>
      </c>
      <c r="G392" t="s">
        <v>16</v>
      </c>
      <c r="H392" t="s">
        <v>378</v>
      </c>
      <c r="I392" s="2">
        <v>272.05799999999999</v>
      </c>
      <c r="J392">
        <v>3</v>
      </c>
      <c r="K392" s="2">
        <v>-32.6646</v>
      </c>
      <c r="L392" s="3">
        <f>(Table1[[#This Row],[Profit]]/Table1[[#This Row],[Sales]])*100</f>
        <v>-12.006483911518867</v>
      </c>
    </row>
    <row r="393" spans="1:12" x14ac:dyDescent="0.3">
      <c r="A393" t="s">
        <v>4865</v>
      </c>
      <c r="B393" s="1">
        <v>44001</v>
      </c>
      <c r="C393" t="s">
        <v>3223</v>
      </c>
      <c r="D393" t="s">
        <v>3224</v>
      </c>
      <c r="E393" t="s">
        <v>14</v>
      </c>
      <c r="F393" t="s">
        <v>29</v>
      </c>
      <c r="G393" t="s">
        <v>24</v>
      </c>
      <c r="H393" t="s">
        <v>1058</v>
      </c>
      <c r="I393" s="2">
        <v>199.584</v>
      </c>
      <c r="J393">
        <v>2</v>
      </c>
      <c r="K393" s="2">
        <v>-32.636600000000001</v>
      </c>
      <c r="L393" s="3">
        <f>(Table1[[#This Row],[Profit]]/Table1[[#This Row],[Sales]])*100</f>
        <v>-16.352312810646144</v>
      </c>
    </row>
    <row r="394" spans="1:12" x14ac:dyDescent="0.3">
      <c r="A394" t="s">
        <v>1439</v>
      </c>
      <c r="B394" s="1">
        <v>43605</v>
      </c>
      <c r="C394" t="s">
        <v>924</v>
      </c>
      <c r="D394" t="s">
        <v>925</v>
      </c>
      <c r="E394" t="s">
        <v>14</v>
      </c>
      <c r="F394" t="s">
        <v>23</v>
      </c>
      <c r="G394" t="s">
        <v>24</v>
      </c>
      <c r="H394" t="s">
        <v>1440</v>
      </c>
      <c r="I394" s="2">
        <v>40.634999999999998</v>
      </c>
      <c r="J394">
        <v>7</v>
      </c>
      <c r="K394" s="2">
        <v>-32.508000000000003</v>
      </c>
      <c r="L394" s="3">
        <f>(Table1[[#This Row],[Profit]]/Table1[[#This Row],[Sales]])*100</f>
        <v>-80.000000000000014</v>
      </c>
    </row>
    <row r="395" spans="1:12" x14ac:dyDescent="0.3">
      <c r="A395" t="s">
        <v>4116</v>
      </c>
      <c r="B395" s="1">
        <v>43870</v>
      </c>
      <c r="C395" t="s">
        <v>2485</v>
      </c>
      <c r="D395" t="s">
        <v>2486</v>
      </c>
      <c r="E395" t="s">
        <v>14</v>
      </c>
      <c r="F395" t="s">
        <v>29</v>
      </c>
      <c r="G395" t="s">
        <v>24</v>
      </c>
      <c r="H395" t="s">
        <v>3355</v>
      </c>
      <c r="I395" s="2">
        <v>132.99199999999999</v>
      </c>
      <c r="J395">
        <v>2</v>
      </c>
      <c r="K395" s="2">
        <v>-32.479999999999997</v>
      </c>
      <c r="L395" s="3">
        <f>(Table1[[#This Row],[Profit]]/Table1[[#This Row],[Sales]])*100</f>
        <v>-24.422521655437919</v>
      </c>
    </row>
    <row r="396" spans="1:12" x14ac:dyDescent="0.3">
      <c r="A396" t="s">
        <v>5773</v>
      </c>
      <c r="B396" s="1">
        <v>44139</v>
      </c>
      <c r="C396" t="s">
        <v>309</v>
      </c>
      <c r="D396" t="s">
        <v>310</v>
      </c>
      <c r="E396" t="s">
        <v>14</v>
      </c>
      <c r="F396" t="s">
        <v>41</v>
      </c>
      <c r="G396" t="s">
        <v>18</v>
      </c>
      <c r="H396" t="s">
        <v>5374</v>
      </c>
      <c r="I396" s="2">
        <v>192.928</v>
      </c>
      <c r="J396">
        <v>9</v>
      </c>
      <c r="K396" s="2">
        <v>-32.383800000000001</v>
      </c>
      <c r="L396" s="3">
        <f>(Table1[[#This Row],[Profit]]/Table1[[#This Row],[Sales]])*100</f>
        <v>-16.785432907613203</v>
      </c>
    </row>
    <row r="397" spans="1:12" x14ac:dyDescent="0.3">
      <c r="A397" t="s">
        <v>2231</v>
      </c>
      <c r="B397" s="1">
        <v>43677</v>
      </c>
      <c r="C397" t="s">
        <v>1430</v>
      </c>
      <c r="D397" t="s">
        <v>1431</v>
      </c>
      <c r="E397" t="s">
        <v>14</v>
      </c>
      <c r="F397" t="s">
        <v>23</v>
      </c>
      <c r="G397" t="s">
        <v>16</v>
      </c>
      <c r="H397" t="s">
        <v>2232</v>
      </c>
      <c r="I397" s="2">
        <v>863.12800000000004</v>
      </c>
      <c r="J397">
        <v>7</v>
      </c>
      <c r="K397" s="2">
        <v>-32.3673</v>
      </c>
      <c r="L397" s="3">
        <f>(Table1[[#This Row],[Profit]]/Table1[[#This Row],[Sales]])*100</f>
        <v>-3.75</v>
      </c>
    </row>
    <row r="398" spans="1:12" x14ac:dyDescent="0.3">
      <c r="A398" t="s">
        <v>4320</v>
      </c>
      <c r="B398" s="1">
        <v>43913</v>
      </c>
      <c r="C398" t="s">
        <v>698</v>
      </c>
      <c r="D398" t="s">
        <v>699</v>
      </c>
      <c r="E398" t="s">
        <v>14</v>
      </c>
      <c r="F398" t="s">
        <v>29</v>
      </c>
      <c r="G398" t="s">
        <v>24</v>
      </c>
      <c r="H398" t="s">
        <v>398</v>
      </c>
      <c r="I398" s="2">
        <v>155.72800000000001</v>
      </c>
      <c r="J398">
        <v>2</v>
      </c>
      <c r="K398" s="2">
        <v>-32.338799999999999</v>
      </c>
      <c r="L398" s="3">
        <f>(Table1[[#This Row],[Profit]]/Table1[[#This Row],[Sales]])*100</f>
        <v>-20.766207746840642</v>
      </c>
    </row>
    <row r="399" spans="1:12" x14ac:dyDescent="0.3">
      <c r="A399" t="s">
        <v>3036</v>
      </c>
      <c r="B399" s="1">
        <v>43746</v>
      </c>
      <c r="C399" t="s">
        <v>3037</v>
      </c>
      <c r="D399" t="s">
        <v>3038</v>
      </c>
      <c r="E399" t="s">
        <v>14</v>
      </c>
      <c r="F399" t="s">
        <v>29</v>
      </c>
      <c r="G399" t="s">
        <v>16</v>
      </c>
      <c r="H399" t="s">
        <v>3039</v>
      </c>
      <c r="I399" s="2">
        <v>51.712000000000003</v>
      </c>
      <c r="J399">
        <v>8</v>
      </c>
      <c r="K399" s="2">
        <v>-32.32</v>
      </c>
      <c r="L399" s="3">
        <f>(Table1[[#This Row],[Profit]]/Table1[[#This Row],[Sales]])*100</f>
        <v>-62.5</v>
      </c>
    </row>
    <row r="400" spans="1:12" x14ac:dyDescent="0.3">
      <c r="A400" t="s">
        <v>4463</v>
      </c>
      <c r="B400" s="1">
        <v>43935</v>
      </c>
      <c r="C400" t="s">
        <v>2270</v>
      </c>
      <c r="D400" t="s">
        <v>2271</v>
      </c>
      <c r="E400" t="s">
        <v>14</v>
      </c>
      <c r="F400" t="s">
        <v>41</v>
      </c>
      <c r="G400" t="s">
        <v>16</v>
      </c>
      <c r="H400" t="s">
        <v>4464</v>
      </c>
      <c r="I400" s="2">
        <v>210.27199999999999</v>
      </c>
      <c r="J400">
        <v>8</v>
      </c>
      <c r="K400" s="2">
        <v>-32.219200000000001</v>
      </c>
      <c r="L400" s="3">
        <f>(Table1[[#This Row],[Profit]]/Table1[[#This Row],[Sales]])*100</f>
        <v>-15.322629736721961</v>
      </c>
    </row>
    <row r="401" spans="1:12" x14ac:dyDescent="0.3">
      <c r="A401" t="s">
        <v>5853</v>
      </c>
      <c r="B401" s="1">
        <v>44146</v>
      </c>
      <c r="C401" t="s">
        <v>143</v>
      </c>
      <c r="D401" t="s">
        <v>144</v>
      </c>
      <c r="E401" t="s">
        <v>14</v>
      </c>
      <c r="F401" t="s">
        <v>29</v>
      </c>
      <c r="G401" t="s">
        <v>24</v>
      </c>
      <c r="H401" t="s">
        <v>2460</v>
      </c>
      <c r="I401" s="2">
        <v>105.336</v>
      </c>
      <c r="J401">
        <v>4</v>
      </c>
      <c r="K401" s="2">
        <v>-32.088000000000001</v>
      </c>
      <c r="L401" s="3">
        <f>(Table1[[#This Row],[Profit]]/Table1[[#This Row],[Sales]])*100</f>
        <v>-30.462519936204146</v>
      </c>
    </row>
    <row r="402" spans="1:12" x14ac:dyDescent="0.3">
      <c r="A402" t="s">
        <v>298</v>
      </c>
      <c r="B402" s="1">
        <v>43501</v>
      </c>
      <c r="C402" t="s">
        <v>299</v>
      </c>
      <c r="D402" t="s">
        <v>300</v>
      </c>
      <c r="E402" t="s">
        <v>14</v>
      </c>
      <c r="F402" t="s">
        <v>23</v>
      </c>
      <c r="G402" t="s">
        <v>18</v>
      </c>
      <c r="H402" t="s">
        <v>303</v>
      </c>
      <c r="I402" s="2">
        <v>159.96799999999999</v>
      </c>
      <c r="J402">
        <v>4</v>
      </c>
      <c r="K402" s="2">
        <v>-31.993600000000001</v>
      </c>
      <c r="L402" s="3">
        <f>(Table1[[#This Row],[Profit]]/Table1[[#This Row],[Sales]])*100</f>
        <v>-20</v>
      </c>
    </row>
    <row r="403" spans="1:12" x14ac:dyDescent="0.3">
      <c r="A403" t="s">
        <v>976</v>
      </c>
      <c r="B403" s="1">
        <v>43567</v>
      </c>
      <c r="C403" t="s">
        <v>977</v>
      </c>
      <c r="D403" t="s">
        <v>978</v>
      </c>
      <c r="E403" t="s">
        <v>14</v>
      </c>
      <c r="F403" t="s">
        <v>23</v>
      </c>
      <c r="G403" t="s">
        <v>16</v>
      </c>
      <c r="H403" t="s">
        <v>369</v>
      </c>
      <c r="I403" s="2">
        <v>638.28800000000001</v>
      </c>
      <c r="J403">
        <v>7</v>
      </c>
      <c r="K403" s="2">
        <v>-31.914400000000001</v>
      </c>
      <c r="L403" s="3">
        <f>(Table1[[#This Row],[Profit]]/Table1[[#This Row],[Sales]])*100</f>
        <v>-5</v>
      </c>
    </row>
    <row r="404" spans="1:12" x14ac:dyDescent="0.3">
      <c r="A404" t="s">
        <v>1178</v>
      </c>
      <c r="B404" s="1">
        <v>43583</v>
      </c>
      <c r="C404" t="s">
        <v>1179</v>
      </c>
      <c r="D404" t="s">
        <v>1180</v>
      </c>
      <c r="E404" t="s">
        <v>14</v>
      </c>
      <c r="F404" t="s">
        <v>29</v>
      </c>
      <c r="G404" t="s">
        <v>16</v>
      </c>
      <c r="H404" t="s">
        <v>1181</v>
      </c>
      <c r="I404" s="2">
        <v>30.344000000000001</v>
      </c>
      <c r="J404">
        <v>2</v>
      </c>
      <c r="K404" s="2">
        <v>-31.8612</v>
      </c>
      <c r="L404" s="3">
        <f>(Table1[[#This Row],[Profit]]/Table1[[#This Row],[Sales]])*100</f>
        <v>-105</v>
      </c>
    </row>
    <row r="405" spans="1:12" x14ac:dyDescent="0.3">
      <c r="A405" t="s">
        <v>3774</v>
      </c>
      <c r="B405" s="1">
        <v>43810</v>
      </c>
      <c r="C405" t="s">
        <v>118</v>
      </c>
      <c r="D405" t="s">
        <v>119</v>
      </c>
      <c r="E405" t="s">
        <v>14</v>
      </c>
      <c r="F405" t="s">
        <v>23</v>
      </c>
      <c r="G405" t="s">
        <v>16</v>
      </c>
      <c r="H405" t="s">
        <v>3383</v>
      </c>
      <c r="I405" s="2">
        <v>363.92</v>
      </c>
      <c r="J405">
        <v>5</v>
      </c>
      <c r="K405" s="2">
        <v>-31.843</v>
      </c>
      <c r="L405" s="3">
        <f>(Table1[[#This Row],[Profit]]/Table1[[#This Row],[Sales]])*100</f>
        <v>-8.75</v>
      </c>
    </row>
    <row r="406" spans="1:12" x14ac:dyDescent="0.3">
      <c r="A406" t="s">
        <v>588</v>
      </c>
      <c r="B406" s="1">
        <v>43535</v>
      </c>
      <c r="C406" t="s">
        <v>589</v>
      </c>
      <c r="D406" t="s">
        <v>590</v>
      </c>
      <c r="E406" t="s">
        <v>14</v>
      </c>
      <c r="F406" t="s">
        <v>15</v>
      </c>
      <c r="G406" t="s">
        <v>16</v>
      </c>
      <c r="H406" t="s">
        <v>200</v>
      </c>
      <c r="I406" s="2">
        <v>244.006</v>
      </c>
      <c r="J406">
        <v>2</v>
      </c>
      <c r="K406" s="2">
        <v>-31.372199999999999</v>
      </c>
      <c r="L406" s="3">
        <f>(Table1[[#This Row],[Profit]]/Table1[[#This Row],[Sales]])*100</f>
        <v>-12.857142857142856</v>
      </c>
    </row>
    <row r="407" spans="1:12" x14ac:dyDescent="0.3">
      <c r="A407" t="s">
        <v>5985</v>
      </c>
      <c r="B407" s="1">
        <v>44158</v>
      </c>
      <c r="C407" t="s">
        <v>2095</v>
      </c>
      <c r="D407" t="s">
        <v>2096</v>
      </c>
      <c r="E407" t="s">
        <v>14</v>
      </c>
      <c r="F407" t="s">
        <v>29</v>
      </c>
      <c r="G407" t="s">
        <v>16</v>
      </c>
      <c r="H407" t="s">
        <v>2674</v>
      </c>
      <c r="I407" s="2">
        <v>162.785</v>
      </c>
      <c r="J407">
        <v>1</v>
      </c>
      <c r="K407" s="2">
        <v>-31.0335</v>
      </c>
      <c r="L407" s="3">
        <f>(Table1[[#This Row],[Profit]]/Table1[[#This Row],[Sales]])*100</f>
        <v>-19.06410295788924</v>
      </c>
    </row>
    <row r="408" spans="1:12" x14ac:dyDescent="0.3">
      <c r="A408" t="s">
        <v>5796</v>
      </c>
      <c r="B408" s="1">
        <v>44141</v>
      </c>
      <c r="C408" t="s">
        <v>2973</v>
      </c>
      <c r="D408" t="s">
        <v>2974</v>
      </c>
      <c r="E408" t="s">
        <v>14</v>
      </c>
      <c r="F408" t="s">
        <v>15</v>
      </c>
      <c r="G408" t="s">
        <v>16</v>
      </c>
      <c r="H408" t="s">
        <v>3383</v>
      </c>
      <c r="I408" s="2">
        <v>152.37200000000001</v>
      </c>
      <c r="J408">
        <v>2</v>
      </c>
      <c r="K408" s="2">
        <v>-30.933199999999999</v>
      </c>
      <c r="L408" s="3">
        <f>(Table1[[#This Row],[Profit]]/Table1[[#This Row],[Sales]])*100</f>
        <v>-20.301105189929906</v>
      </c>
    </row>
    <row r="409" spans="1:12" x14ac:dyDescent="0.3">
      <c r="A409" t="s">
        <v>3640</v>
      </c>
      <c r="B409" s="1">
        <v>43800</v>
      </c>
      <c r="C409" t="s">
        <v>3641</v>
      </c>
      <c r="D409" t="s">
        <v>3642</v>
      </c>
      <c r="E409" t="s">
        <v>14</v>
      </c>
      <c r="F409" t="s">
        <v>29</v>
      </c>
      <c r="G409" t="s">
        <v>24</v>
      </c>
      <c r="H409" t="s">
        <v>1633</v>
      </c>
      <c r="I409" s="2">
        <v>11.648</v>
      </c>
      <c r="J409">
        <v>4</v>
      </c>
      <c r="K409" s="2">
        <v>-30.8672</v>
      </c>
      <c r="L409" s="3">
        <f>(Table1[[#This Row],[Profit]]/Table1[[#This Row],[Sales]])*100</f>
        <v>-265</v>
      </c>
    </row>
    <row r="410" spans="1:12" x14ac:dyDescent="0.3">
      <c r="A410" t="s">
        <v>3854</v>
      </c>
      <c r="B410" s="1">
        <v>43818</v>
      </c>
      <c r="C410" t="s">
        <v>1292</v>
      </c>
      <c r="D410" t="s">
        <v>1293</v>
      </c>
      <c r="E410" t="s">
        <v>14</v>
      </c>
      <c r="F410" t="s">
        <v>15</v>
      </c>
      <c r="G410" t="s">
        <v>16</v>
      </c>
      <c r="H410" t="s">
        <v>3855</v>
      </c>
      <c r="I410" s="2">
        <v>303.92</v>
      </c>
      <c r="J410">
        <v>5</v>
      </c>
      <c r="K410" s="2">
        <v>-30.391999999999999</v>
      </c>
      <c r="L410" s="3">
        <f>(Table1[[#This Row],[Profit]]/Table1[[#This Row],[Sales]])*100</f>
        <v>-10</v>
      </c>
    </row>
    <row r="411" spans="1:12" x14ac:dyDescent="0.3">
      <c r="A411" t="s">
        <v>4797</v>
      </c>
      <c r="B411" s="1">
        <v>43992</v>
      </c>
      <c r="C411" t="s">
        <v>2295</v>
      </c>
      <c r="D411" t="s">
        <v>2296</v>
      </c>
      <c r="E411" t="s">
        <v>14</v>
      </c>
      <c r="F411" t="s">
        <v>23</v>
      </c>
      <c r="G411" t="s">
        <v>16</v>
      </c>
      <c r="H411" t="s">
        <v>2313</v>
      </c>
      <c r="I411" s="2">
        <v>535.16499999999996</v>
      </c>
      <c r="J411">
        <v>5</v>
      </c>
      <c r="K411" s="2">
        <v>-30.245000000000001</v>
      </c>
      <c r="L411" s="3">
        <f>(Table1[[#This Row],[Profit]]/Table1[[#This Row],[Sales]])*100</f>
        <v>-5.6515280334102576</v>
      </c>
    </row>
    <row r="412" spans="1:12" x14ac:dyDescent="0.3">
      <c r="A412" t="s">
        <v>3844</v>
      </c>
      <c r="B412" s="1">
        <v>43817</v>
      </c>
      <c r="C412" t="s">
        <v>1926</v>
      </c>
      <c r="D412" t="s">
        <v>1927</v>
      </c>
      <c r="E412" t="s">
        <v>14</v>
      </c>
      <c r="F412" t="s">
        <v>23</v>
      </c>
      <c r="G412" t="s">
        <v>24</v>
      </c>
      <c r="H412" t="s">
        <v>1219</v>
      </c>
      <c r="I412" s="2">
        <v>45.24</v>
      </c>
      <c r="J412">
        <v>4</v>
      </c>
      <c r="K412" s="2">
        <v>-30.16</v>
      </c>
      <c r="L412" s="3">
        <f>(Table1[[#This Row],[Profit]]/Table1[[#This Row],[Sales]])*100</f>
        <v>-66.666666666666657</v>
      </c>
    </row>
    <row r="413" spans="1:12" x14ac:dyDescent="0.3">
      <c r="A413" t="s">
        <v>4360</v>
      </c>
      <c r="B413" s="1">
        <v>43917</v>
      </c>
      <c r="C413" t="s">
        <v>565</v>
      </c>
      <c r="D413" t="s">
        <v>566</v>
      </c>
      <c r="E413" t="s">
        <v>14</v>
      </c>
      <c r="F413" t="s">
        <v>29</v>
      </c>
      <c r="G413" t="s">
        <v>16</v>
      </c>
      <c r="H413" t="s">
        <v>1965</v>
      </c>
      <c r="I413" s="2">
        <v>1058.3320000000001</v>
      </c>
      <c r="J413">
        <v>5</v>
      </c>
      <c r="K413" s="2">
        <v>-30.097999999999999</v>
      </c>
      <c r="L413" s="3">
        <f>(Table1[[#This Row],[Profit]]/Table1[[#This Row],[Sales]])*100</f>
        <v>-2.8439090946886227</v>
      </c>
    </row>
    <row r="414" spans="1:12" x14ac:dyDescent="0.3">
      <c r="A414" t="s">
        <v>3196</v>
      </c>
      <c r="B414" s="1">
        <v>43766</v>
      </c>
      <c r="C414" t="s">
        <v>356</v>
      </c>
      <c r="D414" t="s">
        <v>357</v>
      </c>
      <c r="E414" t="s">
        <v>14</v>
      </c>
      <c r="F414" t="s">
        <v>41</v>
      </c>
      <c r="G414" t="s">
        <v>24</v>
      </c>
      <c r="H414" t="s">
        <v>3197</v>
      </c>
      <c r="I414" s="2">
        <v>37.424999999999997</v>
      </c>
      <c r="J414">
        <v>5</v>
      </c>
      <c r="K414" s="2">
        <v>-29.94</v>
      </c>
      <c r="L414" s="3">
        <f>(Table1[[#This Row],[Profit]]/Table1[[#This Row],[Sales]])*100</f>
        <v>-80</v>
      </c>
    </row>
    <row r="415" spans="1:12" x14ac:dyDescent="0.3">
      <c r="A415" t="s">
        <v>3238</v>
      </c>
      <c r="B415" s="1">
        <v>43772</v>
      </c>
      <c r="C415" t="s">
        <v>1894</v>
      </c>
      <c r="D415" t="s">
        <v>1895</v>
      </c>
      <c r="E415" t="s">
        <v>14</v>
      </c>
      <c r="F415" t="s">
        <v>23</v>
      </c>
      <c r="G415" t="s">
        <v>16</v>
      </c>
      <c r="H415" t="s">
        <v>218</v>
      </c>
      <c r="I415" s="2">
        <v>217.584</v>
      </c>
      <c r="J415">
        <v>2</v>
      </c>
      <c r="K415" s="2">
        <v>-29.9178</v>
      </c>
      <c r="L415" s="3">
        <f>(Table1[[#This Row],[Profit]]/Table1[[#This Row],[Sales]])*100</f>
        <v>-13.749999999999998</v>
      </c>
    </row>
    <row r="416" spans="1:12" x14ac:dyDescent="0.3">
      <c r="A416" t="s">
        <v>6011</v>
      </c>
      <c r="B416" s="1">
        <v>44160</v>
      </c>
      <c r="C416" t="s">
        <v>4066</v>
      </c>
      <c r="D416" t="s">
        <v>4067</v>
      </c>
      <c r="E416" t="s">
        <v>14</v>
      </c>
      <c r="F416" t="s">
        <v>23</v>
      </c>
      <c r="G416" t="s">
        <v>16</v>
      </c>
      <c r="H416" t="s">
        <v>155</v>
      </c>
      <c r="I416" s="2">
        <v>387.49900000000002</v>
      </c>
      <c r="J416">
        <v>3</v>
      </c>
      <c r="K416" s="2">
        <v>-29.605799999999999</v>
      </c>
      <c r="L416" s="3">
        <f>(Table1[[#This Row],[Profit]]/Table1[[#This Row],[Sales]])*100</f>
        <v>-7.6402261683255954</v>
      </c>
    </row>
    <row r="417" spans="1:12" x14ac:dyDescent="0.3">
      <c r="A417" t="s">
        <v>3001</v>
      </c>
      <c r="B417" s="1">
        <v>43741</v>
      </c>
      <c r="C417" t="s">
        <v>3002</v>
      </c>
      <c r="D417" t="s">
        <v>3003</v>
      </c>
      <c r="E417" t="s">
        <v>14</v>
      </c>
      <c r="F417" t="s">
        <v>29</v>
      </c>
      <c r="G417" t="s">
        <v>16</v>
      </c>
      <c r="H417" t="s">
        <v>2195</v>
      </c>
      <c r="I417" s="2">
        <v>38.08</v>
      </c>
      <c r="J417">
        <v>5</v>
      </c>
      <c r="K417" s="2">
        <v>-29.512</v>
      </c>
      <c r="L417" s="3">
        <f>(Table1[[#This Row],[Profit]]/Table1[[#This Row],[Sales]])*100</f>
        <v>-77.5</v>
      </c>
    </row>
    <row r="418" spans="1:12" x14ac:dyDescent="0.3">
      <c r="A418" t="s">
        <v>5296</v>
      </c>
      <c r="B418" s="1">
        <v>44079</v>
      </c>
      <c r="C418" t="s">
        <v>2666</v>
      </c>
      <c r="D418" t="s">
        <v>2667</v>
      </c>
      <c r="E418" t="s">
        <v>14</v>
      </c>
      <c r="F418" t="s">
        <v>41</v>
      </c>
      <c r="G418" t="s">
        <v>24</v>
      </c>
      <c r="H418" t="s">
        <v>772</v>
      </c>
      <c r="I418" s="2">
        <v>158.184</v>
      </c>
      <c r="J418">
        <v>2</v>
      </c>
      <c r="K418" s="2">
        <v>-29.436800000000002</v>
      </c>
      <c r="L418" s="3">
        <f>(Table1[[#This Row],[Profit]]/Table1[[#This Row],[Sales]])*100</f>
        <v>-18.609214585545946</v>
      </c>
    </row>
    <row r="419" spans="1:12" x14ac:dyDescent="0.3">
      <c r="A419" t="s">
        <v>5517</v>
      </c>
      <c r="B419" s="1">
        <v>44102</v>
      </c>
      <c r="C419" t="s">
        <v>4044</v>
      </c>
      <c r="D419" t="s">
        <v>4045</v>
      </c>
      <c r="E419" t="s">
        <v>14</v>
      </c>
      <c r="F419" t="s">
        <v>23</v>
      </c>
      <c r="G419" t="s">
        <v>24</v>
      </c>
      <c r="H419" t="s">
        <v>772</v>
      </c>
      <c r="I419" s="2">
        <v>186.184</v>
      </c>
      <c r="J419">
        <v>2</v>
      </c>
      <c r="K419" s="2">
        <v>-29.436800000000002</v>
      </c>
      <c r="L419" s="3">
        <f>(Table1[[#This Row],[Profit]]/Table1[[#This Row],[Sales]])*100</f>
        <v>-15.810595969578484</v>
      </c>
    </row>
    <row r="420" spans="1:12" x14ac:dyDescent="0.3">
      <c r="A420" t="s">
        <v>5718</v>
      </c>
      <c r="B420" s="1">
        <v>44132</v>
      </c>
      <c r="C420" t="s">
        <v>800</v>
      </c>
      <c r="D420" t="s">
        <v>801</v>
      </c>
      <c r="E420" t="s">
        <v>14</v>
      </c>
      <c r="F420" t="s">
        <v>41</v>
      </c>
      <c r="G420" t="s">
        <v>24</v>
      </c>
      <c r="H420" t="s">
        <v>772</v>
      </c>
      <c r="I420" s="2">
        <v>183.184</v>
      </c>
      <c r="J420">
        <v>2</v>
      </c>
      <c r="K420" s="2">
        <v>-29.436800000000002</v>
      </c>
      <c r="L420" s="3">
        <f>(Table1[[#This Row],[Profit]]/Table1[[#This Row],[Sales]])*100</f>
        <v>-16.06952572277055</v>
      </c>
    </row>
    <row r="421" spans="1:12" x14ac:dyDescent="0.3">
      <c r="A421" t="s">
        <v>3747</v>
      </c>
      <c r="B421" s="1">
        <v>43808</v>
      </c>
      <c r="C421" t="s">
        <v>769</v>
      </c>
      <c r="D421" t="s">
        <v>770</v>
      </c>
      <c r="E421" t="s">
        <v>14</v>
      </c>
      <c r="F421" t="s">
        <v>41</v>
      </c>
      <c r="G421" t="s">
        <v>16</v>
      </c>
      <c r="H421" t="s">
        <v>1257</v>
      </c>
      <c r="I421" s="2">
        <v>79.974000000000004</v>
      </c>
      <c r="J421">
        <v>3</v>
      </c>
      <c r="K421" s="2">
        <v>-29.323799999999999</v>
      </c>
      <c r="L421" s="3">
        <f>(Table1[[#This Row],[Profit]]/Table1[[#This Row],[Sales]])*100</f>
        <v>-36.666666666666664</v>
      </c>
    </row>
    <row r="422" spans="1:12" x14ac:dyDescent="0.3">
      <c r="A422" t="s">
        <v>5943</v>
      </c>
      <c r="B422" s="1">
        <v>44154</v>
      </c>
      <c r="C422" t="s">
        <v>1476</v>
      </c>
      <c r="D422" t="s">
        <v>1477</v>
      </c>
      <c r="E422" t="s">
        <v>14</v>
      </c>
      <c r="F422" t="s">
        <v>15</v>
      </c>
      <c r="G422" t="s">
        <v>16</v>
      </c>
      <c r="H422" t="s">
        <v>1257</v>
      </c>
      <c r="I422" s="2">
        <v>127.974</v>
      </c>
      <c r="J422">
        <v>3</v>
      </c>
      <c r="K422" s="2">
        <v>-29.323799999999999</v>
      </c>
      <c r="L422" s="3">
        <f>(Table1[[#This Row],[Profit]]/Table1[[#This Row],[Sales]])*100</f>
        <v>-22.913873130479626</v>
      </c>
    </row>
    <row r="423" spans="1:12" x14ac:dyDescent="0.3">
      <c r="A423" t="s">
        <v>2431</v>
      </c>
      <c r="B423" s="1">
        <v>43703</v>
      </c>
      <c r="C423" t="s">
        <v>1444</v>
      </c>
      <c r="D423" t="s">
        <v>1445</v>
      </c>
      <c r="E423" t="s">
        <v>14</v>
      </c>
      <c r="F423" t="s">
        <v>29</v>
      </c>
      <c r="G423" t="s">
        <v>16</v>
      </c>
      <c r="H423" t="s">
        <v>1945</v>
      </c>
      <c r="I423" s="2">
        <v>1024.7159999999999</v>
      </c>
      <c r="J423">
        <v>6</v>
      </c>
      <c r="K423" s="2">
        <v>-29.2776</v>
      </c>
      <c r="L423" s="3">
        <f>(Table1[[#This Row],[Profit]]/Table1[[#This Row],[Sales]])*100</f>
        <v>-2.8571428571428572</v>
      </c>
    </row>
    <row r="424" spans="1:12" x14ac:dyDescent="0.3">
      <c r="A424" t="s">
        <v>5387</v>
      </c>
      <c r="B424" s="1">
        <v>44088</v>
      </c>
      <c r="C424" t="s">
        <v>558</v>
      </c>
      <c r="D424" t="s">
        <v>559</v>
      </c>
      <c r="E424" t="s">
        <v>14</v>
      </c>
      <c r="F424" t="s">
        <v>15</v>
      </c>
      <c r="G424" t="s">
        <v>16</v>
      </c>
      <c r="H424" t="s">
        <v>2596</v>
      </c>
      <c r="I424" s="2">
        <v>155.37200000000001</v>
      </c>
      <c r="J424">
        <v>2</v>
      </c>
      <c r="K424" s="2">
        <v>-29.152799999999999</v>
      </c>
      <c r="L424" s="3">
        <f>(Table1[[#This Row],[Profit]]/Table1[[#This Row],[Sales]])*100</f>
        <v>-18.763226321344899</v>
      </c>
    </row>
    <row r="425" spans="1:12" x14ac:dyDescent="0.3">
      <c r="A425" t="s">
        <v>3339</v>
      </c>
      <c r="B425" s="1">
        <v>43779</v>
      </c>
      <c r="C425" t="s">
        <v>286</v>
      </c>
      <c r="D425" t="s">
        <v>287</v>
      </c>
      <c r="E425" t="s">
        <v>14</v>
      </c>
      <c r="F425" t="s">
        <v>15</v>
      </c>
      <c r="G425" t="s">
        <v>18</v>
      </c>
      <c r="H425" t="s">
        <v>3344</v>
      </c>
      <c r="I425" s="2">
        <v>178.92</v>
      </c>
      <c r="J425">
        <v>7</v>
      </c>
      <c r="K425" s="2">
        <v>-29.0745</v>
      </c>
      <c r="L425" s="3">
        <f>(Table1[[#This Row],[Profit]]/Table1[[#This Row],[Sales]])*100</f>
        <v>-16.25</v>
      </c>
    </row>
    <row r="426" spans="1:12" x14ac:dyDescent="0.3">
      <c r="A426" t="s">
        <v>4427</v>
      </c>
      <c r="B426" s="1">
        <v>43930</v>
      </c>
      <c r="C426" t="s">
        <v>3072</v>
      </c>
      <c r="D426" t="s">
        <v>3073</v>
      </c>
      <c r="E426" t="s">
        <v>14</v>
      </c>
      <c r="F426" t="s">
        <v>15</v>
      </c>
      <c r="G426" t="s">
        <v>24</v>
      </c>
      <c r="H426" t="s">
        <v>4438</v>
      </c>
      <c r="I426" s="2">
        <v>160.89599999999999</v>
      </c>
      <c r="J426">
        <v>4</v>
      </c>
      <c r="K426" s="2">
        <v>-29.053599999999999</v>
      </c>
      <c r="L426" s="3">
        <f>(Table1[[#This Row],[Profit]]/Table1[[#This Row],[Sales]])*100</f>
        <v>-18.057378679395384</v>
      </c>
    </row>
    <row r="427" spans="1:12" x14ac:dyDescent="0.3">
      <c r="A427" t="s">
        <v>4723</v>
      </c>
      <c r="B427" s="1">
        <v>43979</v>
      </c>
      <c r="C427" t="s">
        <v>1368</v>
      </c>
      <c r="D427" t="s">
        <v>1369</v>
      </c>
      <c r="E427" t="s">
        <v>14</v>
      </c>
      <c r="F427" t="s">
        <v>29</v>
      </c>
      <c r="G427" t="s">
        <v>16</v>
      </c>
      <c r="H427" t="s">
        <v>2639</v>
      </c>
      <c r="I427" s="2">
        <v>117.869</v>
      </c>
      <c r="J427">
        <v>3</v>
      </c>
      <c r="K427" s="2">
        <v>-29.007300000000001</v>
      </c>
      <c r="L427" s="3">
        <f>(Table1[[#This Row],[Profit]]/Table1[[#This Row],[Sales]])*100</f>
        <v>-24.609778652571922</v>
      </c>
    </row>
    <row r="428" spans="1:12" x14ac:dyDescent="0.3">
      <c r="A428" t="s">
        <v>4347</v>
      </c>
      <c r="B428" s="1">
        <v>43916</v>
      </c>
      <c r="C428" t="s">
        <v>3679</v>
      </c>
      <c r="D428" t="s">
        <v>3680</v>
      </c>
      <c r="E428" t="s">
        <v>14</v>
      </c>
      <c r="F428" t="s">
        <v>15</v>
      </c>
      <c r="G428" t="s">
        <v>16</v>
      </c>
      <c r="H428" t="s">
        <v>2762</v>
      </c>
      <c r="I428" s="2">
        <v>280.56799999999998</v>
      </c>
      <c r="J428">
        <v>2</v>
      </c>
      <c r="K428" s="2">
        <v>-28.976400000000002</v>
      </c>
      <c r="L428" s="3">
        <f>(Table1[[#This Row],[Profit]]/Table1[[#This Row],[Sales]])*100</f>
        <v>-10.327763679393232</v>
      </c>
    </row>
    <row r="429" spans="1:12" x14ac:dyDescent="0.3">
      <c r="A429" t="s">
        <v>5586</v>
      </c>
      <c r="B429" s="1">
        <v>44111</v>
      </c>
      <c r="C429" t="s">
        <v>5067</v>
      </c>
      <c r="D429" t="s">
        <v>5068</v>
      </c>
      <c r="E429" t="s">
        <v>14</v>
      </c>
      <c r="F429" t="s">
        <v>23</v>
      </c>
      <c r="G429" t="s">
        <v>18</v>
      </c>
      <c r="H429" t="s">
        <v>1442</v>
      </c>
      <c r="I429" s="2">
        <v>151.744</v>
      </c>
      <c r="J429">
        <v>7</v>
      </c>
      <c r="K429" s="2">
        <v>-28.967400000000001</v>
      </c>
      <c r="L429" s="3">
        <f>(Table1[[#This Row],[Profit]]/Table1[[#This Row],[Sales]])*100</f>
        <v>-19.089650991142978</v>
      </c>
    </row>
    <row r="430" spans="1:12" x14ac:dyDescent="0.3">
      <c r="A430" t="s">
        <v>5686</v>
      </c>
      <c r="B430" s="1">
        <v>44126</v>
      </c>
      <c r="C430" t="s">
        <v>2837</v>
      </c>
      <c r="D430" t="s">
        <v>2838</v>
      </c>
      <c r="E430" t="s">
        <v>14</v>
      </c>
      <c r="F430" t="s">
        <v>23</v>
      </c>
      <c r="G430" t="s">
        <v>16</v>
      </c>
      <c r="H430" t="s">
        <v>5687</v>
      </c>
      <c r="I430" s="2">
        <v>629.13599999999997</v>
      </c>
      <c r="J430">
        <v>4</v>
      </c>
      <c r="K430" s="2">
        <v>-28.956800000000001</v>
      </c>
      <c r="L430" s="3">
        <f>(Table1[[#This Row],[Profit]]/Table1[[#This Row],[Sales]])*100</f>
        <v>-4.6026296381068645</v>
      </c>
    </row>
    <row r="431" spans="1:12" x14ac:dyDescent="0.3">
      <c r="A431" t="s">
        <v>2057</v>
      </c>
      <c r="B431" s="1">
        <v>43662</v>
      </c>
      <c r="C431" t="s">
        <v>1631</v>
      </c>
      <c r="D431" t="s">
        <v>1632</v>
      </c>
      <c r="E431" t="s">
        <v>14</v>
      </c>
      <c r="F431" t="s">
        <v>15</v>
      </c>
      <c r="G431" t="s">
        <v>18</v>
      </c>
      <c r="H431" t="s">
        <v>2058</v>
      </c>
      <c r="I431" s="2">
        <v>143.982</v>
      </c>
      <c r="J431">
        <v>3</v>
      </c>
      <c r="K431" s="2">
        <v>-28.796399999999998</v>
      </c>
      <c r="L431" s="3">
        <f>(Table1[[#This Row],[Profit]]/Table1[[#This Row],[Sales]])*100</f>
        <v>-20</v>
      </c>
    </row>
    <row r="432" spans="1:12" x14ac:dyDescent="0.3">
      <c r="A432" t="s">
        <v>6097</v>
      </c>
      <c r="B432" s="1">
        <v>44169</v>
      </c>
      <c r="C432" t="s">
        <v>6098</v>
      </c>
      <c r="D432" t="s">
        <v>6099</v>
      </c>
      <c r="E432" t="s">
        <v>14</v>
      </c>
      <c r="F432" t="s">
        <v>15</v>
      </c>
      <c r="G432" t="s">
        <v>18</v>
      </c>
      <c r="H432" t="s">
        <v>1499</v>
      </c>
      <c r="I432" s="2">
        <v>279.96800000000002</v>
      </c>
      <c r="J432">
        <v>4</v>
      </c>
      <c r="K432" s="2">
        <v>-28.796399999999998</v>
      </c>
      <c r="L432" s="3">
        <f>(Table1[[#This Row],[Profit]]/Table1[[#This Row],[Sales]])*100</f>
        <v>-10.285604069036459</v>
      </c>
    </row>
    <row r="433" spans="1:12" x14ac:dyDescent="0.3">
      <c r="A433" t="s">
        <v>4051</v>
      </c>
      <c r="B433" s="1">
        <v>43851</v>
      </c>
      <c r="C433" t="s">
        <v>3309</v>
      </c>
      <c r="D433" t="s">
        <v>3310</v>
      </c>
      <c r="E433" t="s">
        <v>14</v>
      </c>
      <c r="F433" t="s">
        <v>41</v>
      </c>
      <c r="G433" t="s">
        <v>24</v>
      </c>
      <c r="H433" t="s">
        <v>2946</v>
      </c>
      <c r="I433" s="2">
        <v>160.78399999999999</v>
      </c>
      <c r="J433">
        <v>7</v>
      </c>
      <c r="K433" s="2">
        <v>-28.627199999999998</v>
      </c>
      <c r="L433" s="3">
        <f>(Table1[[#This Row],[Profit]]/Table1[[#This Row],[Sales]])*100</f>
        <v>-17.80475669220818</v>
      </c>
    </row>
    <row r="434" spans="1:12" x14ac:dyDescent="0.3">
      <c r="A434" t="s">
        <v>3297</v>
      </c>
      <c r="B434" s="1">
        <v>43775</v>
      </c>
      <c r="C434" t="s">
        <v>2869</v>
      </c>
      <c r="D434" t="s">
        <v>2870</v>
      </c>
      <c r="E434" t="s">
        <v>14</v>
      </c>
      <c r="F434" t="s">
        <v>41</v>
      </c>
      <c r="G434" t="s">
        <v>16</v>
      </c>
      <c r="H434" t="s">
        <v>2944</v>
      </c>
      <c r="I434" s="2">
        <v>207.98400000000001</v>
      </c>
      <c r="J434">
        <v>2</v>
      </c>
      <c r="K434" s="2">
        <v>-28.597799999999999</v>
      </c>
      <c r="L434" s="3">
        <f>(Table1[[#This Row],[Profit]]/Table1[[#This Row],[Sales]])*100</f>
        <v>-13.749999999999998</v>
      </c>
    </row>
    <row r="435" spans="1:12" x14ac:dyDescent="0.3">
      <c r="A435" t="s">
        <v>6060</v>
      </c>
      <c r="B435" s="1">
        <v>44166</v>
      </c>
      <c r="C435" t="s">
        <v>3893</v>
      </c>
      <c r="D435" t="s">
        <v>3894</v>
      </c>
      <c r="E435" t="s">
        <v>14</v>
      </c>
      <c r="F435" t="s">
        <v>15</v>
      </c>
      <c r="G435" t="s">
        <v>16</v>
      </c>
      <c r="H435" t="s">
        <v>3758</v>
      </c>
      <c r="I435" s="2">
        <v>419.97199999999998</v>
      </c>
      <c r="J435">
        <v>2</v>
      </c>
      <c r="K435" s="2">
        <v>-28.498000000000001</v>
      </c>
      <c r="L435" s="3">
        <f>(Table1[[#This Row],[Profit]]/Table1[[#This Row],[Sales]])*100</f>
        <v>-6.7856904746030695</v>
      </c>
    </row>
    <row r="436" spans="1:12" x14ac:dyDescent="0.3">
      <c r="A436" t="s">
        <v>636</v>
      </c>
      <c r="B436" s="1">
        <v>43537</v>
      </c>
      <c r="C436" t="s">
        <v>637</v>
      </c>
      <c r="D436" t="s">
        <v>638</v>
      </c>
      <c r="E436" t="s">
        <v>14</v>
      </c>
      <c r="F436" t="s">
        <v>15</v>
      </c>
      <c r="G436" t="s">
        <v>24</v>
      </c>
      <c r="H436" t="s">
        <v>645</v>
      </c>
      <c r="I436" s="2">
        <v>126.08</v>
      </c>
      <c r="J436">
        <v>2</v>
      </c>
      <c r="K436" s="2">
        <v>-28.367999999999999</v>
      </c>
      <c r="L436" s="3">
        <f>(Table1[[#This Row],[Profit]]/Table1[[#This Row],[Sales]])*100</f>
        <v>-22.499999999999996</v>
      </c>
    </row>
    <row r="437" spans="1:12" x14ac:dyDescent="0.3">
      <c r="A437" t="s">
        <v>5306</v>
      </c>
      <c r="B437" s="1">
        <v>44081</v>
      </c>
      <c r="C437" t="s">
        <v>2516</v>
      </c>
      <c r="D437" t="s">
        <v>2517</v>
      </c>
      <c r="E437" t="s">
        <v>14</v>
      </c>
      <c r="F437" t="s">
        <v>23</v>
      </c>
      <c r="G437" t="s">
        <v>16</v>
      </c>
      <c r="H437" t="s">
        <v>1512</v>
      </c>
      <c r="I437" s="2">
        <v>192.56800000000001</v>
      </c>
      <c r="J437">
        <v>2</v>
      </c>
      <c r="K437" s="2">
        <v>-28.2744</v>
      </c>
      <c r="L437" s="3">
        <f>(Table1[[#This Row],[Profit]]/Table1[[#This Row],[Sales]])*100</f>
        <v>-14.682813343857754</v>
      </c>
    </row>
    <row r="438" spans="1:12" x14ac:dyDescent="0.3">
      <c r="A438" t="s">
        <v>4829</v>
      </c>
      <c r="B438" s="1">
        <v>43997</v>
      </c>
      <c r="C438" t="s">
        <v>2237</v>
      </c>
      <c r="D438" t="s">
        <v>2238</v>
      </c>
      <c r="E438" t="s">
        <v>14</v>
      </c>
      <c r="F438" t="s">
        <v>41</v>
      </c>
      <c r="G438" t="s">
        <v>16</v>
      </c>
      <c r="H438" t="s">
        <v>2353</v>
      </c>
      <c r="I438" s="2">
        <v>130.96</v>
      </c>
      <c r="J438">
        <v>2</v>
      </c>
      <c r="K438" s="2">
        <v>-28.224</v>
      </c>
      <c r="L438" s="3">
        <f>(Table1[[#This Row],[Profit]]/Table1[[#This Row],[Sales]])*100</f>
        <v>-21.551618814905314</v>
      </c>
    </row>
    <row r="439" spans="1:12" x14ac:dyDescent="0.3">
      <c r="A439" t="s">
        <v>1857</v>
      </c>
      <c r="B439" s="1">
        <v>43641</v>
      </c>
      <c r="C439" t="s">
        <v>481</v>
      </c>
      <c r="D439" t="s">
        <v>482</v>
      </c>
      <c r="E439" t="s">
        <v>14</v>
      </c>
      <c r="F439" t="s">
        <v>15</v>
      </c>
      <c r="G439" t="s">
        <v>24</v>
      </c>
      <c r="H439" t="s">
        <v>213</v>
      </c>
      <c r="I439" s="2">
        <v>38.088000000000001</v>
      </c>
      <c r="J439">
        <v>4</v>
      </c>
      <c r="K439" s="2">
        <v>-27.9312</v>
      </c>
      <c r="L439" s="3">
        <f>(Table1[[#This Row],[Profit]]/Table1[[#This Row],[Sales]])*100</f>
        <v>-73.333333333333329</v>
      </c>
    </row>
    <row r="440" spans="1:12" x14ac:dyDescent="0.3">
      <c r="A440" t="s">
        <v>3948</v>
      </c>
      <c r="B440" s="1">
        <v>43828</v>
      </c>
      <c r="C440" t="s">
        <v>3051</v>
      </c>
      <c r="D440" t="s">
        <v>3052</v>
      </c>
      <c r="E440" t="s">
        <v>14</v>
      </c>
      <c r="F440" t="s">
        <v>41</v>
      </c>
      <c r="G440" t="s">
        <v>24</v>
      </c>
      <c r="H440" t="s">
        <v>213</v>
      </c>
      <c r="I440" s="2">
        <v>38.088000000000001</v>
      </c>
      <c r="J440">
        <v>4</v>
      </c>
      <c r="K440" s="2">
        <v>-27.9312</v>
      </c>
      <c r="L440" s="3">
        <f>(Table1[[#This Row],[Profit]]/Table1[[#This Row],[Sales]])*100</f>
        <v>-73.333333333333329</v>
      </c>
    </row>
    <row r="441" spans="1:12" x14ac:dyDescent="0.3">
      <c r="A441" t="s">
        <v>1670</v>
      </c>
      <c r="B441" s="1">
        <v>43625</v>
      </c>
      <c r="C441" t="s">
        <v>1671</v>
      </c>
      <c r="D441" t="s">
        <v>1672</v>
      </c>
      <c r="E441" t="s">
        <v>14</v>
      </c>
      <c r="F441" t="s">
        <v>41</v>
      </c>
      <c r="G441" t="s">
        <v>18</v>
      </c>
      <c r="H441" t="s">
        <v>1673</v>
      </c>
      <c r="I441" s="2">
        <v>695.7</v>
      </c>
      <c r="J441">
        <v>2</v>
      </c>
      <c r="K441" s="2">
        <v>-27.827999999999999</v>
      </c>
      <c r="L441" s="3">
        <f>(Table1[[#This Row],[Profit]]/Table1[[#This Row],[Sales]])*100</f>
        <v>-3.9999999999999996</v>
      </c>
    </row>
    <row r="442" spans="1:12" x14ac:dyDescent="0.3">
      <c r="A442" t="s">
        <v>3982</v>
      </c>
      <c r="B442" s="1">
        <v>43832</v>
      </c>
      <c r="C442" t="s">
        <v>788</v>
      </c>
      <c r="D442" t="s">
        <v>789</v>
      </c>
      <c r="E442" t="s">
        <v>14</v>
      </c>
      <c r="F442" t="s">
        <v>41</v>
      </c>
      <c r="G442" t="s">
        <v>18</v>
      </c>
      <c r="H442" t="s">
        <v>1673</v>
      </c>
      <c r="I442" s="2">
        <v>708.7</v>
      </c>
      <c r="J442">
        <v>2</v>
      </c>
      <c r="K442" s="2">
        <v>-27.827999999999999</v>
      </c>
      <c r="L442" s="3">
        <f>(Table1[[#This Row],[Profit]]/Table1[[#This Row],[Sales]])*100</f>
        <v>-3.9266262170170734</v>
      </c>
    </row>
    <row r="443" spans="1:12" x14ac:dyDescent="0.3">
      <c r="A443" t="s">
        <v>1323</v>
      </c>
      <c r="B443" s="1">
        <v>43594</v>
      </c>
      <c r="C443" t="s">
        <v>1324</v>
      </c>
      <c r="D443" t="s">
        <v>1325</v>
      </c>
      <c r="E443" t="s">
        <v>14</v>
      </c>
      <c r="F443" t="s">
        <v>29</v>
      </c>
      <c r="G443" t="s">
        <v>24</v>
      </c>
      <c r="H443" t="s">
        <v>644</v>
      </c>
      <c r="I443" s="2">
        <v>18.527999999999999</v>
      </c>
      <c r="J443">
        <v>6</v>
      </c>
      <c r="K443" s="2">
        <v>-27.792000000000002</v>
      </c>
      <c r="L443" s="3">
        <f>(Table1[[#This Row],[Profit]]/Table1[[#This Row],[Sales]])*100</f>
        <v>-150.00000000000003</v>
      </c>
    </row>
    <row r="444" spans="1:12" x14ac:dyDescent="0.3">
      <c r="A444" t="s">
        <v>5707</v>
      </c>
      <c r="B444" s="1">
        <v>44130</v>
      </c>
      <c r="C444" t="s">
        <v>3662</v>
      </c>
      <c r="D444" t="s">
        <v>3663</v>
      </c>
      <c r="E444" t="s">
        <v>14</v>
      </c>
      <c r="F444" t="s">
        <v>15</v>
      </c>
      <c r="G444" t="s">
        <v>24</v>
      </c>
      <c r="H444" t="s">
        <v>855</v>
      </c>
      <c r="I444" s="2">
        <v>118.282</v>
      </c>
      <c r="J444">
        <v>3</v>
      </c>
      <c r="K444" s="2">
        <v>-27.734999999999999</v>
      </c>
      <c r="L444" s="3">
        <f>(Table1[[#This Row],[Profit]]/Table1[[#This Row],[Sales]])*100</f>
        <v>-23.448200064253225</v>
      </c>
    </row>
    <row r="445" spans="1:12" x14ac:dyDescent="0.3">
      <c r="A445" t="s">
        <v>879</v>
      </c>
      <c r="B445" s="1">
        <v>43560</v>
      </c>
      <c r="C445" t="s">
        <v>880</v>
      </c>
      <c r="D445" t="s">
        <v>881</v>
      </c>
      <c r="E445" t="s">
        <v>14</v>
      </c>
      <c r="F445" t="s">
        <v>15</v>
      </c>
      <c r="G445" t="s">
        <v>18</v>
      </c>
      <c r="H445" t="s">
        <v>809</v>
      </c>
      <c r="I445" s="2">
        <v>118.782</v>
      </c>
      <c r="J445">
        <v>3</v>
      </c>
      <c r="K445" s="2">
        <v>-27.715800000000002</v>
      </c>
      <c r="L445" s="3">
        <f>(Table1[[#This Row],[Profit]]/Table1[[#This Row],[Sales]])*100</f>
        <v>-23.333333333333336</v>
      </c>
    </row>
    <row r="446" spans="1:12" x14ac:dyDescent="0.3">
      <c r="A446" t="s">
        <v>2499</v>
      </c>
      <c r="B446" s="1">
        <v>43707</v>
      </c>
      <c r="C446" t="s">
        <v>2500</v>
      </c>
      <c r="D446" t="s">
        <v>2501</v>
      </c>
      <c r="E446" t="s">
        <v>14</v>
      </c>
      <c r="F446" t="s">
        <v>15</v>
      </c>
      <c r="G446" t="s">
        <v>24</v>
      </c>
      <c r="H446" t="s">
        <v>1909</v>
      </c>
      <c r="I446" s="2">
        <v>37.764000000000003</v>
      </c>
      <c r="J446">
        <v>6</v>
      </c>
      <c r="K446" s="2">
        <v>-27.6936</v>
      </c>
      <c r="L446" s="3">
        <f>(Table1[[#This Row],[Profit]]/Table1[[#This Row],[Sales]])*100</f>
        <v>-73.333333333333329</v>
      </c>
    </row>
    <row r="447" spans="1:12" x14ac:dyDescent="0.3">
      <c r="A447" t="s">
        <v>5896</v>
      </c>
      <c r="B447" s="1">
        <v>44149</v>
      </c>
      <c r="C447" t="s">
        <v>2456</v>
      </c>
      <c r="D447" t="s">
        <v>2457</v>
      </c>
      <c r="E447" t="s">
        <v>14</v>
      </c>
      <c r="F447" t="s">
        <v>29</v>
      </c>
      <c r="G447" t="s">
        <v>18</v>
      </c>
      <c r="H447" t="s">
        <v>670</v>
      </c>
      <c r="I447" s="2">
        <v>209.952</v>
      </c>
      <c r="J447">
        <v>6</v>
      </c>
      <c r="K447" s="2">
        <v>-27.292200000000001</v>
      </c>
      <c r="L447" s="3">
        <f>(Table1[[#This Row],[Profit]]/Table1[[#This Row],[Sales]])*100</f>
        <v>-12.999256973022405</v>
      </c>
    </row>
    <row r="448" spans="1:12" x14ac:dyDescent="0.3">
      <c r="A448" t="s">
        <v>5878</v>
      </c>
      <c r="B448" s="1">
        <v>44148</v>
      </c>
      <c r="C448" t="s">
        <v>2907</v>
      </c>
      <c r="D448" t="s">
        <v>2908</v>
      </c>
      <c r="E448" t="s">
        <v>14</v>
      </c>
      <c r="F448" t="s">
        <v>29</v>
      </c>
      <c r="G448" t="s">
        <v>16</v>
      </c>
      <c r="H448" t="s">
        <v>1050</v>
      </c>
      <c r="I448" s="2">
        <v>221.9992</v>
      </c>
      <c r="J448">
        <v>3</v>
      </c>
      <c r="K448" s="2">
        <v>-27.264600000000002</v>
      </c>
      <c r="L448" s="3">
        <f>(Table1[[#This Row],[Profit]]/Table1[[#This Row],[Sales]])*100</f>
        <v>-12.281395608632824</v>
      </c>
    </row>
    <row r="449" spans="1:12" x14ac:dyDescent="0.3">
      <c r="A449" t="s">
        <v>1975</v>
      </c>
      <c r="B449" s="1">
        <v>43653</v>
      </c>
      <c r="C449" t="s">
        <v>1976</v>
      </c>
      <c r="D449" t="s">
        <v>1977</v>
      </c>
      <c r="E449" t="s">
        <v>14</v>
      </c>
      <c r="F449" t="s">
        <v>29</v>
      </c>
      <c r="G449" t="s">
        <v>16</v>
      </c>
      <c r="H449" t="s">
        <v>1187</v>
      </c>
      <c r="I449" s="2">
        <v>60.287999999999997</v>
      </c>
      <c r="J449">
        <v>8</v>
      </c>
      <c r="K449" s="2">
        <v>-27.1296</v>
      </c>
      <c r="L449" s="3">
        <f>(Table1[[#This Row],[Profit]]/Table1[[#This Row],[Sales]])*100</f>
        <v>-45</v>
      </c>
    </row>
    <row r="450" spans="1:12" x14ac:dyDescent="0.3">
      <c r="A450" t="s">
        <v>4072</v>
      </c>
      <c r="B450" s="1">
        <v>43857</v>
      </c>
      <c r="C450" t="s">
        <v>4073</v>
      </c>
      <c r="D450" t="s">
        <v>4074</v>
      </c>
      <c r="E450" t="s">
        <v>14</v>
      </c>
      <c r="F450" t="s">
        <v>15</v>
      </c>
      <c r="G450" t="s">
        <v>18</v>
      </c>
      <c r="H450" t="s">
        <v>3644</v>
      </c>
      <c r="I450" s="2">
        <v>154.982</v>
      </c>
      <c r="J450">
        <v>3</v>
      </c>
      <c r="K450" s="2">
        <v>-26.9955</v>
      </c>
      <c r="L450" s="3">
        <f>(Table1[[#This Row],[Profit]]/Table1[[#This Row],[Sales]])*100</f>
        <v>-17.418474403479113</v>
      </c>
    </row>
    <row r="451" spans="1:12" x14ac:dyDescent="0.3">
      <c r="A451" t="s">
        <v>6184</v>
      </c>
      <c r="B451" s="1">
        <v>44179</v>
      </c>
      <c r="C451" t="s">
        <v>706</v>
      </c>
      <c r="D451" t="s">
        <v>707</v>
      </c>
      <c r="E451" t="s">
        <v>14</v>
      </c>
      <c r="F451" t="s">
        <v>29</v>
      </c>
      <c r="G451" t="s">
        <v>16</v>
      </c>
      <c r="H451" t="s">
        <v>5920</v>
      </c>
      <c r="I451" s="2">
        <v>422.32799999999997</v>
      </c>
      <c r="J451">
        <v>3</v>
      </c>
      <c r="K451" s="2">
        <v>-26.755800000000001</v>
      </c>
      <c r="L451" s="3">
        <f>(Table1[[#This Row],[Profit]]/Table1[[#This Row],[Sales]])*100</f>
        <v>-6.3353128374154686</v>
      </c>
    </row>
    <row r="452" spans="1:12" x14ac:dyDescent="0.3">
      <c r="A452" t="s">
        <v>3200</v>
      </c>
      <c r="B452" s="1">
        <v>43766</v>
      </c>
      <c r="C452" t="s">
        <v>3064</v>
      </c>
      <c r="D452" t="s">
        <v>3065</v>
      </c>
      <c r="E452" t="s">
        <v>14</v>
      </c>
      <c r="F452" t="s">
        <v>41</v>
      </c>
      <c r="G452" t="s">
        <v>24</v>
      </c>
      <c r="H452" t="s">
        <v>3201</v>
      </c>
      <c r="I452" s="2">
        <v>38.19</v>
      </c>
      <c r="J452">
        <v>5</v>
      </c>
      <c r="K452" s="2">
        <v>-26.733000000000001</v>
      </c>
      <c r="L452" s="3">
        <f>(Table1[[#This Row],[Profit]]/Table1[[#This Row],[Sales]])*100</f>
        <v>-70</v>
      </c>
    </row>
    <row r="453" spans="1:12" x14ac:dyDescent="0.3">
      <c r="A453" t="s">
        <v>406</v>
      </c>
      <c r="B453" s="1">
        <v>43517</v>
      </c>
      <c r="C453" t="s">
        <v>407</v>
      </c>
      <c r="D453" t="s">
        <v>408</v>
      </c>
      <c r="E453" t="s">
        <v>14</v>
      </c>
      <c r="F453" t="s">
        <v>41</v>
      </c>
      <c r="G453" t="s">
        <v>24</v>
      </c>
      <c r="H453" t="s">
        <v>47</v>
      </c>
      <c r="I453" s="2">
        <v>34.86</v>
      </c>
      <c r="J453">
        <v>2</v>
      </c>
      <c r="K453" s="2">
        <v>-26.725999999999999</v>
      </c>
      <c r="L453" s="3">
        <f>(Table1[[#This Row],[Profit]]/Table1[[#This Row],[Sales]])*100</f>
        <v>-76.666666666666657</v>
      </c>
    </row>
    <row r="454" spans="1:12" x14ac:dyDescent="0.3">
      <c r="A454" t="s">
        <v>2868</v>
      </c>
      <c r="B454" s="1">
        <v>43731</v>
      </c>
      <c r="C454" t="s">
        <v>2869</v>
      </c>
      <c r="D454" t="s">
        <v>2870</v>
      </c>
      <c r="E454" t="s">
        <v>14</v>
      </c>
      <c r="F454" t="s">
        <v>15</v>
      </c>
      <c r="G454" t="s">
        <v>16</v>
      </c>
      <c r="H454" t="s">
        <v>1787</v>
      </c>
      <c r="I454" s="2">
        <v>532.70399999999995</v>
      </c>
      <c r="J454">
        <v>6</v>
      </c>
      <c r="K454" s="2">
        <v>-26.635200000000001</v>
      </c>
      <c r="L454" s="3">
        <f>(Table1[[#This Row],[Profit]]/Table1[[#This Row],[Sales]])*100</f>
        <v>-5.0000000000000009</v>
      </c>
    </row>
    <row r="455" spans="1:12" x14ac:dyDescent="0.3">
      <c r="A455" t="s">
        <v>3972</v>
      </c>
      <c r="B455" s="1">
        <v>43831</v>
      </c>
      <c r="C455" t="s">
        <v>800</v>
      </c>
      <c r="D455" t="s">
        <v>801</v>
      </c>
      <c r="E455" t="s">
        <v>14</v>
      </c>
      <c r="F455" t="s">
        <v>29</v>
      </c>
      <c r="G455" t="s">
        <v>16</v>
      </c>
      <c r="H455" t="s">
        <v>2887</v>
      </c>
      <c r="I455" s="2">
        <v>322.74400000000003</v>
      </c>
      <c r="J455">
        <v>4</v>
      </c>
      <c r="K455" s="2">
        <v>-26.635200000000001</v>
      </c>
      <c r="L455" s="3">
        <f>(Table1[[#This Row],[Profit]]/Table1[[#This Row],[Sales]])*100</f>
        <v>-8.2527328161019256</v>
      </c>
    </row>
    <row r="456" spans="1:12" x14ac:dyDescent="0.3">
      <c r="A456" t="s">
        <v>1752</v>
      </c>
      <c r="B456" s="1">
        <v>43630</v>
      </c>
      <c r="C456" t="s">
        <v>687</v>
      </c>
      <c r="D456" t="s">
        <v>688</v>
      </c>
      <c r="E456" t="s">
        <v>14</v>
      </c>
      <c r="F456" t="s">
        <v>41</v>
      </c>
      <c r="G456" t="s">
        <v>24</v>
      </c>
      <c r="H456" t="s">
        <v>1753</v>
      </c>
      <c r="I456" s="2">
        <v>39.936</v>
      </c>
      <c r="J456">
        <v>4</v>
      </c>
      <c r="K456" s="2">
        <v>-26.623999999999999</v>
      </c>
      <c r="L456" s="3">
        <f>(Table1[[#This Row],[Profit]]/Table1[[#This Row],[Sales]])*100</f>
        <v>-66.666666666666657</v>
      </c>
    </row>
    <row r="457" spans="1:12" x14ac:dyDescent="0.3">
      <c r="A457" t="s">
        <v>5558</v>
      </c>
      <c r="B457" s="1">
        <v>44106</v>
      </c>
      <c r="C457" t="s">
        <v>108</v>
      </c>
      <c r="D457" t="s">
        <v>109</v>
      </c>
      <c r="E457" t="s">
        <v>14</v>
      </c>
      <c r="F457" t="s">
        <v>41</v>
      </c>
      <c r="G457" t="s">
        <v>24</v>
      </c>
      <c r="H457" t="s">
        <v>3966</v>
      </c>
      <c r="I457" s="2">
        <v>132.23599999999999</v>
      </c>
      <c r="J457">
        <v>4</v>
      </c>
      <c r="K457" s="2">
        <v>-26.247599999999998</v>
      </c>
      <c r="L457" s="3">
        <f>(Table1[[#This Row],[Profit]]/Table1[[#This Row],[Sales]])*100</f>
        <v>-19.849057745243353</v>
      </c>
    </row>
    <row r="458" spans="1:12" x14ac:dyDescent="0.3">
      <c r="A458" t="s">
        <v>3062</v>
      </c>
      <c r="B458" s="1">
        <v>43748</v>
      </c>
      <c r="C458" t="s">
        <v>118</v>
      </c>
      <c r="D458" t="s">
        <v>119</v>
      </c>
      <c r="E458" t="s">
        <v>14</v>
      </c>
      <c r="F458" t="s">
        <v>29</v>
      </c>
      <c r="G458" t="s">
        <v>24</v>
      </c>
      <c r="H458" t="s">
        <v>2610</v>
      </c>
      <c r="I458" s="2">
        <v>16.391999999999999</v>
      </c>
      <c r="J458">
        <v>2</v>
      </c>
      <c r="K458" s="2">
        <v>-26.2272</v>
      </c>
      <c r="L458" s="3">
        <f>(Table1[[#This Row],[Profit]]/Table1[[#This Row],[Sales]])*100</f>
        <v>-160</v>
      </c>
    </row>
    <row r="459" spans="1:12" x14ac:dyDescent="0.3">
      <c r="A459" t="s">
        <v>2978</v>
      </c>
      <c r="B459" s="1">
        <v>43738</v>
      </c>
      <c r="C459" t="s">
        <v>1668</v>
      </c>
      <c r="D459" t="s">
        <v>1669</v>
      </c>
      <c r="E459" t="s">
        <v>14</v>
      </c>
      <c r="F459" t="s">
        <v>15</v>
      </c>
      <c r="G459" t="s">
        <v>16</v>
      </c>
      <c r="H459" t="s">
        <v>2979</v>
      </c>
      <c r="I459" s="2">
        <v>523.91999999999996</v>
      </c>
      <c r="J459">
        <v>5</v>
      </c>
      <c r="K459" s="2">
        <v>-26.196000000000002</v>
      </c>
      <c r="L459" s="3">
        <f>(Table1[[#This Row],[Profit]]/Table1[[#This Row],[Sales]])*100</f>
        <v>-5.0000000000000009</v>
      </c>
    </row>
    <row r="460" spans="1:12" x14ac:dyDescent="0.3">
      <c r="A460" t="s">
        <v>1860</v>
      </c>
      <c r="B460" s="1">
        <v>43641</v>
      </c>
      <c r="C460" t="s">
        <v>914</v>
      </c>
      <c r="D460" t="s">
        <v>915</v>
      </c>
      <c r="E460" t="s">
        <v>14</v>
      </c>
      <c r="F460" t="s">
        <v>29</v>
      </c>
      <c r="G460" t="s">
        <v>16</v>
      </c>
      <c r="H460" t="s">
        <v>1862</v>
      </c>
      <c r="I460" s="2">
        <v>32.712000000000003</v>
      </c>
      <c r="J460">
        <v>2</v>
      </c>
      <c r="K460" s="2">
        <v>-26.169599999999999</v>
      </c>
      <c r="L460" s="3">
        <f>(Table1[[#This Row],[Profit]]/Table1[[#This Row],[Sales]])*100</f>
        <v>-80</v>
      </c>
    </row>
    <row r="461" spans="1:12" x14ac:dyDescent="0.3">
      <c r="A461" t="s">
        <v>4105</v>
      </c>
      <c r="B461" s="1">
        <v>43864</v>
      </c>
      <c r="C461" t="s">
        <v>341</v>
      </c>
      <c r="D461" t="s">
        <v>342</v>
      </c>
      <c r="E461" t="s">
        <v>14</v>
      </c>
      <c r="F461" t="s">
        <v>29</v>
      </c>
      <c r="G461" t="s">
        <v>16</v>
      </c>
      <c r="H461" t="s">
        <v>4107</v>
      </c>
      <c r="I461" s="2">
        <v>1248.2</v>
      </c>
      <c r="J461">
        <v>1</v>
      </c>
      <c r="K461" s="2">
        <v>-26.085000000000001</v>
      </c>
      <c r="L461" s="3">
        <f>(Table1[[#This Row],[Profit]]/Table1[[#This Row],[Sales]])*100</f>
        <v>-2.0898093254286172</v>
      </c>
    </row>
    <row r="462" spans="1:12" x14ac:dyDescent="0.3">
      <c r="A462" t="s">
        <v>5061</v>
      </c>
      <c r="B462" s="1">
        <v>44037</v>
      </c>
      <c r="C462" t="s">
        <v>2341</v>
      </c>
      <c r="D462" t="s">
        <v>2342</v>
      </c>
      <c r="E462" t="s">
        <v>14</v>
      </c>
      <c r="F462" t="s">
        <v>15</v>
      </c>
      <c r="G462" t="s">
        <v>24</v>
      </c>
      <c r="H462" t="s">
        <v>986</v>
      </c>
      <c r="I462" s="2">
        <v>299.92</v>
      </c>
      <c r="J462">
        <v>5</v>
      </c>
      <c r="K462" s="2">
        <v>-25.992000000000001</v>
      </c>
      <c r="L462" s="3">
        <f>(Table1[[#This Row],[Profit]]/Table1[[#This Row],[Sales]])*100</f>
        <v>-8.6663110162710062</v>
      </c>
    </row>
    <row r="463" spans="1:12" x14ac:dyDescent="0.3">
      <c r="A463" t="s">
        <v>5794</v>
      </c>
      <c r="B463" s="1">
        <v>44140</v>
      </c>
      <c r="C463" t="s">
        <v>3838</v>
      </c>
      <c r="D463" t="s">
        <v>3839</v>
      </c>
      <c r="E463" t="s">
        <v>14</v>
      </c>
      <c r="F463" t="s">
        <v>29</v>
      </c>
      <c r="G463" t="s">
        <v>24</v>
      </c>
      <c r="H463" t="s">
        <v>3488</v>
      </c>
      <c r="I463" s="2">
        <v>106.03</v>
      </c>
      <c r="J463">
        <v>5</v>
      </c>
      <c r="K463" s="2">
        <v>-25.648</v>
      </c>
      <c r="L463" s="3">
        <f>(Table1[[#This Row],[Profit]]/Table1[[#This Row],[Sales]])*100</f>
        <v>-24.18938036404791</v>
      </c>
    </row>
    <row r="464" spans="1:12" x14ac:dyDescent="0.3">
      <c r="A464" t="s">
        <v>5834</v>
      </c>
      <c r="B464" s="1">
        <v>44145</v>
      </c>
      <c r="C464" t="s">
        <v>5835</v>
      </c>
      <c r="D464" t="s">
        <v>5836</v>
      </c>
      <c r="E464" t="s">
        <v>14</v>
      </c>
      <c r="F464" t="s">
        <v>23</v>
      </c>
      <c r="G464" t="s">
        <v>24</v>
      </c>
      <c r="H464" t="s">
        <v>650</v>
      </c>
      <c r="I464" s="2">
        <v>141.38800000000001</v>
      </c>
      <c r="J464">
        <v>14</v>
      </c>
      <c r="K464" s="2">
        <v>-25.591999999999999</v>
      </c>
      <c r="L464" s="3">
        <f>(Table1[[#This Row],[Profit]]/Table1[[#This Row],[Sales]])*100</f>
        <v>-18.100546015220527</v>
      </c>
    </row>
    <row r="465" spans="1:12" x14ac:dyDescent="0.3">
      <c r="A465" t="s">
        <v>5936</v>
      </c>
      <c r="B465" s="1">
        <v>44153</v>
      </c>
      <c r="C465" t="s">
        <v>4441</v>
      </c>
      <c r="D465" t="s">
        <v>4442</v>
      </c>
      <c r="E465" t="s">
        <v>14</v>
      </c>
      <c r="F465" t="s">
        <v>29</v>
      </c>
      <c r="G465" t="s">
        <v>16</v>
      </c>
      <c r="H465" t="s">
        <v>1595</v>
      </c>
      <c r="I465" s="2">
        <v>177.386</v>
      </c>
      <c r="J465">
        <v>2</v>
      </c>
      <c r="K465" s="2">
        <v>-25.4772</v>
      </c>
      <c r="L465" s="3">
        <f>(Table1[[#This Row],[Profit]]/Table1[[#This Row],[Sales]])*100</f>
        <v>-14.362576528023633</v>
      </c>
    </row>
    <row r="466" spans="1:12" x14ac:dyDescent="0.3">
      <c r="A466" t="s">
        <v>4826</v>
      </c>
      <c r="B466" s="1">
        <v>43995</v>
      </c>
      <c r="C466" t="s">
        <v>616</v>
      </c>
      <c r="D466" t="s">
        <v>617</v>
      </c>
      <c r="E466" t="s">
        <v>14</v>
      </c>
      <c r="F466" t="s">
        <v>23</v>
      </c>
      <c r="G466" t="s">
        <v>16</v>
      </c>
      <c r="H466" t="s">
        <v>3383</v>
      </c>
      <c r="I466" s="2">
        <v>323.13600000000002</v>
      </c>
      <c r="J466">
        <v>4</v>
      </c>
      <c r="K466" s="2">
        <v>-25.474399999999999</v>
      </c>
      <c r="L466" s="3">
        <f>(Table1[[#This Row],[Profit]]/Table1[[#This Row],[Sales]])*100</f>
        <v>-7.8834917805506031</v>
      </c>
    </row>
    <row r="467" spans="1:12" x14ac:dyDescent="0.3">
      <c r="A467" t="s">
        <v>533</v>
      </c>
      <c r="B467" s="1">
        <v>43532</v>
      </c>
      <c r="C467" t="s">
        <v>534</v>
      </c>
      <c r="D467" t="s">
        <v>535</v>
      </c>
      <c r="E467" t="s">
        <v>14</v>
      </c>
      <c r="F467" t="s">
        <v>15</v>
      </c>
      <c r="G467" t="s">
        <v>18</v>
      </c>
      <c r="H467" t="s">
        <v>32</v>
      </c>
      <c r="I467" s="2">
        <v>108.57599999999999</v>
      </c>
      <c r="J467">
        <v>4</v>
      </c>
      <c r="K467" s="2">
        <v>-25.334399999999999</v>
      </c>
      <c r="L467" s="3">
        <f>(Table1[[#This Row],[Profit]]/Table1[[#This Row],[Sales]])*100</f>
        <v>-23.333333333333332</v>
      </c>
    </row>
    <row r="468" spans="1:12" x14ac:dyDescent="0.3">
      <c r="A468" t="s">
        <v>5964</v>
      </c>
      <c r="B468" s="1">
        <v>44155</v>
      </c>
      <c r="C468" t="s">
        <v>3945</v>
      </c>
      <c r="D468" t="s">
        <v>3946</v>
      </c>
      <c r="E468" t="s">
        <v>14</v>
      </c>
      <c r="F468" t="s">
        <v>15</v>
      </c>
      <c r="G468" t="s">
        <v>16</v>
      </c>
      <c r="H468" t="s">
        <v>2487</v>
      </c>
      <c r="I468" s="2">
        <v>226.96799999999999</v>
      </c>
      <c r="J468">
        <v>2</v>
      </c>
      <c r="K468" s="2">
        <v>-25.2956</v>
      </c>
      <c r="L468" s="3">
        <f>(Table1[[#This Row],[Profit]]/Table1[[#This Row],[Sales]])*100</f>
        <v>-11.145007225688204</v>
      </c>
    </row>
    <row r="469" spans="1:12" x14ac:dyDescent="0.3">
      <c r="A469" t="s">
        <v>6070</v>
      </c>
      <c r="B469" s="1">
        <v>44167</v>
      </c>
      <c r="C469" t="s">
        <v>899</v>
      </c>
      <c r="D469" t="s">
        <v>900</v>
      </c>
      <c r="E469" t="s">
        <v>14</v>
      </c>
      <c r="F469" t="s">
        <v>15</v>
      </c>
      <c r="G469" t="s">
        <v>18</v>
      </c>
      <c r="H469" t="s">
        <v>6071</v>
      </c>
      <c r="I469" s="2">
        <v>199.18799999999999</v>
      </c>
      <c r="J469">
        <v>2</v>
      </c>
      <c r="K469" s="2">
        <v>-25.198</v>
      </c>
      <c r="L469" s="3">
        <f>(Table1[[#This Row],[Profit]]/Table1[[#This Row],[Sales]])*100</f>
        <v>-12.650360463481736</v>
      </c>
    </row>
    <row r="470" spans="1:12" x14ac:dyDescent="0.3">
      <c r="A470" t="s">
        <v>5123</v>
      </c>
      <c r="B470" s="1">
        <v>44050</v>
      </c>
      <c r="C470" t="s">
        <v>1631</v>
      </c>
      <c r="D470" t="s">
        <v>1632</v>
      </c>
      <c r="E470" t="s">
        <v>14</v>
      </c>
      <c r="F470" t="s">
        <v>29</v>
      </c>
      <c r="G470" t="s">
        <v>24</v>
      </c>
      <c r="H470" t="s">
        <v>2788</v>
      </c>
      <c r="I470" s="2">
        <v>164.16</v>
      </c>
      <c r="J470">
        <v>2</v>
      </c>
      <c r="K470" s="2">
        <v>-25.109000000000002</v>
      </c>
      <c r="L470" s="3">
        <f>(Table1[[#This Row],[Profit]]/Table1[[#This Row],[Sales]])*100</f>
        <v>-15.295443469785578</v>
      </c>
    </row>
    <row r="471" spans="1:12" x14ac:dyDescent="0.3">
      <c r="A471" t="s">
        <v>3868</v>
      </c>
      <c r="B471" s="1">
        <v>43821</v>
      </c>
      <c r="C471" t="s">
        <v>3869</v>
      </c>
      <c r="D471" t="s">
        <v>3870</v>
      </c>
      <c r="E471" t="s">
        <v>14</v>
      </c>
      <c r="F471" t="s">
        <v>23</v>
      </c>
      <c r="G471" t="s">
        <v>24</v>
      </c>
      <c r="H471" t="s">
        <v>2188</v>
      </c>
      <c r="I471" s="2">
        <v>31.32</v>
      </c>
      <c r="J471">
        <v>10</v>
      </c>
      <c r="K471" s="2">
        <v>-25.056000000000001</v>
      </c>
      <c r="L471" s="3">
        <f>(Table1[[#This Row],[Profit]]/Table1[[#This Row],[Sales]])*100</f>
        <v>-80</v>
      </c>
    </row>
    <row r="472" spans="1:12" x14ac:dyDescent="0.3">
      <c r="A472" t="s">
        <v>2936</v>
      </c>
      <c r="B472" s="1">
        <v>43734</v>
      </c>
      <c r="C472" t="s">
        <v>2937</v>
      </c>
      <c r="D472" t="s">
        <v>2938</v>
      </c>
      <c r="E472" t="s">
        <v>14</v>
      </c>
      <c r="F472" t="s">
        <v>29</v>
      </c>
      <c r="G472" t="s">
        <v>24</v>
      </c>
      <c r="H472" t="s">
        <v>2939</v>
      </c>
      <c r="I472" s="2">
        <v>15.624000000000001</v>
      </c>
      <c r="J472">
        <v>2</v>
      </c>
      <c r="K472" s="2">
        <v>-24.9984</v>
      </c>
      <c r="L472" s="3">
        <f>(Table1[[#This Row],[Profit]]/Table1[[#This Row],[Sales]])*100</f>
        <v>-160</v>
      </c>
    </row>
    <row r="473" spans="1:12" x14ac:dyDescent="0.3">
      <c r="A473" t="s">
        <v>3053</v>
      </c>
      <c r="B473" s="1">
        <v>43747</v>
      </c>
      <c r="C473" t="s">
        <v>664</v>
      </c>
      <c r="D473" t="s">
        <v>665</v>
      </c>
      <c r="E473" t="s">
        <v>14</v>
      </c>
      <c r="F473" t="s">
        <v>15</v>
      </c>
      <c r="G473" t="s">
        <v>16</v>
      </c>
      <c r="H473" t="s">
        <v>2346</v>
      </c>
      <c r="I473" s="2">
        <v>332.83199999999999</v>
      </c>
      <c r="J473">
        <v>4</v>
      </c>
      <c r="K473" s="2">
        <v>-24.962399999999999</v>
      </c>
      <c r="L473" s="3">
        <f>(Table1[[#This Row],[Profit]]/Table1[[#This Row],[Sales]])*100</f>
        <v>-7.5</v>
      </c>
    </row>
    <row r="474" spans="1:12" x14ac:dyDescent="0.3">
      <c r="A474" t="s">
        <v>2601</v>
      </c>
      <c r="B474" s="1">
        <v>43713</v>
      </c>
      <c r="C474" t="s">
        <v>1756</v>
      </c>
      <c r="D474" t="s">
        <v>1757</v>
      </c>
      <c r="E474" t="s">
        <v>14</v>
      </c>
      <c r="F474" t="s">
        <v>29</v>
      </c>
      <c r="G474" t="s">
        <v>16</v>
      </c>
      <c r="H474" t="s">
        <v>561</v>
      </c>
      <c r="I474" s="2">
        <v>347.80200000000002</v>
      </c>
      <c r="J474">
        <v>7</v>
      </c>
      <c r="K474" s="2">
        <v>-24.843</v>
      </c>
      <c r="L474" s="3">
        <f>(Table1[[#This Row],[Profit]]/Table1[[#This Row],[Sales]])*100</f>
        <v>-7.1428571428571423</v>
      </c>
    </row>
    <row r="475" spans="1:12" x14ac:dyDescent="0.3">
      <c r="A475" t="s">
        <v>3622</v>
      </c>
      <c r="B475" s="1">
        <v>43797</v>
      </c>
      <c r="C475" t="s">
        <v>784</v>
      </c>
      <c r="D475" t="s">
        <v>785</v>
      </c>
      <c r="E475" t="s">
        <v>14</v>
      </c>
      <c r="F475" t="s">
        <v>15</v>
      </c>
      <c r="G475" t="s">
        <v>16</v>
      </c>
      <c r="H475" t="s">
        <v>561</v>
      </c>
      <c r="I475" s="2">
        <v>347.80200000000002</v>
      </c>
      <c r="J475">
        <v>7</v>
      </c>
      <c r="K475" s="2">
        <v>-24.843</v>
      </c>
      <c r="L475" s="3">
        <f>(Table1[[#This Row],[Profit]]/Table1[[#This Row],[Sales]])*100</f>
        <v>-7.1428571428571423</v>
      </c>
    </row>
    <row r="476" spans="1:12" x14ac:dyDescent="0.3">
      <c r="A476" t="s">
        <v>6006</v>
      </c>
      <c r="B476" s="1">
        <v>44159</v>
      </c>
      <c r="C476" t="s">
        <v>466</v>
      </c>
      <c r="D476" t="s">
        <v>467</v>
      </c>
      <c r="E476" t="s">
        <v>14</v>
      </c>
      <c r="F476" t="s">
        <v>29</v>
      </c>
      <c r="G476" t="s">
        <v>24</v>
      </c>
      <c r="H476" t="s">
        <v>1916</v>
      </c>
      <c r="I476" s="2">
        <v>118.762</v>
      </c>
      <c r="J476">
        <v>1</v>
      </c>
      <c r="K476" s="2">
        <v>-24.771599999999999</v>
      </c>
      <c r="L476" s="3">
        <f>(Table1[[#This Row],[Profit]]/Table1[[#This Row],[Sales]])*100</f>
        <v>-20.858186962159614</v>
      </c>
    </row>
    <row r="477" spans="1:12" x14ac:dyDescent="0.3">
      <c r="A477" t="s">
        <v>5890</v>
      </c>
      <c r="B477" s="1">
        <v>44148</v>
      </c>
      <c r="C477" t="s">
        <v>795</v>
      </c>
      <c r="D477" t="s">
        <v>796</v>
      </c>
      <c r="E477" t="s">
        <v>14</v>
      </c>
      <c r="F477" t="s">
        <v>29</v>
      </c>
      <c r="G477" t="s">
        <v>24</v>
      </c>
      <c r="H477" t="s">
        <v>4631</v>
      </c>
      <c r="I477" s="2">
        <v>113.324</v>
      </c>
      <c r="J477">
        <v>6</v>
      </c>
      <c r="K477" s="2">
        <v>-24.708600000000001</v>
      </c>
      <c r="L477" s="3">
        <f>(Table1[[#This Row],[Profit]]/Table1[[#This Row],[Sales]])*100</f>
        <v>-21.803501464826518</v>
      </c>
    </row>
    <row r="478" spans="1:12" x14ac:dyDescent="0.3">
      <c r="A478" t="s">
        <v>68</v>
      </c>
      <c r="B478" s="1">
        <v>43473</v>
      </c>
      <c r="C478" t="s">
        <v>69</v>
      </c>
      <c r="D478" t="s">
        <v>70</v>
      </c>
      <c r="E478" t="s">
        <v>14</v>
      </c>
      <c r="F478" t="s">
        <v>41</v>
      </c>
      <c r="G478" t="s">
        <v>24</v>
      </c>
      <c r="H478" t="s">
        <v>71</v>
      </c>
      <c r="I478" s="2">
        <v>30.827999999999999</v>
      </c>
      <c r="J478">
        <v>7</v>
      </c>
      <c r="K478" s="2">
        <v>-24.662400000000002</v>
      </c>
      <c r="L478" s="3">
        <f>(Table1[[#This Row],[Profit]]/Table1[[#This Row],[Sales]])*100</f>
        <v>-80</v>
      </c>
    </row>
    <row r="479" spans="1:12" x14ac:dyDescent="0.3">
      <c r="A479" t="s">
        <v>3597</v>
      </c>
      <c r="B479" s="1">
        <v>43796</v>
      </c>
      <c r="C479" t="s">
        <v>2363</v>
      </c>
      <c r="D479" t="s">
        <v>2364</v>
      </c>
      <c r="E479" t="s">
        <v>14</v>
      </c>
      <c r="F479" t="s">
        <v>29</v>
      </c>
      <c r="G479" t="s">
        <v>24</v>
      </c>
      <c r="H479" t="s">
        <v>202</v>
      </c>
      <c r="I479" s="2">
        <v>97.983999999999995</v>
      </c>
      <c r="J479">
        <v>2</v>
      </c>
      <c r="K479" s="2">
        <v>-24.495999999999999</v>
      </c>
      <c r="L479" s="3">
        <f>(Table1[[#This Row],[Profit]]/Table1[[#This Row],[Sales]])*100</f>
        <v>-25</v>
      </c>
    </row>
    <row r="480" spans="1:12" x14ac:dyDescent="0.3">
      <c r="A480" t="s">
        <v>1479</v>
      </c>
      <c r="B480" s="1">
        <v>43608</v>
      </c>
      <c r="C480" t="s">
        <v>1480</v>
      </c>
      <c r="D480" t="s">
        <v>1481</v>
      </c>
      <c r="E480" t="s">
        <v>14</v>
      </c>
      <c r="F480" t="s">
        <v>15</v>
      </c>
      <c r="G480" t="s">
        <v>18</v>
      </c>
      <c r="H480" t="s">
        <v>73</v>
      </c>
      <c r="I480" s="2">
        <v>122.38200000000001</v>
      </c>
      <c r="J480">
        <v>3</v>
      </c>
      <c r="K480" s="2">
        <v>-24.476400000000002</v>
      </c>
      <c r="L480" s="3">
        <f>(Table1[[#This Row],[Profit]]/Table1[[#This Row],[Sales]])*100</f>
        <v>-20</v>
      </c>
    </row>
    <row r="481" spans="1:12" x14ac:dyDescent="0.3">
      <c r="A481" t="s">
        <v>4493</v>
      </c>
      <c r="B481" s="1">
        <v>43941</v>
      </c>
      <c r="C481" t="s">
        <v>1267</v>
      </c>
      <c r="D481" t="s">
        <v>1268</v>
      </c>
      <c r="E481" t="s">
        <v>14</v>
      </c>
      <c r="F481" t="s">
        <v>15</v>
      </c>
      <c r="G481" t="s">
        <v>18</v>
      </c>
      <c r="H481" t="s">
        <v>73</v>
      </c>
      <c r="I481" s="2">
        <v>152.38200000000001</v>
      </c>
      <c r="J481">
        <v>3</v>
      </c>
      <c r="K481" s="2">
        <v>-24.476400000000002</v>
      </c>
      <c r="L481" s="3">
        <f>(Table1[[#This Row],[Profit]]/Table1[[#This Row],[Sales]])*100</f>
        <v>-16.062527070126393</v>
      </c>
    </row>
    <row r="482" spans="1:12" x14ac:dyDescent="0.3">
      <c r="A482" t="s">
        <v>6069</v>
      </c>
      <c r="B482" s="1">
        <v>44167</v>
      </c>
      <c r="C482" t="s">
        <v>4254</v>
      </c>
      <c r="D482" t="s">
        <v>4255</v>
      </c>
      <c r="E482" t="s">
        <v>14</v>
      </c>
      <c r="F482" t="s">
        <v>23</v>
      </c>
      <c r="G482" t="s">
        <v>24</v>
      </c>
      <c r="H482" t="s">
        <v>984</v>
      </c>
      <c r="I482" s="2">
        <v>113.624</v>
      </c>
      <c r="J482">
        <v>8</v>
      </c>
      <c r="K482" s="2">
        <v>-24.416</v>
      </c>
      <c r="L482" s="3">
        <f>(Table1[[#This Row],[Profit]]/Table1[[#This Row],[Sales]])*100</f>
        <v>-21.488417939871859</v>
      </c>
    </row>
    <row r="483" spans="1:12" x14ac:dyDescent="0.3">
      <c r="A483" t="s">
        <v>6010</v>
      </c>
      <c r="B483" s="1">
        <v>44160</v>
      </c>
      <c r="C483" t="s">
        <v>702</v>
      </c>
      <c r="D483" t="s">
        <v>703</v>
      </c>
      <c r="E483" t="s">
        <v>14</v>
      </c>
      <c r="F483" t="s">
        <v>29</v>
      </c>
      <c r="G483" t="s">
        <v>16</v>
      </c>
      <c r="H483" t="s">
        <v>1945</v>
      </c>
      <c r="I483" s="2">
        <v>899.93</v>
      </c>
      <c r="J483">
        <v>5</v>
      </c>
      <c r="K483" s="2">
        <v>-24.398</v>
      </c>
      <c r="L483" s="3">
        <f>(Table1[[#This Row],[Profit]]/Table1[[#This Row],[Sales]])*100</f>
        <v>-2.7110997522029492</v>
      </c>
    </row>
    <row r="484" spans="1:12" x14ac:dyDescent="0.3">
      <c r="A484" t="s">
        <v>1534</v>
      </c>
      <c r="B484" s="1">
        <v>43613</v>
      </c>
      <c r="C484" t="s">
        <v>1535</v>
      </c>
      <c r="D484" t="s">
        <v>1536</v>
      </c>
      <c r="E484" t="s">
        <v>14</v>
      </c>
      <c r="F484" t="s">
        <v>41</v>
      </c>
      <c r="G484" t="s">
        <v>16</v>
      </c>
      <c r="H484" t="s">
        <v>1537</v>
      </c>
      <c r="I484" s="2">
        <v>390.27199999999999</v>
      </c>
      <c r="J484">
        <v>8</v>
      </c>
      <c r="K484" s="2">
        <v>-24.391999999999999</v>
      </c>
      <c r="L484" s="3">
        <f>(Table1[[#This Row],[Profit]]/Table1[[#This Row],[Sales]])*100</f>
        <v>-6.25</v>
      </c>
    </row>
    <row r="485" spans="1:12" x14ac:dyDescent="0.3">
      <c r="A485" t="s">
        <v>3513</v>
      </c>
      <c r="B485" s="1">
        <v>43790</v>
      </c>
      <c r="C485" t="s">
        <v>1631</v>
      </c>
      <c r="D485" t="s">
        <v>1632</v>
      </c>
      <c r="E485" t="s">
        <v>14</v>
      </c>
      <c r="F485" t="s">
        <v>15</v>
      </c>
      <c r="G485" t="s">
        <v>18</v>
      </c>
      <c r="H485" t="s">
        <v>3514</v>
      </c>
      <c r="I485" s="2">
        <v>30.344999999999999</v>
      </c>
      <c r="J485">
        <v>7</v>
      </c>
      <c r="K485" s="2">
        <v>-24.276</v>
      </c>
      <c r="L485" s="3">
        <f>(Table1[[#This Row],[Profit]]/Table1[[#This Row],[Sales]])*100</f>
        <v>-80</v>
      </c>
    </row>
    <row r="486" spans="1:12" x14ac:dyDescent="0.3">
      <c r="A486" t="s">
        <v>3906</v>
      </c>
      <c r="B486" s="1">
        <v>43824</v>
      </c>
      <c r="C486" t="s">
        <v>3907</v>
      </c>
      <c r="D486" t="s">
        <v>3908</v>
      </c>
      <c r="E486" t="s">
        <v>14</v>
      </c>
      <c r="F486" t="s">
        <v>23</v>
      </c>
      <c r="G486" t="s">
        <v>16</v>
      </c>
      <c r="H486" t="s">
        <v>1612</v>
      </c>
      <c r="I486" s="2">
        <v>35.445</v>
      </c>
      <c r="J486">
        <v>1</v>
      </c>
      <c r="K486" s="2">
        <v>-24.102599999999999</v>
      </c>
      <c r="L486" s="3">
        <f>(Table1[[#This Row],[Profit]]/Table1[[#This Row],[Sales]])*100</f>
        <v>-68</v>
      </c>
    </row>
    <row r="487" spans="1:12" x14ac:dyDescent="0.3">
      <c r="A487" t="s">
        <v>3014</v>
      </c>
      <c r="B487" s="1">
        <v>43742</v>
      </c>
      <c r="C487" t="s">
        <v>3015</v>
      </c>
      <c r="D487" t="s">
        <v>3016</v>
      </c>
      <c r="E487" t="s">
        <v>14</v>
      </c>
      <c r="F487" t="s">
        <v>15</v>
      </c>
      <c r="G487" t="s">
        <v>16</v>
      </c>
      <c r="H487" t="s">
        <v>1075</v>
      </c>
      <c r="I487" s="2">
        <v>239.37200000000001</v>
      </c>
      <c r="J487">
        <v>2</v>
      </c>
      <c r="K487" s="2">
        <v>-23.937200000000001</v>
      </c>
      <c r="L487" s="3">
        <f>(Table1[[#This Row],[Profit]]/Table1[[#This Row],[Sales]])*100</f>
        <v>-10</v>
      </c>
    </row>
    <row r="488" spans="1:12" x14ac:dyDescent="0.3">
      <c r="A488" t="s">
        <v>4881</v>
      </c>
      <c r="B488" s="1">
        <v>44004</v>
      </c>
      <c r="C488" t="s">
        <v>668</v>
      </c>
      <c r="D488" t="s">
        <v>669</v>
      </c>
      <c r="E488" t="s">
        <v>14</v>
      </c>
      <c r="F488" t="s">
        <v>15</v>
      </c>
      <c r="G488" t="s">
        <v>24</v>
      </c>
      <c r="H488" t="s">
        <v>3351</v>
      </c>
      <c r="I488" s="2">
        <v>150.155</v>
      </c>
      <c r="J488">
        <v>5</v>
      </c>
      <c r="K488" s="2">
        <v>-23.8855</v>
      </c>
      <c r="L488" s="3">
        <f>(Table1[[#This Row],[Profit]]/Table1[[#This Row],[Sales]])*100</f>
        <v>-15.907229196496953</v>
      </c>
    </row>
    <row r="489" spans="1:12" x14ac:dyDescent="0.3">
      <c r="A489" t="s">
        <v>4610</v>
      </c>
      <c r="B489" s="1">
        <v>43959</v>
      </c>
      <c r="C489" t="s">
        <v>2435</v>
      </c>
      <c r="D489" t="s">
        <v>2436</v>
      </c>
      <c r="E489" t="s">
        <v>14</v>
      </c>
      <c r="F489" t="s">
        <v>15</v>
      </c>
      <c r="G489" t="s">
        <v>16</v>
      </c>
      <c r="H489" t="s">
        <v>1913</v>
      </c>
      <c r="I489" s="2">
        <v>141.05799999999999</v>
      </c>
      <c r="J489">
        <v>3</v>
      </c>
      <c r="K489" s="2">
        <v>-23.7822</v>
      </c>
      <c r="L489" s="3">
        <f>(Table1[[#This Row],[Profit]]/Table1[[#This Row],[Sales]])*100</f>
        <v>-16.859873243630279</v>
      </c>
    </row>
    <row r="490" spans="1:12" x14ac:dyDescent="0.3">
      <c r="A490" t="s">
        <v>5967</v>
      </c>
      <c r="B490" s="1">
        <v>44155</v>
      </c>
      <c r="C490" t="s">
        <v>1691</v>
      </c>
      <c r="D490" t="s">
        <v>1692</v>
      </c>
      <c r="E490" t="s">
        <v>14</v>
      </c>
      <c r="F490" t="s">
        <v>41</v>
      </c>
      <c r="G490" t="s">
        <v>16</v>
      </c>
      <c r="H490" t="s">
        <v>4639</v>
      </c>
      <c r="I490" s="2">
        <v>244.56800000000001</v>
      </c>
      <c r="J490">
        <v>2</v>
      </c>
      <c r="K490" s="2">
        <v>-23.5764</v>
      </c>
      <c r="L490" s="3">
        <f>(Table1[[#This Row],[Profit]]/Table1[[#This Row],[Sales]])*100</f>
        <v>-9.6400183180138033</v>
      </c>
    </row>
    <row r="491" spans="1:12" x14ac:dyDescent="0.3">
      <c r="A491" t="s">
        <v>5623</v>
      </c>
      <c r="B491" s="1">
        <v>44118</v>
      </c>
      <c r="C491" t="s">
        <v>5624</v>
      </c>
      <c r="D491" t="s">
        <v>5625</v>
      </c>
      <c r="E491" t="s">
        <v>14</v>
      </c>
      <c r="F491" t="s">
        <v>29</v>
      </c>
      <c r="G491" t="s">
        <v>24</v>
      </c>
      <c r="H491" t="s">
        <v>927</v>
      </c>
      <c r="I491" s="2">
        <v>111.456</v>
      </c>
      <c r="J491">
        <v>1</v>
      </c>
      <c r="K491" s="2">
        <v>-23.547999999999998</v>
      </c>
      <c r="L491" s="3">
        <f>(Table1[[#This Row],[Profit]]/Table1[[#This Row],[Sales]])*100</f>
        <v>-21.127619867929941</v>
      </c>
    </row>
    <row r="492" spans="1:12" x14ac:dyDescent="0.3">
      <c r="A492" t="s">
        <v>1621</v>
      </c>
      <c r="B492" s="1">
        <v>43621</v>
      </c>
      <c r="C492" t="s">
        <v>1622</v>
      </c>
      <c r="D492" t="s">
        <v>1623</v>
      </c>
      <c r="E492" t="s">
        <v>14</v>
      </c>
      <c r="F492" t="s">
        <v>15</v>
      </c>
      <c r="G492" t="s">
        <v>24</v>
      </c>
      <c r="H492" t="s">
        <v>1624</v>
      </c>
      <c r="I492" s="2">
        <v>124.608</v>
      </c>
      <c r="J492">
        <v>4</v>
      </c>
      <c r="K492" s="2">
        <v>-23.364000000000001</v>
      </c>
      <c r="L492" s="3">
        <f>(Table1[[#This Row],[Profit]]/Table1[[#This Row],[Sales]])*100</f>
        <v>-18.75</v>
      </c>
    </row>
    <row r="493" spans="1:12" x14ac:dyDescent="0.3">
      <c r="A493" t="s">
        <v>5726</v>
      </c>
      <c r="B493" s="1">
        <v>44134</v>
      </c>
      <c r="C493" t="s">
        <v>5727</v>
      </c>
      <c r="D493" t="s">
        <v>5728</v>
      </c>
      <c r="E493" t="s">
        <v>14</v>
      </c>
      <c r="F493" t="s">
        <v>23</v>
      </c>
      <c r="G493" t="s">
        <v>16</v>
      </c>
      <c r="H493" t="s">
        <v>145</v>
      </c>
      <c r="I493" s="2">
        <v>624.27200000000005</v>
      </c>
      <c r="J493">
        <v>8</v>
      </c>
      <c r="K493" s="2">
        <v>-23.0352</v>
      </c>
      <c r="L493" s="3">
        <f>(Table1[[#This Row],[Profit]]/Table1[[#This Row],[Sales]])*100</f>
        <v>-3.6899300304995255</v>
      </c>
    </row>
    <row r="494" spans="1:12" x14ac:dyDescent="0.3">
      <c r="A494" t="s">
        <v>4392</v>
      </c>
      <c r="B494" s="1">
        <v>43921</v>
      </c>
      <c r="C494" t="s">
        <v>3683</v>
      </c>
      <c r="D494" t="s">
        <v>3684</v>
      </c>
      <c r="E494" t="s">
        <v>14</v>
      </c>
      <c r="F494" t="s">
        <v>29</v>
      </c>
      <c r="G494" t="s">
        <v>24</v>
      </c>
      <c r="H494" t="s">
        <v>4393</v>
      </c>
      <c r="I494" s="2">
        <v>95.468000000000004</v>
      </c>
      <c r="J494">
        <v>13</v>
      </c>
      <c r="K494" s="2">
        <v>-22.895600000000002</v>
      </c>
      <c r="L494" s="3">
        <f>(Table1[[#This Row],[Profit]]/Table1[[#This Row],[Sales]])*100</f>
        <v>-23.982486278124608</v>
      </c>
    </row>
    <row r="495" spans="1:12" x14ac:dyDescent="0.3">
      <c r="A495" t="s">
        <v>3562</v>
      </c>
      <c r="B495" s="1">
        <v>43793</v>
      </c>
      <c r="C495" t="s">
        <v>1149</v>
      </c>
      <c r="D495" t="s">
        <v>1150</v>
      </c>
      <c r="E495" t="s">
        <v>14</v>
      </c>
      <c r="F495" t="s">
        <v>15</v>
      </c>
      <c r="G495" t="s">
        <v>18</v>
      </c>
      <c r="H495" t="s">
        <v>670</v>
      </c>
      <c r="I495" s="2">
        <v>139.96</v>
      </c>
      <c r="J495">
        <v>5</v>
      </c>
      <c r="K495" s="2">
        <v>-22.743500000000001</v>
      </c>
      <c r="L495" s="3">
        <f>(Table1[[#This Row],[Profit]]/Table1[[#This Row],[Sales]])*100</f>
        <v>-16.25</v>
      </c>
    </row>
    <row r="496" spans="1:12" x14ac:dyDescent="0.3">
      <c r="A496" t="s">
        <v>3972</v>
      </c>
      <c r="B496" s="1">
        <v>43831</v>
      </c>
      <c r="C496" t="s">
        <v>800</v>
      </c>
      <c r="D496" t="s">
        <v>801</v>
      </c>
      <c r="E496" t="s">
        <v>14</v>
      </c>
      <c r="F496" t="s">
        <v>29</v>
      </c>
      <c r="G496" t="s">
        <v>24</v>
      </c>
      <c r="H496" t="s">
        <v>1453</v>
      </c>
      <c r="I496" s="2">
        <v>137.74799999999999</v>
      </c>
      <c r="J496">
        <v>14</v>
      </c>
      <c r="K496" s="2">
        <v>-22.684200000000001</v>
      </c>
      <c r="L496" s="3">
        <f>(Table1[[#This Row],[Profit]]/Table1[[#This Row],[Sales]])*100</f>
        <v>-16.467897900513982</v>
      </c>
    </row>
    <row r="497" spans="1:12" x14ac:dyDescent="0.3">
      <c r="A497" t="s">
        <v>985</v>
      </c>
      <c r="B497" s="1">
        <v>43567</v>
      </c>
      <c r="C497" t="s">
        <v>837</v>
      </c>
      <c r="D497" t="s">
        <v>838</v>
      </c>
      <c r="E497" t="s">
        <v>14</v>
      </c>
      <c r="F497" t="s">
        <v>41</v>
      </c>
      <c r="G497" t="s">
        <v>24</v>
      </c>
      <c r="H497" t="s">
        <v>826</v>
      </c>
      <c r="I497" s="2">
        <v>129.55199999999999</v>
      </c>
      <c r="J497">
        <v>3</v>
      </c>
      <c r="K497" s="2">
        <v>-22.671600000000002</v>
      </c>
      <c r="L497" s="3">
        <f>(Table1[[#This Row],[Profit]]/Table1[[#This Row],[Sales]])*100</f>
        <v>-17.5</v>
      </c>
    </row>
    <row r="498" spans="1:12" x14ac:dyDescent="0.3">
      <c r="A498" t="s">
        <v>5040</v>
      </c>
      <c r="B498" s="1">
        <v>44033</v>
      </c>
      <c r="C498" t="s">
        <v>946</v>
      </c>
      <c r="D498" t="s">
        <v>947</v>
      </c>
      <c r="E498" t="s">
        <v>14</v>
      </c>
      <c r="F498" t="s">
        <v>15</v>
      </c>
      <c r="G498" t="s">
        <v>24</v>
      </c>
      <c r="H498" t="s">
        <v>1219</v>
      </c>
      <c r="I498" s="2">
        <v>127.93</v>
      </c>
      <c r="J498">
        <v>3</v>
      </c>
      <c r="K498" s="2">
        <v>-22.62</v>
      </c>
      <c r="L498" s="3">
        <f>(Table1[[#This Row],[Profit]]/Table1[[#This Row],[Sales]])*100</f>
        <v>-17.681544594700227</v>
      </c>
    </row>
    <row r="499" spans="1:12" x14ac:dyDescent="0.3">
      <c r="A499" t="s">
        <v>5131</v>
      </c>
      <c r="B499" s="1">
        <v>44054</v>
      </c>
      <c r="C499" t="s">
        <v>3229</v>
      </c>
      <c r="D499" t="s">
        <v>3230</v>
      </c>
      <c r="E499" t="s">
        <v>14</v>
      </c>
      <c r="F499" t="s">
        <v>29</v>
      </c>
      <c r="G499" t="s">
        <v>24</v>
      </c>
      <c r="H499" t="s">
        <v>1996</v>
      </c>
      <c r="I499" s="2">
        <v>109.864</v>
      </c>
      <c r="J499">
        <v>8</v>
      </c>
      <c r="K499" s="2">
        <v>-22.512</v>
      </c>
      <c r="L499" s="3">
        <f>(Table1[[#This Row],[Profit]]/Table1[[#This Row],[Sales]])*100</f>
        <v>-20.490788611374061</v>
      </c>
    </row>
    <row r="500" spans="1:12" x14ac:dyDescent="0.3">
      <c r="A500" t="s">
        <v>5160</v>
      </c>
      <c r="B500" s="1">
        <v>44060</v>
      </c>
      <c r="C500" t="s">
        <v>3168</v>
      </c>
      <c r="D500" t="s">
        <v>3169</v>
      </c>
      <c r="E500" t="s">
        <v>14</v>
      </c>
      <c r="F500" t="s">
        <v>29</v>
      </c>
      <c r="G500" t="s">
        <v>16</v>
      </c>
      <c r="H500" t="s">
        <v>1524</v>
      </c>
      <c r="I500" s="2">
        <v>144.78399999999999</v>
      </c>
      <c r="J500">
        <v>2</v>
      </c>
      <c r="K500" s="2">
        <v>-22.238800000000001</v>
      </c>
      <c r="L500" s="3">
        <f>(Table1[[#This Row],[Profit]]/Table1[[#This Row],[Sales]])*100</f>
        <v>-15.359984528677204</v>
      </c>
    </row>
    <row r="501" spans="1:12" x14ac:dyDescent="0.3">
      <c r="A501" t="s">
        <v>6246</v>
      </c>
      <c r="B501" s="1">
        <v>44188</v>
      </c>
      <c r="C501" t="s">
        <v>282</v>
      </c>
      <c r="D501" t="s">
        <v>283</v>
      </c>
      <c r="E501" t="s">
        <v>14</v>
      </c>
      <c r="F501" t="s">
        <v>29</v>
      </c>
      <c r="G501" t="s">
        <v>24</v>
      </c>
      <c r="H501" t="s">
        <v>1366</v>
      </c>
      <c r="I501" s="2">
        <v>316.83999999999997</v>
      </c>
      <c r="J501">
        <v>4</v>
      </c>
      <c r="K501" s="2">
        <v>-22.143999999999998</v>
      </c>
      <c r="L501" s="3">
        <f>(Table1[[#This Row],[Profit]]/Table1[[#This Row],[Sales]])*100</f>
        <v>-6.9890165383158687</v>
      </c>
    </row>
    <row r="502" spans="1:12" x14ac:dyDescent="0.3">
      <c r="A502" t="s">
        <v>658</v>
      </c>
      <c r="B502" s="1">
        <v>43538</v>
      </c>
      <c r="C502" t="s">
        <v>659</v>
      </c>
      <c r="D502" t="s">
        <v>660</v>
      </c>
      <c r="E502" t="s">
        <v>14</v>
      </c>
      <c r="F502" t="s">
        <v>23</v>
      </c>
      <c r="G502" t="s">
        <v>16</v>
      </c>
      <c r="H502" t="s">
        <v>661</v>
      </c>
      <c r="I502" s="2">
        <v>196.78399999999999</v>
      </c>
      <c r="J502">
        <v>2</v>
      </c>
      <c r="K502" s="2">
        <v>-22.138200000000001</v>
      </c>
      <c r="L502" s="3">
        <f>(Table1[[#This Row],[Profit]]/Table1[[#This Row],[Sales]])*100</f>
        <v>-11.250000000000002</v>
      </c>
    </row>
    <row r="503" spans="1:12" x14ac:dyDescent="0.3">
      <c r="A503" t="s">
        <v>4178</v>
      </c>
      <c r="B503" s="1">
        <v>43886</v>
      </c>
      <c r="C503" t="s">
        <v>612</v>
      </c>
      <c r="D503" t="s">
        <v>613</v>
      </c>
      <c r="E503" t="s">
        <v>14</v>
      </c>
      <c r="F503" t="s">
        <v>41</v>
      </c>
      <c r="G503" t="s">
        <v>16</v>
      </c>
      <c r="H503" t="s">
        <v>661</v>
      </c>
      <c r="I503" s="2">
        <v>230.78399999999999</v>
      </c>
      <c r="J503">
        <v>2</v>
      </c>
      <c r="K503" s="2">
        <v>-22.138200000000001</v>
      </c>
      <c r="L503" s="3">
        <f>(Table1[[#This Row],[Profit]]/Table1[[#This Row],[Sales]])*100</f>
        <v>-9.5926060732113161</v>
      </c>
    </row>
    <row r="504" spans="1:12" x14ac:dyDescent="0.3">
      <c r="A504" t="s">
        <v>564</v>
      </c>
      <c r="B504" s="1">
        <v>43534</v>
      </c>
      <c r="C504" t="s">
        <v>565</v>
      </c>
      <c r="D504" t="s">
        <v>566</v>
      </c>
      <c r="E504" t="s">
        <v>14</v>
      </c>
      <c r="F504" t="s">
        <v>15</v>
      </c>
      <c r="G504" t="s">
        <v>16</v>
      </c>
      <c r="H504" t="s">
        <v>567</v>
      </c>
      <c r="I504" s="2">
        <v>176.78399999999999</v>
      </c>
      <c r="J504">
        <v>1</v>
      </c>
      <c r="K504" s="2">
        <v>-22.097999999999999</v>
      </c>
      <c r="L504" s="3">
        <f>(Table1[[#This Row],[Profit]]/Table1[[#This Row],[Sales]])*100</f>
        <v>-12.5</v>
      </c>
    </row>
    <row r="505" spans="1:12" x14ac:dyDescent="0.3">
      <c r="A505" t="s">
        <v>4283</v>
      </c>
      <c r="B505" s="1">
        <v>43907</v>
      </c>
      <c r="C505" t="s">
        <v>1713</v>
      </c>
      <c r="D505" t="s">
        <v>1714</v>
      </c>
      <c r="E505" t="s">
        <v>14</v>
      </c>
      <c r="F505" t="s">
        <v>29</v>
      </c>
      <c r="G505" t="s">
        <v>24</v>
      </c>
      <c r="H505" t="s">
        <v>2541</v>
      </c>
      <c r="I505" s="2">
        <v>119.776</v>
      </c>
      <c r="J505">
        <v>6</v>
      </c>
      <c r="K505" s="2">
        <v>-22.041599999999999</v>
      </c>
      <c r="L505" s="3">
        <f>(Table1[[#This Row],[Profit]]/Table1[[#This Row],[Sales]])*100</f>
        <v>-18.402351055303232</v>
      </c>
    </row>
    <row r="506" spans="1:12" x14ac:dyDescent="0.3">
      <c r="A506" t="s">
        <v>5558</v>
      </c>
      <c r="B506" s="1">
        <v>44106</v>
      </c>
      <c r="C506" t="s">
        <v>108</v>
      </c>
      <c r="D506" t="s">
        <v>109</v>
      </c>
      <c r="E506" t="s">
        <v>14</v>
      </c>
      <c r="F506" t="s">
        <v>41</v>
      </c>
      <c r="G506" t="s">
        <v>24</v>
      </c>
      <c r="H506" t="s">
        <v>2833</v>
      </c>
      <c r="I506" s="2">
        <v>121.36</v>
      </c>
      <c r="J506">
        <v>3</v>
      </c>
      <c r="K506" s="2">
        <v>-21.888000000000002</v>
      </c>
      <c r="L506" s="3">
        <f>(Table1[[#This Row],[Profit]]/Table1[[#This Row],[Sales]])*100</f>
        <v>-18.035596572181937</v>
      </c>
    </row>
    <row r="507" spans="1:12" x14ac:dyDescent="0.3">
      <c r="A507" t="s">
        <v>1812</v>
      </c>
      <c r="B507" s="1">
        <v>43636</v>
      </c>
      <c r="C507" t="s">
        <v>1813</v>
      </c>
      <c r="D507" t="s">
        <v>1814</v>
      </c>
      <c r="E507" t="s">
        <v>14</v>
      </c>
      <c r="F507" t="s">
        <v>15</v>
      </c>
      <c r="G507" t="s">
        <v>24</v>
      </c>
      <c r="H507" t="s">
        <v>979</v>
      </c>
      <c r="I507" s="2">
        <v>29.718</v>
      </c>
      <c r="J507">
        <v>6</v>
      </c>
      <c r="K507" s="2">
        <v>-21.793199999999999</v>
      </c>
      <c r="L507" s="3">
        <f>(Table1[[#This Row],[Profit]]/Table1[[#This Row],[Sales]])*100</f>
        <v>-73.333333333333329</v>
      </c>
    </row>
    <row r="508" spans="1:12" x14ac:dyDescent="0.3">
      <c r="A508" t="s">
        <v>3427</v>
      </c>
      <c r="B508" s="1">
        <v>43783</v>
      </c>
      <c r="C508" t="s">
        <v>2710</v>
      </c>
      <c r="D508" t="s">
        <v>2711</v>
      </c>
      <c r="E508" t="s">
        <v>14</v>
      </c>
      <c r="F508" t="s">
        <v>15</v>
      </c>
      <c r="G508" t="s">
        <v>16</v>
      </c>
      <c r="H508" t="s">
        <v>146</v>
      </c>
      <c r="I508" s="2">
        <v>380.05799999999999</v>
      </c>
      <c r="J508">
        <v>3</v>
      </c>
      <c r="K508" s="2">
        <v>-21.717600000000001</v>
      </c>
      <c r="L508" s="3">
        <f>(Table1[[#This Row],[Profit]]/Table1[[#This Row],[Sales]])*100</f>
        <v>-5.7142857142857144</v>
      </c>
    </row>
    <row r="509" spans="1:12" x14ac:dyDescent="0.3">
      <c r="A509" t="s">
        <v>2484</v>
      </c>
      <c r="B509" s="1">
        <v>43705</v>
      </c>
      <c r="C509" t="s">
        <v>2485</v>
      </c>
      <c r="D509" t="s">
        <v>2486</v>
      </c>
      <c r="E509" t="s">
        <v>14</v>
      </c>
      <c r="F509" t="s">
        <v>29</v>
      </c>
      <c r="G509" t="s">
        <v>24</v>
      </c>
      <c r="H509" t="s">
        <v>1083</v>
      </c>
      <c r="I509" s="2">
        <v>13.14</v>
      </c>
      <c r="J509">
        <v>9</v>
      </c>
      <c r="K509" s="2">
        <v>-21.681000000000001</v>
      </c>
      <c r="L509" s="3">
        <f>(Table1[[#This Row],[Profit]]/Table1[[#This Row],[Sales]])*100</f>
        <v>-165</v>
      </c>
    </row>
    <row r="510" spans="1:12" x14ac:dyDescent="0.3">
      <c r="A510" t="s">
        <v>1399</v>
      </c>
      <c r="B510" s="1">
        <v>43602</v>
      </c>
      <c r="C510" t="s">
        <v>1400</v>
      </c>
      <c r="D510" t="s">
        <v>1401</v>
      </c>
      <c r="E510" t="s">
        <v>14</v>
      </c>
      <c r="F510" t="s">
        <v>41</v>
      </c>
      <c r="G510" t="s">
        <v>24</v>
      </c>
      <c r="H510" t="s">
        <v>965</v>
      </c>
      <c r="I510" s="2">
        <v>27.018000000000001</v>
      </c>
      <c r="J510">
        <v>6</v>
      </c>
      <c r="K510" s="2">
        <v>-21.6144</v>
      </c>
      <c r="L510" s="3">
        <f>(Table1[[#This Row],[Profit]]/Table1[[#This Row],[Sales]])*100</f>
        <v>-80</v>
      </c>
    </row>
    <row r="511" spans="1:12" x14ac:dyDescent="0.3">
      <c r="A511" t="s">
        <v>5039</v>
      </c>
      <c r="B511" s="1">
        <v>44033</v>
      </c>
      <c r="C511" t="s">
        <v>1277</v>
      </c>
      <c r="D511" t="s">
        <v>1278</v>
      </c>
      <c r="E511" t="s">
        <v>14</v>
      </c>
      <c r="F511" t="s">
        <v>29</v>
      </c>
      <c r="G511" t="s">
        <v>16</v>
      </c>
      <c r="H511" t="s">
        <v>1257</v>
      </c>
      <c r="I511" s="2">
        <v>148.404</v>
      </c>
      <c r="J511">
        <v>4</v>
      </c>
      <c r="K511" s="2">
        <v>-21.3264</v>
      </c>
      <c r="L511" s="3">
        <f>(Table1[[#This Row],[Profit]]/Table1[[#This Row],[Sales]])*100</f>
        <v>-14.370502142799385</v>
      </c>
    </row>
    <row r="512" spans="1:12" x14ac:dyDescent="0.3">
      <c r="A512" t="s">
        <v>4526</v>
      </c>
      <c r="B512" s="1">
        <v>43945</v>
      </c>
      <c r="C512" t="s">
        <v>1448</v>
      </c>
      <c r="D512" t="s">
        <v>1449</v>
      </c>
      <c r="E512" t="s">
        <v>14</v>
      </c>
      <c r="F512" t="s">
        <v>41</v>
      </c>
      <c r="G512" t="s">
        <v>24</v>
      </c>
      <c r="H512" t="s">
        <v>2895</v>
      </c>
      <c r="I512" s="2">
        <v>147.56800000000001</v>
      </c>
      <c r="J512">
        <v>2</v>
      </c>
      <c r="K512" s="2">
        <v>-21.294</v>
      </c>
      <c r="L512" s="3">
        <f>(Table1[[#This Row],[Profit]]/Table1[[#This Row],[Sales]])*100</f>
        <v>-14.429957714409628</v>
      </c>
    </row>
    <row r="513" spans="1:12" x14ac:dyDescent="0.3">
      <c r="A513" t="s">
        <v>4493</v>
      </c>
      <c r="B513" s="1">
        <v>43941</v>
      </c>
      <c r="C513" t="s">
        <v>1267</v>
      </c>
      <c r="D513" t="s">
        <v>1268</v>
      </c>
      <c r="E513" t="s">
        <v>14</v>
      </c>
      <c r="F513" t="s">
        <v>15</v>
      </c>
      <c r="G513" t="s">
        <v>24</v>
      </c>
      <c r="H513" t="s">
        <v>2076</v>
      </c>
      <c r="I513" s="2">
        <v>874.54399999999998</v>
      </c>
      <c r="J513">
        <v>4</v>
      </c>
      <c r="K513" s="2">
        <v>-21.2136</v>
      </c>
      <c r="L513" s="3">
        <f>(Table1[[#This Row],[Profit]]/Table1[[#This Row],[Sales]])*100</f>
        <v>-2.4256755520591304</v>
      </c>
    </row>
    <row r="514" spans="1:12" x14ac:dyDescent="0.3">
      <c r="A514" t="s">
        <v>3982</v>
      </c>
      <c r="B514" s="1">
        <v>43832</v>
      </c>
      <c r="C514" t="s">
        <v>788</v>
      </c>
      <c r="D514" t="s">
        <v>789</v>
      </c>
      <c r="E514" t="s">
        <v>14</v>
      </c>
      <c r="F514" t="s">
        <v>41</v>
      </c>
      <c r="G514" t="s">
        <v>24</v>
      </c>
      <c r="H514" t="s">
        <v>3488</v>
      </c>
      <c r="I514" s="2">
        <v>140.85400000000001</v>
      </c>
      <c r="J514">
        <v>6</v>
      </c>
      <c r="K514" s="2">
        <v>-21.159600000000001</v>
      </c>
      <c r="L514" s="3">
        <f>(Table1[[#This Row],[Profit]]/Table1[[#This Row],[Sales]])*100</f>
        <v>-15.022363582148889</v>
      </c>
    </row>
    <row r="515" spans="1:12" x14ac:dyDescent="0.3">
      <c r="A515" t="s">
        <v>6089</v>
      </c>
      <c r="B515" s="1">
        <v>44168</v>
      </c>
      <c r="C515" t="s">
        <v>3862</v>
      </c>
      <c r="D515" t="s">
        <v>3863</v>
      </c>
      <c r="E515" t="s">
        <v>14</v>
      </c>
      <c r="F515" t="s">
        <v>41</v>
      </c>
      <c r="G515" t="s">
        <v>24</v>
      </c>
      <c r="H515" t="s">
        <v>682</v>
      </c>
      <c r="I515" s="2">
        <v>133.78200000000001</v>
      </c>
      <c r="J515">
        <v>6</v>
      </c>
      <c r="K515" s="2">
        <v>-21.1068</v>
      </c>
      <c r="L515" s="3">
        <f>(Table1[[#This Row],[Profit]]/Table1[[#This Row],[Sales]])*100</f>
        <v>-15.777010360138133</v>
      </c>
    </row>
    <row r="516" spans="1:12" x14ac:dyDescent="0.3">
      <c r="A516" t="s">
        <v>3147</v>
      </c>
      <c r="B516" s="1">
        <v>43759</v>
      </c>
      <c r="C516" t="s">
        <v>1476</v>
      </c>
      <c r="D516" t="s">
        <v>1477</v>
      </c>
      <c r="E516" t="s">
        <v>14</v>
      </c>
      <c r="F516" t="s">
        <v>41</v>
      </c>
      <c r="G516" t="s">
        <v>24</v>
      </c>
      <c r="H516" t="s">
        <v>1427</v>
      </c>
      <c r="I516" s="2">
        <v>28.751999999999999</v>
      </c>
      <c r="J516">
        <v>8</v>
      </c>
      <c r="K516" s="2">
        <v>-21.084800000000001</v>
      </c>
      <c r="L516" s="3">
        <f>(Table1[[#This Row],[Profit]]/Table1[[#This Row],[Sales]])*100</f>
        <v>-73.333333333333343</v>
      </c>
    </row>
    <row r="517" spans="1:12" x14ac:dyDescent="0.3">
      <c r="A517" t="s">
        <v>3399</v>
      </c>
      <c r="B517" s="1">
        <v>43781</v>
      </c>
      <c r="C517" t="s">
        <v>989</v>
      </c>
      <c r="D517" t="s">
        <v>990</v>
      </c>
      <c r="E517" t="s">
        <v>14</v>
      </c>
      <c r="F517" t="s">
        <v>15</v>
      </c>
      <c r="G517" t="s">
        <v>16</v>
      </c>
      <c r="H517" t="s">
        <v>3400</v>
      </c>
      <c r="I517" s="2">
        <v>1474.8019999999999</v>
      </c>
      <c r="J517">
        <v>7</v>
      </c>
      <c r="K517" s="2">
        <v>-21.0686</v>
      </c>
      <c r="L517" s="3">
        <f>(Table1[[#This Row],[Profit]]/Table1[[#This Row],[Sales]])*100</f>
        <v>-1.4285714285714286</v>
      </c>
    </row>
    <row r="518" spans="1:12" x14ac:dyDescent="0.3">
      <c r="A518" t="s">
        <v>6131</v>
      </c>
      <c r="B518" s="1">
        <v>44173</v>
      </c>
      <c r="C518" t="s">
        <v>1139</v>
      </c>
      <c r="D518" t="s">
        <v>1140</v>
      </c>
      <c r="E518" t="s">
        <v>14</v>
      </c>
      <c r="F518" t="s">
        <v>15</v>
      </c>
      <c r="G518" t="s">
        <v>18</v>
      </c>
      <c r="H518" t="s">
        <v>2102</v>
      </c>
      <c r="I518" s="2">
        <v>132.988</v>
      </c>
      <c r="J518">
        <v>2</v>
      </c>
      <c r="K518" s="2">
        <v>-20.997</v>
      </c>
      <c r="L518" s="3">
        <f>(Table1[[#This Row],[Profit]]/Table1[[#This Row],[Sales]])*100</f>
        <v>-15.788642584293319</v>
      </c>
    </row>
    <row r="519" spans="1:12" x14ac:dyDescent="0.3">
      <c r="A519" t="s">
        <v>1106</v>
      </c>
      <c r="B519" s="1">
        <v>43577</v>
      </c>
      <c r="C519" t="s">
        <v>1107</v>
      </c>
      <c r="D519" t="s">
        <v>1108</v>
      </c>
      <c r="E519" t="s">
        <v>14</v>
      </c>
      <c r="F519" t="s">
        <v>23</v>
      </c>
      <c r="G519" t="s">
        <v>24</v>
      </c>
      <c r="H519" t="s">
        <v>1111</v>
      </c>
      <c r="I519" s="2">
        <v>28.484999999999999</v>
      </c>
      <c r="J519">
        <v>5</v>
      </c>
      <c r="K519" s="2">
        <v>-20.888999999999999</v>
      </c>
      <c r="L519" s="3">
        <f>(Table1[[#This Row],[Profit]]/Table1[[#This Row],[Sales]])*100</f>
        <v>-73.333333333333329</v>
      </c>
    </row>
    <row r="520" spans="1:12" x14ac:dyDescent="0.3">
      <c r="A520" t="s">
        <v>2884</v>
      </c>
      <c r="B520" s="1">
        <v>43731</v>
      </c>
      <c r="C520" t="s">
        <v>1808</v>
      </c>
      <c r="D520" t="s">
        <v>1809</v>
      </c>
      <c r="E520" t="s">
        <v>14</v>
      </c>
      <c r="F520" t="s">
        <v>23</v>
      </c>
      <c r="G520" t="s">
        <v>16</v>
      </c>
      <c r="H520" t="s">
        <v>2885</v>
      </c>
      <c r="I520" s="2">
        <v>184.75200000000001</v>
      </c>
      <c r="J520">
        <v>3</v>
      </c>
      <c r="K520" s="2">
        <v>-20.784600000000001</v>
      </c>
      <c r="L520" s="3">
        <f>(Table1[[#This Row],[Profit]]/Table1[[#This Row],[Sales]])*100</f>
        <v>-11.25</v>
      </c>
    </row>
    <row r="521" spans="1:12" x14ac:dyDescent="0.3">
      <c r="A521" t="s">
        <v>5399</v>
      </c>
      <c r="B521" s="1">
        <v>44089</v>
      </c>
      <c r="C521" t="s">
        <v>1691</v>
      </c>
      <c r="D521" t="s">
        <v>1692</v>
      </c>
      <c r="E521" t="s">
        <v>14</v>
      </c>
      <c r="F521" t="s">
        <v>23</v>
      </c>
      <c r="G521" t="s">
        <v>16</v>
      </c>
      <c r="H521" t="s">
        <v>2885</v>
      </c>
      <c r="I521" s="2">
        <v>227.75200000000001</v>
      </c>
      <c r="J521">
        <v>3</v>
      </c>
      <c r="K521" s="2">
        <v>-20.784600000000001</v>
      </c>
      <c r="L521" s="3">
        <f>(Table1[[#This Row],[Profit]]/Table1[[#This Row],[Sales]])*100</f>
        <v>-9.1259791351996906</v>
      </c>
    </row>
    <row r="522" spans="1:12" x14ac:dyDescent="0.3">
      <c r="A522" t="s">
        <v>718</v>
      </c>
      <c r="B522" s="1">
        <v>43543</v>
      </c>
      <c r="C522" t="s">
        <v>719</v>
      </c>
      <c r="D522" t="s">
        <v>720</v>
      </c>
      <c r="E522" t="s">
        <v>14</v>
      </c>
      <c r="F522" t="s">
        <v>41</v>
      </c>
      <c r="G522" t="s">
        <v>24</v>
      </c>
      <c r="H522" t="s">
        <v>721</v>
      </c>
      <c r="I522" s="2">
        <v>31.085999999999999</v>
      </c>
      <c r="J522">
        <v>3</v>
      </c>
      <c r="K522" s="2">
        <v>-20.724</v>
      </c>
      <c r="L522" s="3">
        <f>(Table1[[#This Row],[Profit]]/Table1[[#This Row],[Sales]])*100</f>
        <v>-66.666666666666671</v>
      </c>
    </row>
    <row r="523" spans="1:12" x14ac:dyDescent="0.3">
      <c r="A523" t="s">
        <v>1161</v>
      </c>
      <c r="B523" s="1">
        <v>43580</v>
      </c>
      <c r="C523" t="s">
        <v>1162</v>
      </c>
      <c r="D523" t="s">
        <v>1163</v>
      </c>
      <c r="E523" t="s">
        <v>14</v>
      </c>
      <c r="F523" t="s">
        <v>15</v>
      </c>
      <c r="G523" t="s">
        <v>18</v>
      </c>
      <c r="H523" t="s">
        <v>1164</v>
      </c>
      <c r="I523" s="2">
        <v>82.8</v>
      </c>
      <c r="J523">
        <v>2</v>
      </c>
      <c r="K523" s="2">
        <v>-20.7</v>
      </c>
      <c r="L523" s="3">
        <f>(Table1[[#This Row],[Profit]]/Table1[[#This Row],[Sales]])*100</f>
        <v>-25</v>
      </c>
    </row>
    <row r="524" spans="1:12" x14ac:dyDescent="0.3">
      <c r="A524" t="s">
        <v>2381</v>
      </c>
      <c r="B524" s="1">
        <v>43698</v>
      </c>
      <c r="C524" t="s">
        <v>1642</v>
      </c>
      <c r="D524" t="s">
        <v>1643</v>
      </c>
      <c r="E524" t="s">
        <v>14</v>
      </c>
      <c r="F524" t="s">
        <v>23</v>
      </c>
      <c r="G524" t="s">
        <v>18</v>
      </c>
      <c r="H524" t="s">
        <v>1442</v>
      </c>
      <c r="I524" s="2">
        <v>91.96</v>
      </c>
      <c r="J524">
        <v>5</v>
      </c>
      <c r="K524" s="2">
        <v>-20.690999999999999</v>
      </c>
      <c r="L524" s="3">
        <f>(Table1[[#This Row],[Profit]]/Table1[[#This Row],[Sales]])*100</f>
        <v>-22.5</v>
      </c>
    </row>
    <row r="525" spans="1:12" x14ac:dyDescent="0.3">
      <c r="A525" t="s">
        <v>4086</v>
      </c>
      <c r="B525" s="1">
        <v>43859</v>
      </c>
      <c r="C525" t="s">
        <v>602</v>
      </c>
      <c r="D525" t="s">
        <v>603</v>
      </c>
      <c r="E525" t="s">
        <v>14</v>
      </c>
      <c r="F525" t="s">
        <v>29</v>
      </c>
      <c r="G525" t="s">
        <v>24</v>
      </c>
      <c r="H525" t="s">
        <v>3689</v>
      </c>
      <c r="I525" s="2">
        <v>114.128</v>
      </c>
      <c r="J525">
        <v>4</v>
      </c>
      <c r="K525" s="2">
        <v>-20.617599999999999</v>
      </c>
      <c r="L525" s="3">
        <f>(Table1[[#This Row],[Profit]]/Table1[[#This Row],[Sales]])*100</f>
        <v>-18.065330155614749</v>
      </c>
    </row>
    <row r="526" spans="1:12" x14ac:dyDescent="0.3">
      <c r="A526" t="s">
        <v>5285</v>
      </c>
      <c r="B526" s="1">
        <v>44078</v>
      </c>
      <c r="C526" t="s">
        <v>2633</v>
      </c>
      <c r="D526" t="s">
        <v>2634</v>
      </c>
      <c r="E526" t="s">
        <v>14</v>
      </c>
      <c r="F526" t="s">
        <v>15</v>
      </c>
      <c r="G526" t="s">
        <v>24</v>
      </c>
      <c r="H526" t="s">
        <v>2946</v>
      </c>
      <c r="I526" s="2">
        <v>122.56</v>
      </c>
      <c r="J526">
        <v>5</v>
      </c>
      <c r="K526" s="2">
        <v>-20.448</v>
      </c>
      <c r="L526" s="3">
        <f>(Table1[[#This Row],[Profit]]/Table1[[#This Row],[Sales]])*100</f>
        <v>-16.684073107049606</v>
      </c>
    </row>
    <row r="527" spans="1:12" x14ac:dyDescent="0.3">
      <c r="A527" t="s">
        <v>3889</v>
      </c>
      <c r="B527" s="1">
        <v>43823</v>
      </c>
      <c r="C527" t="s">
        <v>1007</v>
      </c>
      <c r="D527" t="s">
        <v>1008</v>
      </c>
      <c r="E527" t="s">
        <v>14</v>
      </c>
      <c r="F527" t="s">
        <v>41</v>
      </c>
      <c r="G527" t="s">
        <v>24</v>
      </c>
      <c r="H527" t="s">
        <v>3897</v>
      </c>
      <c r="I527" s="2">
        <v>27.882000000000001</v>
      </c>
      <c r="J527">
        <v>3</v>
      </c>
      <c r="K527" s="2">
        <v>-20.4468</v>
      </c>
      <c r="L527" s="3">
        <f>(Table1[[#This Row],[Profit]]/Table1[[#This Row],[Sales]])*100</f>
        <v>-73.333333333333329</v>
      </c>
    </row>
    <row r="528" spans="1:12" x14ac:dyDescent="0.3">
      <c r="A528" t="s">
        <v>1323</v>
      </c>
      <c r="B528" s="1">
        <v>43594</v>
      </c>
      <c r="C528" t="s">
        <v>1324</v>
      </c>
      <c r="D528" t="s">
        <v>1325</v>
      </c>
      <c r="E528" t="s">
        <v>14</v>
      </c>
      <c r="F528" t="s">
        <v>29</v>
      </c>
      <c r="G528" t="s">
        <v>24</v>
      </c>
      <c r="H528" t="s">
        <v>1327</v>
      </c>
      <c r="I528" s="2">
        <v>13.183999999999999</v>
      </c>
      <c r="J528">
        <v>4</v>
      </c>
      <c r="K528" s="2">
        <v>-20.435199999999998</v>
      </c>
      <c r="L528" s="3">
        <f>(Table1[[#This Row],[Profit]]/Table1[[#This Row],[Sales]])*100</f>
        <v>-155</v>
      </c>
    </row>
    <row r="529" spans="1:12" x14ac:dyDescent="0.3">
      <c r="A529" t="s">
        <v>168</v>
      </c>
      <c r="B529" s="1">
        <v>43487</v>
      </c>
      <c r="C529" t="s">
        <v>169</v>
      </c>
      <c r="D529" t="s">
        <v>170</v>
      </c>
      <c r="E529" t="s">
        <v>14</v>
      </c>
      <c r="F529" t="s">
        <v>15</v>
      </c>
      <c r="G529" t="s">
        <v>18</v>
      </c>
      <c r="H529" t="s">
        <v>171</v>
      </c>
      <c r="I529" s="2">
        <v>110.376</v>
      </c>
      <c r="J529">
        <v>4</v>
      </c>
      <c r="K529" s="2">
        <v>-20.235600000000002</v>
      </c>
      <c r="L529" s="3">
        <f>(Table1[[#This Row],[Profit]]/Table1[[#This Row],[Sales]])*100</f>
        <v>-18.333333333333336</v>
      </c>
    </row>
    <row r="530" spans="1:12" x14ac:dyDescent="0.3">
      <c r="A530" t="s">
        <v>4195</v>
      </c>
      <c r="B530" s="1">
        <v>43892</v>
      </c>
      <c r="C530" t="s">
        <v>637</v>
      </c>
      <c r="D530" t="s">
        <v>638</v>
      </c>
      <c r="E530" t="s">
        <v>14</v>
      </c>
      <c r="F530" t="s">
        <v>29</v>
      </c>
      <c r="G530" t="s">
        <v>24</v>
      </c>
      <c r="H530" t="s">
        <v>587</v>
      </c>
      <c r="I530" s="2">
        <v>110.22199999999999</v>
      </c>
      <c r="J530">
        <v>7</v>
      </c>
      <c r="K530" s="2">
        <v>-20.1663</v>
      </c>
      <c r="L530" s="3">
        <f>(Table1[[#This Row],[Profit]]/Table1[[#This Row],[Sales]])*100</f>
        <v>-18.296075193699988</v>
      </c>
    </row>
    <row r="531" spans="1:12" x14ac:dyDescent="0.3">
      <c r="A531" t="s">
        <v>3275</v>
      </c>
      <c r="B531" s="1">
        <v>43774</v>
      </c>
      <c r="C531" t="s">
        <v>3064</v>
      </c>
      <c r="D531" t="s">
        <v>3065</v>
      </c>
      <c r="E531" t="s">
        <v>14</v>
      </c>
      <c r="F531" t="s">
        <v>29</v>
      </c>
      <c r="G531" t="s">
        <v>24</v>
      </c>
      <c r="H531" t="s">
        <v>1740</v>
      </c>
      <c r="I531" s="2">
        <v>12.587999999999999</v>
      </c>
      <c r="J531">
        <v>3</v>
      </c>
      <c r="K531" s="2">
        <v>-20.140799999999999</v>
      </c>
      <c r="L531" s="3">
        <f>(Table1[[#This Row],[Profit]]/Table1[[#This Row],[Sales]])*100</f>
        <v>-160</v>
      </c>
    </row>
    <row r="532" spans="1:12" x14ac:dyDescent="0.3">
      <c r="A532" t="s">
        <v>697</v>
      </c>
      <c r="B532" s="1">
        <v>43541</v>
      </c>
      <c r="C532" t="s">
        <v>698</v>
      </c>
      <c r="D532" t="s">
        <v>699</v>
      </c>
      <c r="E532" t="s">
        <v>14</v>
      </c>
      <c r="F532" t="s">
        <v>23</v>
      </c>
      <c r="G532" t="s">
        <v>18</v>
      </c>
      <c r="H532" t="s">
        <v>700</v>
      </c>
      <c r="I532" s="2">
        <v>84.784000000000006</v>
      </c>
      <c r="J532">
        <v>2</v>
      </c>
      <c r="K532" s="2">
        <v>-20.136199999999999</v>
      </c>
      <c r="L532" s="3">
        <f>(Table1[[#This Row],[Profit]]/Table1[[#This Row],[Sales]])*100</f>
        <v>-23.749999999999996</v>
      </c>
    </row>
    <row r="533" spans="1:12" x14ac:dyDescent="0.3">
      <c r="A533" t="s">
        <v>722</v>
      </c>
      <c r="B533" s="1">
        <v>43544</v>
      </c>
      <c r="C533" t="s">
        <v>528</v>
      </c>
      <c r="D533" t="s">
        <v>529</v>
      </c>
      <c r="E533" t="s">
        <v>14</v>
      </c>
      <c r="F533" t="s">
        <v>23</v>
      </c>
      <c r="G533" t="s">
        <v>18</v>
      </c>
      <c r="H533" t="s">
        <v>700</v>
      </c>
      <c r="I533" s="2">
        <v>84.784000000000006</v>
      </c>
      <c r="J533">
        <v>2</v>
      </c>
      <c r="K533" s="2">
        <v>-20.136199999999999</v>
      </c>
      <c r="L533" s="3">
        <f>(Table1[[#This Row],[Profit]]/Table1[[#This Row],[Sales]])*100</f>
        <v>-23.749999999999996</v>
      </c>
    </row>
    <row r="534" spans="1:12" x14ac:dyDescent="0.3">
      <c r="A534" t="s">
        <v>5551</v>
      </c>
      <c r="B534" s="1">
        <v>44106</v>
      </c>
      <c r="C534" t="s">
        <v>4994</v>
      </c>
      <c r="D534" t="s">
        <v>4995</v>
      </c>
      <c r="E534" t="s">
        <v>14</v>
      </c>
      <c r="F534" t="s">
        <v>23</v>
      </c>
      <c r="G534" t="s">
        <v>18</v>
      </c>
      <c r="H534" t="s">
        <v>700</v>
      </c>
      <c r="I534" s="2">
        <v>123.78400000000001</v>
      </c>
      <c r="J534">
        <v>2</v>
      </c>
      <c r="K534" s="2">
        <v>-20.136199999999999</v>
      </c>
      <c r="L534" s="3">
        <f>(Table1[[#This Row],[Profit]]/Table1[[#This Row],[Sales]])*100</f>
        <v>-16.267207393524203</v>
      </c>
    </row>
    <row r="535" spans="1:12" x14ac:dyDescent="0.3">
      <c r="A535" t="s">
        <v>2214</v>
      </c>
      <c r="B535" s="1">
        <v>43675</v>
      </c>
      <c r="C535" t="s">
        <v>2215</v>
      </c>
      <c r="D535" t="s">
        <v>2216</v>
      </c>
      <c r="E535" t="s">
        <v>14</v>
      </c>
      <c r="F535" t="s">
        <v>41</v>
      </c>
      <c r="G535" t="s">
        <v>24</v>
      </c>
      <c r="H535" t="s">
        <v>2218</v>
      </c>
      <c r="I535" s="2">
        <v>27.396000000000001</v>
      </c>
      <c r="J535">
        <v>3</v>
      </c>
      <c r="K535" s="2">
        <v>-20.090399999999999</v>
      </c>
      <c r="L535" s="3">
        <f>(Table1[[#This Row],[Profit]]/Table1[[#This Row],[Sales]])*100</f>
        <v>-73.333333333333329</v>
      </c>
    </row>
    <row r="536" spans="1:12" x14ac:dyDescent="0.3">
      <c r="A536" t="s">
        <v>1459</v>
      </c>
      <c r="B536" s="1">
        <v>43607</v>
      </c>
      <c r="C536" t="s">
        <v>1145</v>
      </c>
      <c r="D536" t="s">
        <v>1146</v>
      </c>
      <c r="E536" t="s">
        <v>14</v>
      </c>
      <c r="F536" t="s">
        <v>15</v>
      </c>
      <c r="G536" t="s">
        <v>16</v>
      </c>
      <c r="H536" t="s">
        <v>1251</v>
      </c>
      <c r="I536" s="2">
        <v>174.286</v>
      </c>
      <c r="J536">
        <v>2</v>
      </c>
      <c r="K536" s="2">
        <v>-19.918399999999998</v>
      </c>
      <c r="L536" s="3">
        <f>(Table1[[#This Row],[Profit]]/Table1[[#This Row],[Sales]])*100</f>
        <v>-11.428571428571429</v>
      </c>
    </row>
    <row r="537" spans="1:12" x14ac:dyDescent="0.3">
      <c r="A537" t="s">
        <v>5809</v>
      </c>
      <c r="B537" s="1">
        <v>44141</v>
      </c>
      <c r="C537" t="s">
        <v>271</v>
      </c>
      <c r="D537" t="s">
        <v>272</v>
      </c>
      <c r="E537" t="s">
        <v>14</v>
      </c>
      <c r="F537" t="s">
        <v>29</v>
      </c>
      <c r="G537" t="s">
        <v>16</v>
      </c>
      <c r="H537" t="s">
        <v>1620</v>
      </c>
      <c r="I537" s="2">
        <v>164.56</v>
      </c>
      <c r="J537">
        <v>5</v>
      </c>
      <c r="K537" s="2">
        <v>-19.864000000000001</v>
      </c>
      <c r="L537" s="3">
        <f>(Table1[[#This Row],[Profit]]/Table1[[#This Row],[Sales]])*100</f>
        <v>-12.070977151191055</v>
      </c>
    </row>
    <row r="538" spans="1:12" x14ac:dyDescent="0.3">
      <c r="A538" t="s">
        <v>1853</v>
      </c>
      <c r="B538" s="1">
        <v>43640</v>
      </c>
      <c r="C538" t="s">
        <v>1854</v>
      </c>
      <c r="D538" t="s">
        <v>1855</v>
      </c>
      <c r="E538" t="s">
        <v>14</v>
      </c>
      <c r="F538" t="s">
        <v>29</v>
      </c>
      <c r="G538" t="s">
        <v>24</v>
      </c>
      <c r="H538" t="s">
        <v>1505</v>
      </c>
      <c r="I538" s="2">
        <v>8.7119999999999997</v>
      </c>
      <c r="J538">
        <v>2</v>
      </c>
      <c r="K538" s="2">
        <v>-19.602</v>
      </c>
      <c r="L538" s="3">
        <f>(Table1[[#This Row],[Profit]]/Table1[[#This Row],[Sales]])*100</f>
        <v>-225</v>
      </c>
    </row>
    <row r="539" spans="1:12" x14ac:dyDescent="0.3">
      <c r="A539" t="s">
        <v>1343</v>
      </c>
      <c r="B539" s="1">
        <v>43597</v>
      </c>
      <c r="C539" t="s">
        <v>956</v>
      </c>
      <c r="D539" t="s">
        <v>957</v>
      </c>
      <c r="E539" t="s">
        <v>14</v>
      </c>
      <c r="F539" t="s">
        <v>15</v>
      </c>
      <c r="G539" t="s">
        <v>24</v>
      </c>
      <c r="H539" t="s">
        <v>297</v>
      </c>
      <c r="I539" s="2">
        <v>82.367999999999995</v>
      </c>
      <c r="J539">
        <v>2</v>
      </c>
      <c r="K539" s="2">
        <v>-19.5624</v>
      </c>
      <c r="L539" s="3">
        <f>(Table1[[#This Row],[Profit]]/Table1[[#This Row],[Sales]])*100</f>
        <v>-23.75</v>
      </c>
    </row>
    <row r="540" spans="1:12" x14ac:dyDescent="0.3">
      <c r="A540" t="s">
        <v>2530</v>
      </c>
      <c r="B540" s="1">
        <v>43710</v>
      </c>
      <c r="C540" t="s">
        <v>1547</v>
      </c>
      <c r="D540" t="s">
        <v>1548</v>
      </c>
      <c r="E540" t="s">
        <v>14</v>
      </c>
      <c r="F540" t="s">
        <v>29</v>
      </c>
      <c r="G540" t="s">
        <v>18</v>
      </c>
      <c r="H540" t="s">
        <v>2531</v>
      </c>
      <c r="I540" s="2">
        <v>1362.9</v>
      </c>
      <c r="J540">
        <v>3</v>
      </c>
      <c r="K540" s="2">
        <v>-19.47</v>
      </c>
      <c r="L540" s="3">
        <f>(Table1[[#This Row],[Profit]]/Table1[[#This Row],[Sales]])*100</f>
        <v>-1.4285714285714284</v>
      </c>
    </row>
    <row r="541" spans="1:12" x14ac:dyDescent="0.3">
      <c r="A541" t="s">
        <v>2638</v>
      </c>
      <c r="B541" s="1">
        <v>43713</v>
      </c>
      <c r="C541" t="s">
        <v>774</v>
      </c>
      <c r="D541" t="s">
        <v>775</v>
      </c>
      <c r="E541" t="s">
        <v>14</v>
      </c>
      <c r="F541" t="s">
        <v>15</v>
      </c>
      <c r="G541" t="s">
        <v>16</v>
      </c>
      <c r="H541" t="s">
        <v>2639</v>
      </c>
      <c r="I541" s="2">
        <v>71.245999999999995</v>
      </c>
      <c r="J541">
        <v>2</v>
      </c>
      <c r="K541" s="2">
        <v>-19.338200000000001</v>
      </c>
      <c r="L541" s="3">
        <f>(Table1[[#This Row],[Profit]]/Table1[[#This Row],[Sales]])*100</f>
        <v>-27.142857142857146</v>
      </c>
    </row>
    <row r="542" spans="1:12" x14ac:dyDescent="0.3">
      <c r="A542" t="s">
        <v>5933</v>
      </c>
      <c r="B542" s="1">
        <v>44153</v>
      </c>
      <c r="C542" t="s">
        <v>1750</v>
      </c>
      <c r="D542" t="s">
        <v>1751</v>
      </c>
      <c r="E542" t="s">
        <v>14</v>
      </c>
      <c r="F542" t="s">
        <v>41</v>
      </c>
      <c r="G542" t="s">
        <v>24</v>
      </c>
      <c r="H542" t="s">
        <v>3623</v>
      </c>
      <c r="I542" s="2">
        <v>104.36</v>
      </c>
      <c r="J542">
        <v>5</v>
      </c>
      <c r="K542" s="2">
        <v>-19.323</v>
      </c>
      <c r="L542" s="3">
        <f>(Table1[[#This Row],[Profit]]/Table1[[#This Row],[Sales]])*100</f>
        <v>-18.515714833269453</v>
      </c>
    </row>
    <row r="543" spans="1:12" x14ac:dyDescent="0.3">
      <c r="A543" t="s">
        <v>4402</v>
      </c>
      <c r="B543" s="1">
        <v>43922</v>
      </c>
      <c r="C543" t="s">
        <v>1976</v>
      </c>
      <c r="D543" t="s">
        <v>1977</v>
      </c>
      <c r="E543" t="s">
        <v>14</v>
      </c>
      <c r="F543" t="s">
        <v>41</v>
      </c>
      <c r="G543" t="s">
        <v>16</v>
      </c>
      <c r="H543" t="s">
        <v>3383</v>
      </c>
      <c r="I543" s="2">
        <v>234.352</v>
      </c>
      <c r="J543">
        <v>3</v>
      </c>
      <c r="K543" s="2">
        <v>-19.105799999999999</v>
      </c>
      <c r="L543" s="3">
        <f>(Table1[[#This Row],[Profit]]/Table1[[#This Row],[Sales]])*100</f>
        <v>-8.15260804260258</v>
      </c>
    </row>
    <row r="544" spans="1:12" x14ac:dyDescent="0.3">
      <c r="A544" t="s">
        <v>4488</v>
      </c>
      <c r="B544" s="1">
        <v>43938</v>
      </c>
      <c r="C544" t="s">
        <v>558</v>
      </c>
      <c r="D544" t="s">
        <v>559</v>
      </c>
      <c r="E544" t="s">
        <v>14</v>
      </c>
      <c r="F544" t="s">
        <v>23</v>
      </c>
      <c r="G544" t="s">
        <v>16</v>
      </c>
      <c r="H544" t="s">
        <v>3383</v>
      </c>
      <c r="I544" s="2">
        <v>265.35199999999998</v>
      </c>
      <c r="J544">
        <v>3</v>
      </c>
      <c r="K544" s="2">
        <v>-19.105799999999999</v>
      </c>
      <c r="L544" s="3">
        <f>(Table1[[#This Row],[Profit]]/Table1[[#This Row],[Sales]])*100</f>
        <v>-7.2001718472067298</v>
      </c>
    </row>
    <row r="545" spans="1:12" x14ac:dyDescent="0.3">
      <c r="A545" t="s">
        <v>4789</v>
      </c>
      <c r="B545" s="1">
        <v>43990</v>
      </c>
      <c r="C545" t="s">
        <v>3181</v>
      </c>
      <c r="D545" t="s">
        <v>3182</v>
      </c>
      <c r="E545" t="s">
        <v>14</v>
      </c>
      <c r="F545" t="s">
        <v>29</v>
      </c>
      <c r="G545" t="s">
        <v>24</v>
      </c>
      <c r="H545" t="s">
        <v>1281</v>
      </c>
      <c r="I545" s="2">
        <v>134.17599999999999</v>
      </c>
      <c r="J545">
        <v>4</v>
      </c>
      <c r="K545" s="2">
        <v>-18.872800000000002</v>
      </c>
      <c r="L545" s="3">
        <f>(Table1[[#This Row],[Profit]]/Table1[[#This Row],[Sales]])*100</f>
        <v>-14.065704746005251</v>
      </c>
    </row>
    <row r="546" spans="1:12" x14ac:dyDescent="0.3">
      <c r="A546" t="s">
        <v>2150</v>
      </c>
      <c r="B546" s="1">
        <v>43669</v>
      </c>
      <c r="C546" t="s">
        <v>2151</v>
      </c>
      <c r="D546" t="s">
        <v>2152</v>
      </c>
      <c r="E546" t="s">
        <v>14</v>
      </c>
      <c r="F546" t="s">
        <v>29</v>
      </c>
      <c r="G546" t="s">
        <v>24</v>
      </c>
      <c r="H546" t="s">
        <v>2153</v>
      </c>
      <c r="I546" s="2">
        <v>11.416</v>
      </c>
      <c r="J546">
        <v>4</v>
      </c>
      <c r="K546" s="2">
        <v>-18.836400000000001</v>
      </c>
      <c r="L546" s="3">
        <f>(Table1[[#This Row],[Profit]]/Table1[[#This Row],[Sales]])*100</f>
        <v>-165</v>
      </c>
    </row>
    <row r="547" spans="1:12" x14ac:dyDescent="0.3">
      <c r="A547" t="s">
        <v>4596</v>
      </c>
      <c r="B547" s="1">
        <v>43957</v>
      </c>
      <c r="C547" t="s">
        <v>4189</v>
      </c>
      <c r="D547" t="s">
        <v>4190</v>
      </c>
      <c r="E547" t="s">
        <v>14</v>
      </c>
      <c r="F547" t="s">
        <v>29</v>
      </c>
      <c r="G547" t="s">
        <v>24</v>
      </c>
      <c r="H547" t="s">
        <v>2394</v>
      </c>
      <c r="I547" s="2">
        <v>110.06</v>
      </c>
      <c r="J547">
        <v>10</v>
      </c>
      <c r="K547" s="2">
        <v>-18.802</v>
      </c>
      <c r="L547" s="3">
        <f>(Table1[[#This Row],[Profit]]/Table1[[#This Row],[Sales]])*100</f>
        <v>-17.083409049609301</v>
      </c>
    </row>
    <row r="548" spans="1:12" x14ac:dyDescent="0.3">
      <c r="A548" t="s">
        <v>5474</v>
      </c>
      <c r="B548" s="1">
        <v>44096</v>
      </c>
      <c r="C548" t="s">
        <v>1456</v>
      </c>
      <c r="D548" t="s">
        <v>1457</v>
      </c>
      <c r="E548" t="s">
        <v>14</v>
      </c>
      <c r="F548" t="s">
        <v>29</v>
      </c>
      <c r="G548" t="s">
        <v>24</v>
      </c>
      <c r="H548" t="s">
        <v>1273</v>
      </c>
      <c r="I548" s="2">
        <v>112.22799999999999</v>
      </c>
      <c r="J548">
        <v>7</v>
      </c>
      <c r="K548" s="2">
        <v>-18.526199999999999</v>
      </c>
      <c r="L548" s="3">
        <f>(Table1[[#This Row],[Profit]]/Table1[[#This Row],[Sales]])*100</f>
        <v>-16.507645150942725</v>
      </c>
    </row>
    <row r="549" spans="1:12" x14ac:dyDescent="0.3">
      <c r="A549" t="s">
        <v>6132</v>
      </c>
      <c r="B549" s="1">
        <v>44173</v>
      </c>
      <c r="C549" t="s">
        <v>5720</v>
      </c>
      <c r="D549" t="s">
        <v>5721</v>
      </c>
      <c r="E549" t="s">
        <v>14</v>
      </c>
      <c r="F549" t="s">
        <v>23</v>
      </c>
      <c r="G549" t="s">
        <v>16</v>
      </c>
      <c r="H549" t="s">
        <v>5969</v>
      </c>
      <c r="I549" s="2">
        <v>142.56800000000001</v>
      </c>
      <c r="J549">
        <v>2</v>
      </c>
      <c r="K549" s="2">
        <v>-18.454799999999999</v>
      </c>
      <c r="L549" s="3">
        <f>(Table1[[#This Row],[Profit]]/Table1[[#This Row],[Sales]])*100</f>
        <v>-12.94455978901296</v>
      </c>
    </row>
    <row r="550" spans="1:12" x14ac:dyDescent="0.3">
      <c r="A550" t="s">
        <v>2399</v>
      </c>
      <c r="B550" s="1">
        <v>43699</v>
      </c>
      <c r="C550" t="s">
        <v>2400</v>
      </c>
      <c r="D550" t="s">
        <v>2401</v>
      </c>
      <c r="E550" t="s">
        <v>14</v>
      </c>
      <c r="F550" t="s">
        <v>23</v>
      </c>
      <c r="G550" t="s">
        <v>24</v>
      </c>
      <c r="H550" t="s">
        <v>2402</v>
      </c>
      <c r="I550" s="2">
        <v>26.352</v>
      </c>
      <c r="J550">
        <v>8</v>
      </c>
      <c r="K550" s="2">
        <v>-18.446400000000001</v>
      </c>
      <c r="L550" s="3">
        <f>(Table1[[#This Row],[Profit]]/Table1[[#This Row],[Sales]])*100</f>
        <v>-70</v>
      </c>
    </row>
    <row r="551" spans="1:12" x14ac:dyDescent="0.3">
      <c r="A551" t="s">
        <v>4523</v>
      </c>
      <c r="B551" s="1">
        <v>43945</v>
      </c>
      <c r="C551" t="s">
        <v>1145</v>
      </c>
      <c r="D551" t="s">
        <v>1146</v>
      </c>
      <c r="E551" t="s">
        <v>14</v>
      </c>
      <c r="F551" t="s">
        <v>29</v>
      </c>
      <c r="G551" t="s">
        <v>24</v>
      </c>
      <c r="H551" t="s">
        <v>3095</v>
      </c>
      <c r="I551" s="2">
        <v>104.43</v>
      </c>
      <c r="J551">
        <v>5</v>
      </c>
      <c r="K551" s="2">
        <v>-18.252500000000001</v>
      </c>
      <c r="L551" s="3">
        <f>(Table1[[#This Row],[Profit]]/Table1[[#This Row],[Sales]])*100</f>
        <v>-17.478215072297232</v>
      </c>
    </row>
    <row r="552" spans="1:12" x14ac:dyDescent="0.3">
      <c r="A552" t="s">
        <v>3449</v>
      </c>
      <c r="B552" s="1">
        <v>43787</v>
      </c>
      <c r="C552" t="s">
        <v>1371</v>
      </c>
      <c r="D552" t="s">
        <v>1372</v>
      </c>
      <c r="E552" t="s">
        <v>14</v>
      </c>
      <c r="F552" t="s">
        <v>29</v>
      </c>
      <c r="G552" t="s">
        <v>16</v>
      </c>
      <c r="H552" t="s">
        <v>822</v>
      </c>
      <c r="I552" s="2">
        <v>255.108</v>
      </c>
      <c r="J552">
        <v>6</v>
      </c>
      <c r="K552" s="2">
        <v>-18.222000000000001</v>
      </c>
      <c r="L552" s="3">
        <f>(Table1[[#This Row],[Profit]]/Table1[[#This Row],[Sales]])*100</f>
        <v>-7.1428571428571441</v>
      </c>
    </row>
    <row r="553" spans="1:12" x14ac:dyDescent="0.3">
      <c r="A553" t="s">
        <v>4523</v>
      </c>
      <c r="B553" s="1">
        <v>43945</v>
      </c>
      <c r="C553" t="s">
        <v>1145</v>
      </c>
      <c r="D553" t="s">
        <v>1146</v>
      </c>
      <c r="E553" t="s">
        <v>14</v>
      </c>
      <c r="F553" t="s">
        <v>29</v>
      </c>
      <c r="G553" t="s">
        <v>24</v>
      </c>
      <c r="H553" t="s">
        <v>1422</v>
      </c>
      <c r="I553" s="2">
        <v>121.78400000000001</v>
      </c>
      <c r="J553">
        <v>1</v>
      </c>
      <c r="K553" s="2">
        <v>-18.196000000000002</v>
      </c>
      <c r="L553" s="3">
        <f>(Table1[[#This Row],[Profit]]/Table1[[#This Row],[Sales]])*100</f>
        <v>-14.941207383564345</v>
      </c>
    </row>
    <row r="554" spans="1:12" x14ac:dyDescent="0.3">
      <c r="A554" t="s">
        <v>5605</v>
      </c>
      <c r="B554" s="1">
        <v>44116</v>
      </c>
      <c r="C554" t="s">
        <v>1371</v>
      </c>
      <c r="D554" t="s">
        <v>1372</v>
      </c>
      <c r="E554" t="s">
        <v>14</v>
      </c>
      <c r="F554" t="s">
        <v>29</v>
      </c>
      <c r="G554" t="s">
        <v>16</v>
      </c>
      <c r="H554" t="s">
        <v>1177</v>
      </c>
      <c r="I554" s="2">
        <v>271.60399999999998</v>
      </c>
      <c r="J554">
        <v>14</v>
      </c>
      <c r="K554" s="2">
        <v>-18.186</v>
      </c>
      <c r="L554" s="3">
        <f>(Table1[[#This Row],[Profit]]/Table1[[#This Row],[Sales]])*100</f>
        <v>-6.6957776763228827</v>
      </c>
    </row>
    <row r="555" spans="1:12" x14ac:dyDescent="0.3">
      <c r="A555" t="s">
        <v>304</v>
      </c>
      <c r="B555" s="1">
        <v>43502</v>
      </c>
      <c r="C555" t="s">
        <v>305</v>
      </c>
      <c r="D555" t="s">
        <v>306</v>
      </c>
      <c r="E555" t="s">
        <v>14</v>
      </c>
      <c r="F555" t="s">
        <v>41</v>
      </c>
      <c r="G555" t="s">
        <v>16</v>
      </c>
      <c r="H555" t="s">
        <v>307</v>
      </c>
      <c r="I555" s="2">
        <v>132.22399999999999</v>
      </c>
      <c r="J555">
        <v>4</v>
      </c>
      <c r="K555" s="2">
        <v>-18.180800000000001</v>
      </c>
      <c r="L555" s="3">
        <f>(Table1[[#This Row],[Profit]]/Table1[[#This Row],[Sales]])*100</f>
        <v>-13.750000000000002</v>
      </c>
    </row>
    <row r="556" spans="1:12" x14ac:dyDescent="0.3">
      <c r="A556" t="s">
        <v>4495</v>
      </c>
      <c r="B556" s="1">
        <v>43941</v>
      </c>
      <c r="C556" t="s">
        <v>2976</v>
      </c>
      <c r="D556" t="s">
        <v>2977</v>
      </c>
      <c r="E556" t="s">
        <v>14</v>
      </c>
      <c r="F556" t="s">
        <v>29</v>
      </c>
      <c r="G556" t="s">
        <v>16</v>
      </c>
      <c r="H556" t="s">
        <v>2170</v>
      </c>
      <c r="I556" s="2">
        <v>344.05799999999999</v>
      </c>
      <c r="J556">
        <v>3</v>
      </c>
      <c r="K556" s="2">
        <v>-18.117599999999999</v>
      </c>
      <c r="L556" s="3">
        <f>(Table1[[#This Row],[Profit]]/Table1[[#This Row],[Sales]])*100</f>
        <v>-5.2658563381755403</v>
      </c>
    </row>
    <row r="557" spans="1:12" x14ac:dyDescent="0.3">
      <c r="A557" t="s">
        <v>6058</v>
      </c>
      <c r="B557" s="1">
        <v>44166</v>
      </c>
      <c r="C557" t="s">
        <v>2976</v>
      </c>
      <c r="D557" t="s">
        <v>2977</v>
      </c>
      <c r="E557" t="s">
        <v>14</v>
      </c>
      <c r="F557" t="s">
        <v>29</v>
      </c>
      <c r="G557" t="s">
        <v>16</v>
      </c>
      <c r="H557" t="s">
        <v>2170</v>
      </c>
      <c r="I557" s="2">
        <v>354.05799999999999</v>
      </c>
      <c r="J557">
        <v>3</v>
      </c>
      <c r="K557" s="2">
        <v>-18.117599999999999</v>
      </c>
      <c r="L557" s="3">
        <f>(Table1[[#This Row],[Profit]]/Table1[[#This Row],[Sales]])*100</f>
        <v>-5.1171277022408752</v>
      </c>
    </row>
    <row r="558" spans="1:12" x14ac:dyDescent="0.3">
      <c r="A558" t="s">
        <v>1857</v>
      </c>
      <c r="B558" s="1">
        <v>43641</v>
      </c>
      <c r="C558" t="s">
        <v>481</v>
      </c>
      <c r="D558" t="s">
        <v>482</v>
      </c>
      <c r="E558" t="s">
        <v>14</v>
      </c>
      <c r="F558" t="s">
        <v>15</v>
      </c>
      <c r="G558" t="s">
        <v>16</v>
      </c>
      <c r="H558" t="s">
        <v>798</v>
      </c>
      <c r="I558" s="2">
        <v>422.05799999999999</v>
      </c>
      <c r="J558">
        <v>3</v>
      </c>
      <c r="K558" s="2">
        <v>-18.088200000000001</v>
      </c>
      <c r="L558" s="3">
        <f>(Table1[[#This Row],[Profit]]/Table1[[#This Row],[Sales]])*100</f>
        <v>-4.2857142857142856</v>
      </c>
    </row>
    <row r="559" spans="1:12" x14ac:dyDescent="0.3">
      <c r="A559" t="s">
        <v>5387</v>
      </c>
      <c r="B559" s="1">
        <v>44088</v>
      </c>
      <c r="C559" t="s">
        <v>558</v>
      </c>
      <c r="D559" t="s">
        <v>559</v>
      </c>
      <c r="E559" t="s">
        <v>14</v>
      </c>
      <c r="F559" t="s">
        <v>15</v>
      </c>
      <c r="G559" t="s">
        <v>18</v>
      </c>
      <c r="H559" t="s">
        <v>5391</v>
      </c>
      <c r="I559" s="2">
        <v>99.584999999999994</v>
      </c>
      <c r="J559">
        <v>1</v>
      </c>
      <c r="K559" s="2">
        <v>-18.038499999999999</v>
      </c>
      <c r="L559" s="3">
        <f>(Table1[[#This Row],[Profit]]/Table1[[#This Row],[Sales]])*100</f>
        <v>-18.113671737711503</v>
      </c>
    </row>
    <row r="560" spans="1:12" x14ac:dyDescent="0.3">
      <c r="A560" t="s">
        <v>773</v>
      </c>
      <c r="B560" s="1">
        <v>43550</v>
      </c>
      <c r="C560" t="s">
        <v>774</v>
      </c>
      <c r="D560" t="s">
        <v>775</v>
      </c>
      <c r="E560" t="s">
        <v>14</v>
      </c>
      <c r="F560" t="s">
        <v>41</v>
      </c>
      <c r="G560" t="s">
        <v>18</v>
      </c>
      <c r="H560" t="s">
        <v>777</v>
      </c>
      <c r="I560" s="2">
        <v>119.976</v>
      </c>
      <c r="J560">
        <v>3</v>
      </c>
      <c r="K560" s="2">
        <v>-17.996400000000001</v>
      </c>
      <c r="L560" s="3">
        <f>(Table1[[#This Row],[Profit]]/Table1[[#This Row],[Sales]])*100</f>
        <v>-15.000000000000002</v>
      </c>
    </row>
    <row r="561" spans="1:12" x14ac:dyDescent="0.3">
      <c r="A561" t="s">
        <v>5361</v>
      </c>
      <c r="B561" s="1">
        <v>44085</v>
      </c>
      <c r="C561" t="s">
        <v>5362</v>
      </c>
      <c r="D561" t="s">
        <v>5363</v>
      </c>
      <c r="E561" t="s">
        <v>14</v>
      </c>
      <c r="F561" t="s">
        <v>23</v>
      </c>
      <c r="G561" t="s">
        <v>18</v>
      </c>
      <c r="H561" t="s">
        <v>5374</v>
      </c>
      <c r="I561" s="2">
        <v>163.96</v>
      </c>
      <c r="J561">
        <v>5</v>
      </c>
      <c r="K561" s="2">
        <v>-17.991</v>
      </c>
      <c r="L561" s="3">
        <f>(Table1[[#This Row],[Profit]]/Table1[[#This Row],[Sales]])*100</f>
        <v>-10.972798243474017</v>
      </c>
    </row>
    <row r="562" spans="1:12" x14ac:dyDescent="0.3">
      <c r="A562" t="s">
        <v>2706</v>
      </c>
      <c r="B562" s="1">
        <v>43719</v>
      </c>
      <c r="C562" t="s">
        <v>1941</v>
      </c>
      <c r="D562" t="s">
        <v>1942</v>
      </c>
      <c r="E562" t="s">
        <v>14</v>
      </c>
      <c r="F562" t="s">
        <v>15</v>
      </c>
      <c r="G562" t="s">
        <v>24</v>
      </c>
      <c r="H562" t="s">
        <v>1556</v>
      </c>
      <c r="I562" s="2">
        <v>22.428000000000001</v>
      </c>
      <c r="J562">
        <v>3</v>
      </c>
      <c r="K562" s="2">
        <v>-17.942399999999999</v>
      </c>
      <c r="L562" s="3">
        <f>(Table1[[#This Row],[Profit]]/Table1[[#This Row],[Sales]])*100</f>
        <v>-80</v>
      </c>
    </row>
    <row r="563" spans="1:12" x14ac:dyDescent="0.3">
      <c r="A563" t="s">
        <v>3315</v>
      </c>
      <c r="B563" s="1">
        <v>43776</v>
      </c>
      <c r="C563" t="s">
        <v>3316</v>
      </c>
      <c r="D563" t="s">
        <v>3317</v>
      </c>
      <c r="E563" t="s">
        <v>14</v>
      </c>
      <c r="F563" t="s">
        <v>29</v>
      </c>
      <c r="G563" t="s">
        <v>16</v>
      </c>
      <c r="H563" t="s">
        <v>3318</v>
      </c>
      <c r="I563" s="2">
        <v>44.46</v>
      </c>
      <c r="J563">
        <v>5</v>
      </c>
      <c r="K563" s="2">
        <v>-17.783999999999999</v>
      </c>
      <c r="L563" s="3">
        <f>(Table1[[#This Row],[Profit]]/Table1[[#This Row],[Sales]])*100</f>
        <v>-40</v>
      </c>
    </row>
    <row r="564" spans="1:12" x14ac:dyDescent="0.3">
      <c r="A564" t="s">
        <v>3640</v>
      </c>
      <c r="B564" s="1">
        <v>43800</v>
      </c>
      <c r="C564" t="s">
        <v>3641</v>
      </c>
      <c r="D564" t="s">
        <v>3642</v>
      </c>
      <c r="E564" t="s">
        <v>14</v>
      </c>
      <c r="F564" t="s">
        <v>29</v>
      </c>
      <c r="G564" t="s">
        <v>16</v>
      </c>
      <c r="H564" t="s">
        <v>561</v>
      </c>
      <c r="I564" s="2">
        <v>248.43</v>
      </c>
      <c r="J564">
        <v>5</v>
      </c>
      <c r="K564" s="2">
        <v>-17.745000000000001</v>
      </c>
      <c r="L564" s="3">
        <f>(Table1[[#This Row],[Profit]]/Table1[[#This Row],[Sales]])*100</f>
        <v>-7.1428571428571423</v>
      </c>
    </row>
    <row r="565" spans="1:12" x14ac:dyDescent="0.3">
      <c r="A565" t="s">
        <v>5860</v>
      </c>
      <c r="B565" s="1">
        <v>44147</v>
      </c>
      <c r="C565" t="s">
        <v>2220</v>
      </c>
      <c r="D565" t="s">
        <v>2221</v>
      </c>
      <c r="E565" t="s">
        <v>14</v>
      </c>
      <c r="F565" t="s">
        <v>29</v>
      </c>
      <c r="G565" t="s">
        <v>16</v>
      </c>
      <c r="H565" t="s">
        <v>2195</v>
      </c>
      <c r="I565" s="2">
        <v>114.848</v>
      </c>
      <c r="J565">
        <v>3</v>
      </c>
      <c r="K565" s="2">
        <v>-17.7072</v>
      </c>
      <c r="L565" s="3">
        <f>(Table1[[#This Row],[Profit]]/Table1[[#This Row],[Sales]])*100</f>
        <v>-15.417943716912788</v>
      </c>
    </row>
    <row r="566" spans="1:12" x14ac:dyDescent="0.3">
      <c r="A566" t="s">
        <v>4958</v>
      </c>
      <c r="B566" s="1">
        <v>44017</v>
      </c>
      <c r="C566" t="s">
        <v>2088</v>
      </c>
      <c r="D566" t="s">
        <v>2089</v>
      </c>
      <c r="E566" t="s">
        <v>14</v>
      </c>
      <c r="F566" t="s">
        <v>29</v>
      </c>
      <c r="G566" t="s">
        <v>24</v>
      </c>
      <c r="H566" t="s">
        <v>1458</v>
      </c>
      <c r="I566" s="2">
        <v>117.39400000000001</v>
      </c>
      <c r="J566">
        <v>9</v>
      </c>
      <c r="K566" s="2">
        <v>-17.660699999999999</v>
      </c>
      <c r="L566" s="3">
        <f>(Table1[[#This Row],[Profit]]/Table1[[#This Row],[Sales]])*100</f>
        <v>-15.043954546228935</v>
      </c>
    </row>
    <row r="567" spans="1:12" x14ac:dyDescent="0.3">
      <c r="A567" t="s">
        <v>6215</v>
      </c>
      <c r="B567" s="1">
        <v>44184</v>
      </c>
      <c r="C567" t="s">
        <v>2915</v>
      </c>
      <c r="D567" t="s">
        <v>2916</v>
      </c>
      <c r="E567" t="s">
        <v>14</v>
      </c>
      <c r="F567" t="s">
        <v>23</v>
      </c>
      <c r="G567" t="s">
        <v>24</v>
      </c>
      <c r="H567" t="s">
        <v>1229</v>
      </c>
      <c r="I567" s="2">
        <v>677.25599999999997</v>
      </c>
      <c r="J567">
        <v>2</v>
      </c>
      <c r="K567" s="2">
        <v>-17.607600000000001</v>
      </c>
      <c r="L567" s="3">
        <f>(Table1[[#This Row],[Profit]]/Table1[[#This Row],[Sales]])*100</f>
        <v>-2.5998440766859212</v>
      </c>
    </row>
    <row r="568" spans="1:12" x14ac:dyDescent="0.3">
      <c r="A568" t="s">
        <v>4572</v>
      </c>
      <c r="B568" s="1">
        <v>43954</v>
      </c>
      <c r="C568" t="s">
        <v>34</v>
      </c>
      <c r="D568" t="s">
        <v>35</v>
      </c>
      <c r="E568" t="s">
        <v>14</v>
      </c>
      <c r="F568" t="s">
        <v>15</v>
      </c>
      <c r="G568" t="s">
        <v>24</v>
      </c>
      <c r="H568" t="s">
        <v>4575</v>
      </c>
      <c r="I568" s="2">
        <v>112.38800000000001</v>
      </c>
      <c r="J568">
        <v>4</v>
      </c>
      <c r="K568" s="2">
        <v>-17.591999999999999</v>
      </c>
      <c r="L568" s="3">
        <f>(Table1[[#This Row],[Profit]]/Table1[[#This Row],[Sales]])*100</f>
        <v>-15.652916681496244</v>
      </c>
    </row>
    <row r="569" spans="1:12" x14ac:dyDescent="0.3">
      <c r="A569" t="s">
        <v>2536</v>
      </c>
      <c r="B569" s="1">
        <v>43710</v>
      </c>
      <c r="C569" t="s">
        <v>1992</v>
      </c>
      <c r="D569" t="s">
        <v>1993</v>
      </c>
      <c r="E569" t="s">
        <v>14</v>
      </c>
      <c r="F569" t="s">
        <v>41</v>
      </c>
      <c r="G569" t="s">
        <v>24</v>
      </c>
      <c r="H569" t="s">
        <v>208</v>
      </c>
      <c r="I569" s="2">
        <v>22.911000000000001</v>
      </c>
      <c r="J569">
        <v>7</v>
      </c>
      <c r="K569" s="2">
        <v>-17.565100000000001</v>
      </c>
      <c r="L569" s="3">
        <f>(Table1[[#This Row],[Profit]]/Table1[[#This Row],[Sales]])*100</f>
        <v>-76.666666666666671</v>
      </c>
    </row>
    <row r="570" spans="1:12" x14ac:dyDescent="0.3">
      <c r="A570" t="s">
        <v>2625</v>
      </c>
      <c r="B570" s="1">
        <v>43713</v>
      </c>
      <c r="C570" t="s">
        <v>2626</v>
      </c>
      <c r="D570" t="s">
        <v>2627</v>
      </c>
      <c r="E570" t="s">
        <v>14</v>
      </c>
      <c r="F570" t="s">
        <v>29</v>
      </c>
      <c r="G570" t="s">
        <v>24</v>
      </c>
      <c r="H570" t="s">
        <v>1624</v>
      </c>
      <c r="I570" s="2">
        <v>93.456000000000003</v>
      </c>
      <c r="J570">
        <v>3</v>
      </c>
      <c r="K570" s="2">
        <v>-17.523</v>
      </c>
      <c r="L570" s="3">
        <f>(Table1[[#This Row],[Profit]]/Table1[[#This Row],[Sales]])*100</f>
        <v>-18.75</v>
      </c>
    </row>
    <row r="571" spans="1:12" x14ac:dyDescent="0.3">
      <c r="A571" t="s">
        <v>5538</v>
      </c>
      <c r="B571" s="1">
        <v>44104</v>
      </c>
      <c r="C571" t="s">
        <v>231</v>
      </c>
      <c r="D571" t="s">
        <v>232</v>
      </c>
      <c r="E571" t="s">
        <v>14</v>
      </c>
      <c r="F571" t="s">
        <v>29</v>
      </c>
      <c r="G571" t="s">
        <v>24</v>
      </c>
      <c r="H571" t="s">
        <v>1382</v>
      </c>
      <c r="I571" s="2">
        <v>127.646</v>
      </c>
      <c r="J571">
        <v>9</v>
      </c>
      <c r="K571" s="2">
        <v>-17.469000000000001</v>
      </c>
      <c r="L571" s="3">
        <f>(Table1[[#This Row],[Profit]]/Table1[[#This Row],[Sales]])*100</f>
        <v>-13.685505225388967</v>
      </c>
    </row>
    <row r="572" spans="1:12" x14ac:dyDescent="0.3">
      <c r="A572" t="s">
        <v>4776</v>
      </c>
      <c r="B572" s="1">
        <v>43986</v>
      </c>
      <c r="C572" t="s">
        <v>2310</v>
      </c>
      <c r="D572" t="s">
        <v>2311</v>
      </c>
      <c r="E572" t="s">
        <v>14</v>
      </c>
      <c r="F572" t="s">
        <v>29</v>
      </c>
      <c r="G572" t="s">
        <v>16</v>
      </c>
      <c r="H572" t="s">
        <v>2892</v>
      </c>
      <c r="I572" s="2">
        <v>133.33600000000001</v>
      </c>
      <c r="J572">
        <v>6</v>
      </c>
      <c r="K572" s="2">
        <v>-17.443200000000001</v>
      </c>
      <c r="L572" s="3">
        <f>(Table1[[#This Row],[Profit]]/Table1[[#This Row],[Sales]])*100</f>
        <v>-13.082138357232855</v>
      </c>
    </row>
    <row r="573" spans="1:12" x14ac:dyDescent="0.3">
      <c r="A573" t="s">
        <v>3467</v>
      </c>
      <c r="B573" s="1">
        <v>43788</v>
      </c>
      <c r="C573" t="s">
        <v>128</v>
      </c>
      <c r="D573" t="s">
        <v>129</v>
      </c>
      <c r="E573" t="s">
        <v>14</v>
      </c>
      <c r="F573" t="s">
        <v>29</v>
      </c>
      <c r="G573" t="s">
        <v>24</v>
      </c>
      <c r="H573" t="s">
        <v>199</v>
      </c>
      <c r="I573" s="2">
        <v>10.78</v>
      </c>
      <c r="J573">
        <v>5</v>
      </c>
      <c r="K573" s="2">
        <v>-17.248000000000001</v>
      </c>
      <c r="L573" s="3">
        <f>(Table1[[#This Row],[Profit]]/Table1[[#This Row],[Sales]])*100</f>
        <v>-160</v>
      </c>
    </row>
    <row r="574" spans="1:12" x14ac:dyDescent="0.3">
      <c r="A574" t="s">
        <v>4453</v>
      </c>
      <c r="B574" s="1">
        <v>43932</v>
      </c>
      <c r="C574" t="s">
        <v>231</v>
      </c>
      <c r="D574" t="s">
        <v>232</v>
      </c>
      <c r="E574" t="s">
        <v>14</v>
      </c>
      <c r="F574" t="s">
        <v>29</v>
      </c>
      <c r="G574" t="s">
        <v>24</v>
      </c>
      <c r="H574" t="s">
        <v>437</v>
      </c>
      <c r="I574" s="2">
        <v>142.364</v>
      </c>
      <c r="J574">
        <v>3</v>
      </c>
      <c r="K574" s="2">
        <v>-17.045999999999999</v>
      </c>
      <c r="L574" s="3">
        <f>(Table1[[#This Row],[Profit]]/Table1[[#This Row],[Sales]])*100</f>
        <v>-11.973532634654829</v>
      </c>
    </row>
    <row r="575" spans="1:12" x14ac:dyDescent="0.3">
      <c r="A575" t="s">
        <v>4202</v>
      </c>
      <c r="B575" s="1">
        <v>43893</v>
      </c>
      <c r="C575" t="s">
        <v>4203</v>
      </c>
      <c r="D575" t="s">
        <v>4204</v>
      </c>
      <c r="E575" t="s">
        <v>14</v>
      </c>
      <c r="F575" t="s">
        <v>23</v>
      </c>
      <c r="G575" t="s">
        <v>16</v>
      </c>
      <c r="H575" t="s">
        <v>1772</v>
      </c>
      <c r="I575" s="2">
        <v>185.352</v>
      </c>
      <c r="J575">
        <v>3</v>
      </c>
      <c r="K575" s="2">
        <v>-17.0352</v>
      </c>
      <c r="L575" s="3">
        <f>(Table1[[#This Row],[Profit]]/Table1[[#This Row],[Sales]])*100</f>
        <v>-9.1907289913246153</v>
      </c>
    </row>
    <row r="576" spans="1:12" x14ac:dyDescent="0.3">
      <c r="A576" t="s">
        <v>4145</v>
      </c>
      <c r="B576" s="1">
        <v>43878</v>
      </c>
      <c r="C576" t="s">
        <v>4146</v>
      </c>
      <c r="D576" t="s">
        <v>4147</v>
      </c>
      <c r="E576" t="s">
        <v>14</v>
      </c>
      <c r="F576" t="s">
        <v>29</v>
      </c>
      <c r="G576" t="s">
        <v>16</v>
      </c>
      <c r="H576" t="s">
        <v>4148</v>
      </c>
      <c r="I576" s="2">
        <v>132.06639999999999</v>
      </c>
      <c r="J576">
        <v>1</v>
      </c>
      <c r="K576" s="2">
        <v>-17.0274</v>
      </c>
      <c r="L576" s="3">
        <f>(Table1[[#This Row],[Profit]]/Table1[[#This Row],[Sales]])*100</f>
        <v>-12.893059854739738</v>
      </c>
    </row>
    <row r="577" spans="1:12" x14ac:dyDescent="0.3">
      <c r="A577" t="s">
        <v>2209</v>
      </c>
      <c r="B577" s="1">
        <v>43675</v>
      </c>
      <c r="C577" t="s">
        <v>64</v>
      </c>
      <c r="D577" t="s">
        <v>65</v>
      </c>
      <c r="E577" t="s">
        <v>14</v>
      </c>
      <c r="F577" t="s">
        <v>15</v>
      </c>
      <c r="G577" t="s">
        <v>24</v>
      </c>
      <c r="H577" t="s">
        <v>1858</v>
      </c>
      <c r="I577" s="2">
        <v>84.784000000000006</v>
      </c>
      <c r="J577">
        <v>2</v>
      </c>
      <c r="K577" s="2">
        <v>-16.956800000000001</v>
      </c>
      <c r="L577" s="3">
        <f>(Table1[[#This Row],[Profit]]/Table1[[#This Row],[Sales]])*100</f>
        <v>-20</v>
      </c>
    </row>
    <row r="578" spans="1:12" x14ac:dyDescent="0.3">
      <c r="A578" t="s">
        <v>5552</v>
      </c>
      <c r="B578" s="1">
        <v>44106</v>
      </c>
      <c r="C578" t="s">
        <v>5553</v>
      </c>
      <c r="D578" t="s">
        <v>5554</v>
      </c>
      <c r="E578" t="s">
        <v>14</v>
      </c>
      <c r="F578" t="s">
        <v>23</v>
      </c>
      <c r="G578" t="s">
        <v>24</v>
      </c>
      <c r="H578" t="s">
        <v>199</v>
      </c>
      <c r="I578" s="2">
        <v>138.63800000000001</v>
      </c>
      <c r="J578">
        <v>7</v>
      </c>
      <c r="K578" s="2">
        <v>-16.601199999999999</v>
      </c>
      <c r="L578" s="3">
        <f>(Table1[[#This Row],[Profit]]/Table1[[#This Row],[Sales]])*100</f>
        <v>-11.974494727275349</v>
      </c>
    </row>
    <row r="579" spans="1:12" x14ac:dyDescent="0.3">
      <c r="A579" t="s">
        <v>6166</v>
      </c>
      <c r="B579" s="1">
        <v>44176</v>
      </c>
      <c r="C579" t="s">
        <v>1702</v>
      </c>
      <c r="D579" t="s">
        <v>1703</v>
      </c>
      <c r="E579" t="s">
        <v>14</v>
      </c>
      <c r="F579" t="s">
        <v>41</v>
      </c>
      <c r="G579" t="s">
        <v>18</v>
      </c>
      <c r="H579" t="s">
        <v>1442</v>
      </c>
      <c r="I579" s="2">
        <v>344.56799999999998</v>
      </c>
      <c r="J579">
        <v>4</v>
      </c>
      <c r="K579" s="2">
        <v>-16.552800000000001</v>
      </c>
      <c r="L579" s="3">
        <f>(Table1[[#This Row],[Profit]]/Table1[[#This Row],[Sales]])*100</f>
        <v>-4.8039283972974864</v>
      </c>
    </row>
    <row r="580" spans="1:12" x14ac:dyDescent="0.3">
      <c r="A580" t="s">
        <v>2484</v>
      </c>
      <c r="B580" s="1">
        <v>43705</v>
      </c>
      <c r="C580" t="s">
        <v>2485</v>
      </c>
      <c r="D580" t="s">
        <v>2486</v>
      </c>
      <c r="E580" t="s">
        <v>14</v>
      </c>
      <c r="F580" t="s">
        <v>29</v>
      </c>
      <c r="G580" t="s">
        <v>24</v>
      </c>
      <c r="H580" t="s">
        <v>1005</v>
      </c>
      <c r="I580" s="2">
        <v>10.023999999999999</v>
      </c>
      <c r="J580">
        <v>4</v>
      </c>
      <c r="K580" s="2">
        <v>-16.5396</v>
      </c>
      <c r="L580" s="3">
        <f>(Table1[[#This Row],[Profit]]/Table1[[#This Row],[Sales]])*100</f>
        <v>-165</v>
      </c>
    </row>
    <row r="581" spans="1:12" x14ac:dyDescent="0.3">
      <c r="A581" t="s">
        <v>4854</v>
      </c>
      <c r="B581" s="1">
        <v>43999</v>
      </c>
      <c r="C581" t="s">
        <v>3532</v>
      </c>
      <c r="D581" t="s">
        <v>3533</v>
      </c>
      <c r="E581" t="s">
        <v>14</v>
      </c>
      <c r="F581" t="s">
        <v>29</v>
      </c>
      <c r="G581" t="s">
        <v>24</v>
      </c>
      <c r="H581" t="s">
        <v>3303</v>
      </c>
      <c r="I581" s="2">
        <v>123.36</v>
      </c>
      <c r="J581">
        <v>4</v>
      </c>
      <c r="K581" s="2">
        <v>-16.38</v>
      </c>
      <c r="L581" s="3">
        <f>(Table1[[#This Row],[Profit]]/Table1[[#This Row],[Sales]])*100</f>
        <v>-13.278210116731518</v>
      </c>
    </row>
    <row r="582" spans="1:12" x14ac:dyDescent="0.3">
      <c r="A582" t="s">
        <v>3467</v>
      </c>
      <c r="B582" s="1">
        <v>43788</v>
      </c>
      <c r="C582" t="s">
        <v>128</v>
      </c>
      <c r="D582" t="s">
        <v>129</v>
      </c>
      <c r="E582" t="s">
        <v>14</v>
      </c>
      <c r="F582" t="s">
        <v>29</v>
      </c>
      <c r="G582" t="s">
        <v>24</v>
      </c>
      <c r="H582" t="s">
        <v>2889</v>
      </c>
      <c r="I582" s="2">
        <v>100.70399999999999</v>
      </c>
      <c r="J582">
        <v>6</v>
      </c>
      <c r="K582" s="2">
        <v>-16.3644</v>
      </c>
      <c r="L582" s="3">
        <f>(Table1[[#This Row],[Profit]]/Table1[[#This Row],[Sales]])*100</f>
        <v>-16.25</v>
      </c>
    </row>
    <row r="583" spans="1:12" x14ac:dyDescent="0.3">
      <c r="A583" t="s">
        <v>5933</v>
      </c>
      <c r="B583" s="1">
        <v>44153</v>
      </c>
      <c r="C583" t="s">
        <v>1750</v>
      </c>
      <c r="D583" t="s">
        <v>1751</v>
      </c>
      <c r="E583" t="s">
        <v>14</v>
      </c>
      <c r="F583" t="s">
        <v>41</v>
      </c>
      <c r="G583" t="s">
        <v>24</v>
      </c>
      <c r="H583" t="s">
        <v>3304</v>
      </c>
      <c r="I583" s="2">
        <v>138.232</v>
      </c>
      <c r="J583">
        <v>8</v>
      </c>
      <c r="K583" s="2">
        <v>-16.185600000000001</v>
      </c>
      <c r="L583" s="3">
        <f>(Table1[[#This Row],[Profit]]/Table1[[#This Row],[Sales]])*100</f>
        <v>-11.709010938132995</v>
      </c>
    </row>
    <row r="584" spans="1:12" x14ac:dyDescent="0.3">
      <c r="A584" t="s">
        <v>5998</v>
      </c>
      <c r="B584" s="1">
        <v>44159</v>
      </c>
      <c r="C584" t="s">
        <v>3942</v>
      </c>
      <c r="D584" t="s">
        <v>3943</v>
      </c>
      <c r="E584" t="s">
        <v>14</v>
      </c>
      <c r="F584" t="s">
        <v>15</v>
      </c>
      <c r="G584" t="s">
        <v>16</v>
      </c>
      <c r="H584" t="s">
        <v>2948</v>
      </c>
      <c r="I584" s="2">
        <v>371.56799999999998</v>
      </c>
      <c r="J584">
        <v>2</v>
      </c>
      <c r="K584" s="2">
        <v>-16.078399999999998</v>
      </c>
      <c r="L584" s="3">
        <f>(Table1[[#This Row],[Profit]]/Table1[[#This Row],[Sales]])*100</f>
        <v>-4.3271756448348615</v>
      </c>
    </row>
    <row r="585" spans="1:12" x14ac:dyDescent="0.3">
      <c r="A585" t="s">
        <v>3274</v>
      </c>
      <c r="B585" s="1">
        <v>43774</v>
      </c>
      <c r="C585" t="s">
        <v>1451</v>
      </c>
      <c r="D585" t="s">
        <v>1452</v>
      </c>
      <c r="E585" t="s">
        <v>14</v>
      </c>
      <c r="F585" t="s">
        <v>15</v>
      </c>
      <c r="G585" t="s">
        <v>18</v>
      </c>
      <c r="H585" t="s">
        <v>2382</v>
      </c>
      <c r="I585" s="2">
        <v>23.988</v>
      </c>
      <c r="J585">
        <v>2</v>
      </c>
      <c r="K585" s="2">
        <v>-15.992000000000001</v>
      </c>
      <c r="L585" s="3">
        <f>(Table1[[#This Row],[Profit]]/Table1[[#This Row],[Sales]])*100</f>
        <v>-66.666666666666671</v>
      </c>
    </row>
    <row r="586" spans="1:12" x14ac:dyDescent="0.3">
      <c r="A586" t="s">
        <v>4628</v>
      </c>
      <c r="B586" s="1">
        <v>43963</v>
      </c>
      <c r="C586" t="s">
        <v>424</v>
      </c>
      <c r="D586" t="s">
        <v>425</v>
      </c>
      <c r="E586" t="s">
        <v>14</v>
      </c>
      <c r="F586" t="s">
        <v>29</v>
      </c>
      <c r="G586" t="s">
        <v>24</v>
      </c>
      <c r="H586" t="s">
        <v>1096</v>
      </c>
      <c r="I586" s="2">
        <v>173.92</v>
      </c>
      <c r="J586">
        <v>5</v>
      </c>
      <c r="K586" s="2">
        <v>-15.99</v>
      </c>
      <c r="L586" s="3">
        <f>(Table1[[#This Row],[Profit]]/Table1[[#This Row],[Sales]])*100</f>
        <v>-9.1938822447102115</v>
      </c>
    </row>
    <row r="587" spans="1:12" x14ac:dyDescent="0.3">
      <c r="A587" t="s">
        <v>4490</v>
      </c>
      <c r="B587" s="1">
        <v>43938</v>
      </c>
      <c r="C587" t="s">
        <v>4491</v>
      </c>
      <c r="D587" t="s">
        <v>4492</v>
      </c>
      <c r="E587" t="s">
        <v>14</v>
      </c>
      <c r="F587" t="s">
        <v>23</v>
      </c>
      <c r="G587" t="s">
        <v>24</v>
      </c>
      <c r="H587" t="s">
        <v>3321</v>
      </c>
      <c r="I587" s="2">
        <v>138.59399999999999</v>
      </c>
      <c r="J587">
        <v>2</v>
      </c>
      <c r="K587" s="2">
        <v>-15.835599999999999</v>
      </c>
      <c r="L587" s="3">
        <f>(Table1[[#This Row],[Profit]]/Table1[[#This Row],[Sales]])*100</f>
        <v>-11.425891452732442</v>
      </c>
    </row>
    <row r="588" spans="1:12" x14ac:dyDescent="0.3">
      <c r="A588" t="s">
        <v>4564</v>
      </c>
      <c r="B588" s="1">
        <v>43952</v>
      </c>
      <c r="C588" t="s">
        <v>1403</v>
      </c>
      <c r="D588" t="s">
        <v>1404</v>
      </c>
      <c r="E588" t="s">
        <v>14</v>
      </c>
      <c r="F588" t="s">
        <v>41</v>
      </c>
      <c r="G588" t="s">
        <v>16</v>
      </c>
      <c r="H588" t="s">
        <v>952</v>
      </c>
      <c r="I588" s="2">
        <v>335.35199999999998</v>
      </c>
      <c r="J588">
        <v>3</v>
      </c>
      <c r="K588" s="2">
        <v>-15.717599999999999</v>
      </c>
      <c r="L588" s="3">
        <f>(Table1[[#This Row],[Profit]]/Table1[[#This Row],[Sales]])*100</f>
        <v>-4.6868961568739715</v>
      </c>
    </row>
    <row r="589" spans="1:12" x14ac:dyDescent="0.3">
      <c r="A589" t="s">
        <v>5595</v>
      </c>
      <c r="B589" s="1">
        <v>44113</v>
      </c>
      <c r="C589" t="s">
        <v>4308</v>
      </c>
      <c r="D589" t="s">
        <v>4309</v>
      </c>
      <c r="E589" t="s">
        <v>14</v>
      </c>
      <c r="F589" t="s">
        <v>15</v>
      </c>
      <c r="G589" t="s">
        <v>16</v>
      </c>
      <c r="H589" t="s">
        <v>2979</v>
      </c>
      <c r="I589" s="2">
        <v>351.35199999999998</v>
      </c>
      <c r="J589">
        <v>3</v>
      </c>
      <c r="K589" s="2">
        <v>-15.717599999999999</v>
      </c>
      <c r="L589" s="3">
        <f>(Table1[[#This Row],[Profit]]/Table1[[#This Row],[Sales]])*100</f>
        <v>-4.4734625105307497</v>
      </c>
    </row>
    <row r="590" spans="1:12" x14ac:dyDescent="0.3">
      <c r="A590" t="s">
        <v>5860</v>
      </c>
      <c r="B590" s="1">
        <v>44147</v>
      </c>
      <c r="C590" t="s">
        <v>2220</v>
      </c>
      <c r="D590" t="s">
        <v>2221</v>
      </c>
      <c r="E590" t="s">
        <v>14</v>
      </c>
      <c r="F590" t="s">
        <v>29</v>
      </c>
      <c r="G590" t="s">
        <v>24</v>
      </c>
      <c r="H590" t="s">
        <v>917</v>
      </c>
      <c r="I590" s="2">
        <v>117.952</v>
      </c>
      <c r="J590">
        <v>3</v>
      </c>
      <c r="K590" s="2">
        <v>-15.590400000000001</v>
      </c>
      <c r="L590" s="3">
        <f>(Table1[[#This Row],[Profit]]/Table1[[#This Row],[Sales]])*100</f>
        <v>-13.217580032555617</v>
      </c>
    </row>
    <row r="591" spans="1:12" x14ac:dyDescent="0.3">
      <c r="A591" t="s">
        <v>3050</v>
      </c>
      <c r="B591" s="1">
        <v>43747</v>
      </c>
      <c r="C591" t="s">
        <v>3051</v>
      </c>
      <c r="D591" t="s">
        <v>3052</v>
      </c>
      <c r="E591" t="s">
        <v>14</v>
      </c>
      <c r="F591" t="s">
        <v>15</v>
      </c>
      <c r="G591" t="s">
        <v>18</v>
      </c>
      <c r="H591" t="s">
        <v>334</v>
      </c>
      <c r="I591" s="2">
        <v>23.975999999999999</v>
      </c>
      <c r="J591">
        <v>4</v>
      </c>
      <c r="K591" s="2">
        <v>-15.5844</v>
      </c>
      <c r="L591" s="3">
        <f>(Table1[[#This Row],[Profit]]/Table1[[#This Row],[Sales]])*100</f>
        <v>-65</v>
      </c>
    </row>
    <row r="592" spans="1:12" x14ac:dyDescent="0.3">
      <c r="A592" t="s">
        <v>113</v>
      </c>
      <c r="B592" s="1">
        <v>43480</v>
      </c>
      <c r="C592" t="s">
        <v>114</v>
      </c>
      <c r="D592" t="s">
        <v>115</v>
      </c>
      <c r="E592" t="s">
        <v>14</v>
      </c>
      <c r="F592" t="s">
        <v>15</v>
      </c>
      <c r="G592" t="s">
        <v>16</v>
      </c>
      <c r="H592" t="s">
        <v>116</v>
      </c>
      <c r="I592" s="2">
        <v>181.797</v>
      </c>
      <c r="J592">
        <v>1</v>
      </c>
      <c r="K592" s="2">
        <v>-15.582599999999999</v>
      </c>
      <c r="L592" s="3">
        <f>(Table1[[#This Row],[Profit]]/Table1[[#This Row],[Sales]])*100</f>
        <v>-8.5714285714285712</v>
      </c>
    </row>
    <row r="593" spans="1:12" x14ac:dyDescent="0.3">
      <c r="A593" t="s">
        <v>5522</v>
      </c>
      <c r="B593" s="1">
        <v>44103</v>
      </c>
      <c r="C593" t="s">
        <v>4784</v>
      </c>
      <c r="D593" t="s">
        <v>4785</v>
      </c>
      <c r="E593" t="s">
        <v>14</v>
      </c>
      <c r="F593" t="s">
        <v>15</v>
      </c>
      <c r="G593" t="s">
        <v>16</v>
      </c>
      <c r="H593" t="s">
        <v>3383</v>
      </c>
      <c r="I593" s="2">
        <v>100.68600000000001</v>
      </c>
      <c r="J593">
        <v>1</v>
      </c>
      <c r="K593" s="2">
        <v>-15.4666</v>
      </c>
      <c r="L593" s="3">
        <f>(Table1[[#This Row],[Profit]]/Table1[[#This Row],[Sales]])*100</f>
        <v>-15.361222016963627</v>
      </c>
    </row>
    <row r="594" spans="1:12" x14ac:dyDescent="0.3">
      <c r="A594" t="s">
        <v>636</v>
      </c>
      <c r="B594" s="1">
        <v>43537</v>
      </c>
      <c r="C594" t="s">
        <v>637</v>
      </c>
      <c r="D594" t="s">
        <v>638</v>
      </c>
      <c r="E594" t="s">
        <v>14</v>
      </c>
      <c r="F594" t="s">
        <v>15</v>
      </c>
      <c r="G594" t="s">
        <v>24</v>
      </c>
      <c r="H594" t="s">
        <v>644</v>
      </c>
      <c r="I594" s="2">
        <v>23.16</v>
      </c>
      <c r="J594">
        <v>5</v>
      </c>
      <c r="K594" s="2">
        <v>-15.44</v>
      </c>
      <c r="L594" s="3">
        <f>(Table1[[#This Row],[Profit]]/Table1[[#This Row],[Sales]])*100</f>
        <v>-66.666666666666657</v>
      </c>
    </row>
    <row r="595" spans="1:12" x14ac:dyDescent="0.3">
      <c r="A595" t="s">
        <v>6048</v>
      </c>
      <c r="B595" s="1">
        <v>44165</v>
      </c>
      <c r="C595" t="s">
        <v>1299</v>
      </c>
      <c r="D595" t="s">
        <v>1300</v>
      </c>
      <c r="E595" t="s">
        <v>14</v>
      </c>
      <c r="F595" t="s">
        <v>15</v>
      </c>
      <c r="G595" t="s">
        <v>16</v>
      </c>
      <c r="H595" t="s">
        <v>1900</v>
      </c>
      <c r="I595" s="2">
        <v>1129.316</v>
      </c>
      <c r="J595">
        <v>6</v>
      </c>
      <c r="K595" s="2">
        <v>-15.418799999999999</v>
      </c>
      <c r="L595" s="3">
        <f>(Table1[[#This Row],[Profit]]/Table1[[#This Row],[Sales]])*100</f>
        <v>-1.3653220179294367</v>
      </c>
    </row>
    <row r="596" spans="1:12" x14ac:dyDescent="0.3">
      <c r="A596" t="s">
        <v>5338</v>
      </c>
      <c r="B596" s="1">
        <v>44083</v>
      </c>
      <c r="C596" t="s">
        <v>271</v>
      </c>
      <c r="D596" t="s">
        <v>272</v>
      </c>
      <c r="E596" t="s">
        <v>14</v>
      </c>
      <c r="F596" t="s">
        <v>23</v>
      </c>
      <c r="G596" t="s">
        <v>16</v>
      </c>
      <c r="H596" t="s">
        <v>1537</v>
      </c>
      <c r="I596" s="2">
        <v>286.92</v>
      </c>
      <c r="J596">
        <v>5</v>
      </c>
      <c r="K596" s="2">
        <v>-15.244999999999999</v>
      </c>
      <c r="L596" s="3">
        <f>(Table1[[#This Row],[Profit]]/Table1[[#This Row],[Sales]])*100</f>
        <v>-5.3133277568660251</v>
      </c>
    </row>
    <row r="597" spans="1:12" x14ac:dyDescent="0.3">
      <c r="A597" t="s">
        <v>6001</v>
      </c>
      <c r="B597" s="1">
        <v>44159</v>
      </c>
      <c r="C597" t="s">
        <v>779</v>
      </c>
      <c r="D597" t="s">
        <v>780</v>
      </c>
      <c r="E597" t="s">
        <v>14</v>
      </c>
      <c r="F597" t="s">
        <v>23</v>
      </c>
      <c r="G597" t="s">
        <v>24</v>
      </c>
      <c r="H597" t="s">
        <v>5157</v>
      </c>
      <c r="I597" s="2">
        <v>107.724</v>
      </c>
      <c r="J597">
        <v>2</v>
      </c>
      <c r="K597" s="2">
        <v>-15.1976</v>
      </c>
      <c r="L597" s="3">
        <f>(Table1[[#This Row],[Profit]]/Table1[[#This Row],[Sales]])*100</f>
        <v>-14.107905387843006</v>
      </c>
    </row>
    <row r="598" spans="1:12" x14ac:dyDescent="0.3">
      <c r="A598" t="s">
        <v>5693</v>
      </c>
      <c r="B598" s="1">
        <v>44127</v>
      </c>
      <c r="C598" t="s">
        <v>5694</v>
      </c>
      <c r="D598" t="s">
        <v>5695</v>
      </c>
      <c r="E598" t="s">
        <v>14</v>
      </c>
      <c r="F598" t="s">
        <v>29</v>
      </c>
      <c r="G598" t="s">
        <v>24</v>
      </c>
      <c r="H598" t="s">
        <v>690</v>
      </c>
      <c r="I598" s="2">
        <v>125.762</v>
      </c>
      <c r="J598">
        <v>3</v>
      </c>
      <c r="K598" s="2">
        <v>-15.1311</v>
      </c>
      <c r="L598" s="3">
        <f>(Table1[[#This Row],[Profit]]/Table1[[#This Row],[Sales]])*100</f>
        <v>-12.031535758019116</v>
      </c>
    </row>
    <row r="599" spans="1:12" x14ac:dyDescent="0.3">
      <c r="A599" t="s">
        <v>5252</v>
      </c>
      <c r="B599" s="1">
        <v>44076</v>
      </c>
      <c r="C599" t="s">
        <v>3172</v>
      </c>
      <c r="D599" t="s">
        <v>3173</v>
      </c>
      <c r="E599" t="s">
        <v>14</v>
      </c>
      <c r="F599" t="s">
        <v>29</v>
      </c>
      <c r="G599" t="s">
        <v>24</v>
      </c>
      <c r="H599" t="s">
        <v>905</v>
      </c>
      <c r="I599" s="2">
        <v>82.587999999999994</v>
      </c>
      <c r="J599">
        <v>2</v>
      </c>
      <c r="K599" s="2">
        <v>-15.0876</v>
      </c>
      <c r="L599" s="3">
        <f>(Table1[[#This Row],[Profit]]/Table1[[#This Row],[Sales]])*100</f>
        <v>-18.268513585508792</v>
      </c>
    </row>
    <row r="600" spans="1:12" x14ac:dyDescent="0.3">
      <c r="A600" t="s">
        <v>1553</v>
      </c>
      <c r="B600" s="1">
        <v>43615</v>
      </c>
      <c r="C600" t="s">
        <v>1554</v>
      </c>
      <c r="D600" t="s">
        <v>1555</v>
      </c>
      <c r="E600" t="s">
        <v>14</v>
      </c>
      <c r="F600" t="s">
        <v>23</v>
      </c>
      <c r="G600" t="s">
        <v>24</v>
      </c>
      <c r="H600" t="s">
        <v>1219</v>
      </c>
      <c r="I600" s="2">
        <v>22.62</v>
      </c>
      <c r="J600">
        <v>2</v>
      </c>
      <c r="K600" s="2">
        <v>-15.08</v>
      </c>
      <c r="L600" s="3">
        <f>(Table1[[#This Row],[Profit]]/Table1[[#This Row],[Sales]])*100</f>
        <v>-66.666666666666657</v>
      </c>
    </row>
    <row r="601" spans="1:12" x14ac:dyDescent="0.3">
      <c r="A601" t="s">
        <v>5997</v>
      </c>
      <c r="B601" s="1">
        <v>44159</v>
      </c>
      <c r="C601" t="s">
        <v>5477</v>
      </c>
      <c r="D601" t="s">
        <v>5478</v>
      </c>
      <c r="E601" t="s">
        <v>14</v>
      </c>
      <c r="F601" t="s">
        <v>15</v>
      </c>
      <c r="G601" t="s">
        <v>18</v>
      </c>
      <c r="H601" t="s">
        <v>2030</v>
      </c>
      <c r="I601" s="2">
        <v>126.988</v>
      </c>
      <c r="J601">
        <v>2</v>
      </c>
      <c r="K601" s="2">
        <v>-14.997999999999999</v>
      </c>
      <c r="L601" s="3">
        <f>(Table1[[#This Row],[Profit]]/Table1[[#This Row],[Sales]])*100</f>
        <v>-11.810564777774276</v>
      </c>
    </row>
    <row r="602" spans="1:12" x14ac:dyDescent="0.3">
      <c r="A602" t="s">
        <v>4027</v>
      </c>
      <c r="B602" s="1">
        <v>43846</v>
      </c>
      <c r="C602" t="s">
        <v>64</v>
      </c>
      <c r="D602" t="s">
        <v>65</v>
      </c>
      <c r="E602" t="s">
        <v>14</v>
      </c>
      <c r="F602" t="s">
        <v>23</v>
      </c>
      <c r="G602" t="s">
        <v>16</v>
      </c>
      <c r="H602" t="s">
        <v>4028</v>
      </c>
      <c r="I602" s="2">
        <v>436.67200000000003</v>
      </c>
      <c r="J602">
        <v>7</v>
      </c>
      <c r="K602" s="2">
        <v>-14.9877</v>
      </c>
      <c r="L602" s="3">
        <f>(Table1[[#This Row],[Profit]]/Table1[[#This Row],[Sales]])*100</f>
        <v>-3.4322557892422689</v>
      </c>
    </row>
    <row r="603" spans="1:12" x14ac:dyDescent="0.3">
      <c r="A603" t="s">
        <v>4205</v>
      </c>
      <c r="B603" s="1">
        <v>43893</v>
      </c>
      <c r="C603" t="s">
        <v>1425</v>
      </c>
      <c r="D603" t="s">
        <v>1426</v>
      </c>
      <c r="E603" t="s">
        <v>14</v>
      </c>
      <c r="F603" t="s">
        <v>23</v>
      </c>
      <c r="G603" t="s">
        <v>16</v>
      </c>
      <c r="H603" t="s">
        <v>4028</v>
      </c>
      <c r="I603" s="2">
        <v>426.67200000000003</v>
      </c>
      <c r="J603">
        <v>7</v>
      </c>
      <c r="K603" s="2">
        <v>-14.9877</v>
      </c>
      <c r="L603" s="3">
        <f>(Table1[[#This Row],[Profit]]/Table1[[#This Row],[Sales]])*100</f>
        <v>-3.5126982787715151</v>
      </c>
    </row>
    <row r="604" spans="1:12" x14ac:dyDescent="0.3">
      <c r="A604" t="s">
        <v>2559</v>
      </c>
      <c r="B604" s="1">
        <v>43711</v>
      </c>
      <c r="C604" t="s">
        <v>815</v>
      </c>
      <c r="D604" t="s">
        <v>816</v>
      </c>
      <c r="E604" t="s">
        <v>14</v>
      </c>
      <c r="F604" t="s">
        <v>29</v>
      </c>
      <c r="G604" t="s">
        <v>24</v>
      </c>
      <c r="H604" t="s">
        <v>71</v>
      </c>
      <c r="I604" s="2">
        <v>8.8079999999999998</v>
      </c>
      <c r="J604">
        <v>3</v>
      </c>
      <c r="K604" s="2">
        <v>-14.973599999999999</v>
      </c>
      <c r="L604" s="3">
        <f>(Table1[[#This Row],[Profit]]/Table1[[#This Row],[Sales]])*100</f>
        <v>-170</v>
      </c>
    </row>
    <row r="605" spans="1:12" x14ac:dyDescent="0.3">
      <c r="A605" t="s">
        <v>3023</v>
      </c>
      <c r="B605" s="1">
        <v>43744</v>
      </c>
      <c r="C605" t="s">
        <v>2520</v>
      </c>
      <c r="D605" t="s">
        <v>2521</v>
      </c>
      <c r="E605" t="s">
        <v>14</v>
      </c>
      <c r="F605" t="s">
        <v>23</v>
      </c>
      <c r="G605" t="s">
        <v>24</v>
      </c>
      <c r="H605" t="s">
        <v>1423</v>
      </c>
      <c r="I605" s="2">
        <v>17.904</v>
      </c>
      <c r="J605">
        <v>4</v>
      </c>
      <c r="K605" s="2">
        <v>-14.92</v>
      </c>
      <c r="L605" s="3">
        <f>(Table1[[#This Row],[Profit]]/Table1[[#This Row],[Sales]])*100</f>
        <v>-83.333333333333343</v>
      </c>
    </row>
    <row r="606" spans="1:12" x14ac:dyDescent="0.3">
      <c r="A606" t="s">
        <v>4618</v>
      </c>
      <c r="B606" s="1">
        <v>43962</v>
      </c>
      <c r="C606" t="s">
        <v>1020</v>
      </c>
      <c r="D606" t="s">
        <v>1021</v>
      </c>
      <c r="E606" t="s">
        <v>14</v>
      </c>
      <c r="F606" t="s">
        <v>29</v>
      </c>
      <c r="G606" t="s">
        <v>24</v>
      </c>
      <c r="H606" t="s">
        <v>284</v>
      </c>
      <c r="I606" s="2">
        <v>100.416</v>
      </c>
      <c r="J606">
        <v>2</v>
      </c>
      <c r="K606" s="2">
        <v>-14.8832</v>
      </c>
      <c r="L606" s="3">
        <f>(Table1[[#This Row],[Profit]]/Table1[[#This Row],[Sales]])*100</f>
        <v>-14.821542383683875</v>
      </c>
    </row>
    <row r="607" spans="1:12" x14ac:dyDescent="0.3">
      <c r="A607" t="s">
        <v>5502</v>
      </c>
      <c r="B607" s="1">
        <v>44098</v>
      </c>
      <c r="C607" t="s">
        <v>702</v>
      </c>
      <c r="D607" t="s">
        <v>703</v>
      </c>
      <c r="E607" t="s">
        <v>14</v>
      </c>
      <c r="F607" t="s">
        <v>29</v>
      </c>
      <c r="G607" t="s">
        <v>16</v>
      </c>
      <c r="H607" t="s">
        <v>4185</v>
      </c>
      <c r="I607" s="2">
        <v>563.46400000000006</v>
      </c>
      <c r="J607">
        <v>2</v>
      </c>
      <c r="K607" s="2">
        <v>-14.8704</v>
      </c>
      <c r="L607" s="3">
        <f>(Table1[[#This Row],[Profit]]/Table1[[#This Row],[Sales]])*100</f>
        <v>-2.6391038291709847</v>
      </c>
    </row>
    <row r="608" spans="1:12" x14ac:dyDescent="0.3">
      <c r="A608" t="s">
        <v>6170</v>
      </c>
      <c r="B608" s="1">
        <v>44176</v>
      </c>
      <c r="C608" t="s">
        <v>3421</v>
      </c>
      <c r="D608" t="s">
        <v>3422</v>
      </c>
      <c r="E608" t="s">
        <v>14</v>
      </c>
      <c r="F608" t="s">
        <v>29</v>
      </c>
      <c r="G608" t="s">
        <v>16</v>
      </c>
      <c r="H608" t="s">
        <v>4185</v>
      </c>
      <c r="I608" s="2">
        <v>775.46400000000006</v>
      </c>
      <c r="J608">
        <v>2</v>
      </c>
      <c r="K608" s="2">
        <v>-14.8704</v>
      </c>
      <c r="L608" s="3">
        <f>(Table1[[#This Row],[Profit]]/Table1[[#This Row],[Sales]])*100</f>
        <v>-1.9176131967441428</v>
      </c>
    </row>
    <row r="609" spans="1:12" x14ac:dyDescent="0.3">
      <c r="A609" t="s">
        <v>4016</v>
      </c>
      <c r="B609" s="1">
        <v>43844</v>
      </c>
      <c r="C609" t="s">
        <v>3002</v>
      </c>
      <c r="D609" t="s">
        <v>3003</v>
      </c>
      <c r="E609" t="s">
        <v>14</v>
      </c>
      <c r="F609" t="s">
        <v>23</v>
      </c>
      <c r="G609" t="s">
        <v>18</v>
      </c>
      <c r="H609" t="s">
        <v>131</v>
      </c>
      <c r="I609" s="2">
        <v>194.06399999999999</v>
      </c>
      <c r="J609">
        <v>7</v>
      </c>
      <c r="K609" s="2">
        <v>-14.793100000000001</v>
      </c>
      <c r="L609" s="3">
        <f>(Table1[[#This Row],[Profit]]/Table1[[#This Row],[Sales]])*100</f>
        <v>-7.6227945420067611</v>
      </c>
    </row>
    <row r="610" spans="1:12" x14ac:dyDescent="0.3">
      <c r="A610" t="s">
        <v>3119</v>
      </c>
      <c r="B610" s="1">
        <v>43758</v>
      </c>
      <c r="C610" t="s">
        <v>2930</v>
      </c>
      <c r="D610" t="s">
        <v>2931</v>
      </c>
      <c r="E610" t="s">
        <v>14</v>
      </c>
      <c r="F610" t="s">
        <v>29</v>
      </c>
      <c r="G610" t="s">
        <v>16</v>
      </c>
      <c r="H610" t="s">
        <v>2596</v>
      </c>
      <c r="I610" s="2">
        <v>56.686</v>
      </c>
      <c r="J610">
        <v>1</v>
      </c>
      <c r="K610" s="2">
        <v>-14.5764</v>
      </c>
      <c r="L610" s="3">
        <f>(Table1[[#This Row],[Profit]]/Table1[[#This Row],[Sales]])*100</f>
        <v>-25.714285714285712</v>
      </c>
    </row>
    <row r="611" spans="1:12" x14ac:dyDescent="0.3">
      <c r="A611" t="s">
        <v>3686</v>
      </c>
      <c r="B611" s="1">
        <v>43802</v>
      </c>
      <c r="C611" t="s">
        <v>565</v>
      </c>
      <c r="D611" t="s">
        <v>566</v>
      </c>
      <c r="E611" t="s">
        <v>14</v>
      </c>
      <c r="F611" t="s">
        <v>15</v>
      </c>
      <c r="G611" t="s">
        <v>24</v>
      </c>
      <c r="H611" t="s">
        <v>3689</v>
      </c>
      <c r="I611" s="2">
        <v>18.192</v>
      </c>
      <c r="J611">
        <v>4</v>
      </c>
      <c r="K611" s="2">
        <v>-14.553599999999999</v>
      </c>
      <c r="L611" s="3">
        <f>(Table1[[#This Row],[Profit]]/Table1[[#This Row],[Sales]])*100</f>
        <v>-80</v>
      </c>
    </row>
    <row r="612" spans="1:12" x14ac:dyDescent="0.3">
      <c r="A612" t="s">
        <v>4511</v>
      </c>
      <c r="B612" s="1">
        <v>43944</v>
      </c>
      <c r="C612" t="s">
        <v>2685</v>
      </c>
      <c r="D612" t="s">
        <v>2686</v>
      </c>
      <c r="E612" t="s">
        <v>14</v>
      </c>
      <c r="F612" t="s">
        <v>41</v>
      </c>
      <c r="G612" t="s">
        <v>16</v>
      </c>
      <c r="H612" t="s">
        <v>4517</v>
      </c>
      <c r="I612" s="2">
        <v>415.13600000000002</v>
      </c>
      <c r="J612">
        <v>4</v>
      </c>
      <c r="K612" s="2">
        <v>-14.5176</v>
      </c>
      <c r="L612" s="3">
        <f>(Table1[[#This Row],[Profit]]/Table1[[#This Row],[Sales]])*100</f>
        <v>-3.497070839435751</v>
      </c>
    </row>
    <row r="613" spans="1:12" x14ac:dyDescent="0.3">
      <c r="A613" t="s">
        <v>1975</v>
      </c>
      <c r="B613" s="1">
        <v>43653</v>
      </c>
      <c r="C613" t="s">
        <v>1976</v>
      </c>
      <c r="D613" t="s">
        <v>1977</v>
      </c>
      <c r="E613" t="s">
        <v>14</v>
      </c>
      <c r="F613" t="s">
        <v>29</v>
      </c>
      <c r="G613" t="s">
        <v>16</v>
      </c>
      <c r="H613" t="s">
        <v>146</v>
      </c>
      <c r="I613" s="2">
        <v>253.37200000000001</v>
      </c>
      <c r="J613">
        <v>2</v>
      </c>
      <c r="K613" s="2">
        <v>-14.478400000000001</v>
      </c>
      <c r="L613" s="3">
        <f>(Table1[[#This Row],[Profit]]/Table1[[#This Row],[Sales]])*100</f>
        <v>-5.7142857142857144</v>
      </c>
    </row>
    <row r="614" spans="1:12" x14ac:dyDescent="0.3">
      <c r="A614" t="s">
        <v>5588</v>
      </c>
      <c r="B614" s="1">
        <v>44111</v>
      </c>
      <c r="C614" t="s">
        <v>3334</v>
      </c>
      <c r="D614" t="s">
        <v>3335</v>
      </c>
      <c r="E614" t="s">
        <v>14</v>
      </c>
      <c r="F614" t="s">
        <v>23</v>
      </c>
      <c r="G614" t="s">
        <v>16</v>
      </c>
      <c r="H614" t="s">
        <v>5589</v>
      </c>
      <c r="I614" s="2">
        <v>350.666</v>
      </c>
      <c r="J614">
        <v>2</v>
      </c>
      <c r="K614" s="2">
        <v>-14.478400000000001</v>
      </c>
      <c r="L614" s="3">
        <f>(Table1[[#This Row],[Profit]]/Table1[[#This Row],[Sales]])*100</f>
        <v>-4.1288291422607264</v>
      </c>
    </row>
    <row r="615" spans="1:12" x14ac:dyDescent="0.3">
      <c r="A615" t="s">
        <v>5925</v>
      </c>
      <c r="B615" s="1">
        <v>44152</v>
      </c>
      <c r="C615" t="s">
        <v>89</v>
      </c>
      <c r="D615" t="s">
        <v>90</v>
      </c>
      <c r="E615" t="s">
        <v>14</v>
      </c>
      <c r="F615" t="s">
        <v>29</v>
      </c>
      <c r="G615" t="s">
        <v>16</v>
      </c>
      <c r="H615" t="s">
        <v>712</v>
      </c>
      <c r="I615" s="2">
        <v>342.7328</v>
      </c>
      <c r="J615">
        <v>2</v>
      </c>
      <c r="K615" s="2">
        <v>-14.4588</v>
      </c>
      <c r="L615" s="3">
        <f>(Table1[[#This Row],[Profit]]/Table1[[#This Row],[Sales]])*100</f>
        <v>-4.2186799746041235</v>
      </c>
    </row>
    <row r="616" spans="1:12" x14ac:dyDescent="0.3">
      <c r="A616" t="s">
        <v>3260</v>
      </c>
      <c r="B616" s="1">
        <v>43773</v>
      </c>
      <c r="C616" t="s">
        <v>3002</v>
      </c>
      <c r="D616" t="s">
        <v>3003</v>
      </c>
      <c r="E616" t="s">
        <v>14</v>
      </c>
      <c r="F616" t="s">
        <v>23</v>
      </c>
      <c r="G616" t="s">
        <v>16</v>
      </c>
      <c r="H616" t="s">
        <v>1216</v>
      </c>
      <c r="I616" s="2">
        <v>104.78400000000001</v>
      </c>
      <c r="J616">
        <v>1</v>
      </c>
      <c r="K616" s="2">
        <v>-14.4078</v>
      </c>
      <c r="L616" s="3">
        <f>(Table1[[#This Row],[Profit]]/Table1[[#This Row],[Sales]])*100</f>
        <v>-13.749999999999998</v>
      </c>
    </row>
    <row r="617" spans="1:12" x14ac:dyDescent="0.3">
      <c r="A617" t="s">
        <v>4791</v>
      </c>
      <c r="B617" s="1">
        <v>43991</v>
      </c>
      <c r="C617" t="s">
        <v>2494</v>
      </c>
      <c r="D617" t="s">
        <v>2495</v>
      </c>
      <c r="E617" t="s">
        <v>14</v>
      </c>
      <c r="F617" t="s">
        <v>29</v>
      </c>
      <c r="G617" t="s">
        <v>16</v>
      </c>
      <c r="H617" t="s">
        <v>1191</v>
      </c>
      <c r="I617" s="2">
        <v>113.976</v>
      </c>
      <c r="J617">
        <v>3</v>
      </c>
      <c r="K617" s="2">
        <v>-14.3856</v>
      </c>
      <c r="L617" s="3">
        <f>(Table1[[#This Row],[Profit]]/Table1[[#This Row],[Sales]])*100</f>
        <v>-12.621604548325962</v>
      </c>
    </row>
    <row r="618" spans="1:12" x14ac:dyDescent="0.3">
      <c r="A618" t="s">
        <v>6069</v>
      </c>
      <c r="B618" s="1">
        <v>44167</v>
      </c>
      <c r="C618" t="s">
        <v>4254</v>
      </c>
      <c r="D618" t="s">
        <v>4255</v>
      </c>
      <c r="E618" t="s">
        <v>14</v>
      </c>
      <c r="F618" t="s">
        <v>23</v>
      </c>
      <c r="G618" t="s">
        <v>18</v>
      </c>
      <c r="H618" t="s">
        <v>1848</v>
      </c>
      <c r="I618" s="2">
        <v>135.36000000000001</v>
      </c>
      <c r="J618">
        <v>6</v>
      </c>
      <c r="K618" s="2">
        <v>-14.34</v>
      </c>
      <c r="L618" s="3">
        <f>(Table1[[#This Row],[Profit]]/Table1[[#This Row],[Sales]])*100</f>
        <v>-10.593971631205672</v>
      </c>
    </row>
    <row r="619" spans="1:12" x14ac:dyDescent="0.3">
      <c r="A619" t="s">
        <v>3792</v>
      </c>
      <c r="B619" s="1">
        <v>43811</v>
      </c>
      <c r="C619" t="s">
        <v>3209</v>
      </c>
      <c r="D619" t="s">
        <v>3210</v>
      </c>
      <c r="E619" t="s">
        <v>14</v>
      </c>
      <c r="F619" t="s">
        <v>15</v>
      </c>
      <c r="G619" t="s">
        <v>24</v>
      </c>
      <c r="H619" t="s">
        <v>3351</v>
      </c>
      <c r="I619" s="2">
        <v>18.693000000000001</v>
      </c>
      <c r="J619">
        <v>3</v>
      </c>
      <c r="K619" s="2">
        <v>-14.331300000000001</v>
      </c>
      <c r="L619" s="3">
        <f>(Table1[[#This Row],[Profit]]/Table1[[#This Row],[Sales]])*100</f>
        <v>-76.666666666666657</v>
      </c>
    </row>
    <row r="620" spans="1:12" x14ac:dyDescent="0.3">
      <c r="A620" t="s">
        <v>6090</v>
      </c>
      <c r="B620" s="1">
        <v>44168</v>
      </c>
      <c r="C620" t="s">
        <v>779</v>
      </c>
      <c r="D620" t="s">
        <v>780</v>
      </c>
      <c r="E620" t="s">
        <v>14</v>
      </c>
      <c r="F620" t="s">
        <v>29</v>
      </c>
      <c r="G620" t="s">
        <v>16</v>
      </c>
      <c r="H620" t="s">
        <v>4748</v>
      </c>
      <c r="I620" s="2">
        <v>127.592</v>
      </c>
      <c r="J620">
        <v>2</v>
      </c>
      <c r="K620" s="2">
        <v>-14.271599999999999</v>
      </c>
      <c r="L620" s="3">
        <f>(Table1[[#This Row],[Profit]]/Table1[[#This Row],[Sales]])*100</f>
        <v>-11.18534077371622</v>
      </c>
    </row>
    <row r="621" spans="1:12" x14ac:dyDescent="0.3">
      <c r="A621" t="s">
        <v>655</v>
      </c>
      <c r="B621" s="1">
        <v>43538</v>
      </c>
      <c r="C621" t="s">
        <v>336</v>
      </c>
      <c r="D621" t="s">
        <v>337</v>
      </c>
      <c r="E621" t="s">
        <v>14</v>
      </c>
      <c r="F621" t="s">
        <v>29</v>
      </c>
      <c r="G621" t="s">
        <v>16</v>
      </c>
      <c r="H621" t="s">
        <v>656</v>
      </c>
      <c r="I621" s="2">
        <v>241.33199999999999</v>
      </c>
      <c r="J621">
        <v>5</v>
      </c>
      <c r="K621" s="2">
        <v>-14.196</v>
      </c>
      <c r="L621" s="3">
        <f>(Table1[[#This Row],[Profit]]/Table1[[#This Row],[Sales]])*100</f>
        <v>-5.8823529411764701</v>
      </c>
    </row>
    <row r="622" spans="1:12" x14ac:dyDescent="0.3">
      <c r="A622" t="s">
        <v>5029</v>
      </c>
      <c r="B622" s="1">
        <v>44030</v>
      </c>
      <c r="C622" t="s">
        <v>1698</v>
      </c>
      <c r="D622" t="s">
        <v>1699</v>
      </c>
      <c r="E622" t="s">
        <v>14</v>
      </c>
      <c r="F622" t="s">
        <v>15</v>
      </c>
      <c r="G622" t="s">
        <v>16</v>
      </c>
      <c r="H622" t="s">
        <v>561</v>
      </c>
      <c r="I622" s="2">
        <v>214.744</v>
      </c>
      <c r="J622">
        <v>4</v>
      </c>
      <c r="K622" s="2">
        <v>-14.196</v>
      </c>
      <c r="L622" s="3">
        <f>(Table1[[#This Row],[Profit]]/Table1[[#This Row],[Sales]])*100</f>
        <v>-6.6106619975412588</v>
      </c>
    </row>
    <row r="623" spans="1:12" x14ac:dyDescent="0.3">
      <c r="A623" t="s">
        <v>543</v>
      </c>
      <c r="B623" s="1">
        <v>43532</v>
      </c>
      <c r="C623" t="s">
        <v>544</v>
      </c>
      <c r="D623" t="s">
        <v>545</v>
      </c>
      <c r="E623" t="s">
        <v>14</v>
      </c>
      <c r="F623" t="s">
        <v>29</v>
      </c>
      <c r="G623" t="s">
        <v>24</v>
      </c>
      <c r="H623" t="s">
        <v>546</v>
      </c>
      <c r="I623" s="2">
        <v>8.8559999999999999</v>
      </c>
      <c r="J623">
        <v>9</v>
      </c>
      <c r="K623" s="2">
        <v>-14.169600000000001</v>
      </c>
      <c r="L623" s="3">
        <f>(Table1[[#This Row],[Profit]]/Table1[[#This Row],[Sales]])*100</f>
        <v>-160</v>
      </c>
    </row>
    <row r="624" spans="1:12" x14ac:dyDescent="0.3">
      <c r="A624" t="s">
        <v>3880</v>
      </c>
      <c r="B624" s="1">
        <v>43822</v>
      </c>
      <c r="C624" t="s">
        <v>44</v>
      </c>
      <c r="D624" t="s">
        <v>45</v>
      </c>
      <c r="E624" t="s">
        <v>14</v>
      </c>
      <c r="F624" t="s">
        <v>29</v>
      </c>
      <c r="G624" t="s">
        <v>16</v>
      </c>
      <c r="H624" t="s">
        <v>1050</v>
      </c>
      <c r="I624" s="2">
        <v>141.37200000000001</v>
      </c>
      <c r="J624">
        <v>2</v>
      </c>
      <c r="K624" s="2">
        <v>-14.1372</v>
      </c>
      <c r="L624" s="3">
        <f>(Table1[[#This Row],[Profit]]/Table1[[#This Row],[Sales]])*100</f>
        <v>-10</v>
      </c>
    </row>
    <row r="625" spans="1:12" x14ac:dyDescent="0.3">
      <c r="A625" t="s">
        <v>3199</v>
      </c>
      <c r="B625" s="1">
        <v>43766</v>
      </c>
      <c r="C625" t="s">
        <v>253</v>
      </c>
      <c r="D625" t="s">
        <v>254</v>
      </c>
      <c r="E625" t="s">
        <v>14</v>
      </c>
      <c r="F625" t="s">
        <v>41</v>
      </c>
      <c r="G625" t="s">
        <v>24</v>
      </c>
      <c r="H625" t="s">
        <v>71</v>
      </c>
      <c r="I625" s="2">
        <v>17.616</v>
      </c>
      <c r="J625">
        <v>4</v>
      </c>
      <c r="K625" s="2">
        <v>-14.0928</v>
      </c>
      <c r="L625" s="3">
        <f>(Table1[[#This Row],[Profit]]/Table1[[#This Row],[Sales]])*100</f>
        <v>-80</v>
      </c>
    </row>
    <row r="626" spans="1:12" x14ac:dyDescent="0.3">
      <c r="A626" t="s">
        <v>3219</v>
      </c>
      <c r="B626" s="1">
        <v>43769</v>
      </c>
      <c r="C626" t="s">
        <v>1013</v>
      </c>
      <c r="D626" t="s">
        <v>1014</v>
      </c>
      <c r="E626" t="s">
        <v>14</v>
      </c>
      <c r="F626" t="s">
        <v>15</v>
      </c>
      <c r="G626" t="s">
        <v>16</v>
      </c>
      <c r="H626" t="s">
        <v>2093</v>
      </c>
      <c r="I626" s="2">
        <v>492.83499999999998</v>
      </c>
      <c r="J626">
        <v>5</v>
      </c>
      <c r="K626" s="2">
        <v>-14.081</v>
      </c>
      <c r="L626" s="3">
        <f>(Table1[[#This Row],[Profit]]/Table1[[#This Row],[Sales]])*100</f>
        <v>-2.8571428571428572</v>
      </c>
    </row>
    <row r="627" spans="1:12" x14ac:dyDescent="0.3">
      <c r="A627" t="s">
        <v>5942</v>
      </c>
      <c r="B627" s="1">
        <v>44154</v>
      </c>
      <c r="C627" t="s">
        <v>236</v>
      </c>
      <c r="D627" t="s">
        <v>237</v>
      </c>
      <c r="E627" t="s">
        <v>14</v>
      </c>
      <c r="F627" t="s">
        <v>29</v>
      </c>
      <c r="G627" t="s">
        <v>16</v>
      </c>
      <c r="H627" t="s">
        <v>2523</v>
      </c>
      <c r="I627" s="2">
        <v>93.992000000000004</v>
      </c>
      <c r="J627">
        <v>2</v>
      </c>
      <c r="K627" s="2">
        <v>-13.993</v>
      </c>
      <c r="L627" s="3">
        <f>(Table1[[#This Row],[Profit]]/Table1[[#This Row],[Sales]])*100</f>
        <v>-14.887437228700314</v>
      </c>
    </row>
    <row r="628" spans="1:12" x14ac:dyDescent="0.3">
      <c r="A628" t="s">
        <v>5444</v>
      </c>
      <c r="B628" s="1">
        <v>44093</v>
      </c>
      <c r="C628" t="s">
        <v>257</v>
      </c>
      <c r="D628" t="s">
        <v>258</v>
      </c>
      <c r="E628" t="s">
        <v>14</v>
      </c>
      <c r="F628" t="s">
        <v>23</v>
      </c>
      <c r="G628" t="s">
        <v>24</v>
      </c>
      <c r="H628" t="s">
        <v>67</v>
      </c>
      <c r="I628" s="2">
        <v>99.18</v>
      </c>
      <c r="J628">
        <v>4</v>
      </c>
      <c r="K628" s="2">
        <v>-13.938000000000001</v>
      </c>
      <c r="L628" s="3">
        <f>(Table1[[#This Row],[Profit]]/Table1[[#This Row],[Sales]])*100</f>
        <v>-14.053236539624924</v>
      </c>
    </row>
    <row r="629" spans="1:12" x14ac:dyDescent="0.3">
      <c r="A629" t="s">
        <v>2219</v>
      </c>
      <c r="B629" s="1">
        <v>43676</v>
      </c>
      <c r="C629" t="s">
        <v>2220</v>
      </c>
      <c r="D629" t="s">
        <v>2221</v>
      </c>
      <c r="E629" t="s">
        <v>14</v>
      </c>
      <c r="F629" t="s">
        <v>29</v>
      </c>
      <c r="G629" t="s">
        <v>24</v>
      </c>
      <c r="H629" t="s">
        <v>644</v>
      </c>
      <c r="I629" s="2">
        <v>9.2639999999999993</v>
      </c>
      <c r="J629">
        <v>3</v>
      </c>
      <c r="K629" s="2">
        <v>-13.896000000000001</v>
      </c>
      <c r="L629" s="3">
        <f>(Table1[[#This Row],[Profit]]/Table1[[#This Row],[Sales]])*100</f>
        <v>-150.00000000000003</v>
      </c>
    </row>
    <row r="630" spans="1:12" x14ac:dyDescent="0.3">
      <c r="A630" t="s">
        <v>2332</v>
      </c>
      <c r="B630" s="1">
        <v>43692</v>
      </c>
      <c r="C630" t="s">
        <v>2333</v>
      </c>
      <c r="D630" t="s">
        <v>2334</v>
      </c>
      <c r="E630" t="s">
        <v>14</v>
      </c>
      <c r="F630" t="s">
        <v>23</v>
      </c>
      <c r="G630" t="s">
        <v>24</v>
      </c>
      <c r="H630" t="s">
        <v>1740</v>
      </c>
      <c r="I630" s="2">
        <v>18.882000000000001</v>
      </c>
      <c r="J630">
        <v>3</v>
      </c>
      <c r="K630" s="2">
        <v>-13.8468</v>
      </c>
      <c r="L630" s="3">
        <f>(Table1[[#This Row],[Profit]]/Table1[[#This Row],[Sales]])*100</f>
        <v>-73.333333333333329</v>
      </c>
    </row>
    <row r="631" spans="1:12" x14ac:dyDescent="0.3">
      <c r="A631" t="s">
        <v>1161</v>
      </c>
      <c r="B631" s="1">
        <v>43580</v>
      </c>
      <c r="C631" t="s">
        <v>1162</v>
      </c>
      <c r="D631" t="s">
        <v>1163</v>
      </c>
      <c r="E631" t="s">
        <v>14</v>
      </c>
      <c r="F631" t="s">
        <v>15</v>
      </c>
      <c r="G631" t="s">
        <v>24</v>
      </c>
      <c r="H631" t="s">
        <v>721</v>
      </c>
      <c r="I631" s="2">
        <v>20.724</v>
      </c>
      <c r="J631">
        <v>2</v>
      </c>
      <c r="K631" s="2">
        <v>-13.816000000000001</v>
      </c>
      <c r="L631" s="3">
        <f>(Table1[[#This Row],[Profit]]/Table1[[#This Row],[Sales]])*100</f>
        <v>-66.666666666666671</v>
      </c>
    </row>
    <row r="632" spans="1:12" x14ac:dyDescent="0.3">
      <c r="A632" t="s">
        <v>5692</v>
      </c>
      <c r="B632" s="1">
        <v>44127</v>
      </c>
      <c r="C632" t="s">
        <v>1883</v>
      </c>
      <c r="D632" t="s">
        <v>1884</v>
      </c>
      <c r="E632" t="s">
        <v>14</v>
      </c>
      <c r="F632" t="s">
        <v>15</v>
      </c>
      <c r="G632" t="s">
        <v>16</v>
      </c>
      <c r="H632" t="s">
        <v>973</v>
      </c>
      <c r="I632" s="2">
        <v>251.744</v>
      </c>
      <c r="J632">
        <v>4</v>
      </c>
      <c r="K632" s="2">
        <v>-13.7568</v>
      </c>
      <c r="L632" s="3">
        <f>(Table1[[#This Row],[Profit]]/Table1[[#This Row],[Sales]])*100</f>
        <v>-5.464598957671285</v>
      </c>
    </row>
    <row r="633" spans="1:12" x14ac:dyDescent="0.3">
      <c r="A633" t="s">
        <v>4960</v>
      </c>
      <c r="B633" s="1">
        <v>44018</v>
      </c>
      <c r="C633" t="s">
        <v>2500</v>
      </c>
      <c r="D633" t="s">
        <v>2501</v>
      </c>
      <c r="E633" t="s">
        <v>14</v>
      </c>
      <c r="F633" t="s">
        <v>23</v>
      </c>
      <c r="G633" t="s">
        <v>16</v>
      </c>
      <c r="H633" t="s">
        <v>2639</v>
      </c>
      <c r="I633" s="2">
        <v>168.136</v>
      </c>
      <c r="J633">
        <v>3</v>
      </c>
      <c r="K633" s="2">
        <v>-13.7403</v>
      </c>
      <c r="L633" s="3">
        <f>(Table1[[#This Row],[Profit]]/Table1[[#This Row],[Sales]])*100</f>
        <v>-8.1721344625779118</v>
      </c>
    </row>
    <row r="634" spans="1:12" x14ac:dyDescent="0.3">
      <c r="A634" t="s">
        <v>4901</v>
      </c>
      <c r="B634" s="1">
        <v>44008</v>
      </c>
      <c r="C634" t="s">
        <v>754</v>
      </c>
      <c r="D634" t="s">
        <v>755</v>
      </c>
      <c r="E634" t="s">
        <v>14</v>
      </c>
      <c r="F634" t="s">
        <v>41</v>
      </c>
      <c r="G634" t="s">
        <v>16</v>
      </c>
      <c r="H634" t="s">
        <v>369</v>
      </c>
      <c r="I634" s="2">
        <v>289.55200000000002</v>
      </c>
      <c r="J634">
        <v>3</v>
      </c>
      <c r="K634" s="2">
        <v>-13.6776</v>
      </c>
      <c r="L634" s="3">
        <f>(Table1[[#This Row],[Profit]]/Table1[[#This Row],[Sales]])*100</f>
        <v>-4.7237111123390614</v>
      </c>
    </row>
    <row r="635" spans="1:12" x14ac:dyDescent="0.3">
      <c r="A635" t="s">
        <v>1685</v>
      </c>
      <c r="B635" s="1">
        <v>43627</v>
      </c>
      <c r="C635" t="s">
        <v>1686</v>
      </c>
      <c r="D635" t="s">
        <v>1687</v>
      </c>
      <c r="E635" t="s">
        <v>14</v>
      </c>
      <c r="F635" t="s">
        <v>29</v>
      </c>
      <c r="G635" t="s">
        <v>24</v>
      </c>
      <c r="H635" t="s">
        <v>1688</v>
      </c>
      <c r="I635" s="2">
        <v>8.2720000000000002</v>
      </c>
      <c r="J635">
        <v>4</v>
      </c>
      <c r="K635" s="2">
        <v>-13.6488</v>
      </c>
      <c r="L635" s="3">
        <f>(Table1[[#This Row],[Profit]]/Table1[[#This Row],[Sales]])*100</f>
        <v>-165</v>
      </c>
    </row>
    <row r="636" spans="1:12" x14ac:dyDescent="0.3">
      <c r="A636" t="s">
        <v>667</v>
      </c>
      <c r="B636" s="1">
        <v>43539</v>
      </c>
      <c r="C636" t="s">
        <v>668</v>
      </c>
      <c r="D636" t="s">
        <v>669</v>
      </c>
      <c r="E636" t="s">
        <v>14</v>
      </c>
      <c r="F636" t="s">
        <v>15</v>
      </c>
      <c r="G636" t="s">
        <v>18</v>
      </c>
      <c r="H636" t="s">
        <v>670</v>
      </c>
      <c r="I636" s="2">
        <v>83.975999999999999</v>
      </c>
      <c r="J636">
        <v>3</v>
      </c>
      <c r="K636" s="2">
        <v>-13.646100000000001</v>
      </c>
      <c r="L636" s="3">
        <f>(Table1[[#This Row],[Profit]]/Table1[[#This Row],[Sales]])*100</f>
        <v>-16.25</v>
      </c>
    </row>
    <row r="637" spans="1:12" x14ac:dyDescent="0.3">
      <c r="A637" t="s">
        <v>4089</v>
      </c>
      <c r="B637" s="1">
        <v>43860</v>
      </c>
      <c r="C637" t="s">
        <v>924</v>
      </c>
      <c r="D637" t="s">
        <v>925</v>
      </c>
      <c r="E637" t="s">
        <v>14</v>
      </c>
      <c r="F637" t="s">
        <v>23</v>
      </c>
      <c r="G637" t="s">
        <v>16</v>
      </c>
      <c r="H637" t="s">
        <v>681</v>
      </c>
      <c r="I637" s="2">
        <v>145.78399999999999</v>
      </c>
      <c r="J637">
        <v>1</v>
      </c>
      <c r="K637" s="2">
        <v>-13.588200000000001</v>
      </c>
      <c r="L637" s="3">
        <f>(Table1[[#This Row],[Profit]]/Table1[[#This Row],[Sales]])*100</f>
        <v>-9.3207759424902594</v>
      </c>
    </row>
    <row r="638" spans="1:12" x14ac:dyDescent="0.3">
      <c r="A638" t="s">
        <v>3981</v>
      </c>
      <c r="B638" s="1">
        <v>43832</v>
      </c>
      <c r="C638" t="s">
        <v>3904</v>
      </c>
      <c r="D638" t="s">
        <v>3905</v>
      </c>
      <c r="E638" t="s">
        <v>14</v>
      </c>
      <c r="F638" t="s">
        <v>29</v>
      </c>
      <c r="G638" t="s">
        <v>24</v>
      </c>
      <c r="H638" t="s">
        <v>3983</v>
      </c>
      <c r="I638" s="2">
        <v>75.432000000000002</v>
      </c>
      <c r="J638">
        <v>2</v>
      </c>
      <c r="K638" s="2">
        <v>-13.58</v>
      </c>
      <c r="L638" s="3">
        <f>(Table1[[#This Row],[Profit]]/Table1[[#This Row],[Sales]])*100</f>
        <v>-18.002969561989605</v>
      </c>
    </row>
    <row r="639" spans="1:12" x14ac:dyDescent="0.3">
      <c r="A639" t="s">
        <v>5123</v>
      </c>
      <c r="B639" s="1">
        <v>44050</v>
      </c>
      <c r="C639" t="s">
        <v>1631</v>
      </c>
      <c r="D639" t="s">
        <v>1632</v>
      </c>
      <c r="E639" t="s">
        <v>14</v>
      </c>
      <c r="F639" t="s">
        <v>29</v>
      </c>
      <c r="G639" t="s">
        <v>18</v>
      </c>
      <c r="H639" t="s">
        <v>4298</v>
      </c>
      <c r="I639" s="2">
        <v>160.44800000000001</v>
      </c>
      <c r="J639">
        <v>3</v>
      </c>
      <c r="K639" s="2">
        <v>-13.437900000000001</v>
      </c>
      <c r="L639" s="3">
        <f>(Table1[[#This Row],[Profit]]/Table1[[#This Row],[Sales]])*100</f>
        <v>-8.3752368368568018</v>
      </c>
    </row>
    <row r="640" spans="1:12" x14ac:dyDescent="0.3">
      <c r="A640" t="s">
        <v>3252</v>
      </c>
      <c r="B640" s="1">
        <v>43772</v>
      </c>
      <c r="C640" t="s">
        <v>592</v>
      </c>
      <c r="D640" t="s">
        <v>593</v>
      </c>
      <c r="E640" t="s">
        <v>14</v>
      </c>
      <c r="F640" t="s">
        <v>15</v>
      </c>
      <c r="G640" t="s">
        <v>16</v>
      </c>
      <c r="H640" t="s">
        <v>995</v>
      </c>
      <c r="I640" s="2">
        <v>470.15499999999997</v>
      </c>
      <c r="J640">
        <v>7</v>
      </c>
      <c r="K640" s="2">
        <v>-13.433</v>
      </c>
      <c r="L640" s="3">
        <f>(Table1[[#This Row],[Profit]]/Table1[[#This Row],[Sales]])*100</f>
        <v>-2.8571428571428572</v>
      </c>
    </row>
    <row r="641" spans="1:12" x14ac:dyDescent="0.3">
      <c r="A641" t="s">
        <v>4432</v>
      </c>
      <c r="B641" s="1">
        <v>43930</v>
      </c>
      <c r="C641" t="s">
        <v>3869</v>
      </c>
      <c r="D641" t="s">
        <v>3870</v>
      </c>
      <c r="E641" t="s">
        <v>14</v>
      </c>
      <c r="F641" t="s">
        <v>41</v>
      </c>
      <c r="G641" t="s">
        <v>24</v>
      </c>
      <c r="H641" t="s">
        <v>47</v>
      </c>
      <c r="I641" s="2">
        <v>87.43</v>
      </c>
      <c r="J641">
        <v>1</v>
      </c>
      <c r="K641" s="2">
        <v>-13.363</v>
      </c>
      <c r="L641" s="3">
        <f>(Table1[[#This Row],[Profit]]/Table1[[#This Row],[Sales]])*100</f>
        <v>-15.284227381905522</v>
      </c>
    </row>
    <row r="642" spans="1:12" x14ac:dyDescent="0.3">
      <c r="A642" t="s">
        <v>2545</v>
      </c>
      <c r="B642" s="1">
        <v>43710</v>
      </c>
      <c r="C642" t="s">
        <v>341</v>
      </c>
      <c r="D642" t="s">
        <v>342</v>
      </c>
      <c r="E642" t="s">
        <v>14</v>
      </c>
      <c r="F642" t="s">
        <v>29</v>
      </c>
      <c r="G642" t="s">
        <v>24</v>
      </c>
      <c r="H642" t="s">
        <v>2546</v>
      </c>
      <c r="I642" s="2">
        <v>8.6080000000000005</v>
      </c>
      <c r="J642">
        <v>8</v>
      </c>
      <c r="K642" s="2">
        <v>-13.3424</v>
      </c>
      <c r="L642" s="3">
        <f>(Table1[[#This Row],[Profit]]/Table1[[#This Row],[Sales]])*100</f>
        <v>-154.99999999999997</v>
      </c>
    </row>
    <row r="643" spans="1:12" x14ac:dyDescent="0.3">
      <c r="A643" t="s">
        <v>5710</v>
      </c>
      <c r="B643" s="1">
        <v>44130</v>
      </c>
      <c r="C643" t="s">
        <v>5477</v>
      </c>
      <c r="D643" t="s">
        <v>5478</v>
      </c>
      <c r="E643" t="s">
        <v>14</v>
      </c>
      <c r="F643" t="s">
        <v>15</v>
      </c>
      <c r="G643" t="s">
        <v>18</v>
      </c>
      <c r="H643" t="s">
        <v>1246</v>
      </c>
      <c r="I643" s="2">
        <v>140.542</v>
      </c>
      <c r="J643">
        <v>1</v>
      </c>
      <c r="K643" s="2">
        <v>-13.334099999999999</v>
      </c>
      <c r="L643" s="3">
        <f>(Table1[[#This Row],[Profit]]/Table1[[#This Row],[Sales]])*100</f>
        <v>-9.4876264746481471</v>
      </c>
    </row>
    <row r="644" spans="1:12" x14ac:dyDescent="0.3">
      <c r="A644" t="s">
        <v>1784</v>
      </c>
      <c r="B644" s="1">
        <v>43633</v>
      </c>
      <c r="C644" t="s">
        <v>1785</v>
      </c>
      <c r="D644" t="s">
        <v>1786</v>
      </c>
      <c r="E644" t="s">
        <v>14</v>
      </c>
      <c r="F644" t="s">
        <v>23</v>
      </c>
      <c r="G644" t="s">
        <v>16</v>
      </c>
      <c r="H644" t="s">
        <v>1787</v>
      </c>
      <c r="I644" s="2">
        <v>266.35199999999998</v>
      </c>
      <c r="J644">
        <v>3</v>
      </c>
      <c r="K644" s="2">
        <v>-13.317600000000001</v>
      </c>
      <c r="L644" s="3">
        <f>(Table1[[#This Row],[Profit]]/Table1[[#This Row],[Sales]])*100</f>
        <v>-5.0000000000000009</v>
      </c>
    </row>
    <row r="645" spans="1:12" x14ac:dyDescent="0.3">
      <c r="A645" t="s">
        <v>2886</v>
      </c>
      <c r="B645" s="1">
        <v>43732</v>
      </c>
      <c r="C645" t="s">
        <v>1038</v>
      </c>
      <c r="D645" t="s">
        <v>1039</v>
      </c>
      <c r="E645" t="s">
        <v>14</v>
      </c>
      <c r="F645" t="s">
        <v>15</v>
      </c>
      <c r="G645" t="s">
        <v>16</v>
      </c>
      <c r="H645" t="s">
        <v>2887</v>
      </c>
      <c r="I645" s="2">
        <v>155.37200000000001</v>
      </c>
      <c r="J645">
        <v>2</v>
      </c>
      <c r="K645" s="2">
        <v>-13.317600000000001</v>
      </c>
      <c r="L645" s="3">
        <f>(Table1[[#This Row],[Profit]]/Table1[[#This Row],[Sales]])*100</f>
        <v>-8.5714285714285712</v>
      </c>
    </row>
    <row r="646" spans="1:12" x14ac:dyDescent="0.3">
      <c r="A646" t="s">
        <v>1991</v>
      </c>
      <c r="B646" s="1">
        <v>43654</v>
      </c>
      <c r="C646" t="s">
        <v>1992</v>
      </c>
      <c r="D646" t="s">
        <v>1993</v>
      </c>
      <c r="E646" t="s">
        <v>14</v>
      </c>
      <c r="F646" t="s">
        <v>23</v>
      </c>
      <c r="G646" t="s">
        <v>24</v>
      </c>
      <c r="H646" t="s">
        <v>1753</v>
      </c>
      <c r="I646" s="2">
        <v>19.968</v>
      </c>
      <c r="J646">
        <v>2</v>
      </c>
      <c r="K646" s="2">
        <v>-13.311999999999999</v>
      </c>
      <c r="L646" s="3">
        <f>(Table1[[#This Row],[Profit]]/Table1[[#This Row],[Sales]])*100</f>
        <v>-66.666666666666657</v>
      </c>
    </row>
    <row r="647" spans="1:12" x14ac:dyDescent="0.3">
      <c r="A647" t="s">
        <v>5780</v>
      </c>
      <c r="B647" s="1">
        <v>44139</v>
      </c>
      <c r="C647" t="s">
        <v>1661</v>
      </c>
      <c r="D647" t="s">
        <v>1662</v>
      </c>
      <c r="E647" t="s">
        <v>14</v>
      </c>
      <c r="F647" t="s">
        <v>29</v>
      </c>
      <c r="G647" t="s">
        <v>24</v>
      </c>
      <c r="H647" t="s">
        <v>1987</v>
      </c>
      <c r="I647" s="2">
        <v>119.536</v>
      </c>
      <c r="J647">
        <v>6</v>
      </c>
      <c r="K647" s="2">
        <v>-13.188000000000001</v>
      </c>
      <c r="L647" s="3">
        <f>(Table1[[#This Row],[Profit]]/Table1[[#This Row],[Sales]])*100</f>
        <v>-11.032659617186455</v>
      </c>
    </row>
    <row r="648" spans="1:12" x14ac:dyDescent="0.3">
      <c r="A648" t="s">
        <v>1982</v>
      </c>
      <c r="B648" s="1">
        <v>43653</v>
      </c>
      <c r="C648" t="s">
        <v>1983</v>
      </c>
      <c r="D648" t="s">
        <v>1984</v>
      </c>
      <c r="E648" t="s">
        <v>14</v>
      </c>
      <c r="F648" t="s">
        <v>15</v>
      </c>
      <c r="G648" t="s">
        <v>18</v>
      </c>
      <c r="H648" t="s">
        <v>1986</v>
      </c>
      <c r="I648" s="2">
        <v>59.994</v>
      </c>
      <c r="J648">
        <v>1</v>
      </c>
      <c r="K648" s="2">
        <v>-12.998699999999999</v>
      </c>
      <c r="L648" s="3">
        <f>(Table1[[#This Row],[Profit]]/Table1[[#This Row],[Sales]])*100</f>
        <v>-21.666666666666664</v>
      </c>
    </row>
    <row r="649" spans="1:12" x14ac:dyDescent="0.3">
      <c r="A649" t="s">
        <v>1599</v>
      </c>
      <c r="B649" s="1">
        <v>43618</v>
      </c>
      <c r="C649" t="s">
        <v>1600</v>
      </c>
      <c r="D649" t="s">
        <v>1601</v>
      </c>
      <c r="E649" t="s">
        <v>14</v>
      </c>
      <c r="F649" t="s">
        <v>15</v>
      </c>
      <c r="G649" t="s">
        <v>24</v>
      </c>
      <c r="H649" t="s">
        <v>383</v>
      </c>
      <c r="I649" s="2">
        <v>64.784000000000006</v>
      </c>
      <c r="J649">
        <v>1</v>
      </c>
      <c r="K649" s="2">
        <v>-12.956799999999999</v>
      </c>
      <c r="L649" s="3">
        <f>(Table1[[#This Row],[Profit]]/Table1[[#This Row],[Sales]])*100</f>
        <v>-20</v>
      </c>
    </row>
    <row r="650" spans="1:12" x14ac:dyDescent="0.3">
      <c r="A650" t="s">
        <v>6287</v>
      </c>
      <c r="B650" s="1">
        <v>44193</v>
      </c>
      <c r="C650" t="s">
        <v>1173</v>
      </c>
      <c r="D650" t="s">
        <v>1174</v>
      </c>
      <c r="E650" t="s">
        <v>14</v>
      </c>
      <c r="F650" t="s">
        <v>41</v>
      </c>
      <c r="G650" t="s">
        <v>24</v>
      </c>
      <c r="H650" t="s">
        <v>383</v>
      </c>
      <c r="I650" s="2">
        <v>401.78399999999999</v>
      </c>
      <c r="J650">
        <v>1</v>
      </c>
      <c r="K650" s="2">
        <v>-12.956799999999999</v>
      </c>
      <c r="L650" s="3">
        <f>(Table1[[#This Row],[Profit]]/Table1[[#This Row],[Sales]])*100</f>
        <v>-3.2248173147760983</v>
      </c>
    </row>
    <row r="651" spans="1:12" x14ac:dyDescent="0.3">
      <c r="A651" t="s">
        <v>6036</v>
      </c>
      <c r="B651" s="1">
        <v>44163</v>
      </c>
      <c r="C651" t="s">
        <v>1007</v>
      </c>
      <c r="D651" t="s">
        <v>1008</v>
      </c>
      <c r="E651" t="s">
        <v>14</v>
      </c>
      <c r="F651" t="s">
        <v>15</v>
      </c>
      <c r="G651" t="s">
        <v>16</v>
      </c>
      <c r="H651" t="s">
        <v>269</v>
      </c>
      <c r="I651" s="2">
        <v>536.48800000000006</v>
      </c>
      <c r="J651">
        <v>7</v>
      </c>
      <c r="K651" s="2">
        <v>-12.9122</v>
      </c>
      <c r="L651" s="3">
        <f>(Table1[[#This Row],[Profit]]/Table1[[#This Row],[Sales]])*100</f>
        <v>-2.4068012704850807</v>
      </c>
    </row>
    <row r="652" spans="1:12" x14ac:dyDescent="0.3">
      <c r="A652" t="s">
        <v>722</v>
      </c>
      <c r="B652" s="1">
        <v>43544</v>
      </c>
      <c r="C652" t="s">
        <v>528</v>
      </c>
      <c r="D652" t="s">
        <v>529</v>
      </c>
      <c r="E652" t="s">
        <v>14</v>
      </c>
      <c r="F652" t="s">
        <v>23</v>
      </c>
      <c r="G652" t="s">
        <v>24</v>
      </c>
      <c r="H652" t="s">
        <v>724</v>
      </c>
      <c r="I652" s="2">
        <v>16.821000000000002</v>
      </c>
      <c r="J652">
        <v>3</v>
      </c>
      <c r="K652" s="2">
        <v>-12.896100000000001</v>
      </c>
      <c r="L652" s="3">
        <f>(Table1[[#This Row],[Profit]]/Table1[[#This Row],[Sales]])*100</f>
        <v>-76.666666666666657</v>
      </c>
    </row>
    <row r="653" spans="1:12" x14ac:dyDescent="0.3">
      <c r="A653" t="s">
        <v>2759</v>
      </c>
      <c r="B653" s="1">
        <v>43724</v>
      </c>
      <c r="C653" t="s">
        <v>2760</v>
      </c>
      <c r="D653" t="s">
        <v>2761</v>
      </c>
      <c r="E653" t="s">
        <v>14</v>
      </c>
      <c r="F653" t="s">
        <v>23</v>
      </c>
      <c r="G653" t="s">
        <v>16</v>
      </c>
      <c r="H653" t="s">
        <v>2762</v>
      </c>
      <c r="I653" s="2">
        <v>273.666</v>
      </c>
      <c r="J653">
        <v>2</v>
      </c>
      <c r="K653" s="2">
        <v>-12.878399999999999</v>
      </c>
      <c r="L653" s="3">
        <f>(Table1[[#This Row],[Profit]]/Table1[[#This Row],[Sales]])*100</f>
        <v>-4.7058823529411766</v>
      </c>
    </row>
    <row r="654" spans="1:12" x14ac:dyDescent="0.3">
      <c r="A654" t="s">
        <v>4143</v>
      </c>
      <c r="B654" s="1">
        <v>43878</v>
      </c>
      <c r="C654" t="s">
        <v>937</v>
      </c>
      <c r="D654" t="s">
        <v>938</v>
      </c>
      <c r="E654" t="s">
        <v>14</v>
      </c>
      <c r="F654" t="s">
        <v>15</v>
      </c>
      <c r="G654" t="s">
        <v>16</v>
      </c>
      <c r="H654" t="s">
        <v>1900</v>
      </c>
      <c r="I654" s="2">
        <v>938.43</v>
      </c>
      <c r="J654">
        <v>5</v>
      </c>
      <c r="K654" s="2">
        <v>-12.849</v>
      </c>
      <c r="L654" s="3">
        <f>(Table1[[#This Row],[Profit]]/Table1[[#This Row],[Sales]])*100</f>
        <v>-1.3692017518621529</v>
      </c>
    </row>
    <row r="655" spans="1:12" x14ac:dyDescent="0.3">
      <c r="A655" t="s">
        <v>4643</v>
      </c>
      <c r="B655" s="1">
        <v>43965</v>
      </c>
      <c r="C655" t="s">
        <v>380</v>
      </c>
      <c r="D655" t="s">
        <v>381</v>
      </c>
      <c r="E655" t="s">
        <v>14</v>
      </c>
      <c r="F655" t="s">
        <v>29</v>
      </c>
      <c r="G655" t="s">
        <v>16</v>
      </c>
      <c r="H655" t="s">
        <v>1900</v>
      </c>
      <c r="I655" s="2">
        <v>911.43</v>
      </c>
      <c r="J655">
        <v>5</v>
      </c>
      <c r="K655" s="2">
        <v>-12.849</v>
      </c>
      <c r="L655" s="3">
        <f>(Table1[[#This Row],[Profit]]/Table1[[#This Row],[Sales]])*100</f>
        <v>-1.4097626806227579</v>
      </c>
    </row>
    <row r="656" spans="1:12" x14ac:dyDescent="0.3">
      <c r="A656" t="s">
        <v>3399</v>
      </c>
      <c r="B656" s="1">
        <v>43781</v>
      </c>
      <c r="C656" t="s">
        <v>989</v>
      </c>
      <c r="D656" t="s">
        <v>990</v>
      </c>
      <c r="E656" t="s">
        <v>14</v>
      </c>
      <c r="F656" t="s">
        <v>15</v>
      </c>
      <c r="G656" t="s">
        <v>16</v>
      </c>
      <c r="H656" t="s">
        <v>610</v>
      </c>
      <c r="I656" s="2">
        <v>449.37200000000001</v>
      </c>
      <c r="J656">
        <v>2</v>
      </c>
      <c r="K656" s="2">
        <v>-12.8392</v>
      </c>
      <c r="L656" s="3">
        <f>(Table1[[#This Row],[Profit]]/Table1[[#This Row],[Sales]])*100</f>
        <v>-2.8571428571428572</v>
      </c>
    </row>
    <row r="657" spans="1:12" x14ac:dyDescent="0.3">
      <c r="A657" t="s">
        <v>1592</v>
      </c>
      <c r="B657" s="1">
        <v>43616</v>
      </c>
      <c r="C657" t="s">
        <v>977</v>
      </c>
      <c r="D657" t="s">
        <v>978</v>
      </c>
      <c r="E657" t="s">
        <v>14</v>
      </c>
      <c r="F657" t="s">
        <v>29</v>
      </c>
      <c r="G657" t="s">
        <v>16</v>
      </c>
      <c r="H657" t="s">
        <v>1593</v>
      </c>
      <c r="I657" s="2">
        <v>32.064</v>
      </c>
      <c r="J657">
        <v>3</v>
      </c>
      <c r="K657" s="2">
        <v>-12.8256</v>
      </c>
      <c r="L657" s="3">
        <f>(Table1[[#This Row],[Profit]]/Table1[[#This Row],[Sales]])*100</f>
        <v>-40</v>
      </c>
    </row>
    <row r="658" spans="1:12" x14ac:dyDescent="0.3">
      <c r="A658" t="s">
        <v>1095</v>
      </c>
      <c r="B658" s="1">
        <v>43576</v>
      </c>
      <c r="C658" t="s">
        <v>664</v>
      </c>
      <c r="D658" t="s">
        <v>665</v>
      </c>
      <c r="E658" t="s">
        <v>14</v>
      </c>
      <c r="F658" t="s">
        <v>29</v>
      </c>
      <c r="G658" t="s">
        <v>24</v>
      </c>
      <c r="H658" t="s">
        <v>1096</v>
      </c>
      <c r="I658" s="2">
        <v>102.336</v>
      </c>
      <c r="J658">
        <v>4</v>
      </c>
      <c r="K658" s="2">
        <v>-12.792</v>
      </c>
      <c r="L658" s="3">
        <f>(Table1[[#This Row],[Profit]]/Table1[[#This Row],[Sales]])*100</f>
        <v>-12.5</v>
      </c>
    </row>
    <row r="659" spans="1:12" x14ac:dyDescent="0.3">
      <c r="A659" t="s">
        <v>2673</v>
      </c>
      <c r="B659" s="1">
        <v>43716</v>
      </c>
      <c r="C659" t="s">
        <v>2118</v>
      </c>
      <c r="D659" t="s">
        <v>2119</v>
      </c>
      <c r="E659" t="s">
        <v>14</v>
      </c>
      <c r="F659" t="s">
        <v>23</v>
      </c>
      <c r="G659" t="s">
        <v>16</v>
      </c>
      <c r="H659" t="s">
        <v>2674</v>
      </c>
      <c r="I659" s="2">
        <v>146.04</v>
      </c>
      <c r="J659">
        <v>1</v>
      </c>
      <c r="K659" s="2">
        <v>-12.778499999999999</v>
      </c>
      <c r="L659" s="3">
        <f>(Table1[[#This Row],[Profit]]/Table1[[#This Row],[Sales]])*100</f>
        <v>-8.75</v>
      </c>
    </row>
    <row r="660" spans="1:12" x14ac:dyDescent="0.3">
      <c r="A660" t="s">
        <v>6206</v>
      </c>
      <c r="B660" s="1">
        <v>44183</v>
      </c>
      <c r="C660" t="s">
        <v>2872</v>
      </c>
      <c r="D660" t="s">
        <v>2873</v>
      </c>
      <c r="E660" t="s">
        <v>14</v>
      </c>
      <c r="F660" t="s">
        <v>23</v>
      </c>
      <c r="G660" t="s">
        <v>16</v>
      </c>
      <c r="H660" t="s">
        <v>6208</v>
      </c>
      <c r="I660" s="2">
        <v>363.83300000000003</v>
      </c>
      <c r="J660">
        <v>1</v>
      </c>
      <c r="K660" s="2">
        <v>-12.6882</v>
      </c>
      <c r="L660" s="3">
        <f>(Table1[[#This Row],[Profit]]/Table1[[#This Row],[Sales]])*100</f>
        <v>-3.4873692051023406</v>
      </c>
    </row>
    <row r="661" spans="1:12" x14ac:dyDescent="0.3">
      <c r="A661" t="s">
        <v>6008</v>
      </c>
      <c r="B661" s="1">
        <v>44159</v>
      </c>
      <c r="C661" t="s">
        <v>4725</v>
      </c>
      <c r="D661" t="s">
        <v>4726</v>
      </c>
      <c r="E661" t="s">
        <v>14</v>
      </c>
      <c r="F661" t="s">
        <v>41</v>
      </c>
      <c r="G661" t="s">
        <v>24</v>
      </c>
      <c r="H661" t="s">
        <v>740</v>
      </c>
      <c r="I661" s="2">
        <v>132.00800000000001</v>
      </c>
      <c r="J661">
        <v>8</v>
      </c>
      <c r="K661" s="2">
        <v>-12.672000000000001</v>
      </c>
      <c r="L661" s="3">
        <f>(Table1[[#This Row],[Profit]]/Table1[[#This Row],[Sales]])*100</f>
        <v>-9.5994182170777531</v>
      </c>
    </row>
    <row r="662" spans="1:12" x14ac:dyDescent="0.3">
      <c r="A662" t="s">
        <v>2536</v>
      </c>
      <c r="B662" s="1">
        <v>43710</v>
      </c>
      <c r="C662" t="s">
        <v>1992</v>
      </c>
      <c r="D662" t="s">
        <v>1993</v>
      </c>
      <c r="E662" t="s">
        <v>14</v>
      </c>
      <c r="F662" t="s">
        <v>41</v>
      </c>
      <c r="G662" t="s">
        <v>24</v>
      </c>
      <c r="H662" t="s">
        <v>2541</v>
      </c>
      <c r="I662" s="2">
        <v>17.22</v>
      </c>
      <c r="J662">
        <v>5</v>
      </c>
      <c r="K662" s="2">
        <v>-12.628</v>
      </c>
      <c r="L662" s="3">
        <f>(Table1[[#This Row],[Profit]]/Table1[[#This Row],[Sales]])*100</f>
        <v>-73.333333333333343</v>
      </c>
    </row>
    <row r="663" spans="1:12" x14ac:dyDescent="0.3">
      <c r="A663" t="s">
        <v>5780</v>
      </c>
      <c r="B663" s="1">
        <v>44139</v>
      </c>
      <c r="C663" t="s">
        <v>1661</v>
      </c>
      <c r="D663" t="s">
        <v>1662</v>
      </c>
      <c r="E663" t="s">
        <v>14</v>
      </c>
      <c r="F663" t="s">
        <v>29</v>
      </c>
      <c r="G663" t="s">
        <v>24</v>
      </c>
      <c r="H663" t="s">
        <v>792</v>
      </c>
      <c r="I663" s="2">
        <v>146.75200000000001</v>
      </c>
      <c r="J663">
        <v>3</v>
      </c>
      <c r="K663" s="2">
        <v>-12.528600000000001</v>
      </c>
      <c r="L663" s="3">
        <f>(Table1[[#This Row],[Profit]]/Table1[[#This Row],[Sales]])*100</f>
        <v>-8.5372601395551673</v>
      </c>
    </row>
    <row r="664" spans="1:12" x14ac:dyDescent="0.3">
      <c r="A664" t="s">
        <v>3982</v>
      </c>
      <c r="B664" s="1">
        <v>43832</v>
      </c>
      <c r="C664" t="s">
        <v>788</v>
      </c>
      <c r="D664" t="s">
        <v>789</v>
      </c>
      <c r="E664" t="s">
        <v>14</v>
      </c>
      <c r="F664" t="s">
        <v>41</v>
      </c>
      <c r="G664" t="s">
        <v>24</v>
      </c>
      <c r="H664" t="s">
        <v>2188</v>
      </c>
      <c r="I664" s="2">
        <v>103.66</v>
      </c>
      <c r="J664">
        <v>5</v>
      </c>
      <c r="K664" s="2">
        <v>-12.528</v>
      </c>
      <c r="L664" s="3">
        <f>(Table1[[#This Row],[Profit]]/Table1[[#This Row],[Sales]])*100</f>
        <v>-12.085664672969324</v>
      </c>
    </row>
    <row r="665" spans="1:12" x14ac:dyDescent="0.3">
      <c r="A665" t="s">
        <v>513</v>
      </c>
      <c r="B665" s="1">
        <v>43530</v>
      </c>
      <c r="C665" t="s">
        <v>514</v>
      </c>
      <c r="D665" t="s">
        <v>515</v>
      </c>
      <c r="E665" t="s">
        <v>14</v>
      </c>
      <c r="F665" t="s">
        <v>15</v>
      </c>
      <c r="G665" t="s">
        <v>18</v>
      </c>
      <c r="H665" t="s">
        <v>518</v>
      </c>
      <c r="I665" s="2">
        <v>68.238</v>
      </c>
      <c r="J665">
        <v>3</v>
      </c>
      <c r="K665" s="2">
        <v>-12.510300000000001</v>
      </c>
      <c r="L665" s="3">
        <f>(Table1[[#This Row],[Profit]]/Table1[[#This Row],[Sales]])*100</f>
        <v>-18.333333333333336</v>
      </c>
    </row>
    <row r="666" spans="1:12" x14ac:dyDescent="0.3">
      <c r="A666" t="s">
        <v>1441</v>
      </c>
      <c r="B666" s="1">
        <v>43606</v>
      </c>
      <c r="C666" t="s">
        <v>1355</v>
      </c>
      <c r="D666" t="s">
        <v>1356</v>
      </c>
      <c r="E666" t="s">
        <v>14</v>
      </c>
      <c r="F666" t="s">
        <v>23</v>
      </c>
      <c r="G666" t="s">
        <v>18</v>
      </c>
      <c r="H666" t="s">
        <v>1442</v>
      </c>
      <c r="I666" s="2">
        <v>55.176000000000002</v>
      </c>
      <c r="J666">
        <v>3</v>
      </c>
      <c r="K666" s="2">
        <v>-12.4146</v>
      </c>
      <c r="L666" s="3">
        <f>(Table1[[#This Row],[Profit]]/Table1[[#This Row],[Sales]])*100</f>
        <v>-22.5</v>
      </c>
    </row>
    <row r="667" spans="1:12" x14ac:dyDescent="0.3">
      <c r="A667" t="s">
        <v>5982</v>
      </c>
      <c r="B667" s="1">
        <v>44156</v>
      </c>
      <c r="C667" t="s">
        <v>652</v>
      </c>
      <c r="D667" t="s">
        <v>653</v>
      </c>
      <c r="E667" t="s">
        <v>14</v>
      </c>
      <c r="F667" t="s">
        <v>29</v>
      </c>
      <c r="G667" t="s">
        <v>18</v>
      </c>
      <c r="H667" t="s">
        <v>1442</v>
      </c>
      <c r="I667" s="2">
        <v>124.176</v>
      </c>
      <c r="J667">
        <v>3</v>
      </c>
      <c r="K667" s="2">
        <v>-12.4146</v>
      </c>
      <c r="L667" s="3">
        <f>(Table1[[#This Row],[Profit]]/Table1[[#This Row],[Sales]])*100</f>
        <v>-9.9975840742172402</v>
      </c>
    </row>
    <row r="668" spans="1:12" x14ac:dyDescent="0.3">
      <c r="A668" t="s">
        <v>4199</v>
      </c>
      <c r="B668" s="1">
        <v>43892</v>
      </c>
      <c r="C668" t="s">
        <v>2516</v>
      </c>
      <c r="D668" t="s">
        <v>2517</v>
      </c>
      <c r="E668" t="s">
        <v>14</v>
      </c>
      <c r="F668" t="s">
        <v>15</v>
      </c>
      <c r="G668" t="s">
        <v>24</v>
      </c>
      <c r="H668" t="s">
        <v>644</v>
      </c>
      <c r="I668" s="2">
        <v>93.528000000000006</v>
      </c>
      <c r="J668">
        <v>4</v>
      </c>
      <c r="K668" s="2">
        <v>-12.352</v>
      </c>
      <c r="L668" s="3">
        <f>(Table1[[#This Row],[Profit]]/Table1[[#This Row],[Sales]])*100</f>
        <v>-13.206740227525446</v>
      </c>
    </row>
    <row r="669" spans="1:12" x14ac:dyDescent="0.3">
      <c r="A669" t="s">
        <v>2488</v>
      </c>
      <c r="B669" s="1">
        <v>43705</v>
      </c>
      <c r="C669" t="s">
        <v>942</v>
      </c>
      <c r="D669" t="s">
        <v>943</v>
      </c>
      <c r="E669" t="s">
        <v>14</v>
      </c>
      <c r="F669" t="s">
        <v>15</v>
      </c>
      <c r="G669" t="s">
        <v>24</v>
      </c>
      <c r="H669" t="s">
        <v>2489</v>
      </c>
      <c r="I669" s="2">
        <v>18.431999999999999</v>
      </c>
      <c r="J669">
        <v>8</v>
      </c>
      <c r="K669" s="2">
        <v>-12.288</v>
      </c>
      <c r="L669" s="3">
        <f>(Table1[[#This Row],[Profit]]/Table1[[#This Row],[Sales]])*100</f>
        <v>-66.666666666666671</v>
      </c>
    </row>
    <row r="670" spans="1:12" x14ac:dyDescent="0.3">
      <c r="A670" t="s">
        <v>5387</v>
      </c>
      <c r="B670" s="1">
        <v>44088</v>
      </c>
      <c r="C670" t="s">
        <v>558</v>
      </c>
      <c r="D670" t="s">
        <v>559</v>
      </c>
      <c r="E670" t="s">
        <v>14</v>
      </c>
      <c r="F670" t="s">
        <v>15</v>
      </c>
      <c r="G670" t="s">
        <v>24</v>
      </c>
      <c r="H670" t="s">
        <v>984</v>
      </c>
      <c r="I670" s="2">
        <v>143.31200000000001</v>
      </c>
      <c r="J670">
        <v>4</v>
      </c>
      <c r="K670" s="2">
        <v>-12.208</v>
      </c>
      <c r="L670" s="3">
        <f>(Table1[[#This Row],[Profit]]/Table1[[#This Row],[Sales]])*100</f>
        <v>-8.5184771686948757</v>
      </c>
    </row>
    <row r="671" spans="1:12" x14ac:dyDescent="0.3">
      <c r="A671" t="s">
        <v>3510</v>
      </c>
      <c r="B671" s="1">
        <v>43790</v>
      </c>
      <c r="C671" t="s">
        <v>880</v>
      </c>
      <c r="D671" t="s">
        <v>881</v>
      </c>
      <c r="E671" t="s">
        <v>14</v>
      </c>
      <c r="F671" t="s">
        <v>23</v>
      </c>
      <c r="G671" t="s">
        <v>16</v>
      </c>
      <c r="H671" t="s">
        <v>1537</v>
      </c>
      <c r="I671" s="2">
        <v>195.136</v>
      </c>
      <c r="J671">
        <v>4</v>
      </c>
      <c r="K671" s="2">
        <v>-12.196</v>
      </c>
      <c r="L671" s="3">
        <f>(Table1[[#This Row],[Profit]]/Table1[[#This Row],[Sales]])*100</f>
        <v>-6.25</v>
      </c>
    </row>
    <row r="672" spans="1:12" x14ac:dyDescent="0.3">
      <c r="A672" t="s">
        <v>6166</v>
      </c>
      <c r="B672" s="1">
        <v>44176</v>
      </c>
      <c r="C672" t="s">
        <v>1702</v>
      </c>
      <c r="D672" t="s">
        <v>1703</v>
      </c>
      <c r="E672" t="s">
        <v>14</v>
      </c>
      <c r="F672" t="s">
        <v>41</v>
      </c>
      <c r="G672" t="s">
        <v>16</v>
      </c>
      <c r="H672" t="s">
        <v>983</v>
      </c>
      <c r="I672" s="2">
        <v>339.78399999999999</v>
      </c>
      <c r="J672">
        <v>1</v>
      </c>
      <c r="K672" s="2">
        <v>-12.147</v>
      </c>
      <c r="L672" s="3">
        <f>(Table1[[#This Row],[Profit]]/Table1[[#This Row],[Sales]])*100</f>
        <v>-3.5749181833164596</v>
      </c>
    </row>
    <row r="673" spans="1:12" x14ac:dyDescent="0.3">
      <c r="A673" t="s">
        <v>3156</v>
      </c>
      <c r="B673" s="1">
        <v>43761</v>
      </c>
      <c r="C673" t="s">
        <v>1135</v>
      </c>
      <c r="D673" t="s">
        <v>1136</v>
      </c>
      <c r="E673" t="s">
        <v>14</v>
      </c>
      <c r="F673" t="s">
        <v>29</v>
      </c>
      <c r="G673" t="s">
        <v>16</v>
      </c>
      <c r="H673" t="s">
        <v>3157</v>
      </c>
      <c r="I673" s="2">
        <v>16.155999999999999</v>
      </c>
      <c r="J673">
        <v>7</v>
      </c>
      <c r="K673" s="2">
        <v>-12.117000000000001</v>
      </c>
      <c r="L673" s="3">
        <f>(Table1[[#This Row],[Profit]]/Table1[[#This Row],[Sales]])*100</f>
        <v>-75.000000000000014</v>
      </c>
    </row>
    <row r="674" spans="1:12" x14ac:dyDescent="0.3">
      <c r="A674" t="s">
        <v>3688</v>
      </c>
      <c r="B674" s="1">
        <v>43802</v>
      </c>
      <c r="C674" t="s">
        <v>1330</v>
      </c>
      <c r="D674" t="s">
        <v>1331</v>
      </c>
      <c r="E674" t="s">
        <v>14</v>
      </c>
      <c r="F674" t="s">
        <v>23</v>
      </c>
      <c r="G674" t="s">
        <v>16</v>
      </c>
      <c r="H674" t="s">
        <v>2313</v>
      </c>
      <c r="I674" s="2">
        <v>205.666</v>
      </c>
      <c r="J674">
        <v>2</v>
      </c>
      <c r="K674" s="2">
        <v>-12.098000000000001</v>
      </c>
      <c r="L674" s="3">
        <f>(Table1[[#This Row],[Profit]]/Table1[[#This Row],[Sales]])*100</f>
        <v>-5.882352941176471</v>
      </c>
    </row>
    <row r="675" spans="1:12" x14ac:dyDescent="0.3">
      <c r="A675" t="s">
        <v>3927</v>
      </c>
      <c r="B675" s="1">
        <v>43826</v>
      </c>
      <c r="C675" t="s">
        <v>1563</v>
      </c>
      <c r="D675" t="s">
        <v>1564</v>
      </c>
      <c r="E675" t="s">
        <v>14</v>
      </c>
      <c r="F675" t="s">
        <v>29</v>
      </c>
      <c r="G675" t="s">
        <v>16</v>
      </c>
      <c r="H675" t="s">
        <v>1788</v>
      </c>
      <c r="I675" s="2">
        <v>845.48800000000006</v>
      </c>
      <c r="J675">
        <v>8</v>
      </c>
      <c r="K675" s="2">
        <v>-12.0784</v>
      </c>
      <c r="L675" s="3">
        <f>(Table1[[#This Row],[Profit]]/Table1[[#This Row],[Sales]])*100</f>
        <v>-1.4285714285714286</v>
      </c>
    </row>
    <row r="676" spans="1:12" x14ac:dyDescent="0.3">
      <c r="A676" t="s">
        <v>2682</v>
      </c>
      <c r="B676" s="1">
        <v>43717</v>
      </c>
      <c r="C676" t="s">
        <v>847</v>
      </c>
      <c r="D676" t="s">
        <v>848</v>
      </c>
      <c r="E676" t="s">
        <v>14</v>
      </c>
      <c r="F676" t="s">
        <v>29</v>
      </c>
      <c r="G676" t="s">
        <v>16</v>
      </c>
      <c r="H676" t="s">
        <v>2683</v>
      </c>
      <c r="I676" s="2">
        <v>15.007999999999999</v>
      </c>
      <c r="J676">
        <v>4</v>
      </c>
      <c r="K676" s="2">
        <v>-12.006399999999999</v>
      </c>
      <c r="L676" s="3">
        <f>(Table1[[#This Row],[Profit]]/Table1[[#This Row],[Sales]])*100</f>
        <v>-80</v>
      </c>
    </row>
    <row r="677" spans="1:12" x14ac:dyDescent="0.3">
      <c r="A677" t="s">
        <v>4098</v>
      </c>
      <c r="B677" s="1">
        <v>43863</v>
      </c>
      <c r="C677" t="s">
        <v>2270</v>
      </c>
      <c r="D677" t="s">
        <v>2271</v>
      </c>
      <c r="E677" t="s">
        <v>14</v>
      </c>
      <c r="F677" t="s">
        <v>15</v>
      </c>
      <c r="G677" t="s">
        <v>18</v>
      </c>
      <c r="H677" t="s">
        <v>1591</v>
      </c>
      <c r="I677" s="2">
        <v>100.97</v>
      </c>
      <c r="J677">
        <v>5</v>
      </c>
      <c r="K677" s="2">
        <v>-11.994</v>
      </c>
      <c r="L677" s="3">
        <f>(Table1[[#This Row],[Profit]]/Table1[[#This Row],[Sales]])*100</f>
        <v>-11.878775874021986</v>
      </c>
    </row>
    <row r="678" spans="1:12" x14ac:dyDescent="0.3">
      <c r="A678" t="s">
        <v>1553</v>
      </c>
      <c r="B678" s="1">
        <v>43615</v>
      </c>
      <c r="C678" t="s">
        <v>1554</v>
      </c>
      <c r="D678" t="s">
        <v>1555</v>
      </c>
      <c r="E678" t="s">
        <v>14</v>
      </c>
      <c r="F678" t="s">
        <v>23</v>
      </c>
      <c r="G678" t="s">
        <v>24</v>
      </c>
      <c r="H678" t="s">
        <v>1556</v>
      </c>
      <c r="I678" s="2">
        <v>14.952</v>
      </c>
      <c r="J678">
        <v>2</v>
      </c>
      <c r="K678" s="2">
        <v>-11.961600000000001</v>
      </c>
      <c r="L678" s="3">
        <f>(Table1[[#This Row],[Profit]]/Table1[[#This Row],[Sales]])*100</f>
        <v>-80</v>
      </c>
    </row>
    <row r="679" spans="1:12" x14ac:dyDescent="0.3">
      <c r="A679" t="s">
        <v>4472</v>
      </c>
      <c r="B679" s="1">
        <v>43936</v>
      </c>
      <c r="C679" t="s">
        <v>3178</v>
      </c>
      <c r="D679" t="s">
        <v>3179</v>
      </c>
      <c r="E679" t="s">
        <v>14</v>
      </c>
      <c r="F679" t="s">
        <v>41</v>
      </c>
      <c r="G679" t="s">
        <v>24</v>
      </c>
      <c r="H679" t="s">
        <v>2681</v>
      </c>
      <c r="I679" s="2">
        <v>107.57</v>
      </c>
      <c r="J679">
        <v>3</v>
      </c>
      <c r="K679" s="2">
        <v>-11.936999999999999</v>
      </c>
      <c r="L679" s="3">
        <f>(Table1[[#This Row],[Profit]]/Table1[[#This Row],[Sales]])*100</f>
        <v>-11.096960118992284</v>
      </c>
    </row>
    <row r="680" spans="1:12" x14ac:dyDescent="0.3">
      <c r="A680" t="s">
        <v>3752</v>
      </c>
      <c r="B680" s="1">
        <v>43808</v>
      </c>
      <c r="C680" t="s">
        <v>509</v>
      </c>
      <c r="D680" t="s">
        <v>510</v>
      </c>
      <c r="E680" t="s">
        <v>14</v>
      </c>
      <c r="F680" t="s">
        <v>29</v>
      </c>
      <c r="G680" t="s">
        <v>24</v>
      </c>
      <c r="H680" t="s">
        <v>1818</v>
      </c>
      <c r="I680" s="2">
        <v>4.3559999999999999</v>
      </c>
      <c r="J680">
        <v>2</v>
      </c>
      <c r="K680" s="2">
        <v>-11.761200000000001</v>
      </c>
      <c r="L680" s="3">
        <f>(Table1[[#This Row],[Profit]]/Table1[[#This Row],[Sales]])*100</f>
        <v>-270</v>
      </c>
    </row>
    <row r="681" spans="1:12" x14ac:dyDescent="0.3">
      <c r="A681" t="s">
        <v>4511</v>
      </c>
      <c r="B681" s="1">
        <v>43944</v>
      </c>
      <c r="C681" t="s">
        <v>2685</v>
      </c>
      <c r="D681" t="s">
        <v>2686</v>
      </c>
      <c r="E681" t="s">
        <v>14</v>
      </c>
      <c r="F681" t="s">
        <v>41</v>
      </c>
      <c r="G681" t="s">
        <v>16</v>
      </c>
      <c r="H681" t="s">
        <v>4512</v>
      </c>
      <c r="I681" s="2">
        <v>109.952</v>
      </c>
      <c r="J681">
        <v>3</v>
      </c>
      <c r="K681" s="2">
        <v>-11.6928</v>
      </c>
      <c r="L681" s="3">
        <f>(Table1[[#This Row],[Profit]]/Table1[[#This Row],[Sales]])*100</f>
        <v>-10.634458672875438</v>
      </c>
    </row>
    <row r="682" spans="1:12" x14ac:dyDescent="0.3">
      <c r="A682" t="s">
        <v>2636</v>
      </c>
      <c r="B682" s="1">
        <v>43713</v>
      </c>
      <c r="C682" t="s">
        <v>2477</v>
      </c>
      <c r="D682" t="s">
        <v>2478</v>
      </c>
      <c r="E682" t="s">
        <v>14</v>
      </c>
      <c r="F682" t="s">
        <v>29</v>
      </c>
      <c r="G682" t="s">
        <v>16</v>
      </c>
      <c r="H682" t="s">
        <v>2637</v>
      </c>
      <c r="I682" s="2">
        <v>21.204000000000001</v>
      </c>
      <c r="J682">
        <v>3</v>
      </c>
      <c r="K682" s="2">
        <v>-11.6622</v>
      </c>
      <c r="L682" s="3">
        <f>(Table1[[#This Row],[Profit]]/Table1[[#This Row],[Sales]])*100</f>
        <v>-55.000000000000007</v>
      </c>
    </row>
    <row r="683" spans="1:12" x14ac:dyDescent="0.3">
      <c r="A683" t="s">
        <v>5322</v>
      </c>
      <c r="B683" s="1">
        <v>44082</v>
      </c>
      <c r="C683" t="s">
        <v>1976</v>
      </c>
      <c r="D683" t="s">
        <v>1977</v>
      </c>
      <c r="E683" t="s">
        <v>14</v>
      </c>
      <c r="F683" t="s">
        <v>29</v>
      </c>
      <c r="G683" t="s">
        <v>16</v>
      </c>
      <c r="H683" t="s">
        <v>4369</v>
      </c>
      <c r="I683" s="2">
        <v>118.184</v>
      </c>
      <c r="J683">
        <v>2</v>
      </c>
      <c r="K683" s="2">
        <v>-11.651199999999999</v>
      </c>
      <c r="L683" s="3">
        <f>(Table1[[#This Row],[Profit]]/Table1[[#This Row],[Sales]])*100</f>
        <v>-9.8585256887565151</v>
      </c>
    </row>
    <row r="684" spans="1:12" x14ac:dyDescent="0.3">
      <c r="A684" t="s">
        <v>6295</v>
      </c>
      <c r="B684" s="1">
        <v>44193</v>
      </c>
      <c r="C684" t="s">
        <v>6296</v>
      </c>
      <c r="D684" t="s">
        <v>6297</v>
      </c>
      <c r="E684" t="s">
        <v>14</v>
      </c>
      <c r="F684" t="s">
        <v>29</v>
      </c>
      <c r="G684" t="s">
        <v>16</v>
      </c>
      <c r="H684" t="s">
        <v>17</v>
      </c>
      <c r="I684" s="2">
        <v>188.8528</v>
      </c>
      <c r="J684">
        <v>2</v>
      </c>
      <c r="K684" s="2">
        <v>-11.596</v>
      </c>
      <c r="L684" s="3">
        <f>(Table1[[#This Row],[Profit]]/Table1[[#This Row],[Sales]])*100</f>
        <v>-6.1402319690256117</v>
      </c>
    </row>
    <row r="685" spans="1:12" x14ac:dyDescent="0.3">
      <c r="A685" t="s">
        <v>4706</v>
      </c>
      <c r="B685" s="1">
        <v>43974</v>
      </c>
      <c r="C685" t="s">
        <v>1472</v>
      </c>
      <c r="D685" t="s">
        <v>1473</v>
      </c>
      <c r="E685" t="s">
        <v>14</v>
      </c>
      <c r="F685" t="s">
        <v>29</v>
      </c>
      <c r="G685" t="s">
        <v>24</v>
      </c>
      <c r="H685" t="s">
        <v>3623</v>
      </c>
      <c r="I685" s="2">
        <v>161.816</v>
      </c>
      <c r="J685">
        <v>3</v>
      </c>
      <c r="K685" s="2">
        <v>-11.5938</v>
      </c>
      <c r="L685" s="3">
        <f>(Table1[[#This Row],[Profit]]/Table1[[#This Row],[Sales]])*100</f>
        <v>-7.1648044692737427</v>
      </c>
    </row>
    <row r="686" spans="1:12" x14ac:dyDescent="0.3">
      <c r="A686" t="s">
        <v>2945</v>
      </c>
      <c r="B686" s="1">
        <v>43734</v>
      </c>
      <c r="C686" t="s">
        <v>2569</v>
      </c>
      <c r="D686" t="s">
        <v>2570</v>
      </c>
      <c r="E686" t="s">
        <v>14</v>
      </c>
      <c r="F686" t="s">
        <v>29</v>
      </c>
      <c r="G686" t="s">
        <v>24</v>
      </c>
      <c r="H686" t="s">
        <v>2946</v>
      </c>
      <c r="I686" s="2">
        <v>6.8159999999999998</v>
      </c>
      <c r="J686">
        <v>2</v>
      </c>
      <c r="K686" s="2">
        <v>-11.587199999999999</v>
      </c>
      <c r="L686" s="3">
        <f>(Table1[[#This Row],[Profit]]/Table1[[#This Row],[Sales]])*100</f>
        <v>-170</v>
      </c>
    </row>
    <row r="687" spans="1:12" x14ac:dyDescent="0.3">
      <c r="A687" t="s">
        <v>4143</v>
      </c>
      <c r="B687" s="1">
        <v>43878</v>
      </c>
      <c r="C687" t="s">
        <v>937</v>
      </c>
      <c r="D687" t="s">
        <v>938</v>
      </c>
      <c r="E687" t="s">
        <v>14</v>
      </c>
      <c r="F687" t="s">
        <v>15</v>
      </c>
      <c r="G687" t="s">
        <v>18</v>
      </c>
      <c r="H687" t="s">
        <v>4144</v>
      </c>
      <c r="I687" s="2">
        <v>104.59399999999999</v>
      </c>
      <c r="J687">
        <v>1</v>
      </c>
      <c r="K687" s="2">
        <v>-11.518800000000001</v>
      </c>
      <c r="L687" s="3">
        <f>(Table1[[#This Row],[Profit]]/Table1[[#This Row],[Sales]])*100</f>
        <v>-11.012868807006139</v>
      </c>
    </row>
    <row r="688" spans="1:12" x14ac:dyDescent="0.3">
      <c r="A688" t="s">
        <v>5165</v>
      </c>
      <c r="B688" s="1">
        <v>44061</v>
      </c>
      <c r="C688" t="s">
        <v>2872</v>
      </c>
      <c r="D688" t="s">
        <v>2873</v>
      </c>
      <c r="E688" t="s">
        <v>14</v>
      </c>
      <c r="F688" t="s">
        <v>29</v>
      </c>
      <c r="G688" t="s">
        <v>24</v>
      </c>
      <c r="H688" t="s">
        <v>3304</v>
      </c>
      <c r="I688" s="2">
        <v>101.744</v>
      </c>
      <c r="J688">
        <v>4</v>
      </c>
      <c r="K688" s="2">
        <v>-11.4648</v>
      </c>
      <c r="L688" s="3">
        <f>(Table1[[#This Row],[Profit]]/Table1[[#This Row],[Sales]])*100</f>
        <v>-11.26828117628558</v>
      </c>
    </row>
    <row r="689" spans="1:12" x14ac:dyDescent="0.3">
      <c r="A689" t="s">
        <v>5499</v>
      </c>
      <c r="B689" s="1">
        <v>44098</v>
      </c>
      <c r="C689" t="s">
        <v>286</v>
      </c>
      <c r="D689" t="s">
        <v>287</v>
      </c>
      <c r="E689" t="s">
        <v>14</v>
      </c>
      <c r="F689" t="s">
        <v>41</v>
      </c>
      <c r="G689" t="s">
        <v>24</v>
      </c>
      <c r="H689" t="s">
        <v>1366</v>
      </c>
      <c r="I689" s="2">
        <v>94.57</v>
      </c>
      <c r="J689">
        <v>3</v>
      </c>
      <c r="K689" s="2">
        <v>-11.417999999999999</v>
      </c>
      <c r="L689" s="3">
        <f>(Table1[[#This Row],[Profit]]/Table1[[#This Row],[Sales]])*100</f>
        <v>-12.073596277889393</v>
      </c>
    </row>
    <row r="690" spans="1:12" x14ac:dyDescent="0.3">
      <c r="A690" t="s">
        <v>4709</v>
      </c>
      <c r="B690" s="1">
        <v>43976</v>
      </c>
      <c r="C690" t="s">
        <v>908</v>
      </c>
      <c r="D690" t="s">
        <v>909</v>
      </c>
      <c r="E690" t="s">
        <v>14</v>
      </c>
      <c r="F690" t="s">
        <v>29</v>
      </c>
      <c r="G690" t="s">
        <v>24</v>
      </c>
      <c r="H690" t="s">
        <v>4710</v>
      </c>
      <c r="I690" s="2">
        <v>113.136</v>
      </c>
      <c r="J690">
        <v>3</v>
      </c>
      <c r="K690" s="2">
        <v>-11.2806</v>
      </c>
      <c r="L690" s="3">
        <f>(Table1[[#This Row],[Profit]]/Table1[[#This Row],[Sales]])*100</f>
        <v>-9.9708315655494282</v>
      </c>
    </row>
    <row r="691" spans="1:12" x14ac:dyDescent="0.3">
      <c r="A691" t="s">
        <v>5153</v>
      </c>
      <c r="B691" s="1">
        <v>44059</v>
      </c>
      <c r="C691" t="s">
        <v>2976</v>
      </c>
      <c r="D691" t="s">
        <v>2977</v>
      </c>
      <c r="E691" t="s">
        <v>14</v>
      </c>
      <c r="F691" t="s">
        <v>41</v>
      </c>
      <c r="G691" t="s">
        <v>24</v>
      </c>
      <c r="H691" t="s">
        <v>1423</v>
      </c>
      <c r="I691" s="2">
        <v>111.428</v>
      </c>
      <c r="J691">
        <v>3</v>
      </c>
      <c r="K691" s="2">
        <v>-11.19</v>
      </c>
      <c r="L691" s="3">
        <f>(Table1[[#This Row],[Profit]]/Table1[[#This Row],[Sales]])*100</f>
        <v>-10.042359191585598</v>
      </c>
    </row>
    <row r="692" spans="1:12" x14ac:dyDescent="0.3">
      <c r="A692" t="s">
        <v>2834</v>
      </c>
      <c r="B692" s="1">
        <v>43728</v>
      </c>
      <c r="C692" t="s">
        <v>956</v>
      </c>
      <c r="D692" t="s">
        <v>957</v>
      </c>
      <c r="E692" t="s">
        <v>14</v>
      </c>
      <c r="F692" t="s">
        <v>41</v>
      </c>
      <c r="G692" t="s">
        <v>16</v>
      </c>
      <c r="H692" t="s">
        <v>661</v>
      </c>
      <c r="I692" s="2">
        <v>98.391999999999996</v>
      </c>
      <c r="J692">
        <v>1</v>
      </c>
      <c r="K692" s="2">
        <v>-11.069100000000001</v>
      </c>
      <c r="L692" s="3">
        <f>(Table1[[#This Row],[Profit]]/Table1[[#This Row],[Sales]])*100</f>
        <v>-11.250000000000002</v>
      </c>
    </row>
    <row r="693" spans="1:12" x14ac:dyDescent="0.3">
      <c r="A693" t="s">
        <v>4866</v>
      </c>
      <c r="B693" s="1">
        <v>44001</v>
      </c>
      <c r="C693" t="s">
        <v>2307</v>
      </c>
      <c r="D693" t="s">
        <v>2308</v>
      </c>
      <c r="E693" t="s">
        <v>14</v>
      </c>
      <c r="F693" t="s">
        <v>29</v>
      </c>
      <c r="G693" t="s">
        <v>24</v>
      </c>
      <c r="H693" t="s">
        <v>2541</v>
      </c>
      <c r="I693" s="2">
        <v>111.88800000000001</v>
      </c>
      <c r="J693">
        <v>3</v>
      </c>
      <c r="K693" s="2">
        <v>-11.020799999999999</v>
      </c>
      <c r="L693" s="3">
        <f>(Table1[[#This Row],[Profit]]/Table1[[#This Row],[Sales]])*100</f>
        <v>-9.8498498498498481</v>
      </c>
    </row>
    <row r="694" spans="1:12" x14ac:dyDescent="0.3">
      <c r="A694" t="s">
        <v>3075</v>
      </c>
      <c r="B694" s="1">
        <v>43751</v>
      </c>
      <c r="C694" t="s">
        <v>2286</v>
      </c>
      <c r="D694" t="s">
        <v>2287</v>
      </c>
      <c r="E694" t="s">
        <v>14</v>
      </c>
      <c r="F694" t="s">
        <v>29</v>
      </c>
      <c r="G694" t="s">
        <v>24</v>
      </c>
      <c r="H694" t="s">
        <v>845</v>
      </c>
      <c r="I694" s="2">
        <v>6.2859999999999996</v>
      </c>
      <c r="J694">
        <v>7</v>
      </c>
      <c r="K694" s="2">
        <v>-11.000500000000001</v>
      </c>
      <c r="L694" s="3">
        <f>(Table1[[#This Row],[Profit]]/Table1[[#This Row],[Sales]])*100</f>
        <v>-175.00000000000003</v>
      </c>
    </row>
    <row r="695" spans="1:12" x14ac:dyDescent="0.3">
      <c r="A695" t="s">
        <v>58</v>
      </c>
      <c r="B695" s="1">
        <v>43472</v>
      </c>
      <c r="C695" t="s">
        <v>59</v>
      </c>
      <c r="D695" t="s">
        <v>60</v>
      </c>
      <c r="E695" t="s">
        <v>14</v>
      </c>
      <c r="F695" t="s">
        <v>29</v>
      </c>
      <c r="G695" t="s">
        <v>16</v>
      </c>
      <c r="H695" t="s">
        <v>61</v>
      </c>
      <c r="I695" s="2">
        <v>23.076000000000001</v>
      </c>
      <c r="J695">
        <v>3</v>
      </c>
      <c r="K695" s="2">
        <v>-10.9611</v>
      </c>
      <c r="L695" s="3">
        <f>(Table1[[#This Row],[Profit]]/Table1[[#This Row],[Sales]])*100</f>
        <v>-47.5</v>
      </c>
    </row>
    <row r="696" spans="1:12" x14ac:dyDescent="0.3">
      <c r="A696" t="s">
        <v>2465</v>
      </c>
      <c r="B696" s="1">
        <v>43704</v>
      </c>
      <c r="C696" t="s">
        <v>2466</v>
      </c>
      <c r="D696" t="s">
        <v>2467</v>
      </c>
      <c r="E696" t="s">
        <v>14</v>
      </c>
      <c r="F696" t="s">
        <v>29</v>
      </c>
      <c r="G696" t="s">
        <v>24</v>
      </c>
      <c r="H696" t="s">
        <v>2468</v>
      </c>
      <c r="I696" s="2">
        <v>51.52</v>
      </c>
      <c r="J696">
        <v>5</v>
      </c>
      <c r="K696" s="2">
        <v>-10.948</v>
      </c>
      <c r="L696" s="3">
        <f>(Table1[[#This Row],[Profit]]/Table1[[#This Row],[Sales]])*100</f>
        <v>-21.25</v>
      </c>
    </row>
    <row r="697" spans="1:12" x14ac:dyDescent="0.3">
      <c r="A697" t="s">
        <v>5861</v>
      </c>
      <c r="B697" s="1">
        <v>44147</v>
      </c>
      <c r="C697" t="s">
        <v>2435</v>
      </c>
      <c r="D697" t="s">
        <v>2436</v>
      </c>
      <c r="E697" t="s">
        <v>14</v>
      </c>
      <c r="F697" t="s">
        <v>23</v>
      </c>
      <c r="G697" t="s">
        <v>18</v>
      </c>
      <c r="H697" t="s">
        <v>396</v>
      </c>
      <c r="I697" s="2">
        <v>103.352</v>
      </c>
      <c r="J697">
        <v>6</v>
      </c>
      <c r="K697" s="2">
        <v>-10.9116</v>
      </c>
      <c r="L697" s="3">
        <f>(Table1[[#This Row],[Profit]]/Table1[[#This Row],[Sales]])*100</f>
        <v>-10.557705704775911</v>
      </c>
    </row>
    <row r="698" spans="1:12" x14ac:dyDescent="0.3">
      <c r="A698" t="s">
        <v>2490</v>
      </c>
      <c r="B698" s="1">
        <v>43706</v>
      </c>
      <c r="C698" t="s">
        <v>554</v>
      </c>
      <c r="D698" t="s">
        <v>555</v>
      </c>
      <c r="E698" t="s">
        <v>14</v>
      </c>
      <c r="F698" t="s">
        <v>29</v>
      </c>
      <c r="G698" t="s">
        <v>18</v>
      </c>
      <c r="H698" t="s">
        <v>1285</v>
      </c>
      <c r="I698" s="2">
        <v>95.975999999999999</v>
      </c>
      <c r="J698">
        <v>3</v>
      </c>
      <c r="K698" s="2">
        <v>-10.7973</v>
      </c>
      <c r="L698" s="3">
        <f>(Table1[[#This Row],[Profit]]/Table1[[#This Row],[Sales]])*100</f>
        <v>-11.25</v>
      </c>
    </row>
    <row r="699" spans="1:12" x14ac:dyDescent="0.3">
      <c r="A699" t="s">
        <v>6042</v>
      </c>
      <c r="B699" s="1">
        <v>44165</v>
      </c>
      <c r="C699" t="s">
        <v>3178</v>
      </c>
      <c r="D699" t="s">
        <v>3179</v>
      </c>
      <c r="E699" t="s">
        <v>14</v>
      </c>
      <c r="F699" t="s">
        <v>29</v>
      </c>
      <c r="G699" t="s">
        <v>18</v>
      </c>
      <c r="H699" t="s">
        <v>1285</v>
      </c>
      <c r="I699" s="2">
        <v>115.976</v>
      </c>
      <c r="J699">
        <v>3</v>
      </c>
      <c r="K699" s="2">
        <v>-10.7973</v>
      </c>
      <c r="L699" s="3">
        <f>(Table1[[#This Row],[Profit]]/Table1[[#This Row],[Sales]])*100</f>
        <v>-9.309943436573084</v>
      </c>
    </row>
    <row r="700" spans="1:12" x14ac:dyDescent="0.3">
      <c r="A700" t="s">
        <v>4245</v>
      </c>
      <c r="B700" s="1">
        <v>43900</v>
      </c>
      <c r="C700" t="s">
        <v>2999</v>
      </c>
      <c r="D700" t="s">
        <v>3000</v>
      </c>
      <c r="E700" t="s">
        <v>14</v>
      </c>
      <c r="F700" t="s">
        <v>15</v>
      </c>
      <c r="G700" t="s">
        <v>18</v>
      </c>
      <c r="H700" t="s">
        <v>2339</v>
      </c>
      <c r="I700" s="2">
        <v>136.982</v>
      </c>
      <c r="J700">
        <v>3</v>
      </c>
      <c r="K700" s="2">
        <v>-10.7964</v>
      </c>
      <c r="L700" s="3">
        <f>(Table1[[#This Row],[Profit]]/Table1[[#This Row],[Sales]])*100</f>
        <v>-7.8816194828517618</v>
      </c>
    </row>
    <row r="701" spans="1:12" x14ac:dyDescent="0.3">
      <c r="A701" t="s">
        <v>4629</v>
      </c>
      <c r="B701" s="1">
        <v>43963</v>
      </c>
      <c r="C701" t="s">
        <v>1052</v>
      </c>
      <c r="D701" t="s">
        <v>1053</v>
      </c>
      <c r="E701" t="s">
        <v>14</v>
      </c>
      <c r="F701" t="s">
        <v>23</v>
      </c>
      <c r="G701" t="s">
        <v>16</v>
      </c>
      <c r="H701" t="s">
        <v>4028</v>
      </c>
      <c r="I701" s="2">
        <v>306.48</v>
      </c>
      <c r="J701">
        <v>5</v>
      </c>
      <c r="K701" s="2">
        <v>-10.705500000000001</v>
      </c>
      <c r="L701" s="3">
        <f>(Table1[[#This Row],[Profit]]/Table1[[#This Row],[Sales]])*100</f>
        <v>-3.4930501174628037</v>
      </c>
    </row>
    <row r="702" spans="1:12" x14ac:dyDescent="0.3">
      <c r="A702" t="s">
        <v>4665</v>
      </c>
      <c r="B702" s="1">
        <v>43969</v>
      </c>
      <c r="C702" t="s">
        <v>2234</v>
      </c>
      <c r="D702" t="s">
        <v>2235</v>
      </c>
      <c r="E702" t="s">
        <v>14</v>
      </c>
      <c r="F702" t="s">
        <v>29</v>
      </c>
      <c r="G702" t="s">
        <v>24</v>
      </c>
      <c r="H702" t="s">
        <v>944</v>
      </c>
      <c r="I702" s="2">
        <v>105.874</v>
      </c>
      <c r="J702">
        <v>7</v>
      </c>
      <c r="K702" s="2">
        <v>-10.6547</v>
      </c>
      <c r="L702" s="3">
        <f>(Table1[[#This Row],[Profit]]/Table1[[#This Row],[Sales]])*100</f>
        <v>-10.063566125772144</v>
      </c>
    </row>
    <row r="703" spans="1:12" x14ac:dyDescent="0.3">
      <c r="A703" t="s">
        <v>5797</v>
      </c>
      <c r="B703" s="1">
        <v>44141</v>
      </c>
      <c r="C703" t="s">
        <v>376</v>
      </c>
      <c r="D703" t="s">
        <v>377</v>
      </c>
      <c r="E703" t="s">
        <v>14</v>
      </c>
      <c r="F703" t="s">
        <v>41</v>
      </c>
      <c r="G703" t="s">
        <v>24</v>
      </c>
      <c r="H703" t="s">
        <v>2394</v>
      </c>
      <c r="I703" s="2">
        <v>136.27199999999999</v>
      </c>
      <c r="J703">
        <v>8</v>
      </c>
      <c r="K703" s="2">
        <v>-10.617599999999999</v>
      </c>
      <c r="L703" s="3">
        <f>(Table1[[#This Row],[Profit]]/Table1[[#This Row],[Sales]])*100</f>
        <v>-7.7914758717858401</v>
      </c>
    </row>
    <row r="704" spans="1:12" x14ac:dyDescent="0.3">
      <c r="A704" t="s">
        <v>3483</v>
      </c>
      <c r="B704" s="1">
        <v>43789</v>
      </c>
      <c r="C704" t="s">
        <v>3484</v>
      </c>
      <c r="D704" t="s">
        <v>3485</v>
      </c>
      <c r="E704" t="s">
        <v>14</v>
      </c>
      <c r="F704" t="s">
        <v>15</v>
      </c>
      <c r="G704" t="s">
        <v>24</v>
      </c>
      <c r="H704" t="s">
        <v>3488</v>
      </c>
      <c r="I704" s="2">
        <v>14.427</v>
      </c>
      <c r="J704">
        <v>3</v>
      </c>
      <c r="K704" s="2">
        <v>-10.579800000000001</v>
      </c>
      <c r="L704" s="3">
        <f>(Table1[[#This Row],[Profit]]/Table1[[#This Row],[Sales]])*100</f>
        <v>-73.333333333333343</v>
      </c>
    </row>
    <row r="705" spans="1:12" x14ac:dyDescent="0.3">
      <c r="A705" t="s">
        <v>4958</v>
      </c>
      <c r="B705" s="1">
        <v>44017</v>
      </c>
      <c r="C705" t="s">
        <v>2088</v>
      </c>
      <c r="D705" t="s">
        <v>2089</v>
      </c>
      <c r="E705" t="s">
        <v>14</v>
      </c>
      <c r="F705" t="s">
        <v>29</v>
      </c>
      <c r="G705" t="s">
        <v>24</v>
      </c>
      <c r="H705" t="s">
        <v>4438</v>
      </c>
      <c r="I705" s="2">
        <v>78.316000000000003</v>
      </c>
      <c r="J705">
        <v>1</v>
      </c>
      <c r="K705" s="2">
        <v>-10.4214</v>
      </c>
      <c r="L705" s="3">
        <f>(Table1[[#This Row],[Profit]]/Table1[[#This Row],[Sales]])*100</f>
        <v>-13.306859390162929</v>
      </c>
    </row>
    <row r="706" spans="1:12" x14ac:dyDescent="0.3">
      <c r="A706" t="s">
        <v>6273</v>
      </c>
      <c r="B706" s="1">
        <v>44190</v>
      </c>
      <c r="C706" t="s">
        <v>714</v>
      </c>
      <c r="D706" t="s">
        <v>715</v>
      </c>
      <c r="E706" t="s">
        <v>14</v>
      </c>
      <c r="F706" t="s">
        <v>15</v>
      </c>
      <c r="G706" t="s">
        <v>24</v>
      </c>
      <c r="H706" t="s">
        <v>542</v>
      </c>
      <c r="I706" s="2">
        <v>331.02300000000002</v>
      </c>
      <c r="J706">
        <v>1</v>
      </c>
      <c r="K706" s="2">
        <v>-10.4184</v>
      </c>
      <c r="L706" s="3">
        <f>(Table1[[#This Row],[Profit]]/Table1[[#This Row],[Sales]])*100</f>
        <v>-3.1473341731541309</v>
      </c>
    </row>
    <row r="707" spans="1:12" x14ac:dyDescent="0.3">
      <c r="A707" t="s">
        <v>3963</v>
      </c>
      <c r="B707" s="1">
        <v>43829</v>
      </c>
      <c r="C707" t="s">
        <v>2760</v>
      </c>
      <c r="D707" t="s">
        <v>2761</v>
      </c>
      <c r="E707" t="s">
        <v>14</v>
      </c>
      <c r="F707" t="s">
        <v>29</v>
      </c>
      <c r="G707" t="s">
        <v>24</v>
      </c>
      <c r="H707" t="s">
        <v>2793</v>
      </c>
      <c r="I707" s="2">
        <v>6.9240000000000004</v>
      </c>
      <c r="J707">
        <v>6</v>
      </c>
      <c r="K707" s="2">
        <v>-10.385999999999999</v>
      </c>
      <c r="L707" s="3">
        <f>(Table1[[#This Row],[Profit]]/Table1[[#This Row],[Sales]])*100</f>
        <v>-149.99999999999997</v>
      </c>
    </row>
    <row r="708" spans="1:12" x14ac:dyDescent="0.3">
      <c r="A708" t="s">
        <v>4929</v>
      </c>
      <c r="B708" s="1">
        <v>44012</v>
      </c>
      <c r="C708" t="s">
        <v>2292</v>
      </c>
      <c r="D708" t="s">
        <v>2293</v>
      </c>
      <c r="E708" t="s">
        <v>14</v>
      </c>
      <c r="F708" t="s">
        <v>29</v>
      </c>
      <c r="G708" t="s">
        <v>16</v>
      </c>
      <c r="H708" t="s">
        <v>859</v>
      </c>
      <c r="I708" s="2">
        <v>109.224</v>
      </c>
      <c r="J708">
        <v>2</v>
      </c>
      <c r="K708" s="2">
        <v>-10.3124</v>
      </c>
      <c r="L708" s="3">
        <f>(Table1[[#This Row],[Profit]]/Table1[[#This Row],[Sales]])*100</f>
        <v>-9.4415146854171237</v>
      </c>
    </row>
    <row r="709" spans="1:12" x14ac:dyDescent="0.3">
      <c r="A709" t="s">
        <v>6097</v>
      </c>
      <c r="B709" s="1">
        <v>44169</v>
      </c>
      <c r="C709" t="s">
        <v>6098</v>
      </c>
      <c r="D709" t="s">
        <v>6099</v>
      </c>
      <c r="E709" t="s">
        <v>14</v>
      </c>
      <c r="F709" t="s">
        <v>15</v>
      </c>
      <c r="G709" t="s">
        <v>16</v>
      </c>
      <c r="H709" t="s">
        <v>921</v>
      </c>
      <c r="I709" s="2">
        <v>254.96</v>
      </c>
      <c r="J709">
        <v>10</v>
      </c>
      <c r="K709" s="2">
        <v>-10.284000000000001</v>
      </c>
      <c r="L709" s="3">
        <f>(Table1[[#This Row],[Profit]]/Table1[[#This Row],[Sales]])*100</f>
        <v>-4.0335738939441486</v>
      </c>
    </row>
    <row r="710" spans="1:12" x14ac:dyDescent="0.3">
      <c r="A710" t="s">
        <v>1186</v>
      </c>
      <c r="B710" s="1">
        <v>43585</v>
      </c>
      <c r="C710" t="s">
        <v>244</v>
      </c>
      <c r="D710" t="s">
        <v>245</v>
      </c>
      <c r="E710" t="s">
        <v>14</v>
      </c>
      <c r="F710" t="s">
        <v>29</v>
      </c>
      <c r="G710" t="s">
        <v>16</v>
      </c>
      <c r="H710" t="s">
        <v>1187</v>
      </c>
      <c r="I710" s="2">
        <v>22.608000000000001</v>
      </c>
      <c r="J710">
        <v>3</v>
      </c>
      <c r="K710" s="2">
        <v>-10.1736</v>
      </c>
      <c r="L710" s="3">
        <f>(Table1[[#This Row],[Profit]]/Table1[[#This Row],[Sales]])*100</f>
        <v>-45</v>
      </c>
    </row>
    <row r="711" spans="1:12" x14ac:dyDescent="0.3">
      <c r="A711" t="s">
        <v>1407</v>
      </c>
      <c r="B711" s="1">
        <v>43602</v>
      </c>
      <c r="C711" t="s">
        <v>1408</v>
      </c>
      <c r="D711" t="s">
        <v>1409</v>
      </c>
      <c r="E711" t="s">
        <v>14</v>
      </c>
      <c r="F711" t="s">
        <v>29</v>
      </c>
      <c r="G711" t="s">
        <v>16</v>
      </c>
      <c r="H711" t="s">
        <v>1187</v>
      </c>
      <c r="I711" s="2">
        <v>22.608000000000001</v>
      </c>
      <c r="J711">
        <v>3</v>
      </c>
      <c r="K711" s="2">
        <v>-10.1736</v>
      </c>
      <c r="L711" s="3">
        <f>(Table1[[#This Row],[Profit]]/Table1[[#This Row],[Sales]])*100</f>
        <v>-45</v>
      </c>
    </row>
    <row r="712" spans="1:12" x14ac:dyDescent="0.3">
      <c r="A712" t="s">
        <v>2413</v>
      </c>
      <c r="B712" s="1">
        <v>43700</v>
      </c>
      <c r="C712" t="s">
        <v>2414</v>
      </c>
      <c r="D712" t="s">
        <v>2415</v>
      </c>
      <c r="E712" t="s">
        <v>14</v>
      </c>
      <c r="F712" t="s">
        <v>29</v>
      </c>
      <c r="G712" t="s">
        <v>16</v>
      </c>
      <c r="H712" t="s">
        <v>1187</v>
      </c>
      <c r="I712" s="2">
        <v>22.608000000000001</v>
      </c>
      <c r="J712">
        <v>3</v>
      </c>
      <c r="K712" s="2">
        <v>-10.1736</v>
      </c>
      <c r="L712" s="3">
        <f>(Table1[[#This Row],[Profit]]/Table1[[#This Row],[Sales]])*100</f>
        <v>-45</v>
      </c>
    </row>
    <row r="713" spans="1:12" x14ac:dyDescent="0.3">
      <c r="A713" t="s">
        <v>4670</v>
      </c>
      <c r="B713" s="1">
        <v>43969</v>
      </c>
      <c r="C713" t="s">
        <v>12</v>
      </c>
      <c r="D713" t="s">
        <v>13</v>
      </c>
      <c r="E713" t="s">
        <v>14</v>
      </c>
      <c r="F713" t="s">
        <v>29</v>
      </c>
      <c r="G713" t="s">
        <v>16</v>
      </c>
      <c r="H713" t="s">
        <v>1187</v>
      </c>
      <c r="I713" s="2">
        <v>146.608</v>
      </c>
      <c r="J713">
        <v>3</v>
      </c>
      <c r="K713" s="2">
        <v>-10.1736</v>
      </c>
      <c r="L713" s="3">
        <f>(Table1[[#This Row],[Profit]]/Table1[[#This Row],[Sales]])*100</f>
        <v>-6.9393211830186621</v>
      </c>
    </row>
    <row r="714" spans="1:12" x14ac:dyDescent="0.3">
      <c r="A714" t="s">
        <v>5426</v>
      </c>
      <c r="B714" s="1">
        <v>44091</v>
      </c>
      <c r="C714" t="s">
        <v>544</v>
      </c>
      <c r="D714" t="s">
        <v>545</v>
      </c>
      <c r="E714" t="s">
        <v>14</v>
      </c>
      <c r="F714" t="s">
        <v>29</v>
      </c>
      <c r="G714" t="s">
        <v>24</v>
      </c>
      <c r="H714" t="s">
        <v>374</v>
      </c>
      <c r="I714" s="2">
        <v>111.8</v>
      </c>
      <c r="J714">
        <v>5</v>
      </c>
      <c r="K714" s="2">
        <v>-10.15</v>
      </c>
      <c r="L714" s="3">
        <f>(Table1[[#This Row],[Profit]]/Table1[[#This Row],[Sales]])*100</f>
        <v>-9.0787119856887308</v>
      </c>
    </row>
    <row r="715" spans="1:12" x14ac:dyDescent="0.3">
      <c r="A715" t="s">
        <v>4481</v>
      </c>
      <c r="B715" s="1">
        <v>43937</v>
      </c>
      <c r="C715" t="s">
        <v>1061</v>
      </c>
      <c r="D715" t="s">
        <v>1062</v>
      </c>
      <c r="E715" t="s">
        <v>14</v>
      </c>
      <c r="F715" t="s">
        <v>15</v>
      </c>
      <c r="G715" t="s">
        <v>24</v>
      </c>
      <c r="H715" t="s">
        <v>1824</v>
      </c>
      <c r="I715" s="2">
        <v>111.71</v>
      </c>
      <c r="J715">
        <v>5</v>
      </c>
      <c r="K715" s="2">
        <v>-10.054</v>
      </c>
      <c r="L715" s="3">
        <f>(Table1[[#This Row],[Profit]]/Table1[[#This Row],[Sales]])*100</f>
        <v>-9.0000895175006708</v>
      </c>
    </row>
    <row r="716" spans="1:12" x14ac:dyDescent="0.3">
      <c r="A716" t="s">
        <v>4720</v>
      </c>
      <c r="B716" s="1">
        <v>43978</v>
      </c>
      <c r="C716" t="s">
        <v>3037</v>
      </c>
      <c r="D716" t="s">
        <v>3038</v>
      </c>
      <c r="E716" t="s">
        <v>14</v>
      </c>
      <c r="F716" t="s">
        <v>41</v>
      </c>
      <c r="G716" t="s">
        <v>24</v>
      </c>
      <c r="H716" t="s">
        <v>1996</v>
      </c>
      <c r="I716" s="2">
        <v>115.06</v>
      </c>
      <c r="J716">
        <v>5</v>
      </c>
      <c r="K716" s="2">
        <v>-10.050000000000001</v>
      </c>
      <c r="L716" s="3">
        <f>(Table1[[#This Row],[Profit]]/Table1[[#This Row],[Sales]])*100</f>
        <v>-8.7345732661220232</v>
      </c>
    </row>
    <row r="717" spans="1:12" x14ac:dyDescent="0.3">
      <c r="A717" t="s">
        <v>4242</v>
      </c>
      <c r="B717" s="1">
        <v>43900</v>
      </c>
      <c r="C717" t="s">
        <v>4243</v>
      </c>
      <c r="D717" t="s">
        <v>4244</v>
      </c>
      <c r="E717" t="s">
        <v>14</v>
      </c>
      <c r="F717" t="s">
        <v>41</v>
      </c>
      <c r="G717" t="s">
        <v>24</v>
      </c>
      <c r="H717" t="s">
        <v>208</v>
      </c>
      <c r="I717" s="2">
        <v>112.092</v>
      </c>
      <c r="J717">
        <v>4</v>
      </c>
      <c r="K717" s="2">
        <v>-10.0372</v>
      </c>
      <c r="L717" s="3">
        <f>(Table1[[#This Row],[Profit]]/Table1[[#This Row],[Sales]])*100</f>
        <v>-8.9544302894051331</v>
      </c>
    </row>
    <row r="718" spans="1:12" x14ac:dyDescent="0.3">
      <c r="A718" t="s">
        <v>6144</v>
      </c>
      <c r="B718" s="1">
        <v>44174</v>
      </c>
      <c r="C718" t="s">
        <v>3625</v>
      </c>
      <c r="D718" t="s">
        <v>3626</v>
      </c>
      <c r="E718" t="s">
        <v>14</v>
      </c>
      <c r="F718" t="s">
        <v>23</v>
      </c>
      <c r="G718" t="s">
        <v>24</v>
      </c>
      <c r="H718" t="s">
        <v>1410</v>
      </c>
      <c r="I718" s="2">
        <v>118.005</v>
      </c>
      <c r="J718">
        <v>3</v>
      </c>
      <c r="K718" s="2">
        <v>-9.9704999999999995</v>
      </c>
      <c r="L718" s="3">
        <f>(Table1[[#This Row],[Profit]]/Table1[[#This Row],[Sales]])*100</f>
        <v>-8.4492182534638367</v>
      </c>
    </row>
    <row r="719" spans="1:12" x14ac:dyDescent="0.3">
      <c r="A719" t="s">
        <v>2207</v>
      </c>
      <c r="B719" s="1">
        <v>43674</v>
      </c>
      <c r="C719" t="s">
        <v>1243</v>
      </c>
      <c r="D719" t="s">
        <v>1244</v>
      </c>
      <c r="E719" t="s">
        <v>14</v>
      </c>
      <c r="F719" t="s">
        <v>29</v>
      </c>
      <c r="G719" t="s">
        <v>16</v>
      </c>
      <c r="H719" t="s">
        <v>736</v>
      </c>
      <c r="I719" s="2">
        <v>24.7</v>
      </c>
      <c r="J719">
        <v>5</v>
      </c>
      <c r="K719" s="2">
        <v>-9.8800000000000008</v>
      </c>
      <c r="L719" s="3">
        <f>(Table1[[#This Row],[Profit]]/Table1[[#This Row],[Sales]])*100</f>
        <v>-40</v>
      </c>
    </row>
    <row r="720" spans="1:12" x14ac:dyDescent="0.3">
      <c r="A720" t="s">
        <v>92</v>
      </c>
      <c r="B720" s="1">
        <v>43476</v>
      </c>
      <c r="C720" t="s">
        <v>93</v>
      </c>
      <c r="D720" t="s">
        <v>94</v>
      </c>
      <c r="E720" t="s">
        <v>14</v>
      </c>
      <c r="F720" t="s">
        <v>15</v>
      </c>
      <c r="G720" t="s">
        <v>18</v>
      </c>
      <c r="H720" t="s">
        <v>97</v>
      </c>
      <c r="I720" s="2">
        <v>15.587999999999999</v>
      </c>
      <c r="J720">
        <v>2</v>
      </c>
      <c r="K720" s="2">
        <v>-9.8724000000000007</v>
      </c>
      <c r="L720" s="3">
        <f>(Table1[[#This Row],[Profit]]/Table1[[#This Row],[Sales]])*100</f>
        <v>-63.333333333333343</v>
      </c>
    </row>
    <row r="721" spans="1:12" x14ac:dyDescent="0.3">
      <c r="A721" t="s">
        <v>1358</v>
      </c>
      <c r="B721" s="1">
        <v>43599</v>
      </c>
      <c r="C721" t="s">
        <v>1359</v>
      </c>
      <c r="D721" t="s">
        <v>1360</v>
      </c>
      <c r="E721" t="s">
        <v>14</v>
      </c>
      <c r="F721" t="s">
        <v>41</v>
      </c>
      <c r="G721" t="s">
        <v>24</v>
      </c>
      <c r="H721" t="s">
        <v>399</v>
      </c>
      <c r="I721" s="2">
        <v>13.391999999999999</v>
      </c>
      <c r="J721">
        <v>8</v>
      </c>
      <c r="K721" s="2">
        <v>-9.8208000000000002</v>
      </c>
      <c r="L721" s="3">
        <f>(Table1[[#This Row],[Profit]]/Table1[[#This Row],[Sales]])*100</f>
        <v>-73.333333333333343</v>
      </c>
    </row>
    <row r="722" spans="1:12" x14ac:dyDescent="0.3">
      <c r="A722" t="s">
        <v>6243</v>
      </c>
      <c r="B722" s="1">
        <v>44187</v>
      </c>
      <c r="C722" t="s">
        <v>2244</v>
      </c>
      <c r="D722" t="s">
        <v>2245</v>
      </c>
      <c r="E722" t="s">
        <v>14</v>
      </c>
      <c r="F722" t="s">
        <v>29</v>
      </c>
      <c r="G722" t="s">
        <v>24</v>
      </c>
      <c r="H722" t="s">
        <v>1458</v>
      </c>
      <c r="I722" s="2">
        <v>129.35</v>
      </c>
      <c r="J722">
        <v>5</v>
      </c>
      <c r="K722" s="2">
        <v>-9.8115000000000006</v>
      </c>
      <c r="L722" s="3">
        <f>(Table1[[#This Row],[Profit]]/Table1[[#This Row],[Sales]])*100</f>
        <v>-7.5852338616157713</v>
      </c>
    </row>
    <row r="723" spans="1:12" x14ac:dyDescent="0.3">
      <c r="A723" t="s">
        <v>3339</v>
      </c>
      <c r="B723" s="1">
        <v>43779</v>
      </c>
      <c r="C723" t="s">
        <v>286</v>
      </c>
      <c r="D723" t="s">
        <v>287</v>
      </c>
      <c r="E723" t="s">
        <v>14</v>
      </c>
      <c r="F723" t="s">
        <v>15</v>
      </c>
      <c r="G723" t="s">
        <v>18</v>
      </c>
      <c r="H723" t="s">
        <v>3341</v>
      </c>
      <c r="I723" s="2">
        <v>41.957999999999998</v>
      </c>
      <c r="J723">
        <v>7</v>
      </c>
      <c r="K723" s="2">
        <v>-9.7902000000000005</v>
      </c>
      <c r="L723" s="3">
        <f>(Table1[[#This Row],[Profit]]/Table1[[#This Row],[Sales]])*100</f>
        <v>-23.333333333333336</v>
      </c>
    </row>
    <row r="724" spans="1:12" x14ac:dyDescent="0.3">
      <c r="A724" t="s">
        <v>2881</v>
      </c>
      <c r="B724" s="1">
        <v>43731</v>
      </c>
      <c r="C724" t="s">
        <v>1622</v>
      </c>
      <c r="D724" t="s">
        <v>1623</v>
      </c>
      <c r="E724" t="s">
        <v>14</v>
      </c>
      <c r="F724" t="s">
        <v>15</v>
      </c>
      <c r="G724" t="s">
        <v>24</v>
      </c>
      <c r="H724" t="s">
        <v>2498</v>
      </c>
      <c r="I724" s="2">
        <v>12.201000000000001</v>
      </c>
      <c r="J724">
        <v>7</v>
      </c>
      <c r="K724" s="2">
        <v>-9.7607999999999997</v>
      </c>
      <c r="L724" s="3">
        <f>(Table1[[#This Row],[Profit]]/Table1[[#This Row],[Sales]])*100</f>
        <v>-80</v>
      </c>
    </row>
    <row r="725" spans="1:12" x14ac:dyDescent="0.3">
      <c r="A725" t="s">
        <v>3972</v>
      </c>
      <c r="B725" s="1">
        <v>43831</v>
      </c>
      <c r="C725" t="s">
        <v>800</v>
      </c>
      <c r="D725" t="s">
        <v>801</v>
      </c>
      <c r="E725" t="s">
        <v>14</v>
      </c>
      <c r="F725" t="s">
        <v>29</v>
      </c>
      <c r="G725" t="s">
        <v>24</v>
      </c>
      <c r="H725" t="s">
        <v>1382</v>
      </c>
      <c r="I725" s="2">
        <v>120.47</v>
      </c>
      <c r="J725">
        <v>5</v>
      </c>
      <c r="K725" s="2">
        <v>-9.7050000000000001</v>
      </c>
      <c r="L725" s="3">
        <f>(Table1[[#This Row],[Profit]]/Table1[[#This Row],[Sales]])*100</f>
        <v>-8.0559475388063415</v>
      </c>
    </row>
    <row r="726" spans="1:12" x14ac:dyDescent="0.3">
      <c r="A726" t="s">
        <v>3527</v>
      </c>
      <c r="B726" s="1">
        <v>43791</v>
      </c>
      <c r="C726" t="s">
        <v>3175</v>
      </c>
      <c r="D726" t="s">
        <v>3176</v>
      </c>
      <c r="E726" t="s">
        <v>14</v>
      </c>
      <c r="F726" t="s">
        <v>29</v>
      </c>
      <c r="G726" t="s">
        <v>24</v>
      </c>
      <c r="H726" t="s">
        <v>1160</v>
      </c>
      <c r="I726" s="2">
        <v>6.2160000000000002</v>
      </c>
      <c r="J726">
        <v>6</v>
      </c>
      <c r="K726" s="2">
        <v>-9.6348000000000003</v>
      </c>
      <c r="L726" s="3">
        <f>(Table1[[#This Row],[Profit]]/Table1[[#This Row],[Sales]])*100</f>
        <v>-155</v>
      </c>
    </row>
    <row r="727" spans="1:12" x14ac:dyDescent="0.3">
      <c r="A727" t="s">
        <v>1847</v>
      </c>
      <c r="B727" s="1">
        <v>43640</v>
      </c>
      <c r="C727" t="s">
        <v>1013</v>
      </c>
      <c r="D727" t="s">
        <v>1014</v>
      </c>
      <c r="E727" t="s">
        <v>14</v>
      </c>
      <c r="F727" t="s">
        <v>23</v>
      </c>
      <c r="G727" t="s">
        <v>18</v>
      </c>
      <c r="H727" t="s">
        <v>1848</v>
      </c>
      <c r="I727" s="2">
        <v>38.24</v>
      </c>
      <c r="J727">
        <v>4</v>
      </c>
      <c r="K727" s="2">
        <v>-9.56</v>
      </c>
      <c r="L727" s="3">
        <f>(Table1[[#This Row],[Profit]]/Table1[[#This Row],[Sales]])*100</f>
        <v>-25</v>
      </c>
    </row>
    <row r="728" spans="1:12" x14ac:dyDescent="0.3">
      <c r="A728" t="s">
        <v>4774</v>
      </c>
      <c r="B728" s="1">
        <v>43986</v>
      </c>
      <c r="C728" t="s">
        <v>4343</v>
      </c>
      <c r="D728" t="s">
        <v>4344</v>
      </c>
      <c r="E728" t="s">
        <v>14</v>
      </c>
      <c r="F728" t="s">
        <v>29</v>
      </c>
      <c r="G728" t="s">
        <v>24</v>
      </c>
      <c r="H728" t="s">
        <v>264</v>
      </c>
      <c r="I728" s="2">
        <v>115.37</v>
      </c>
      <c r="J728">
        <v>7</v>
      </c>
      <c r="K728" s="2">
        <v>-9.5549999999999997</v>
      </c>
      <c r="L728" s="3">
        <f>(Table1[[#This Row],[Profit]]/Table1[[#This Row],[Sales]])*100</f>
        <v>-8.2820490595475409</v>
      </c>
    </row>
    <row r="729" spans="1:12" x14ac:dyDescent="0.3">
      <c r="A729" t="s">
        <v>3739</v>
      </c>
      <c r="B729" s="1">
        <v>43807</v>
      </c>
      <c r="C729" t="s">
        <v>592</v>
      </c>
      <c r="D729" t="s">
        <v>593</v>
      </c>
      <c r="E729" t="s">
        <v>14</v>
      </c>
      <c r="F729" t="s">
        <v>15</v>
      </c>
      <c r="G729" t="s">
        <v>24</v>
      </c>
      <c r="H729" t="s">
        <v>3740</v>
      </c>
      <c r="I729" s="2">
        <v>12.957000000000001</v>
      </c>
      <c r="J729">
        <v>7</v>
      </c>
      <c r="K729" s="2">
        <v>-9.5017999999999994</v>
      </c>
      <c r="L729" s="3">
        <f>(Table1[[#This Row],[Profit]]/Table1[[#This Row],[Sales]])*100</f>
        <v>-73.333333333333329</v>
      </c>
    </row>
    <row r="730" spans="1:12" x14ac:dyDescent="0.3">
      <c r="A730" t="s">
        <v>3144</v>
      </c>
      <c r="B730" s="1">
        <v>43759</v>
      </c>
      <c r="C730" t="s">
        <v>376</v>
      </c>
      <c r="D730" t="s">
        <v>377</v>
      </c>
      <c r="E730" t="s">
        <v>14</v>
      </c>
      <c r="F730" t="s">
        <v>29</v>
      </c>
      <c r="G730" t="s">
        <v>18</v>
      </c>
      <c r="H730" t="s">
        <v>3145</v>
      </c>
      <c r="I730" s="2">
        <v>106.08</v>
      </c>
      <c r="J730">
        <v>6</v>
      </c>
      <c r="K730" s="2">
        <v>-9.282</v>
      </c>
      <c r="L730" s="3">
        <f>(Table1[[#This Row],[Profit]]/Table1[[#This Row],[Sales]])*100</f>
        <v>-8.75</v>
      </c>
    </row>
    <row r="731" spans="1:12" x14ac:dyDescent="0.3">
      <c r="A731" t="s">
        <v>4553</v>
      </c>
      <c r="B731" s="1">
        <v>43951</v>
      </c>
      <c r="C731" t="s">
        <v>967</v>
      </c>
      <c r="D731" t="s">
        <v>968</v>
      </c>
      <c r="E731" t="s">
        <v>14</v>
      </c>
      <c r="F731" t="s">
        <v>15</v>
      </c>
      <c r="G731" t="s">
        <v>24</v>
      </c>
      <c r="H731" t="s">
        <v>644</v>
      </c>
      <c r="I731" s="2">
        <v>108.896</v>
      </c>
      <c r="J731">
        <v>3</v>
      </c>
      <c r="K731" s="2">
        <v>-9.2639999999999993</v>
      </c>
      <c r="L731" s="3">
        <f>(Table1[[#This Row],[Profit]]/Table1[[#This Row],[Sales]])*100</f>
        <v>-8.5071995298266234</v>
      </c>
    </row>
    <row r="732" spans="1:12" x14ac:dyDescent="0.3">
      <c r="A732" t="s">
        <v>4490</v>
      </c>
      <c r="B732" s="1">
        <v>43938</v>
      </c>
      <c r="C732" t="s">
        <v>4491</v>
      </c>
      <c r="D732" t="s">
        <v>4492</v>
      </c>
      <c r="E732" t="s">
        <v>14</v>
      </c>
      <c r="F732" t="s">
        <v>23</v>
      </c>
      <c r="G732" t="s">
        <v>24</v>
      </c>
      <c r="H732" t="s">
        <v>1273</v>
      </c>
      <c r="I732" s="2">
        <v>127.03</v>
      </c>
      <c r="J732">
        <v>5</v>
      </c>
      <c r="K732" s="2">
        <v>-9.2230000000000008</v>
      </c>
      <c r="L732" s="3">
        <f>(Table1[[#This Row],[Profit]]/Table1[[#This Row],[Sales]])*100</f>
        <v>-7.2604896481146195</v>
      </c>
    </row>
    <row r="733" spans="1:12" x14ac:dyDescent="0.3">
      <c r="A733" t="s">
        <v>3023</v>
      </c>
      <c r="B733" s="1">
        <v>43744</v>
      </c>
      <c r="C733" t="s">
        <v>2520</v>
      </c>
      <c r="D733" t="s">
        <v>2521</v>
      </c>
      <c r="E733" t="s">
        <v>14</v>
      </c>
      <c r="F733" t="s">
        <v>23</v>
      </c>
      <c r="G733" t="s">
        <v>24</v>
      </c>
      <c r="H733" t="s">
        <v>3025</v>
      </c>
      <c r="I733" s="2">
        <v>11.976000000000001</v>
      </c>
      <c r="J733">
        <v>4</v>
      </c>
      <c r="K733" s="2">
        <v>-9.1815999999999995</v>
      </c>
      <c r="L733" s="3">
        <f>(Table1[[#This Row],[Profit]]/Table1[[#This Row],[Sales]])*100</f>
        <v>-76.666666666666657</v>
      </c>
    </row>
    <row r="734" spans="1:12" x14ac:dyDescent="0.3">
      <c r="A734" t="s">
        <v>3296</v>
      </c>
      <c r="B734" s="1">
        <v>43775</v>
      </c>
      <c r="C734" t="s">
        <v>2220</v>
      </c>
      <c r="D734" t="s">
        <v>2221</v>
      </c>
      <c r="E734" t="s">
        <v>14</v>
      </c>
      <c r="F734" t="s">
        <v>23</v>
      </c>
      <c r="G734" t="s">
        <v>16</v>
      </c>
      <c r="H734" t="s">
        <v>2639</v>
      </c>
      <c r="I734" s="2">
        <v>81.424000000000007</v>
      </c>
      <c r="J734">
        <v>2</v>
      </c>
      <c r="K734" s="2">
        <v>-9.1601999999999997</v>
      </c>
      <c r="L734" s="3">
        <f>(Table1[[#This Row],[Profit]]/Table1[[#This Row],[Sales]])*100</f>
        <v>-11.249999999999998</v>
      </c>
    </row>
    <row r="735" spans="1:12" x14ac:dyDescent="0.3">
      <c r="A735" t="s">
        <v>3808</v>
      </c>
      <c r="B735" s="1">
        <v>43813</v>
      </c>
      <c r="C735" t="s">
        <v>784</v>
      </c>
      <c r="D735" t="s">
        <v>785</v>
      </c>
      <c r="E735" t="s">
        <v>14</v>
      </c>
      <c r="F735" t="s">
        <v>23</v>
      </c>
      <c r="G735" t="s">
        <v>16</v>
      </c>
      <c r="H735" t="s">
        <v>2639</v>
      </c>
      <c r="I735" s="2">
        <v>81.424000000000007</v>
      </c>
      <c r="J735">
        <v>2</v>
      </c>
      <c r="K735" s="2">
        <v>-9.1601999999999997</v>
      </c>
      <c r="L735" s="3">
        <f>(Table1[[#This Row],[Profit]]/Table1[[#This Row],[Sales]])*100</f>
        <v>-11.249999999999998</v>
      </c>
    </row>
    <row r="736" spans="1:12" x14ac:dyDescent="0.3">
      <c r="A736" t="s">
        <v>5985</v>
      </c>
      <c r="B736" s="1">
        <v>44158</v>
      </c>
      <c r="C736" t="s">
        <v>2095</v>
      </c>
      <c r="D736" t="s">
        <v>2096</v>
      </c>
      <c r="E736" t="s">
        <v>14</v>
      </c>
      <c r="F736" t="s">
        <v>29</v>
      </c>
      <c r="G736" t="s">
        <v>24</v>
      </c>
      <c r="H736" t="s">
        <v>984</v>
      </c>
      <c r="I736" s="2">
        <v>118.104</v>
      </c>
      <c r="J736">
        <v>2</v>
      </c>
      <c r="K736" s="2">
        <v>-9.1560000000000006</v>
      </c>
      <c r="L736" s="3">
        <f>(Table1[[#This Row],[Profit]]/Table1[[#This Row],[Sales]])*100</f>
        <v>-7.7524893314367</v>
      </c>
    </row>
    <row r="737" spans="1:12" x14ac:dyDescent="0.3">
      <c r="A737" t="s">
        <v>3750</v>
      </c>
      <c r="B737" s="1">
        <v>43808</v>
      </c>
      <c r="C737" t="s">
        <v>2999</v>
      </c>
      <c r="D737" t="s">
        <v>3000</v>
      </c>
      <c r="E737" t="s">
        <v>14</v>
      </c>
      <c r="F737" t="s">
        <v>41</v>
      </c>
      <c r="G737" t="s">
        <v>18</v>
      </c>
      <c r="H737" t="s">
        <v>3751</v>
      </c>
      <c r="I737" s="2">
        <v>40.68</v>
      </c>
      <c r="J737">
        <v>3</v>
      </c>
      <c r="K737" s="2">
        <v>-9.1530000000000005</v>
      </c>
      <c r="L737" s="3">
        <f>(Table1[[#This Row],[Profit]]/Table1[[#This Row],[Sales]])*100</f>
        <v>-22.5</v>
      </c>
    </row>
    <row r="738" spans="1:12" x14ac:dyDescent="0.3">
      <c r="A738" t="s">
        <v>3513</v>
      </c>
      <c r="B738" s="1">
        <v>43790</v>
      </c>
      <c r="C738" t="s">
        <v>1631</v>
      </c>
      <c r="D738" t="s">
        <v>1632</v>
      </c>
      <c r="E738" t="s">
        <v>14</v>
      </c>
      <c r="F738" t="s">
        <v>15</v>
      </c>
      <c r="G738" t="s">
        <v>16</v>
      </c>
      <c r="H738" t="s">
        <v>822</v>
      </c>
      <c r="I738" s="2">
        <v>127.554</v>
      </c>
      <c r="J738">
        <v>3</v>
      </c>
      <c r="K738" s="2">
        <v>-9.1110000000000007</v>
      </c>
      <c r="L738" s="3">
        <f>(Table1[[#This Row],[Profit]]/Table1[[#This Row],[Sales]])*100</f>
        <v>-7.1428571428571441</v>
      </c>
    </row>
    <row r="739" spans="1:12" x14ac:dyDescent="0.3">
      <c r="A739" t="s">
        <v>6178</v>
      </c>
      <c r="B739" s="1">
        <v>44176</v>
      </c>
      <c r="C739" t="s">
        <v>3353</v>
      </c>
      <c r="D739" t="s">
        <v>3354</v>
      </c>
      <c r="E739" t="s">
        <v>14</v>
      </c>
      <c r="F739" t="s">
        <v>15</v>
      </c>
      <c r="G739" t="s">
        <v>16</v>
      </c>
      <c r="H739" t="s">
        <v>2128</v>
      </c>
      <c r="I739" s="2">
        <v>483.68599999999998</v>
      </c>
      <c r="J739">
        <v>1</v>
      </c>
      <c r="K739" s="2">
        <v>-9.0980000000000008</v>
      </c>
      <c r="L739" s="3">
        <f>(Table1[[#This Row],[Profit]]/Table1[[#This Row],[Sales]])*100</f>
        <v>-1.8809723663699178</v>
      </c>
    </row>
    <row r="740" spans="1:12" x14ac:dyDescent="0.3">
      <c r="A740" t="s">
        <v>1685</v>
      </c>
      <c r="B740" s="1">
        <v>43627</v>
      </c>
      <c r="C740" t="s">
        <v>1686</v>
      </c>
      <c r="D740" t="s">
        <v>1687</v>
      </c>
      <c r="E740" t="s">
        <v>14</v>
      </c>
      <c r="F740" t="s">
        <v>29</v>
      </c>
      <c r="G740" t="s">
        <v>16</v>
      </c>
      <c r="H740" t="s">
        <v>1689</v>
      </c>
      <c r="I740" s="2">
        <v>12.544</v>
      </c>
      <c r="J740">
        <v>7</v>
      </c>
      <c r="K740" s="2">
        <v>-9.0944000000000003</v>
      </c>
      <c r="L740" s="3">
        <f>(Table1[[#This Row],[Profit]]/Table1[[#This Row],[Sales]])*100</f>
        <v>-72.5</v>
      </c>
    </row>
    <row r="741" spans="1:12" x14ac:dyDescent="0.3">
      <c r="A741" t="s">
        <v>5344</v>
      </c>
      <c r="B741" s="1">
        <v>44083</v>
      </c>
      <c r="C741" t="s">
        <v>914</v>
      </c>
      <c r="D741" t="s">
        <v>915</v>
      </c>
      <c r="E741" t="s">
        <v>14</v>
      </c>
      <c r="F741" t="s">
        <v>15</v>
      </c>
      <c r="G741" t="s">
        <v>16</v>
      </c>
      <c r="H741" t="s">
        <v>307</v>
      </c>
      <c r="I741" s="2">
        <v>171.11199999999999</v>
      </c>
      <c r="J741">
        <v>2</v>
      </c>
      <c r="K741" s="2">
        <v>-9.0904000000000007</v>
      </c>
      <c r="L741" s="3">
        <f>(Table1[[#This Row],[Profit]]/Table1[[#This Row],[Sales]])*100</f>
        <v>-5.3125438309411379</v>
      </c>
    </row>
    <row r="742" spans="1:12" x14ac:dyDescent="0.3">
      <c r="A742" t="s">
        <v>4072</v>
      </c>
      <c r="B742" s="1">
        <v>43857</v>
      </c>
      <c r="C742" t="s">
        <v>4073</v>
      </c>
      <c r="D742" t="s">
        <v>4074</v>
      </c>
      <c r="E742" t="s">
        <v>14</v>
      </c>
      <c r="F742" t="s">
        <v>15</v>
      </c>
      <c r="G742" t="s">
        <v>18</v>
      </c>
      <c r="H742" t="s">
        <v>4075</v>
      </c>
      <c r="I742" s="2">
        <v>117.976</v>
      </c>
      <c r="J742">
        <v>3</v>
      </c>
      <c r="K742" s="2">
        <v>-8.9969999999999999</v>
      </c>
      <c r="L742" s="3">
        <f>(Table1[[#This Row],[Profit]]/Table1[[#This Row],[Sales]])*100</f>
        <v>-7.6261273479351726</v>
      </c>
    </row>
    <row r="743" spans="1:12" x14ac:dyDescent="0.3">
      <c r="A743" t="s">
        <v>5490</v>
      </c>
      <c r="B743" s="1">
        <v>44097</v>
      </c>
      <c r="C743" t="s">
        <v>443</v>
      </c>
      <c r="D743" t="s">
        <v>444</v>
      </c>
      <c r="E743" t="s">
        <v>14</v>
      </c>
      <c r="F743" t="s">
        <v>29</v>
      </c>
      <c r="G743" t="s">
        <v>18</v>
      </c>
      <c r="H743" t="s">
        <v>5491</v>
      </c>
      <c r="I743" s="2">
        <v>157.98400000000001</v>
      </c>
      <c r="J743">
        <v>2</v>
      </c>
      <c r="K743" s="2">
        <v>-8.9963999999999995</v>
      </c>
      <c r="L743" s="3">
        <f>(Table1[[#This Row],[Profit]]/Table1[[#This Row],[Sales]])*100</f>
        <v>-5.6945007089325497</v>
      </c>
    </row>
    <row r="744" spans="1:12" x14ac:dyDescent="0.3">
      <c r="A744" t="s">
        <v>4844</v>
      </c>
      <c r="B744" s="1">
        <v>43998</v>
      </c>
      <c r="C744" t="s">
        <v>1359</v>
      </c>
      <c r="D744" t="s">
        <v>1360</v>
      </c>
      <c r="E744" t="s">
        <v>14</v>
      </c>
      <c r="F744" t="s">
        <v>29</v>
      </c>
      <c r="G744" t="s">
        <v>24</v>
      </c>
      <c r="H744" t="s">
        <v>2818</v>
      </c>
      <c r="I744" s="2">
        <v>107.93600000000001</v>
      </c>
      <c r="J744">
        <v>7</v>
      </c>
      <c r="K744" s="2">
        <v>-8.9039999999999999</v>
      </c>
      <c r="L744" s="3">
        <f>(Table1[[#This Row],[Profit]]/Table1[[#This Row],[Sales]])*100</f>
        <v>-8.2493329380373535</v>
      </c>
    </row>
    <row r="745" spans="1:12" x14ac:dyDescent="0.3">
      <c r="A745" t="s">
        <v>5947</v>
      </c>
      <c r="B745" s="1">
        <v>44154</v>
      </c>
      <c r="C745" t="s">
        <v>1444</v>
      </c>
      <c r="D745" t="s">
        <v>1445</v>
      </c>
      <c r="E745" t="s">
        <v>14</v>
      </c>
      <c r="F745" t="s">
        <v>29</v>
      </c>
      <c r="G745" t="s">
        <v>16</v>
      </c>
      <c r="H745" t="s">
        <v>2813</v>
      </c>
      <c r="I745" s="2">
        <v>315.31200000000001</v>
      </c>
      <c r="J745">
        <v>2</v>
      </c>
      <c r="K745" s="2">
        <v>-8.7232000000000003</v>
      </c>
      <c r="L745" s="3">
        <f>(Table1[[#This Row],[Profit]]/Table1[[#This Row],[Sales]])*100</f>
        <v>-2.7665296595118485</v>
      </c>
    </row>
    <row r="746" spans="1:12" x14ac:dyDescent="0.3">
      <c r="A746" t="s">
        <v>1550</v>
      </c>
      <c r="B746" s="1">
        <v>43614</v>
      </c>
      <c r="C746" t="s">
        <v>824</v>
      </c>
      <c r="D746" t="s">
        <v>825</v>
      </c>
      <c r="E746" t="s">
        <v>14</v>
      </c>
      <c r="F746" t="s">
        <v>41</v>
      </c>
      <c r="G746" t="s">
        <v>24</v>
      </c>
      <c r="H746" t="s">
        <v>1005</v>
      </c>
      <c r="I746" s="2">
        <v>11.276999999999999</v>
      </c>
      <c r="J746">
        <v>3</v>
      </c>
      <c r="K746" s="2">
        <v>-8.6456999999999997</v>
      </c>
      <c r="L746" s="3">
        <f>(Table1[[#This Row],[Profit]]/Table1[[#This Row],[Sales]])*100</f>
        <v>-76.666666666666671</v>
      </c>
    </row>
    <row r="747" spans="1:12" x14ac:dyDescent="0.3">
      <c r="A747" t="s">
        <v>4247</v>
      </c>
      <c r="B747" s="1">
        <v>43901</v>
      </c>
      <c r="C747" t="s">
        <v>1745</v>
      </c>
      <c r="D747" t="s">
        <v>1746</v>
      </c>
      <c r="E747" t="s">
        <v>14</v>
      </c>
      <c r="F747" t="s">
        <v>15</v>
      </c>
      <c r="G747" t="s">
        <v>24</v>
      </c>
      <c r="H747" t="s">
        <v>4250</v>
      </c>
      <c r="I747" s="2">
        <v>107.294</v>
      </c>
      <c r="J747">
        <v>1</v>
      </c>
      <c r="K747" s="2">
        <v>-8.6058000000000003</v>
      </c>
      <c r="L747" s="3">
        <f>(Table1[[#This Row],[Profit]]/Table1[[#This Row],[Sales]])*100</f>
        <v>-8.0207653736462436</v>
      </c>
    </row>
    <row r="748" spans="1:12" x14ac:dyDescent="0.3">
      <c r="A748" t="s">
        <v>5458</v>
      </c>
      <c r="B748" s="1">
        <v>44095</v>
      </c>
      <c r="C748" t="s">
        <v>431</v>
      </c>
      <c r="D748" t="s">
        <v>432</v>
      </c>
      <c r="E748" t="s">
        <v>14</v>
      </c>
      <c r="F748" t="s">
        <v>41</v>
      </c>
      <c r="G748" t="s">
        <v>24</v>
      </c>
      <c r="H748" t="s">
        <v>4250</v>
      </c>
      <c r="I748" s="2">
        <v>111.294</v>
      </c>
      <c r="J748">
        <v>1</v>
      </c>
      <c r="K748" s="2">
        <v>-8.6058000000000003</v>
      </c>
      <c r="L748" s="3">
        <f>(Table1[[#This Row],[Profit]]/Table1[[#This Row],[Sales]])*100</f>
        <v>-7.732492317645157</v>
      </c>
    </row>
    <row r="749" spans="1:12" x14ac:dyDescent="0.3">
      <c r="A749" t="s">
        <v>4140</v>
      </c>
      <c r="B749" s="1">
        <v>43877</v>
      </c>
      <c r="C749" t="s">
        <v>2108</v>
      </c>
      <c r="D749" t="s">
        <v>2109</v>
      </c>
      <c r="E749" t="s">
        <v>14</v>
      </c>
      <c r="F749" t="s">
        <v>29</v>
      </c>
      <c r="G749" t="s">
        <v>16</v>
      </c>
      <c r="H749" t="s">
        <v>3006</v>
      </c>
      <c r="I749" s="2">
        <v>631.55799999999999</v>
      </c>
      <c r="J749">
        <v>3</v>
      </c>
      <c r="K749" s="2">
        <v>-8.5793999999999997</v>
      </c>
      <c r="L749" s="3">
        <f>(Table1[[#This Row],[Profit]]/Table1[[#This Row],[Sales]])*100</f>
        <v>-1.3584500552601662</v>
      </c>
    </row>
    <row r="750" spans="1:12" x14ac:dyDescent="0.3">
      <c r="A750" t="s">
        <v>4360</v>
      </c>
      <c r="B750" s="1">
        <v>43917</v>
      </c>
      <c r="C750" t="s">
        <v>565</v>
      </c>
      <c r="D750" t="s">
        <v>566</v>
      </c>
      <c r="E750" t="s">
        <v>14</v>
      </c>
      <c r="F750" t="s">
        <v>29</v>
      </c>
      <c r="G750" t="s">
        <v>16</v>
      </c>
      <c r="H750" t="s">
        <v>3006</v>
      </c>
      <c r="I750" s="2">
        <v>634.55799999999999</v>
      </c>
      <c r="J750">
        <v>3</v>
      </c>
      <c r="K750" s="2">
        <v>-8.5793999999999997</v>
      </c>
      <c r="L750" s="3">
        <f>(Table1[[#This Row],[Profit]]/Table1[[#This Row],[Sales]])*100</f>
        <v>-1.3520277106269245</v>
      </c>
    </row>
    <row r="751" spans="1:12" x14ac:dyDescent="0.3">
      <c r="A751" t="s">
        <v>3402</v>
      </c>
      <c r="B751" s="1">
        <v>43781</v>
      </c>
      <c r="C751" t="s">
        <v>550</v>
      </c>
      <c r="D751" t="s">
        <v>551</v>
      </c>
      <c r="E751" t="s">
        <v>14</v>
      </c>
      <c r="F751" t="s">
        <v>29</v>
      </c>
      <c r="G751" t="s">
        <v>16</v>
      </c>
      <c r="H751" t="s">
        <v>597</v>
      </c>
      <c r="I751" s="2">
        <v>22.751999999999999</v>
      </c>
      <c r="J751">
        <v>6</v>
      </c>
      <c r="K751" s="2">
        <v>-8.532</v>
      </c>
      <c r="L751" s="3">
        <f>(Table1[[#This Row],[Profit]]/Table1[[#This Row],[Sales]])*100</f>
        <v>-37.5</v>
      </c>
    </row>
    <row r="752" spans="1:12" x14ac:dyDescent="0.3">
      <c r="A752" t="s">
        <v>5732</v>
      </c>
      <c r="B752" s="1">
        <v>44134</v>
      </c>
      <c r="C752" t="s">
        <v>4851</v>
      </c>
      <c r="D752" t="s">
        <v>4852</v>
      </c>
      <c r="E752" t="s">
        <v>14</v>
      </c>
      <c r="F752" t="s">
        <v>29</v>
      </c>
      <c r="G752" t="s">
        <v>16</v>
      </c>
      <c r="H752" t="s">
        <v>5176</v>
      </c>
      <c r="I752" s="2">
        <v>91.191999999999993</v>
      </c>
      <c r="J752">
        <v>2</v>
      </c>
      <c r="K752" s="2">
        <v>-8.5007999999999999</v>
      </c>
      <c r="L752" s="3">
        <f>(Table1[[#This Row],[Profit]]/Table1[[#This Row],[Sales]])*100</f>
        <v>-9.3218703395034659</v>
      </c>
    </row>
    <row r="753" spans="1:12" x14ac:dyDescent="0.3">
      <c r="A753" t="s">
        <v>3844</v>
      </c>
      <c r="B753" s="1">
        <v>43817</v>
      </c>
      <c r="C753" t="s">
        <v>1926</v>
      </c>
      <c r="D753" t="s">
        <v>1927</v>
      </c>
      <c r="E753" t="s">
        <v>14</v>
      </c>
      <c r="F753" t="s">
        <v>23</v>
      </c>
      <c r="G753" t="s">
        <v>18</v>
      </c>
      <c r="H753" t="s">
        <v>1305</v>
      </c>
      <c r="I753" s="2">
        <v>112.776</v>
      </c>
      <c r="J753">
        <v>3</v>
      </c>
      <c r="K753" s="2">
        <v>-8.4581999999999997</v>
      </c>
      <c r="L753" s="3">
        <f>(Table1[[#This Row],[Profit]]/Table1[[#This Row],[Sales]])*100</f>
        <v>-7.5</v>
      </c>
    </row>
    <row r="754" spans="1:12" x14ac:dyDescent="0.3">
      <c r="A754" t="s">
        <v>3401</v>
      </c>
      <c r="B754" s="1">
        <v>43781</v>
      </c>
      <c r="C754" t="s">
        <v>55</v>
      </c>
      <c r="D754" t="s">
        <v>56</v>
      </c>
      <c r="E754" t="s">
        <v>14</v>
      </c>
      <c r="F754" t="s">
        <v>23</v>
      </c>
      <c r="G754" t="s">
        <v>16</v>
      </c>
      <c r="H754" t="s">
        <v>1261</v>
      </c>
      <c r="I754" s="2">
        <v>674.35199999999998</v>
      </c>
      <c r="J754">
        <v>3</v>
      </c>
      <c r="K754" s="2">
        <v>-8.4293999999999993</v>
      </c>
      <c r="L754" s="3">
        <f>(Table1[[#This Row],[Profit]]/Table1[[#This Row],[Sales]])*100</f>
        <v>-1.25</v>
      </c>
    </row>
    <row r="755" spans="1:12" x14ac:dyDescent="0.3">
      <c r="A755" t="s">
        <v>4241</v>
      </c>
      <c r="B755" s="1">
        <v>43900</v>
      </c>
      <c r="C755" t="s">
        <v>2414</v>
      </c>
      <c r="D755" t="s">
        <v>2415</v>
      </c>
      <c r="E755" t="s">
        <v>14</v>
      </c>
      <c r="F755" t="s">
        <v>15</v>
      </c>
      <c r="G755" t="s">
        <v>18</v>
      </c>
      <c r="H755" t="s">
        <v>2016</v>
      </c>
      <c r="I755" s="2">
        <v>128.91</v>
      </c>
      <c r="J755">
        <v>3</v>
      </c>
      <c r="K755" s="2">
        <v>-8.3789999999999996</v>
      </c>
      <c r="L755" s="3">
        <f>(Table1[[#This Row],[Profit]]/Table1[[#This Row],[Sales]])*100</f>
        <v>-6.4998836397486617</v>
      </c>
    </row>
    <row r="756" spans="1:12" x14ac:dyDescent="0.3">
      <c r="A756" t="s">
        <v>2530</v>
      </c>
      <c r="B756" s="1">
        <v>43710</v>
      </c>
      <c r="C756" t="s">
        <v>1547</v>
      </c>
      <c r="D756" t="s">
        <v>1548</v>
      </c>
      <c r="E756" t="s">
        <v>14</v>
      </c>
      <c r="F756" t="s">
        <v>29</v>
      </c>
      <c r="G756" t="s">
        <v>24</v>
      </c>
      <c r="H756" t="s">
        <v>792</v>
      </c>
      <c r="I756" s="2">
        <v>35.167999999999999</v>
      </c>
      <c r="J756">
        <v>2</v>
      </c>
      <c r="K756" s="2">
        <v>-8.3523999999999994</v>
      </c>
      <c r="L756" s="3">
        <f>(Table1[[#This Row],[Profit]]/Table1[[#This Row],[Sales]])*100</f>
        <v>-23.75</v>
      </c>
    </row>
    <row r="757" spans="1:12" x14ac:dyDescent="0.3">
      <c r="A757" t="s">
        <v>4781</v>
      </c>
      <c r="B757" s="1">
        <v>43990</v>
      </c>
      <c r="C757" t="s">
        <v>3223</v>
      </c>
      <c r="D757" t="s">
        <v>3224</v>
      </c>
      <c r="E757" t="s">
        <v>14</v>
      </c>
      <c r="F757" t="s">
        <v>23</v>
      </c>
      <c r="G757" t="s">
        <v>24</v>
      </c>
      <c r="H757" t="s">
        <v>792</v>
      </c>
      <c r="I757" s="2">
        <v>151.16800000000001</v>
      </c>
      <c r="J757">
        <v>2</v>
      </c>
      <c r="K757" s="2">
        <v>-8.3523999999999994</v>
      </c>
      <c r="L757" s="3">
        <f>(Table1[[#This Row],[Profit]]/Table1[[#This Row],[Sales]])*100</f>
        <v>-5.5252434377646056</v>
      </c>
    </row>
    <row r="758" spans="1:12" x14ac:dyDescent="0.3">
      <c r="A758" t="s">
        <v>2154</v>
      </c>
      <c r="B758" s="1">
        <v>43669</v>
      </c>
      <c r="C758" t="s">
        <v>1631</v>
      </c>
      <c r="D758" t="s">
        <v>1632</v>
      </c>
      <c r="E758" t="s">
        <v>14</v>
      </c>
      <c r="F758" t="s">
        <v>29</v>
      </c>
      <c r="G758" t="s">
        <v>24</v>
      </c>
      <c r="H758" t="s">
        <v>37</v>
      </c>
      <c r="I758" s="2">
        <v>4.7519999999999998</v>
      </c>
      <c r="J758">
        <v>4</v>
      </c>
      <c r="K758" s="2">
        <v>-8.3160000000000007</v>
      </c>
      <c r="L758" s="3">
        <f>(Table1[[#This Row],[Profit]]/Table1[[#This Row],[Sales]])*100</f>
        <v>-175.00000000000003</v>
      </c>
    </row>
    <row r="759" spans="1:12" x14ac:dyDescent="0.3">
      <c r="A759" t="s">
        <v>4552</v>
      </c>
      <c r="B759" s="1">
        <v>43951</v>
      </c>
      <c r="C759" t="s">
        <v>2414</v>
      </c>
      <c r="D759" t="s">
        <v>2415</v>
      </c>
      <c r="E759" t="s">
        <v>14</v>
      </c>
      <c r="F759" t="s">
        <v>41</v>
      </c>
      <c r="G759" t="s">
        <v>16</v>
      </c>
      <c r="H759" t="s">
        <v>201</v>
      </c>
      <c r="I759" s="2">
        <v>256.70400000000001</v>
      </c>
      <c r="J759">
        <v>6</v>
      </c>
      <c r="K759" s="2">
        <v>-8.2764000000000006</v>
      </c>
      <c r="L759" s="3">
        <f>(Table1[[#This Row],[Profit]]/Table1[[#This Row],[Sales]])*100</f>
        <v>-3.2241024682124162</v>
      </c>
    </row>
    <row r="760" spans="1:12" x14ac:dyDescent="0.3">
      <c r="A760" t="s">
        <v>2309</v>
      </c>
      <c r="B760" s="1">
        <v>43690</v>
      </c>
      <c r="C760" t="s">
        <v>2310</v>
      </c>
      <c r="D760" t="s">
        <v>2311</v>
      </c>
      <c r="E760" t="s">
        <v>14</v>
      </c>
      <c r="F760" t="s">
        <v>41</v>
      </c>
      <c r="G760" t="s">
        <v>24</v>
      </c>
      <c r="H760" t="s">
        <v>1605</v>
      </c>
      <c r="I760" s="2">
        <v>11.231999999999999</v>
      </c>
      <c r="J760">
        <v>8</v>
      </c>
      <c r="K760" s="2">
        <v>-8.2368000000000006</v>
      </c>
      <c r="L760" s="3">
        <f>(Table1[[#This Row],[Profit]]/Table1[[#This Row],[Sales]])*100</f>
        <v>-73.333333333333343</v>
      </c>
    </row>
    <row r="761" spans="1:12" x14ac:dyDescent="0.3">
      <c r="A761" t="s">
        <v>4140</v>
      </c>
      <c r="B761" s="1">
        <v>43877</v>
      </c>
      <c r="C761" t="s">
        <v>2108</v>
      </c>
      <c r="D761" t="s">
        <v>2109</v>
      </c>
      <c r="E761" t="s">
        <v>14</v>
      </c>
      <c r="F761" t="s">
        <v>29</v>
      </c>
      <c r="G761" t="s">
        <v>24</v>
      </c>
      <c r="H761" t="s">
        <v>2889</v>
      </c>
      <c r="I761" s="2">
        <v>156.352</v>
      </c>
      <c r="J761">
        <v>3</v>
      </c>
      <c r="K761" s="2">
        <v>-8.1821999999999999</v>
      </c>
      <c r="L761" s="3">
        <f>(Table1[[#This Row],[Profit]]/Table1[[#This Row],[Sales]])*100</f>
        <v>-5.2331917724109704</v>
      </c>
    </row>
    <row r="762" spans="1:12" x14ac:dyDescent="0.3">
      <c r="A762" t="s">
        <v>2122</v>
      </c>
      <c r="B762" s="1">
        <v>43667</v>
      </c>
      <c r="C762" t="s">
        <v>466</v>
      </c>
      <c r="D762" t="s">
        <v>467</v>
      </c>
      <c r="E762" t="s">
        <v>14</v>
      </c>
      <c r="F762" t="s">
        <v>15</v>
      </c>
      <c r="G762" t="s">
        <v>24</v>
      </c>
      <c r="H762" t="s">
        <v>2124</v>
      </c>
      <c r="I762" s="2">
        <v>11.087999999999999</v>
      </c>
      <c r="J762">
        <v>7</v>
      </c>
      <c r="K762" s="2">
        <v>-8.1311999999999998</v>
      </c>
      <c r="L762" s="3">
        <f>(Table1[[#This Row],[Profit]]/Table1[[#This Row],[Sales]])*100</f>
        <v>-73.333333333333343</v>
      </c>
    </row>
    <row r="763" spans="1:12" x14ac:dyDescent="0.3">
      <c r="A763" t="s">
        <v>6150</v>
      </c>
      <c r="B763" s="1">
        <v>44174</v>
      </c>
      <c r="C763" t="s">
        <v>1330</v>
      </c>
      <c r="D763" t="s">
        <v>1331</v>
      </c>
      <c r="E763" t="s">
        <v>14</v>
      </c>
      <c r="F763" t="s">
        <v>15</v>
      </c>
      <c r="G763" t="s">
        <v>24</v>
      </c>
      <c r="H763" t="s">
        <v>2124</v>
      </c>
      <c r="I763" s="2">
        <v>106.08799999999999</v>
      </c>
      <c r="J763">
        <v>7</v>
      </c>
      <c r="K763" s="2">
        <v>-8.1311999999999998</v>
      </c>
      <c r="L763" s="3">
        <f>(Table1[[#This Row],[Profit]]/Table1[[#This Row],[Sales]])*100</f>
        <v>-7.6645803483900155</v>
      </c>
    </row>
    <row r="764" spans="1:12" x14ac:dyDescent="0.3">
      <c r="A764" t="s">
        <v>4934</v>
      </c>
      <c r="B764" s="1">
        <v>44014</v>
      </c>
      <c r="C764" t="s">
        <v>1926</v>
      </c>
      <c r="D764" t="s">
        <v>1927</v>
      </c>
      <c r="E764" t="s">
        <v>14</v>
      </c>
      <c r="F764" t="s">
        <v>29</v>
      </c>
      <c r="G764" t="s">
        <v>24</v>
      </c>
      <c r="H764" t="s">
        <v>4686</v>
      </c>
      <c r="I764" s="2">
        <v>112.232</v>
      </c>
      <c r="J764">
        <v>4</v>
      </c>
      <c r="K764" s="2">
        <v>-8.1096000000000004</v>
      </c>
      <c r="L764" s="3">
        <f>(Table1[[#This Row],[Profit]]/Table1[[#This Row],[Sales]])*100</f>
        <v>-7.225746667617079</v>
      </c>
    </row>
    <row r="765" spans="1:12" x14ac:dyDescent="0.3">
      <c r="A765" t="s">
        <v>2300</v>
      </c>
      <c r="B765" s="1">
        <v>43689</v>
      </c>
      <c r="C765" t="s">
        <v>871</v>
      </c>
      <c r="D765" t="s">
        <v>872</v>
      </c>
      <c r="E765" t="s">
        <v>14</v>
      </c>
      <c r="F765" t="s">
        <v>15</v>
      </c>
      <c r="G765" t="s">
        <v>16</v>
      </c>
      <c r="H765" t="s">
        <v>983</v>
      </c>
      <c r="I765" s="2">
        <v>145.76400000000001</v>
      </c>
      <c r="J765">
        <v>2</v>
      </c>
      <c r="K765" s="2">
        <v>-8.0980000000000008</v>
      </c>
      <c r="L765" s="3">
        <f>(Table1[[#This Row],[Profit]]/Table1[[#This Row],[Sales]])*100</f>
        <v>-5.5555555555555562</v>
      </c>
    </row>
    <row r="766" spans="1:12" x14ac:dyDescent="0.3">
      <c r="A766" t="s">
        <v>1817</v>
      </c>
      <c r="B766" s="1">
        <v>43636</v>
      </c>
      <c r="C766" t="s">
        <v>114</v>
      </c>
      <c r="D766" t="s">
        <v>115</v>
      </c>
      <c r="E766" t="s">
        <v>14</v>
      </c>
      <c r="F766" t="s">
        <v>23</v>
      </c>
      <c r="G766" t="s">
        <v>16</v>
      </c>
      <c r="H766" t="s">
        <v>1819</v>
      </c>
      <c r="I766" s="2">
        <v>161.56800000000001</v>
      </c>
      <c r="J766">
        <v>2</v>
      </c>
      <c r="K766" s="2">
        <v>-8.0784000000000002</v>
      </c>
      <c r="L766" s="3">
        <f>(Table1[[#This Row],[Profit]]/Table1[[#This Row],[Sales]])*100</f>
        <v>-5</v>
      </c>
    </row>
    <row r="767" spans="1:12" x14ac:dyDescent="0.3">
      <c r="A767" t="s">
        <v>5264</v>
      </c>
      <c r="B767" s="1">
        <v>44077</v>
      </c>
      <c r="C767" t="s">
        <v>5265</v>
      </c>
      <c r="D767" t="s">
        <v>5266</v>
      </c>
      <c r="E767" t="s">
        <v>14</v>
      </c>
      <c r="F767" t="s">
        <v>15</v>
      </c>
      <c r="G767" t="s">
        <v>16</v>
      </c>
      <c r="H767" t="s">
        <v>1512</v>
      </c>
      <c r="I767" s="2">
        <v>193.76400000000001</v>
      </c>
      <c r="J767">
        <v>2</v>
      </c>
      <c r="K767" s="2">
        <v>-8.0784000000000002</v>
      </c>
      <c r="L767" s="3">
        <f>(Table1[[#This Row],[Profit]]/Table1[[#This Row],[Sales]])*100</f>
        <v>-4.169195516194959</v>
      </c>
    </row>
    <row r="768" spans="1:12" x14ac:dyDescent="0.3">
      <c r="A768" t="s">
        <v>6072</v>
      </c>
      <c r="B768" s="1">
        <v>44167</v>
      </c>
      <c r="C768" t="s">
        <v>3373</v>
      </c>
      <c r="D768" t="s">
        <v>3374</v>
      </c>
      <c r="E768" t="s">
        <v>14</v>
      </c>
      <c r="F768" t="s">
        <v>23</v>
      </c>
      <c r="G768" t="s">
        <v>18</v>
      </c>
      <c r="H768" t="s">
        <v>303</v>
      </c>
      <c r="I768" s="2">
        <v>134.99199999999999</v>
      </c>
      <c r="J768">
        <v>1</v>
      </c>
      <c r="K768" s="2">
        <v>-7.9984000000000002</v>
      </c>
      <c r="L768" s="3">
        <f>(Table1[[#This Row],[Profit]]/Table1[[#This Row],[Sales]])*100</f>
        <v>-5.9250918572952473</v>
      </c>
    </row>
    <row r="769" spans="1:12" x14ac:dyDescent="0.3">
      <c r="A769" t="s">
        <v>2381</v>
      </c>
      <c r="B769" s="1">
        <v>43698</v>
      </c>
      <c r="C769" t="s">
        <v>1642</v>
      </c>
      <c r="D769" t="s">
        <v>1643</v>
      </c>
      <c r="E769" t="s">
        <v>14</v>
      </c>
      <c r="F769" t="s">
        <v>23</v>
      </c>
      <c r="G769" t="s">
        <v>18</v>
      </c>
      <c r="H769" t="s">
        <v>2382</v>
      </c>
      <c r="I769" s="2">
        <v>31.984000000000002</v>
      </c>
      <c r="J769">
        <v>2</v>
      </c>
      <c r="K769" s="2">
        <v>-7.9960000000000004</v>
      </c>
      <c r="L769" s="3">
        <f>(Table1[[#This Row],[Profit]]/Table1[[#This Row],[Sales]])*100</f>
        <v>-25</v>
      </c>
    </row>
    <row r="770" spans="1:12" x14ac:dyDescent="0.3">
      <c r="A770" t="s">
        <v>5615</v>
      </c>
      <c r="B770" s="1">
        <v>44117</v>
      </c>
      <c r="C770" t="s">
        <v>2808</v>
      </c>
      <c r="D770" t="s">
        <v>2809</v>
      </c>
      <c r="E770" t="s">
        <v>14</v>
      </c>
      <c r="F770" t="s">
        <v>23</v>
      </c>
      <c r="G770" t="s">
        <v>18</v>
      </c>
      <c r="H770" t="s">
        <v>2382</v>
      </c>
      <c r="I770" s="2">
        <v>125.98399999999999</v>
      </c>
      <c r="J770">
        <v>2</v>
      </c>
      <c r="K770" s="2">
        <v>-7.9960000000000004</v>
      </c>
      <c r="L770" s="3">
        <f>(Table1[[#This Row],[Profit]]/Table1[[#This Row],[Sales]])*100</f>
        <v>-6.3468376936753872</v>
      </c>
    </row>
    <row r="771" spans="1:12" x14ac:dyDescent="0.3">
      <c r="A771" t="s">
        <v>2291</v>
      </c>
      <c r="B771" s="1">
        <v>43686</v>
      </c>
      <c r="C771" t="s">
        <v>2292</v>
      </c>
      <c r="D771" t="s">
        <v>2293</v>
      </c>
      <c r="E771" t="s">
        <v>14</v>
      </c>
      <c r="F771" t="s">
        <v>41</v>
      </c>
      <c r="G771" t="s">
        <v>24</v>
      </c>
      <c r="H771" t="s">
        <v>740</v>
      </c>
      <c r="I771" s="2">
        <v>11.88</v>
      </c>
      <c r="J771">
        <v>5</v>
      </c>
      <c r="K771" s="2">
        <v>-7.92</v>
      </c>
      <c r="L771" s="3">
        <f>(Table1[[#This Row],[Profit]]/Table1[[#This Row],[Sales]])*100</f>
        <v>-66.666666666666657</v>
      </c>
    </row>
    <row r="772" spans="1:12" x14ac:dyDescent="0.3">
      <c r="A772" t="s">
        <v>5173</v>
      </c>
      <c r="B772" s="1">
        <v>44061</v>
      </c>
      <c r="C772" t="s">
        <v>1631</v>
      </c>
      <c r="D772" t="s">
        <v>1632</v>
      </c>
      <c r="E772" t="s">
        <v>14</v>
      </c>
      <c r="F772" t="s">
        <v>15</v>
      </c>
      <c r="G772" t="s">
        <v>24</v>
      </c>
      <c r="H772" t="s">
        <v>1427</v>
      </c>
      <c r="I772" s="2">
        <v>121.782</v>
      </c>
      <c r="J772">
        <v>3</v>
      </c>
      <c r="K772" s="2">
        <v>-7.9067999999999996</v>
      </c>
      <c r="L772" s="3">
        <f>(Table1[[#This Row],[Profit]]/Table1[[#This Row],[Sales]])*100</f>
        <v>-6.4925851111001629</v>
      </c>
    </row>
    <row r="773" spans="1:12" x14ac:dyDescent="0.3">
      <c r="A773" t="s">
        <v>3826</v>
      </c>
      <c r="B773" s="1">
        <v>43815</v>
      </c>
      <c r="C773" t="s">
        <v>471</v>
      </c>
      <c r="D773" t="s">
        <v>472</v>
      </c>
      <c r="E773" t="s">
        <v>14</v>
      </c>
      <c r="F773" t="s">
        <v>29</v>
      </c>
      <c r="G773" t="s">
        <v>24</v>
      </c>
      <c r="H773" t="s">
        <v>3827</v>
      </c>
      <c r="I773" s="2">
        <v>4.7880000000000003</v>
      </c>
      <c r="J773">
        <v>3</v>
      </c>
      <c r="K773" s="2">
        <v>-7.9001999999999999</v>
      </c>
      <c r="L773" s="3">
        <f>(Table1[[#This Row],[Profit]]/Table1[[#This Row],[Sales]])*100</f>
        <v>-165</v>
      </c>
    </row>
    <row r="774" spans="1:12" x14ac:dyDescent="0.3">
      <c r="A774" t="s">
        <v>3906</v>
      </c>
      <c r="B774" s="1">
        <v>43824</v>
      </c>
      <c r="C774" t="s">
        <v>3907</v>
      </c>
      <c r="D774" t="s">
        <v>3908</v>
      </c>
      <c r="E774" t="s">
        <v>14</v>
      </c>
      <c r="F774" t="s">
        <v>23</v>
      </c>
      <c r="G774" t="s">
        <v>18</v>
      </c>
      <c r="H774" t="s">
        <v>30</v>
      </c>
      <c r="I774" s="2">
        <v>45.12</v>
      </c>
      <c r="J774">
        <v>3</v>
      </c>
      <c r="K774" s="2">
        <v>-7.8959999999999999</v>
      </c>
      <c r="L774" s="3">
        <f>(Table1[[#This Row],[Profit]]/Table1[[#This Row],[Sales]])*100</f>
        <v>-17.5</v>
      </c>
    </row>
    <row r="775" spans="1:12" x14ac:dyDescent="0.3">
      <c r="A775" t="s">
        <v>1982</v>
      </c>
      <c r="B775" s="1">
        <v>43653</v>
      </c>
      <c r="C775" t="s">
        <v>1983</v>
      </c>
      <c r="D775" t="s">
        <v>1984</v>
      </c>
      <c r="E775" t="s">
        <v>14</v>
      </c>
      <c r="F775" t="s">
        <v>15</v>
      </c>
      <c r="G775" t="s">
        <v>24</v>
      </c>
      <c r="H775" t="s">
        <v>1987</v>
      </c>
      <c r="I775" s="2">
        <v>9.42</v>
      </c>
      <c r="J775">
        <v>5</v>
      </c>
      <c r="K775" s="2">
        <v>-7.85</v>
      </c>
      <c r="L775" s="3">
        <f>(Table1[[#This Row],[Profit]]/Table1[[#This Row],[Sales]])*100</f>
        <v>-83.333333333333329</v>
      </c>
    </row>
    <row r="776" spans="1:12" x14ac:dyDescent="0.3">
      <c r="A776" t="s">
        <v>4518</v>
      </c>
      <c r="B776" s="1">
        <v>43944</v>
      </c>
      <c r="C776" t="s">
        <v>2363</v>
      </c>
      <c r="D776" t="s">
        <v>2364</v>
      </c>
      <c r="E776" t="s">
        <v>14</v>
      </c>
      <c r="F776" t="s">
        <v>15</v>
      </c>
      <c r="G776" t="s">
        <v>24</v>
      </c>
      <c r="H776" t="s">
        <v>190</v>
      </c>
      <c r="I776" s="2">
        <v>107.76</v>
      </c>
      <c r="J776">
        <v>5</v>
      </c>
      <c r="K776" s="2">
        <v>-7.84</v>
      </c>
      <c r="L776" s="3">
        <f>(Table1[[#This Row],[Profit]]/Table1[[#This Row],[Sales]])*100</f>
        <v>-7.2754268745360049</v>
      </c>
    </row>
    <row r="777" spans="1:12" x14ac:dyDescent="0.3">
      <c r="A777" t="s">
        <v>5769</v>
      </c>
      <c r="B777" s="1">
        <v>44138</v>
      </c>
      <c r="C777" t="s">
        <v>1248</v>
      </c>
      <c r="D777" t="s">
        <v>1249</v>
      </c>
      <c r="E777" t="s">
        <v>14</v>
      </c>
      <c r="F777" t="s">
        <v>15</v>
      </c>
      <c r="G777" t="s">
        <v>24</v>
      </c>
      <c r="H777" t="s">
        <v>5128</v>
      </c>
      <c r="I777" s="2">
        <v>149.673</v>
      </c>
      <c r="J777">
        <v>3</v>
      </c>
      <c r="K777" s="2">
        <v>-7.782</v>
      </c>
      <c r="L777" s="3">
        <f>(Table1[[#This Row],[Profit]]/Table1[[#This Row],[Sales]])*100</f>
        <v>-5.1993345493175118</v>
      </c>
    </row>
    <row r="778" spans="1:12" x14ac:dyDescent="0.3">
      <c r="A778" t="s">
        <v>5995</v>
      </c>
      <c r="B778" s="1">
        <v>44159</v>
      </c>
      <c r="C778" t="s">
        <v>1554</v>
      </c>
      <c r="D778" t="s">
        <v>1555</v>
      </c>
      <c r="E778" t="s">
        <v>14</v>
      </c>
      <c r="F778" t="s">
        <v>41</v>
      </c>
      <c r="G778" t="s">
        <v>24</v>
      </c>
      <c r="H778" t="s">
        <v>5128</v>
      </c>
      <c r="I778" s="2">
        <v>101.673</v>
      </c>
      <c r="J778">
        <v>3</v>
      </c>
      <c r="K778" s="2">
        <v>-7.782</v>
      </c>
      <c r="L778" s="3">
        <f>(Table1[[#This Row],[Profit]]/Table1[[#This Row],[Sales]])*100</f>
        <v>-7.6539494261013257</v>
      </c>
    </row>
    <row r="779" spans="1:12" x14ac:dyDescent="0.3">
      <c r="A779" t="s">
        <v>2664</v>
      </c>
      <c r="B779" s="1">
        <v>43716</v>
      </c>
      <c r="C779" t="s">
        <v>261</v>
      </c>
      <c r="D779" t="s">
        <v>262</v>
      </c>
      <c r="E779" t="s">
        <v>14</v>
      </c>
      <c r="F779" t="s">
        <v>29</v>
      </c>
      <c r="G779" t="s">
        <v>16</v>
      </c>
      <c r="H779" t="s">
        <v>2637</v>
      </c>
      <c r="I779" s="2">
        <v>14.135999999999999</v>
      </c>
      <c r="J779">
        <v>2</v>
      </c>
      <c r="K779" s="2">
        <v>-7.7747999999999999</v>
      </c>
      <c r="L779" s="3">
        <f>(Table1[[#This Row],[Profit]]/Table1[[#This Row],[Sales]])*100</f>
        <v>-55.000000000000007</v>
      </c>
    </row>
    <row r="780" spans="1:12" x14ac:dyDescent="0.3">
      <c r="A780" t="s">
        <v>3622</v>
      </c>
      <c r="B780" s="1">
        <v>43797</v>
      </c>
      <c r="C780" t="s">
        <v>784</v>
      </c>
      <c r="D780" t="s">
        <v>785</v>
      </c>
      <c r="E780" t="s">
        <v>14</v>
      </c>
      <c r="F780" t="s">
        <v>15</v>
      </c>
      <c r="G780" t="s">
        <v>24</v>
      </c>
      <c r="H780" t="s">
        <v>3623</v>
      </c>
      <c r="I780" s="2">
        <v>32.543999999999997</v>
      </c>
      <c r="J780">
        <v>2</v>
      </c>
      <c r="K780" s="2">
        <v>-7.7291999999999996</v>
      </c>
      <c r="L780" s="3">
        <f>(Table1[[#This Row],[Profit]]/Table1[[#This Row],[Sales]])*100</f>
        <v>-23.75</v>
      </c>
    </row>
    <row r="781" spans="1:12" x14ac:dyDescent="0.3">
      <c r="A781" t="s">
        <v>4480</v>
      </c>
      <c r="B781" s="1">
        <v>43937</v>
      </c>
      <c r="C781" t="s">
        <v>1235</v>
      </c>
      <c r="D781" t="s">
        <v>1236</v>
      </c>
      <c r="E781" t="s">
        <v>14</v>
      </c>
      <c r="F781" t="s">
        <v>29</v>
      </c>
      <c r="G781" t="s">
        <v>24</v>
      </c>
      <c r="H781" t="s">
        <v>3623</v>
      </c>
      <c r="I781" s="2">
        <v>154.54400000000001</v>
      </c>
      <c r="J781">
        <v>2</v>
      </c>
      <c r="K781" s="2">
        <v>-7.7291999999999996</v>
      </c>
      <c r="L781" s="3">
        <f>(Table1[[#This Row],[Profit]]/Table1[[#This Row],[Sales]])*100</f>
        <v>-5.0012941298271034</v>
      </c>
    </row>
    <row r="782" spans="1:12" x14ac:dyDescent="0.3">
      <c r="A782" t="s">
        <v>4419</v>
      </c>
      <c r="B782" s="1">
        <v>43928</v>
      </c>
      <c r="C782" t="s">
        <v>1333</v>
      </c>
      <c r="D782" t="s">
        <v>1334</v>
      </c>
      <c r="E782" t="s">
        <v>14</v>
      </c>
      <c r="F782" t="s">
        <v>41</v>
      </c>
      <c r="G782" t="s">
        <v>18</v>
      </c>
      <c r="H782" t="s">
        <v>767</v>
      </c>
      <c r="I782" s="2">
        <v>654.976</v>
      </c>
      <c r="J782">
        <v>3</v>
      </c>
      <c r="K782" s="2">
        <v>-7.7247000000000003</v>
      </c>
      <c r="L782" s="3">
        <f>(Table1[[#This Row],[Profit]]/Table1[[#This Row],[Sales]])*100</f>
        <v>-1.1793867256204809</v>
      </c>
    </row>
    <row r="783" spans="1:12" x14ac:dyDescent="0.3">
      <c r="A783" t="s">
        <v>1897</v>
      </c>
      <c r="B783" s="1">
        <v>43643</v>
      </c>
      <c r="C783" t="s">
        <v>1898</v>
      </c>
      <c r="D783" t="s">
        <v>1899</v>
      </c>
      <c r="E783" t="s">
        <v>14</v>
      </c>
      <c r="F783" t="s">
        <v>29</v>
      </c>
      <c r="G783" t="s">
        <v>16</v>
      </c>
      <c r="H783" t="s">
        <v>1900</v>
      </c>
      <c r="I783" s="2">
        <v>539.65800000000002</v>
      </c>
      <c r="J783">
        <v>3</v>
      </c>
      <c r="K783" s="2">
        <v>-7.7093999999999996</v>
      </c>
      <c r="L783" s="3">
        <f>(Table1[[#This Row],[Profit]]/Table1[[#This Row],[Sales]])*100</f>
        <v>-1.4285714285714286</v>
      </c>
    </row>
    <row r="784" spans="1:12" x14ac:dyDescent="0.3">
      <c r="A784" t="s">
        <v>5847</v>
      </c>
      <c r="B784" s="1">
        <v>44145</v>
      </c>
      <c r="C784" t="s">
        <v>3011</v>
      </c>
      <c r="D784" t="s">
        <v>3012</v>
      </c>
      <c r="E784" t="s">
        <v>14</v>
      </c>
      <c r="F784" t="s">
        <v>41</v>
      </c>
      <c r="G784" t="s">
        <v>24</v>
      </c>
      <c r="H784" t="s">
        <v>2489</v>
      </c>
      <c r="I784" s="2">
        <v>126.52</v>
      </c>
      <c r="J784">
        <v>5</v>
      </c>
      <c r="K784" s="2">
        <v>-7.68</v>
      </c>
      <c r="L784" s="3">
        <f>(Table1[[#This Row],[Profit]]/Table1[[#This Row],[Sales]])*100</f>
        <v>-6.0701865317736328</v>
      </c>
    </row>
    <row r="785" spans="1:12" x14ac:dyDescent="0.3">
      <c r="A785" t="s">
        <v>3852</v>
      </c>
      <c r="B785" s="1">
        <v>43818</v>
      </c>
      <c r="C785" t="s">
        <v>899</v>
      </c>
      <c r="D785" t="s">
        <v>900</v>
      </c>
      <c r="E785" t="s">
        <v>14</v>
      </c>
      <c r="F785" t="s">
        <v>23</v>
      </c>
      <c r="G785" t="s">
        <v>24</v>
      </c>
      <c r="H785" t="s">
        <v>397</v>
      </c>
      <c r="I785" s="2">
        <v>10.44</v>
      </c>
      <c r="J785">
        <v>6</v>
      </c>
      <c r="K785" s="2">
        <v>-7.6559999999999997</v>
      </c>
      <c r="L785" s="3">
        <f>(Table1[[#This Row],[Profit]]/Table1[[#This Row],[Sales]])*100</f>
        <v>-73.333333333333343</v>
      </c>
    </row>
    <row r="786" spans="1:12" x14ac:dyDescent="0.3">
      <c r="A786" t="s">
        <v>1358</v>
      </c>
      <c r="B786" s="1">
        <v>43599</v>
      </c>
      <c r="C786" t="s">
        <v>1359</v>
      </c>
      <c r="D786" t="s">
        <v>1360</v>
      </c>
      <c r="E786" t="s">
        <v>14</v>
      </c>
      <c r="F786" t="s">
        <v>41</v>
      </c>
      <c r="G786" t="s">
        <v>24</v>
      </c>
      <c r="H786" t="s">
        <v>1366</v>
      </c>
      <c r="I786" s="2">
        <v>10.38</v>
      </c>
      <c r="J786">
        <v>2</v>
      </c>
      <c r="K786" s="2">
        <v>-7.6120000000000001</v>
      </c>
      <c r="L786" s="3">
        <f>(Table1[[#This Row],[Profit]]/Table1[[#This Row],[Sales]])*100</f>
        <v>-73.333333333333329</v>
      </c>
    </row>
    <row r="787" spans="1:12" x14ac:dyDescent="0.3">
      <c r="A787" t="s">
        <v>4881</v>
      </c>
      <c r="B787" s="1">
        <v>44004</v>
      </c>
      <c r="C787" t="s">
        <v>668</v>
      </c>
      <c r="D787" t="s">
        <v>669</v>
      </c>
      <c r="E787" t="s">
        <v>14</v>
      </c>
      <c r="F787" t="s">
        <v>15</v>
      </c>
      <c r="G787" t="s">
        <v>24</v>
      </c>
      <c r="H787" t="s">
        <v>2541</v>
      </c>
      <c r="I787" s="2">
        <v>113.33199999999999</v>
      </c>
      <c r="J787">
        <v>3</v>
      </c>
      <c r="K787" s="2">
        <v>-7.5768000000000004</v>
      </c>
      <c r="L787" s="3">
        <f>(Table1[[#This Row],[Profit]]/Table1[[#This Row],[Sales]])*100</f>
        <v>-6.685490417534325</v>
      </c>
    </row>
    <row r="788" spans="1:12" x14ac:dyDescent="0.3">
      <c r="A788" t="s">
        <v>4581</v>
      </c>
      <c r="B788" s="1">
        <v>43955</v>
      </c>
      <c r="C788" t="s">
        <v>679</v>
      </c>
      <c r="D788" t="s">
        <v>680</v>
      </c>
      <c r="E788" t="s">
        <v>14</v>
      </c>
      <c r="F788" t="s">
        <v>15</v>
      </c>
      <c r="G788" t="s">
        <v>24</v>
      </c>
      <c r="H788" t="s">
        <v>2188</v>
      </c>
      <c r="I788" s="2">
        <v>93.396000000000001</v>
      </c>
      <c r="J788">
        <v>3</v>
      </c>
      <c r="K788" s="2">
        <v>-7.5167999999999999</v>
      </c>
      <c r="L788" s="3">
        <f>(Table1[[#This Row],[Profit]]/Table1[[#This Row],[Sales]])*100</f>
        <v>-8.048310420146473</v>
      </c>
    </row>
    <row r="789" spans="1:12" x14ac:dyDescent="0.3">
      <c r="A789" t="s">
        <v>5886</v>
      </c>
      <c r="B789" s="1">
        <v>44148</v>
      </c>
      <c r="C789" t="s">
        <v>3451</v>
      </c>
      <c r="D789" t="s">
        <v>3452</v>
      </c>
      <c r="E789" t="s">
        <v>14</v>
      </c>
      <c r="F789" t="s">
        <v>15</v>
      </c>
      <c r="G789" t="s">
        <v>24</v>
      </c>
      <c r="H789" t="s">
        <v>3529</v>
      </c>
      <c r="I789" s="2">
        <v>99.22</v>
      </c>
      <c r="J789">
        <v>10</v>
      </c>
      <c r="K789" s="2">
        <v>-7.48</v>
      </c>
      <c r="L789" s="3">
        <f>(Table1[[#This Row],[Profit]]/Table1[[#This Row],[Sales]])*100</f>
        <v>-7.5388026607538805</v>
      </c>
    </row>
    <row r="790" spans="1:12" x14ac:dyDescent="0.3">
      <c r="A790" t="s">
        <v>2632</v>
      </c>
      <c r="B790" s="1">
        <v>43713</v>
      </c>
      <c r="C790" t="s">
        <v>2633</v>
      </c>
      <c r="D790" t="s">
        <v>2634</v>
      </c>
      <c r="E790" t="s">
        <v>14</v>
      </c>
      <c r="F790" t="s">
        <v>15</v>
      </c>
      <c r="G790" t="s">
        <v>24</v>
      </c>
      <c r="H790" t="s">
        <v>1423</v>
      </c>
      <c r="I790" s="2">
        <v>8.952</v>
      </c>
      <c r="J790">
        <v>2</v>
      </c>
      <c r="K790" s="2">
        <v>-7.46</v>
      </c>
      <c r="L790" s="3">
        <f>(Table1[[#This Row],[Profit]]/Table1[[#This Row],[Sales]])*100</f>
        <v>-83.333333333333343</v>
      </c>
    </row>
    <row r="791" spans="1:12" x14ac:dyDescent="0.3">
      <c r="A791" t="s">
        <v>6152</v>
      </c>
      <c r="B791" s="1">
        <v>44174</v>
      </c>
      <c r="C791" t="s">
        <v>27</v>
      </c>
      <c r="D791" t="s">
        <v>28</v>
      </c>
      <c r="E791" t="s">
        <v>14</v>
      </c>
      <c r="F791" t="s">
        <v>15</v>
      </c>
      <c r="G791" t="s">
        <v>24</v>
      </c>
      <c r="H791" t="s">
        <v>284</v>
      </c>
      <c r="I791" s="2">
        <v>111.208</v>
      </c>
      <c r="J791">
        <v>1</v>
      </c>
      <c r="K791" s="2">
        <v>-7.4416000000000002</v>
      </c>
      <c r="L791" s="3">
        <f>(Table1[[#This Row],[Profit]]/Table1[[#This Row],[Sales]])*100</f>
        <v>-6.6916049205093158</v>
      </c>
    </row>
    <row r="792" spans="1:12" x14ac:dyDescent="0.3">
      <c r="A792" t="s">
        <v>3545</v>
      </c>
      <c r="B792" s="1">
        <v>43793</v>
      </c>
      <c r="C792" t="s">
        <v>3546</v>
      </c>
      <c r="D792" t="s">
        <v>3547</v>
      </c>
      <c r="E792" t="s">
        <v>14</v>
      </c>
      <c r="F792" t="s">
        <v>29</v>
      </c>
      <c r="G792" t="s">
        <v>18</v>
      </c>
      <c r="H792" t="s">
        <v>137</v>
      </c>
      <c r="I792" s="2">
        <v>297.57600000000002</v>
      </c>
      <c r="J792">
        <v>3</v>
      </c>
      <c r="K792" s="2">
        <v>-7.4394</v>
      </c>
      <c r="L792" s="3">
        <f>(Table1[[#This Row],[Profit]]/Table1[[#This Row],[Sales]])*100</f>
        <v>-2.5</v>
      </c>
    </row>
    <row r="793" spans="1:12" x14ac:dyDescent="0.3">
      <c r="A793" t="s">
        <v>4275</v>
      </c>
      <c r="B793" s="1">
        <v>43906</v>
      </c>
      <c r="C793" t="s">
        <v>989</v>
      </c>
      <c r="D793" t="s">
        <v>990</v>
      </c>
      <c r="E793" t="s">
        <v>14</v>
      </c>
      <c r="F793" t="s">
        <v>15</v>
      </c>
      <c r="G793" t="s">
        <v>18</v>
      </c>
      <c r="H793" t="s">
        <v>4278</v>
      </c>
      <c r="I793" s="2">
        <v>128.376</v>
      </c>
      <c r="J793">
        <v>2</v>
      </c>
      <c r="K793" s="2">
        <v>-7.3959999999999999</v>
      </c>
      <c r="L793" s="3">
        <f>(Table1[[#This Row],[Profit]]/Table1[[#This Row],[Sales]])*100</f>
        <v>-5.7612014706798771</v>
      </c>
    </row>
    <row r="794" spans="1:12" x14ac:dyDescent="0.3">
      <c r="A794" t="s">
        <v>4287</v>
      </c>
      <c r="B794" s="1">
        <v>43908</v>
      </c>
      <c r="C794" t="s">
        <v>3551</v>
      </c>
      <c r="D794" t="s">
        <v>3552</v>
      </c>
      <c r="E794" t="s">
        <v>14</v>
      </c>
      <c r="F794" t="s">
        <v>29</v>
      </c>
      <c r="G794" t="s">
        <v>24</v>
      </c>
      <c r="H794" t="s">
        <v>4290</v>
      </c>
      <c r="I794" s="2">
        <v>82.688000000000002</v>
      </c>
      <c r="J794">
        <v>3</v>
      </c>
      <c r="K794" s="2">
        <v>-7.3920000000000003</v>
      </c>
      <c r="L794" s="3">
        <f>(Table1[[#This Row],[Profit]]/Table1[[#This Row],[Sales]])*100</f>
        <v>-8.939628482972136</v>
      </c>
    </row>
    <row r="795" spans="1:12" x14ac:dyDescent="0.3">
      <c r="A795" t="s">
        <v>2605</v>
      </c>
      <c r="B795" s="1">
        <v>43713</v>
      </c>
      <c r="C795" t="s">
        <v>2606</v>
      </c>
      <c r="D795" t="s">
        <v>2607</v>
      </c>
      <c r="E795" t="s">
        <v>14</v>
      </c>
      <c r="F795" t="s">
        <v>15</v>
      </c>
      <c r="G795" t="s">
        <v>24</v>
      </c>
      <c r="H795" t="s">
        <v>2608</v>
      </c>
      <c r="I795" s="2">
        <v>9.5549999999999997</v>
      </c>
      <c r="J795">
        <v>5</v>
      </c>
      <c r="K795" s="2">
        <v>-7.3254999999999999</v>
      </c>
      <c r="L795" s="3">
        <f>(Table1[[#This Row],[Profit]]/Table1[[#This Row],[Sales]])*100</f>
        <v>-76.666666666666671</v>
      </c>
    </row>
    <row r="796" spans="1:12" x14ac:dyDescent="0.3">
      <c r="A796" t="s">
        <v>4583</v>
      </c>
      <c r="B796" s="1">
        <v>43956</v>
      </c>
      <c r="C796" t="s">
        <v>3257</v>
      </c>
      <c r="D796" t="s">
        <v>3258</v>
      </c>
      <c r="E796" t="s">
        <v>14</v>
      </c>
      <c r="F796" t="s">
        <v>23</v>
      </c>
      <c r="G796" t="s">
        <v>24</v>
      </c>
      <c r="H796" t="s">
        <v>339</v>
      </c>
      <c r="I796" s="2">
        <v>120.55200000000001</v>
      </c>
      <c r="J796">
        <v>8</v>
      </c>
      <c r="K796" s="2">
        <v>-7.3231999999999999</v>
      </c>
      <c r="L796" s="3">
        <f>(Table1[[#This Row],[Profit]]/Table1[[#This Row],[Sales]])*100</f>
        <v>-6.0747229411374342</v>
      </c>
    </row>
    <row r="797" spans="1:12" x14ac:dyDescent="0.3">
      <c r="A797" t="s">
        <v>4258</v>
      </c>
      <c r="B797" s="1">
        <v>43903</v>
      </c>
      <c r="C797" t="s">
        <v>1935</v>
      </c>
      <c r="D797" t="s">
        <v>1936</v>
      </c>
      <c r="E797" t="s">
        <v>14</v>
      </c>
      <c r="F797" t="s">
        <v>29</v>
      </c>
      <c r="G797" t="s">
        <v>18</v>
      </c>
      <c r="H797" t="s">
        <v>4268</v>
      </c>
      <c r="I797" s="2">
        <v>130.36000000000001</v>
      </c>
      <c r="J797">
        <v>1</v>
      </c>
      <c r="K797" s="2">
        <v>-7.3014999999999999</v>
      </c>
      <c r="L797" s="3">
        <f>(Table1[[#This Row],[Profit]]/Table1[[#This Row],[Sales]])*100</f>
        <v>-5.6010279226756667</v>
      </c>
    </row>
    <row r="798" spans="1:12" x14ac:dyDescent="0.3">
      <c r="A798" t="s">
        <v>5007</v>
      </c>
      <c r="B798" s="1">
        <v>44025</v>
      </c>
      <c r="C798" t="s">
        <v>3581</v>
      </c>
      <c r="D798" t="s">
        <v>3582</v>
      </c>
      <c r="E798" t="s">
        <v>14</v>
      </c>
      <c r="F798" t="s">
        <v>15</v>
      </c>
      <c r="G798" t="s">
        <v>18</v>
      </c>
      <c r="H798" t="s">
        <v>1511</v>
      </c>
      <c r="I798" s="2">
        <v>133.59399999999999</v>
      </c>
      <c r="J798">
        <v>1</v>
      </c>
      <c r="K798" s="2">
        <v>-7.2588999999999997</v>
      </c>
      <c r="L798" s="3">
        <f>(Table1[[#This Row],[Profit]]/Table1[[#This Row],[Sales]])*100</f>
        <v>-5.4335524050481308</v>
      </c>
    </row>
    <row r="799" spans="1:12" x14ac:dyDescent="0.3">
      <c r="A799" t="s">
        <v>6272</v>
      </c>
      <c r="B799" s="1">
        <v>44190</v>
      </c>
      <c r="C799" t="s">
        <v>5962</v>
      </c>
      <c r="D799" t="s">
        <v>5963</v>
      </c>
      <c r="E799" t="s">
        <v>14</v>
      </c>
      <c r="F799" t="s">
        <v>41</v>
      </c>
      <c r="G799" t="s">
        <v>18</v>
      </c>
      <c r="H799" t="s">
        <v>5428</v>
      </c>
      <c r="I799" s="2">
        <v>434</v>
      </c>
      <c r="J799">
        <v>2</v>
      </c>
      <c r="K799" s="2">
        <v>-7.2</v>
      </c>
      <c r="L799" s="3">
        <f>(Table1[[#This Row],[Profit]]/Table1[[#This Row],[Sales]])*100</f>
        <v>-1.6589861751152075</v>
      </c>
    </row>
    <row r="800" spans="1:12" x14ac:dyDescent="0.3">
      <c r="A800" t="s">
        <v>1495</v>
      </c>
      <c r="B800" s="1">
        <v>43611</v>
      </c>
      <c r="C800" t="s">
        <v>1496</v>
      </c>
      <c r="D800" t="s">
        <v>1497</v>
      </c>
      <c r="E800" t="s">
        <v>14</v>
      </c>
      <c r="F800" t="s">
        <v>29</v>
      </c>
      <c r="G800" t="s">
        <v>18</v>
      </c>
      <c r="H800" t="s">
        <v>1499</v>
      </c>
      <c r="I800" s="2">
        <v>63.991999999999997</v>
      </c>
      <c r="J800">
        <v>1</v>
      </c>
      <c r="K800" s="2">
        <v>-7.1990999999999996</v>
      </c>
      <c r="L800" s="3">
        <f>(Table1[[#This Row],[Profit]]/Table1[[#This Row],[Sales]])*100</f>
        <v>-11.25</v>
      </c>
    </row>
    <row r="801" spans="1:12" x14ac:dyDescent="0.3">
      <c r="A801" t="s">
        <v>3844</v>
      </c>
      <c r="B801" s="1">
        <v>43817</v>
      </c>
      <c r="C801" t="s">
        <v>1926</v>
      </c>
      <c r="D801" t="s">
        <v>1927</v>
      </c>
      <c r="E801" t="s">
        <v>14</v>
      </c>
      <c r="F801" t="s">
        <v>23</v>
      </c>
      <c r="G801" t="s">
        <v>18</v>
      </c>
      <c r="H801" t="s">
        <v>1848</v>
      </c>
      <c r="I801" s="2">
        <v>28.68</v>
      </c>
      <c r="J801">
        <v>3</v>
      </c>
      <c r="K801" s="2">
        <v>-7.17</v>
      </c>
      <c r="L801" s="3">
        <f>(Table1[[#This Row],[Profit]]/Table1[[#This Row],[Sales]])*100</f>
        <v>-25</v>
      </c>
    </row>
    <row r="802" spans="1:12" x14ac:dyDescent="0.3">
      <c r="A802" t="s">
        <v>5263</v>
      </c>
      <c r="B802" s="1">
        <v>44076</v>
      </c>
      <c r="C802" t="s">
        <v>3034</v>
      </c>
      <c r="D802" t="s">
        <v>3035</v>
      </c>
      <c r="E802" t="s">
        <v>14</v>
      </c>
      <c r="F802" t="s">
        <v>29</v>
      </c>
      <c r="G802" t="s">
        <v>18</v>
      </c>
      <c r="H802" t="s">
        <v>3619</v>
      </c>
      <c r="I802" s="2">
        <v>142.68</v>
      </c>
      <c r="J802">
        <v>3</v>
      </c>
      <c r="K802" s="2">
        <v>-7.1189999999999998</v>
      </c>
      <c r="L802" s="3">
        <f>(Table1[[#This Row],[Profit]]/Table1[[#This Row],[Sales]])*100</f>
        <v>-4.9894869638351551</v>
      </c>
    </row>
    <row r="803" spans="1:12" x14ac:dyDescent="0.3">
      <c r="A803" t="s">
        <v>532</v>
      </c>
      <c r="B803" s="1">
        <v>43532</v>
      </c>
      <c r="C803" t="s">
        <v>356</v>
      </c>
      <c r="D803" t="s">
        <v>357</v>
      </c>
      <c r="E803" t="s">
        <v>14</v>
      </c>
      <c r="F803" t="s">
        <v>23</v>
      </c>
      <c r="G803" t="s">
        <v>24</v>
      </c>
      <c r="H803" t="s">
        <v>199</v>
      </c>
      <c r="I803" s="2">
        <v>9.702</v>
      </c>
      <c r="J803">
        <v>3</v>
      </c>
      <c r="K803" s="2">
        <v>-7.1147999999999998</v>
      </c>
      <c r="L803" s="3">
        <f>(Table1[[#This Row],[Profit]]/Table1[[#This Row],[Sales]])*100</f>
        <v>-73.333333333333329</v>
      </c>
    </row>
    <row r="804" spans="1:12" x14ac:dyDescent="0.3">
      <c r="A804" t="s">
        <v>2799</v>
      </c>
      <c r="B804" s="1">
        <v>43726</v>
      </c>
      <c r="C804" t="s">
        <v>1698</v>
      </c>
      <c r="D804" t="s">
        <v>1699</v>
      </c>
      <c r="E804" t="s">
        <v>14</v>
      </c>
      <c r="F804" t="s">
        <v>15</v>
      </c>
      <c r="G804" t="s">
        <v>16</v>
      </c>
      <c r="H804" t="s">
        <v>561</v>
      </c>
      <c r="I804" s="2">
        <v>99.372</v>
      </c>
      <c r="J804">
        <v>2</v>
      </c>
      <c r="K804" s="2">
        <v>-7.0979999999999999</v>
      </c>
      <c r="L804" s="3">
        <f>(Table1[[#This Row],[Profit]]/Table1[[#This Row],[Sales]])*100</f>
        <v>-7.1428571428571423</v>
      </c>
    </row>
    <row r="805" spans="1:12" x14ac:dyDescent="0.3">
      <c r="A805" t="s">
        <v>6115</v>
      </c>
      <c r="B805" s="1">
        <v>44170</v>
      </c>
      <c r="C805" t="s">
        <v>3091</v>
      </c>
      <c r="D805" t="s">
        <v>3092</v>
      </c>
      <c r="E805" t="s">
        <v>14</v>
      </c>
      <c r="F805" t="s">
        <v>23</v>
      </c>
      <c r="G805" t="s">
        <v>18</v>
      </c>
      <c r="H805" t="s">
        <v>97</v>
      </c>
      <c r="I805" s="2">
        <v>109.176</v>
      </c>
      <c r="J805">
        <v>3</v>
      </c>
      <c r="K805" s="2">
        <v>-7.0145999999999997</v>
      </c>
      <c r="L805" s="3">
        <f>(Table1[[#This Row],[Profit]]/Table1[[#This Row],[Sales]])*100</f>
        <v>-6.4250384699934049</v>
      </c>
    </row>
    <row r="806" spans="1:12" x14ac:dyDescent="0.3">
      <c r="A806" t="s">
        <v>4618</v>
      </c>
      <c r="B806" s="1">
        <v>43962</v>
      </c>
      <c r="C806" t="s">
        <v>1020</v>
      </c>
      <c r="D806" t="s">
        <v>1021</v>
      </c>
      <c r="E806" t="s">
        <v>14</v>
      </c>
      <c r="F806" t="s">
        <v>29</v>
      </c>
      <c r="G806" t="s">
        <v>16</v>
      </c>
      <c r="H806" t="s">
        <v>2523</v>
      </c>
      <c r="I806" s="2">
        <v>118.996</v>
      </c>
      <c r="J806">
        <v>1</v>
      </c>
      <c r="K806" s="2">
        <v>-6.9965000000000002</v>
      </c>
      <c r="L806" s="3">
        <f>(Table1[[#This Row],[Profit]]/Table1[[#This Row],[Sales]])*100</f>
        <v>-5.8796093986352487</v>
      </c>
    </row>
    <row r="807" spans="1:12" x14ac:dyDescent="0.3">
      <c r="A807" t="s">
        <v>3381</v>
      </c>
      <c r="B807" s="1">
        <v>43780</v>
      </c>
      <c r="C807" t="s">
        <v>2520</v>
      </c>
      <c r="D807" t="s">
        <v>2521</v>
      </c>
      <c r="E807" t="s">
        <v>14</v>
      </c>
      <c r="F807" t="s">
        <v>41</v>
      </c>
      <c r="G807" t="s">
        <v>24</v>
      </c>
      <c r="H807" t="s">
        <v>1327</v>
      </c>
      <c r="I807" s="2">
        <v>9.8879999999999999</v>
      </c>
      <c r="J807">
        <v>2</v>
      </c>
      <c r="K807" s="2">
        <v>-6.9215999999999998</v>
      </c>
      <c r="L807" s="3">
        <f>(Table1[[#This Row],[Profit]]/Table1[[#This Row],[Sales]])*100</f>
        <v>-70</v>
      </c>
    </row>
    <row r="808" spans="1:12" x14ac:dyDescent="0.3">
      <c r="A808" t="s">
        <v>2396</v>
      </c>
      <c r="B808" s="1">
        <v>43699</v>
      </c>
      <c r="C808" t="s">
        <v>2397</v>
      </c>
      <c r="D808" t="s">
        <v>2398</v>
      </c>
      <c r="E808" t="s">
        <v>14</v>
      </c>
      <c r="F808" t="s">
        <v>29</v>
      </c>
      <c r="G808" t="s">
        <v>24</v>
      </c>
      <c r="H808" t="s">
        <v>199</v>
      </c>
      <c r="I808" s="2">
        <v>4.3120000000000003</v>
      </c>
      <c r="J808">
        <v>2</v>
      </c>
      <c r="K808" s="2">
        <v>-6.8992000000000004</v>
      </c>
      <c r="L808" s="3">
        <f>(Table1[[#This Row],[Profit]]/Table1[[#This Row],[Sales]])*100</f>
        <v>-160</v>
      </c>
    </row>
    <row r="809" spans="1:12" x14ac:dyDescent="0.3">
      <c r="A809" t="s">
        <v>438</v>
      </c>
      <c r="B809" s="1">
        <v>43523</v>
      </c>
      <c r="C809" t="s">
        <v>439</v>
      </c>
      <c r="D809" t="s">
        <v>440</v>
      </c>
      <c r="E809" t="s">
        <v>14</v>
      </c>
      <c r="F809" t="s">
        <v>29</v>
      </c>
      <c r="G809" t="s">
        <v>16</v>
      </c>
      <c r="H809" t="s">
        <v>441</v>
      </c>
      <c r="I809" s="2">
        <v>16.192</v>
      </c>
      <c r="J809">
        <v>2</v>
      </c>
      <c r="K809" s="2">
        <v>-6.8815999999999997</v>
      </c>
      <c r="L809" s="3">
        <f>(Table1[[#This Row],[Profit]]/Table1[[#This Row],[Sales]])*100</f>
        <v>-42.5</v>
      </c>
    </row>
    <row r="810" spans="1:12" x14ac:dyDescent="0.3">
      <c r="A810" t="s">
        <v>4818</v>
      </c>
      <c r="B810" s="1">
        <v>43994</v>
      </c>
      <c r="C810" t="s">
        <v>2678</v>
      </c>
      <c r="D810" t="s">
        <v>2679</v>
      </c>
      <c r="E810" t="s">
        <v>14</v>
      </c>
      <c r="F810" t="s">
        <v>29</v>
      </c>
      <c r="G810" t="s">
        <v>16</v>
      </c>
      <c r="H810" t="s">
        <v>1873</v>
      </c>
      <c r="I810" s="2">
        <v>83.855999999999995</v>
      </c>
      <c r="J810">
        <v>3</v>
      </c>
      <c r="K810" s="2">
        <v>-6.8634000000000004</v>
      </c>
      <c r="L810" s="3">
        <f>(Table1[[#This Row],[Profit]]/Table1[[#This Row],[Sales]])*100</f>
        <v>-8.1847452776187755</v>
      </c>
    </row>
    <row r="811" spans="1:12" x14ac:dyDescent="0.3">
      <c r="A811" t="s">
        <v>5614</v>
      </c>
      <c r="B811" s="1">
        <v>44117</v>
      </c>
      <c r="C811" t="s">
        <v>2678</v>
      </c>
      <c r="D811" t="s">
        <v>2679</v>
      </c>
      <c r="E811" t="s">
        <v>14</v>
      </c>
      <c r="F811" t="s">
        <v>29</v>
      </c>
      <c r="G811" t="s">
        <v>16</v>
      </c>
      <c r="H811" t="s">
        <v>1729</v>
      </c>
      <c r="I811" s="2">
        <v>96.475999999999999</v>
      </c>
      <c r="J811">
        <v>3</v>
      </c>
      <c r="K811" s="2">
        <v>-6.8094000000000001</v>
      </c>
      <c r="L811" s="3">
        <f>(Table1[[#This Row],[Profit]]/Table1[[#This Row],[Sales]])*100</f>
        <v>-7.0581284464530034</v>
      </c>
    </row>
    <row r="812" spans="1:12" x14ac:dyDescent="0.3">
      <c r="A812" t="s">
        <v>3527</v>
      </c>
      <c r="B812" s="1">
        <v>43791</v>
      </c>
      <c r="C812" t="s">
        <v>3175</v>
      </c>
      <c r="D812" t="s">
        <v>3176</v>
      </c>
      <c r="E812" t="s">
        <v>14</v>
      </c>
      <c r="F812" t="s">
        <v>29</v>
      </c>
      <c r="G812" t="s">
        <v>24</v>
      </c>
      <c r="H812" t="s">
        <v>3529</v>
      </c>
      <c r="I812" s="2">
        <v>4.4880000000000004</v>
      </c>
      <c r="J812">
        <v>6</v>
      </c>
      <c r="K812" s="2">
        <v>-6.7320000000000002</v>
      </c>
      <c r="L812" s="3">
        <f>(Table1[[#This Row],[Profit]]/Table1[[#This Row],[Sales]])*100</f>
        <v>-150</v>
      </c>
    </row>
    <row r="813" spans="1:12" x14ac:dyDescent="0.3">
      <c r="A813" t="s">
        <v>4019</v>
      </c>
      <c r="B813" s="1">
        <v>43845</v>
      </c>
      <c r="C813" t="s">
        <v>216</v>
      </c>
      <c r="D813" t="s">
        <v>217</v>
      </c>
      <c r="E813" t="s">
        <v>14</v>
      </c>
      <c r="F813" t="s">
        <v>29</v>
      </c>
      <c r="G813" t="s">
        <v>24</v>
      </c>
      <c r="H813" t="s">
        <v>4022</v>
      </c>
      <c r="I813" s="2">
        <v>98.275999999999996</v>
      </c>
      <c r="J813">
        <v>1</v>
      </c>
      <c r="K813" s="2">
        <v>-6.6277999999999997</v>
      </c>
      <c r="L813" s="3">
        <f>(Table1[[#This Row],[Profit]]/Table1[[#This Row],[Sales]])*100</f>
        <v>-6.744067727624242</v>
      </c>
    </row>
    <row r="814" spans="1:12" x14ac:dyDescent="0.3">
      <c r="A814" t="s">
        <v>4490</v>
      </c>
      <c r="B814" s="1">
        <v>43938</v>
      </c>
      <c r="C814" t="s">
        <v>4491</v>
      </c>
      <c r="D814" t="s">
        <v>4492</v>
      </c>
      <c r="E814" t="s">
        <v>14</v>
      </c>
      <c r="F814" t="s">
        <v>23</v>
      </c>
      <c r="G814" t="s">
        <v>24</v>
      </c>
      <c r="H814" t="s">
        <v>1155</v>
      </c>
      <c r="I814" s="2">
        <v>100.964</v>
      </c>
      <c r="J814">
        <v>6</v>
      </c>
      <c r="K814" s="2">
        <v>-6.5735999999999999</v>
      </c>
      <c r="L814" s="3">
        <f>(Table1[[#This Row],[Profit]]/Table1[[#This Row],[Sales]])*100</f>
        <v>-6.5108355453428937</v>
      </c>
    </row>
    <row r="815" spans="1:12" x14ac:dyDescent="0.3">
      <c r="A815" t="s">
        <v>2254</v>
      </c>
      <c r="B815" s="1">
        <v>43681</v>
      </c>
      <c r="C815" t="s">
        <v>2255</v>
      </c>
      <c r="D815" t="s">
        <v>2256</v>
      </c>
      <c r="E815" t="s">
        <v>14</v>
      </c>
      <c r="F815" t="s">
        <v>29</v>
      </c>
      <c r="G815" t="s">
        <v>24</v>
      </c>
      <c r="H815" t="s">
        <v>1790</v>
      </c>
      <c r="I815" s="2">
        <v>3.98</v>
      </c>
      <c r="J815">
        <v>5</v>
      </c>
      <c r="K815" s="2">
        <v>-6.5670000000000002</v>
      </c>
      <c r="L815" s="3">
        <f>(Table1[[#This Row],[Profit]]/Table1[[#This Row],[Sales]])*100</f>
        <v>-165</v>
      </c>
    </row>
    <row r="816" spans="1:12" x14ac:dyDescent="0.3">
      <c r="A816" t="s">
        <v>5679</v>
      </c>
      <c r="B816" s="1">
        <v>44125</v>
      </c>
      <c r="C816" t="s">
        <v>1235</v>
      </c>
      <c r="D816" t="s">
        <v>1236</v>
      </c>
      <c r="E816" t="s">
        <v>14</v>
      </c>
      <c r="F816" t="s">
        <v>23</v>
      </c>
      <c r="G816" t="s">
        <v>24</v>
      </c>
      <c r="H816" t="s">
        <v>3966</v>
      </c>
      <c r="I816" s="2">
        <v>102.559</v>
      </c>
      <c r="J816">
        <v>1</v>
      </c>
      <c r="K816" s="2">
        <v>-6.5618999999999996</v>
      </c>
      <c r="L816" s="3">
        <f>(Table1[[#This Row],[Profit]]/Table1[[#This Row],[Sales]])*100</f>
        <v>-6.3981708089977465</v>
      </c>
    </row>
    <row r="817" spans="1:12" x14ac:dyDescent="0.3">
      <c r="A817" t="s">
        <v>5383</v>
      </c>
      <c r="B817" s="1">
        <v>44088</v>
      </c>
      <c r="C817" t="s">
        <v>5384</v>
      </c>
      <c r="D817" t="s">
        <v>5385</v>
      </c>
      <c r="E817" t="s">
        <v>14</v>
      </c>
      <c r="F817" t="s">
        <v>15</v>
      </c>
      <c r="G817" t="s">
        <v>16</v>
      </c>
      <c r="H817" t="s">
        <v>1216</v>
      </c>
      <c r="I817" s="2">
        <v>624.41</v>
      </c>
      <c r="J817">
        <v>5</v>
      </c>
      <c r="K817" s="2">
        <v>-6.5490000000000004</v>
      </c>
      <c r="L817" s="3">
        <f>(Table1[[#This Row],[Profit]]/Table1[[#This Row],[Sales]])*100</f>
        <v>-1.0488300956102563</v>
      </c>
    </row>
    <row r="818" spans="1:12" x14ac:dyDescent="0.3">
      <c r="A818" t="s">
        <v>5689</v>
      </c>
      <c r="B818" s="1">
        <v>44126</v>
      </c>
      <c r="C818" t="s">
        <v>2603</v>
      </c>
      <c r="D818" t="s">
        <v>2604</v>
      </c>
      <c r="E818" t="s">
        <v>14</v>
      </c>
      <c r="F818" t="s">
        <v>15</v>
      </c>
      <c r="G818" t="s">
        <v>18</v>
      </c>
      <c r="H818" t="s">
        <v>1364</v>
      </c>
      <c r="I818" s="2">
        <v>145.69999999999999</v>
      </c>
      <c r="J818">
        <v>5</v>
      </c>
      <c r="K818" s="2">
        <v>-6.54</v>
      </c>
      <c r="L818" s="3">
        <f>(Table1[[#This Row],[Profit]]/Table1[[#This Row],[Sales]])*100</f>
        <v>-4.4886753603294443</v>
      </c>
    </row>
    <row r="819" spans="1:12" x14ac:dyDescent="0.3">
      <c r="A819" t="s">
        <v>953</v>
      </c>
      <c r="B819" s="1">
        <v>43565</v>
      </c>
      <c r="C819" t="s">
        <v>328</v>
      </c>
      <c r="D819" t="s">
        <v>329</v>
      </c>
      <c r="E819" t="s">
        <v>14</v>
      </c>
      <c r="F819" t="s">
        <v>15</v>
      </c>
      <c r="G819" t="s">
        <v>24</v>
      </c>
      <c r="H819" t="s">
        <v>954</v>
      </c>
      <c r="I819" s="2">
        <v>8.9039999999999999</v>
      </c>
      <c r="J819">
        <v>2</v>
      </c>
      <c r="K819" s="2">
        <v>-6.5296000000000003</v>
      </c>
      <c r="L819" s="3">
        <f>(Table1[[#This Row],[Profit]]/Table1[[#This Row],[Sales]])*100</f>
        <v>-73.333333333333343</v>
      </c>
    </row>
    <row r="820" spans="1:12" x14ac:dyDescent="0.3">
      <c r="A820" t="s">
        <v>2632</v>
      </c>
      <c r="B820" s="1">
        <v>43713</v>
      </c>
      <c r="C820" t="s">
        <v>2633</v>
      </c>
      <c r="D820" t="s">
        <v>2634</v>
      </c>
      <c r="E820" t="s">
        <v>14</v>
      </c>
      <c r="F820" t="s">
        <v>15</v>
      </c>
      <c r="G820" t="s">
        <v>24</v>
      </c>
      <c r="H820" t="s">
        <v>546</v>
      </c>
      <c r="I820" s="2">
        <v>8.8559999999999999</v>
      </c>
      <c r="J820">
        <v>6</v>
      </c>
      <c r="K820" s="2">
        <v>-6.4943999999999997</v>
      </c>
      <c r="L820" s="3">
        <f>(Table1[[#This Row],[Profit]]/Table1[[#This Row],[Sales]])*100</f>
        <v>-73.333333333333329</v>
      </c>
    </row>
    <row r="821" spans="1:12" x14ac:dyDescent="0.3">
      <c r="A821" t="s">
        <v>4705</v>
      </c>
      <c r="B821" s="1">
        <v>43974</v>
      </c>
      <c r="C821" t="s">
        <v>69</v>
      </c>
      <c r="D821" t="s">
        <v>70</v>
      </c>
      <c r="E821" t="s">
        <v>14</v>
      </c>
      <c r="F821" t="s">
        <v>23</v>
      </c>
      <c r="G821" t="s">
        <v>16</v>
      </c>
      <c r="H821" t="s">
        <v>4028</v>
      </c>
      <c r="I821" s="2">
        <v>220.28800000000001</v>
      </c>
      <c r="J821">
        <v>3</v>
      </c>
      <c r="K821" s="2">
        <v>-6.4233000000000002</v>
      </c>
      <c r="L821" s="3">
        <f>(Table1[[#This Row],[Profit]]/Table1[[#This Row],[Sales]])*100</f>
        <v>-2.9158646862289364</v>
      </c>
    </row>
    <row r="822" spans="1:12" x14ac:dyDescent="0.3">
      <c r="A822" t="s">
        <v>5563</v>
      </c>
      <c r="B822" s="1">
        <v>44107</v>
      </c>
      <c r="C822" t="s">
        <v>788</v>
      </c>
      <c r="D822" t="s">
        <v>789</v>
      </c>
      <c r="E822" t="s">
        <v>14</v>
      </c>
      <c r="F822" t="s">
        <v>23</v>
      </c>
      <c r="G822" t="s">
        <v>16</v>
      </c>
      <c r="H822" t="s">
        <v>4028</v>
      </c>
      <c r="I822" s="2">
        <v>221.28800000000001</v>
      </c>
      <c r="J822">
        <v>3</v>
      </c>
      <c r="K822" s="2">
        <v>-6.4233000000000002</v>
      </c>
      <c r="L822" s="3">
        <f>(Table1[[#This Row],[Profit]]/Table1[[#This Row],[Sales]])*100</f>
        <v>-2.902687899931311</v>
      </c>
    </row>
    <row r="823" spans="1:12" x14ac:dyDescent="0.3">
      <c r="A823" t="s">
        <v>5780</v>
      </c>
      <c r="B823" s="1">
        <v>44139</v>
      </c>
      <c r="C823" t="s">
        <v>1661</v>
      </c>
      <c r="D823" t="s">
        <v>1662</v>
      </c>
      <c r="E823" t="s">
        <v>14</v>
      </c>
      <c r="F823" t="s">
        <v>29</v>
      </c>
      <c r="G823" t="s">
        <v>24</v>
      </c>
      <c r="H823" t="s">
        <v>1160</v>
      </c>
      <c r="I823" s="2">
        <v>143.14400000000001</v>
      </c>
      <c r="J823">
        <v>4</v>
      </c>
      <c r="K823" s="2">
        <v>-6.4231999999999996</v>
      </c>
      <c r="L823" s="3">
        <f>(Table1[[#This Row],[Profit]]/Table1[[#This Row],[Sales]])*100</f>
        <v>-4.4872296428771028</v>
      </c>
    </row>
    <row r="824" spans="1:12" x14ac:dyDescent="0.3">
      <c r="A824" t="s">
        <v>4162</v>
      </c>
      <c r="B824" s="1">
        <v>43881</v>
      </c>
      <c r="C824" t="s">
        <v>2186</v>
      </c>
      <c r="D824" t="s">
        <v>2187</v>
      </c>
      <c r="E824" t="s">
        <v>14</v>
      </c>
      <c r="F824" t="s">
        <v>23</v>
      </c>
      <c r="G824" t="s">
        <v>24</v>
      </c>
      <c r="H824" t="s">
        <v>1096</v>
      </c>
      <c r="I824" s="2">
        <v>101.16800000000001</v>
      </c>
      <c r="J824">
        <v>2</v>
      </c>
      <c r="K824" s="2">
        <v>-6.3959999999999999</v>
      </c>
      <c r="L824" s="3">
        <f>(Table1[[#This Row],[Profit]]/Table1[[#This Row],[Sales]])*100</f>
        <v>-6.3221572038589278</v>
      </c>
    </row>
    <row r="825" spans="1:12" x14ac:dyDescent="0.3">
      <c r="A825" t="s">
        <v>5532</v>
      </c>
      <c r="B825" s="1">
        <v>44103</v>
      </c>
      <c r="C825" t="s">
        <v>5533</v>
      </c>
      <c r="D825" t="s">
        <v>5534</v>
      </c>
      <c r="E825" t="s">
        <v>14</v>
      </c>
      <c r="F825" t="s">
        <v>15</v>
      </c>
      <c r="G825" t="s">
        <v>24</v>
      </c>
      <c r="H825" t="s">
        <v>1096</v>
      </c>
      <c r="I825" s="2">
        <v>158.16800000000001</v>
      </c>
      <c r="J825">
        <v>2</v>
      </c>
      <c r="K825" s="2">
        <v>-6.3959999999999999</v>
      </c>
      <c r="L825" s="3">
        <f>(Table1[[#This Row],[Profit]]/Table1[[#This Row],[Sales]])*100</f>
        <v>-4.0438015274897579</v>
      </c>
    </row>
    <row r="826" spans="1:12" x14ac:dyDescent="0.3">
      <c r="A826" t="s">
        <v>4493</v>
      </c>
      <c r="B826" s="1">
        <v>43941</v>
      </c>
      <c r="C826" t="s">
        <v>1267</v>
      </c>
      <c r="D826" t="s">
        <v>1268</v>
      </c>
      <c r="E826" t="s">
        <v>14</v>
      </c>
      <c r="F826" t="s">
        <v>15</v>
      </c>
      <c r="G826" t="s">
        <v>24</v>
      </c>
      <c r="H826" t="s">
        <v>397</v>
      </c>
      <c r="I826" s="2">
        <v>89.7</v>
      </c>
      <c r="J826">
        <v>5</v>
      </c>
      <c r="K826" s="2">
        <v>-6.38</v>
      </c>
      <c r="L826" s="3">
        <f>(Table1[[#This Row],[Profit]]/Table1[[#This Row],[Sales]])*100</f>
        <v>-7.1125975473801564</v>
      </c>
    </row>
    <row r="827" spans="1:12" x14ac:dyDescent="0.3">
      <c r="A827" t="s">
        <v>5590</v>
      </c>
      <c r="B827" s="1">
        <v>44111</v>
      </c>
      <c r="C827" t="s">
        <v>1436</v>
      </c>
      <c r="D827" t="s">
        <v>1437</v>
      </c>
      <c r="E827" t="s">
        <v>14</v>
      </c>
      <c r="F827" t="s">
        <v>29</v>
      </c>
      <c r="G827" t="s">
        <v>24</v>
      </c>
      <c r="H827" t="s">
        <v>2818</v>
      </c>
      <c r="I827" s="2">
        <v>129.24</v>
      </c>
      <c r="J827">
        <v>5</v>
      </c>
      <c r="K827" s="2">
        <v>-6.36</v>
      </c>
      <c r="L827" s="3">
        <f>(Table1[[#This Row],[Profit]]/Table1[[#This Row],[Sales]])*100</f>
        <v>-4.9210770659238623</v>
      </c>
    </row>
    <row r="828" spans="1:12" x14ac:dyDescent="0.3">
      <c r="A828" t="s">
        <v>5509</v>
      </c>
      <c r="B828" s="1">
        <v>44099</v>
      </c>
      <c r="C828" t="s">
        <v>1883</v>
      </c>
      <c r="D828" t="s">
        <v>1884</v>
      </c>
      <c r="E828" t="s">
        <v>14</v>
      </c>
      <c r="F828" t="s">
        <v>15</v>
      </c>
      <c r="G828" t="s">
        <v>24</v>
      </c>
      <c r="H828" t="s">
        <v>5200</v>
      </c>
      <c r="I828" s="2">
        <v>85.594999999999999</v>
      </c>
      <c r="J828">
        <v>5</v>
      </c>
      <c r="K828" s="2">
        <v>-6.3029999999999999</v>
      </c>
      <c r="L828" s="3">
        <f>(Table1[[#This Row],[Profit]]/Table1[[#This Row],[Sales]])*100</f>
        <v>-7.3637478824697702</v>
      </c>
    </row>
    <row r="829" spans="1:12" x14ac:dyDescent="0.3">
      <c r="A829" t="s">
        <v>519</v>
      </c>
      <c r="B829" s="1">
        <v>43530</v>
      </c>
      <c r="C829" t="s">
        <v>443</v>
      </c>
      <c r="D829" t="s">
        <v>444</v>
      </c>
      <c r="E829" t="s">
        <v>14</v>
      </c>
      <c r="F829" t="s">
        <v>29</v>
      </c>
      <c r="G829" t="s">
        <v>24</v>
      </c>
      <c r="H829" t="s">
        <v>520</v>
      </c>
      <c r="I829" s="2">
        <v>2.3340000000000001</v>
      </c>
      <c r="J829">
        <v>3</v>
      </c>
      <c r="K829" s="2">
        <v>-6.3018000000000001</v>
      </c>
      <c r="L829" s="3">
        <f>(Table1[[#This Row],[Profit]]/Table1[[#This Row],[Sales]])*100</f>
        <v>-270</v>
      </c>
    </row>
    <row r="830" spans="1:12" x14ac:dyDescent="0.3">
      <c r="A830" t="s">
        <v>3062</v>
      </c>
      <c r="B830" s="1">
        <v>43748</v>
      </c>
      <c r="C830" t="s">
        <v>118</v>
      </c>
      <c r="D830" t="s">
        <v>119</v>
      </c>
      <c r="E830" t="s">
        <v>14</v>
      </c>
      <c r="F830" t="s">
        <v>29</v>
      </c>
      <c r="G830" t="s">
        <v>16</v>
      </c>
      <c r="H830" t="s">
        <v>2883</v>
      </c>
      <c r="I830" s="2">
        <v>14</v>
      </c>
      <c r="J830">
        <v>4</v>
      </c>
      <c r="K830" s="2">
        <v>-6.3</v>
      </c>
      <c r="L830" s="3">
        <f>(Table1[[#This Row],[Profit]]/Table1[[#This Row],[Sales]])*100</f>
        <v>-45</v>
      </c>
    </row>
    <row r="831" spans="1:12" x14ac:dyDescent="0.3">
      <c r="A831" t="s">
        <v>3275</v>
      </c>
      <c r="B831" s="1">
        <v>43774</v>
      </c>
      <c r="C831" t="s">
        <v>3064</v>
      </c>
      <c r="D831" t="s">
        <v>3065</v>
      </c>
      <c r="E831" t="s">
        <v>14</v>
      </c>
      <c r="F831" t="s">
        <v>29</v>
      </c>
      <c r="G831" t="s">
        <v>24</v>
      </c>
      <c r="H831" t="s">
        <v>37</v>
      </c>
      <c r="I831" s="2">
        <v>3.5640000000000001</v>
      </c>
      <c r="J831">
        <v>3</v>
      </c>
      <c r="K831" s="2">
        <v>-6.2370000000000001</v>
      </c>
      <c r="L831" s="3">
        <f>(Table1[[#This Row],[Profit]]/Table1[[#This Row],[Sales]])*100</f>
        <v>-175</v>
      </c>
    </row>
    <row r="832" spans="1:12" x14ac:dyDescent="0.3">
      <c r="A832" t="s">
        <v>4723</v>
      </c>
      <c r="B832" s="1">
        <v>43979</v>
      </c>
      <c r="C832" t="s">
        <v>1368</v>
      </c>
      <c r="D832" t="s">
        <v>1369</v>
      </c>
      <c r="E832" t="s">
        <v>14</v>
      </c>
      <c r="F832" t="s">
        <v>29</v>
      </c>
      <c r="G832" t="s">
        <v>24</v>
      </c>
      <c r="H832" t="s">
        <v>37</v>
      </c>
      <c r="I832" s="2">
        <v>94.563999999999993</v>
      </c>
      <c r="J832">
        <v>3</v>
      </c>
      <c r="K832" s="2">
        <v>-6.2370000000000001</v>
      </c>
      <c r="L832" s="3">
        <f>(Table1[[#This Row],[Profit]]/Table1[[#This Row],[Sales]])*100</f>
        <v>-6.5955331838754709</v>
      </c>
    </row>
    <row r="833" spans="1:12" x14ac:dyDescent="0.3">
      <c r="A833" t="s">
        <v>5696</v>
      </c>
      <c r="B833" s="1">
        <v>44127</v>
      </c>
      <c r="C833" t="s">
        <v>1248</v>
      </c>
      <c r="D833" t="s">
        <v>1249</v>
      </c>
      <c r="E833" t="s">
        <v>14</v>
      </c>
      <c r="F833" t="s">
        <v>29</v>
      </c>
      <c r="G833" t="s">
        <v>24</v>
      </c>
      <c r="H833" t="s">
        <v>37</v>
      </c>
      <c r="I833" s="2">
        <v>105.56399999999999</v>
      </c>
      <c r="J833">
        <v>3</v>
      </c>
      <c r="K833" s="2">
        <v>-6.2370000000000001</v>
      </c>
      <c r="L833" s="3">
        <f>(Table1[[#This Row],[Profit]]/Table1[[#This Row],[Sales]])*100</f>
        <v>-5.9082641809707859</v>
      </c>
    </row>
    <row r="834" spans="1:12" x14ac:dyDescent="0.3">
      <c r="A834" t="s">
        <v>26</v>
      </c>
      <c r="B834" s="1">
        <v>43468</v>
      </c>
      <c r="C834" t="s">
        <v>27</v>
      </c>
      <c r="D834" t="s">
        <v>28</v>
      </c>
      <c r="E834" t="s">
        <v>14</v>
      </c>
      <c r="F834" t="s">
        <v>29</v>
      </c>
      <c r="G834" t="s">
        <v>18</v>
      </c>
      <c r="H834" t="s">
        <v>31</v>
      </c>
      <c r="I834" s="2">
        <v>165.6</v>
      </c>
      <c r="J834">
        <v>3</v>
      </c>
      <c r="K834" s="2">
        <v>-6.21</v>
      </c>
      <c r="L834" s="3">
        <f>(Table1[[#This Row],[Profit]]/Table1[[#This Row],[Sales]])*100</f>
        <v>-3.75</v>
      </c>
    </row>
    <row r="835" spans="1:12" x14ac:dyDescent="0.3">
      <c r="A835" t="s">
        <v>3664</v>
      </c>
      <c r="B835" s="1">
        <v>43801</v>
      </c>
      <c r="C835" t="s">
        <v>3665</v>
      </c>
      <c r="D835" t="s">
        <v>3666</v>
      </c>
      <c r="E835" t="s">
        <v>14</v>
      </c>
      <c r="F835" t="s">
        <v>23</v>
      </c>
      <c r="G835" t="s">
        <v>18</v>
      </c>
      <c r="H835" t="s">
        <v>31</v>
      </c>
      <c r="I835" s="2">
        <v>165.6</v>
      </c>
      <c r="J835">
        <v>3</v>
      </c>
      <c r="K835" s="2">
        <v>-6.21</v>
      </c>
      <c r="L835" s="3">
        <f>(Table1[[#This Row],[Profit]]/Table1[[#This Row],[Sales]])*100</f>
        <v>-3.75</v>
      </c>
    </row>
    <row r="836" spans="1:12" x14ac:dyDescent="0.3">
      <c r="A836" t="s">
        <v>3831</v>
      </c>
      <c r="B836" s="1">
        <v>43816</v>
      </c>
      <c r="C836" t="s">
        <v>1883</v>
      </c>
      <c r="D836" t="s">
        <v>1884</v>
      </c>
      <c r="E836" t="s">
        <v>14</v>
      </c>
      <c r="F836" t="s">
        <v>29</v>
      </c>
      <c r="G836" t="s">
        <v>18</v>
      </c>
      <c r="H836" t="s">
        <v>31</v>
      </c>
      <c r="I836" s="2">
        <v>165.6</v>
      </c>
      <c r="J836">
        <v>3</v>
      </c>
      <c r="K836" s="2">
        <v>-6.21</v>
      </c>
      <c r="L836" s="3">
        <f>(Table1[[#This Row],[Profit]]/Table1[[#This Row],[Sales]])*100</f>
        <v>-3.75</v>
      </c>
    </row>
    <row r="837" spans="1:12" x14ac:dyDescent="0.3">
      <c r="A837" t="s">
        <v>4495</v>
      </c>
      <c r="B837" s="1">
        <v>43941</v>
      </c>
      <c r="C837" t="s">
        <v>2976</v>
      </c>
      <c r="D837" t="s">
        <v>2977</v>
      </c>
      <c r="E837" t="s">
        <v>14</v>
      </c>
      <c r="F837" t="s">
        <v>29</v>
      </c>
      <c r="G837" t="s">
        <v>16</v>
      </c>
      <c r="H837" t="s">
        <v>2134</v>
      </c>
      <c r="I837" s="2">
        <v>120.56</v>
      </c>
      <c r="J837">
        <v>5</v>
      </c>
      <c r="K837" s="2">
        <v>-6.1879999999999997</v>
      </c>
      <c r="L837" s="3">
        <f>(Table1[[#This Row],[Profit]]/Table1[[#This Row],[Sales]])*100</f>
        <v>-5.1327140013271402</v>
      </c>
    </row>
    <row r="838" spans="1:12" x14ac:dyDescent="0.3">
      <c r="A838" t="s">
        <v>5777</v>
      </c>
      <c r="B838" s="1">
        <v>44139</v>
      </c>
      <c r="C838" t="s">
        <v>188</v>
      </c>
      <c r="D838" t="s">
        <v>189</v>
      </c>
      <c r="E838" t="s">
        <v>14</v>
      </c>
      <c r="F838" t="s">
        <v>15</v>
      </c>
      <c r="G838" t="s">
        <v>18</v>
      </c>
      <c r="H838" t="s">
        <v>3145</v>
      </c>
      <c r="I838" s="2">
        <v>141.72</v>
      </c>
      <c r="J838">
        <v>4</v>
      </c>
      <c r="K838" s="2">
        <v>-6.1879999999999997</v>
      </c>
      <c r="L838" s="3">
        <f>(Table1[[#This Row],[Profit]]/Table1[[#This Row],[Sales]])*100</f>
        <v>-4.3663561953147054</v>
      </c>
    </row>
    <row r="839" spans="1:12" x14ac:dyDescent="0.3">
      <c r="A839" t="s">
        <v>5028</v>
      </c>
      <c r="B839" s="1">
        <v>44030</v>
      </c>
      <c r="C839" t="s">
        <v>2973</v>
      </c>
      <c r="D839" t="s">
        <v>2974</v>
      </c>
      <c r="E839" t="s">
        <v>14</v>
      </c>
      <c r="F839" t="s">
        <v>23</v>
      </c>
      <c r="G839" t="s">
        <v>24</v>
      </c>
      <c r="H839" t="s">
        <v>2565</v>
      </c>
      <c r="I839" s="2">
        <v>116.65600000000001</v>
      </c>
      <c r="J839">
        <v>4</v>
      </c>
      <c r="K839" s="2">
        <v>-6.1247999999999996</v>
      </c>
      <c r="L839" s="3">
        <f>(Table1[[#This Row],[Profit]]/Table1[[#This Row],[Sales]])*100</f>
        <v>-5.2503085996433958</v>
      </c>
    </row>
    <row r="840" spans="1:12" x14ac:dyDescent="0.3">
      <c r="A840" t="s">
        <v>1991</v>
      </c>
      <c r="B840" s="1">
        <v>43654</v>
      </c>
      <c r="C840" t="s">
        <v>1992</v>
      </c>
      <c r="D840" t="s">
        <v>1993</v>
      </c>
      <c r="E840" t="s">
        <v>14</v>
      </c>
      <c r="F840" t="s">
        <v>23</v>
      </c>
      <c r="G840" t="s">
        <v>24</v>
      </c>
      <c r="H840" t="s">
        <v>130</v>
      </c>
      <c r="I840" s="2">
        <v>8.7360000000000007</v>
      </c>
      <c r="J840">
        <v>4</v>
      </c>
      <c r="K840" s="2">
        <v>-6.1151999999999997</v>
      </c>
      <c r="L840" s="3">
        <f>(Table1[[#This Row],[Profit]]/Table1[[#This Row],[Sales]])*100</f>
        <v>-70</v>
      </c>
    </row>
    <row r="841" spans="1:12" x14ac:dyDescent="0.3">
      <c r="A841" t="s">
        <v>5726</v>
      </c>
      <c r="B841" s="1">
        <v>44134</v>
      </c>
      <c r="C841" t="s">
        <v>5727</v>
      </c>
      <c r="D841" t="s">
        <v>5728</v>
      </c>
      <c r="E841" t="s">
        <v>14</v>
      </c>
      <c r="F841" t="s">
        <v>23</v>
      </c>
      <c r="G841" t="s">
        <v>16</v>
      </c>
      <c r="H841" t="s">
        <v>1537</v>
      </c>
      <c r="I841" s="2">
        <v>109.568</v>
      </c>
      <c r="J841">
        <v>2</v>
      </c>
      <c r="K841" s="2">
        <v>-6.0979999999999999</v>
      </c>
      <c r="L841" s="3">
        <f>(Table1[[#This Row],[Profit]]/Table1[[#This Row],[Sales]])*100</f>
        <v>-5.5654935747663554</v>
      </c>
    </row>
    <row r="842" spans="1:12" x14ac:dyDescent="0.3">
      <c r="A842" t="s">
        <v>1860</v>
      </c>
      <c r="B842" s="1">
        <v>43641</v>
      </c>
      <c r="C842" t="s">
        <v>914</v>
      </c>
      <c r="D842" t="s">
        <v>915</v>
      </c>
      <c r="E842" t="s">
        <v>14</v>
      </c>
      <c r="F842" t="s">
        <v>29</v>
      </c>
      <c r="G842" t="s">
        <v>16</v>
      </c>
      <c r="H842" t="s">
        <v>1861</v>
      </c>
      <c r="I842" s="2">
        <v>85.245999999999995</v>
      </c>
      <c r="J842">
        <v>2</v>
      </c>
      <c r="K842" s="2">
        <v>-6.0890000000000004</v>
      </c>
      <c r="L842" s="3">
        <f>(Table1[[#This Row],[Profit]]/Table1[[#This Row],[Sales]])*100</f>
        <v>-7.1428571428571441</v>
      </c>
    </row>
    <row r="843" spans="1:12" x14ac:dyDescent="0.3">
      <c r="A843" t="s">
        <v>4477</v>
      </c>
      <c r="B843" s="1">
        <v>43937</v>
      </c>
      <c r="C843" t="s">
        <v>3041</v>
      </c>
      <c r="D843" t="s">
        <v>3042</v>
      </c>
      <c r="E843" t="s">
        <v>14</v>
      </c>
      <c r="F843" t="s">
        <v>23</v>
      </c>
      <c r="G843" t="s">
        <v>16</v>
      </c>
      <c r="H843" t="s">
        <v>2313</v>
      </c>
      <c r="I843" s="2">
        <v>128.833</v>
      </c>
      <c r="J843">
        <v>1</v>
      </c>
      <c r="K843" s="2">
        <v>-6.0490000000000004</v>
      </c>
      <c r="L843" s="3">
        <f>(Table1[[#This Row],[Profit]]/Table1[[#This Row],[Sales]])*100</f>
        <v>-4.695225602136099</v>
      </c>
    </row>
    <row r="844" spans="1:12" x14ac:dyDescent="0.3">
      <c r="A844" t="s">
        <v>6205</v>
      </c>
      <c r="B844" s="1">
        <v>44183</v>
      </c>
      <c r="C844" t="s">
        <v>977</v>
      </c>
      <c r="D844" t="s">
        <v>978</v>
      </c>
      <c r="E844" t="s">
        <v>14</v>
      </c>
      <c r="F844" t="s">
        <v>15</v>
      </c>
      <c r="G844" t="s">
        <v>24</v>
      </c>
      <c r="H844" t="s">
        <v>1996</v>
      </c>
      <c r="I844" s="2">
        <v>284.23599999999999</v>
      </c>
      <c r="J844">
        <v>3</v>
      </c>
      <c r="K844" s="2">
        <v>-6.03</v>
      </c>
      <c r="L844" s="3">
        <f>(Table1[[#This Row],[Profit]]/Table1[[#This Row],[Sales]])*100</f>
        <v>-2.1214765195119547</v>
      </c>
    </row>
    <row r="845" spans="1:12" x14ac:dyDescent="0.3">
      <c r="A845" t="s">
        <v>5312</v>
      </c>
      <c r="B845" s="1">
        <v>44081</v>
      </c>
      <c r="C845" t="s">
        <v>108</v>
      </c>
      <c r="D845" t="s">
        <v>109</v>
      </c>
      <c r="E845" t="s">
        <v>14</v>
      </c>
      <c r="F845" t="s">
        <v>23</v>
      </c>
      <c r="G845" t="s">
        <v>24</v>
      </c>
      <c r="H845" t="s">
        <v>587</v>
      </c>
      <c r="I845" s="2">
        <v>70.856999999999999</v>
      </c>
      <c r="J845">
        <v>3</v>
      </c>
      <c r="K845" s="2">
        <v>-6.0236999999999998</v>
      </c>
      <c r="L845" s="3">
        <f>(Table1[[#This Row],[Profit]]/Table1[[#This Row],[Sales]])*100</f>
        <v>-8.5012066556585797</v>
      </c>
    </row>
    <row r="846" spans="1:12" x14ac:dyDescent="0.3">
      <c r="A846" t="s">
        <v>4743</v>
      </c>
      <c r="B846" s="1">
        <v>43981</v>
      </c>
      <c r="C846" t="s">
        <v>2690</v>
      </c>
      <c r="D846" t="s">
        <v>2691</v>
      </c>
      <c r="E846" t="s">
        <v>14</v>
      </c>
      <c r="F846" t="s">
        <v>29</v>
      </c>
      <c r="G846" t="s">
        <v>16</v>
      </c>
      <c r="H846" t="s">
        <v>1965</v>
      </c>
      <c r="I846" s="2">
        <v>221.66640000000001</v>
      </c>
      <c r="J846">
        <v>1</v>
      </c>
      <c r="K846" s="2">
        <v>-6.0195999999999996</v>
      </c>
      <c r="L846" s="3">
        <f>(Table1[[#This Row],[Profit]]/Table1[[#This Row],[Sales]])*100</f>
        <v>-2.7156122894583929</v>
      </c>
    </row>
    <row r="847" spans="1:12" x14ac:dyDescent="0.3">
      <c r="A847" t="s">
        <v>2848</v>
      </c>
      <c r="B847" s="1">
        <v>43730</v>
      </c>
      <c r="C847" t="s">
        <v>2849</v>
      </c>
      <c r="D847" t="s">
        <v>2850</v>
      </c>
      <c r="E847" t="s">
        <v>14</v>
      </c>
      <c r="F847" t="s">
        <v>41</v>
      </c>
      <c r="G847" t="s">
        <v>24</v>
      </c>
      <c r="H847" t="s">
        <v>2851</v>
      </c>
      <c r="I847" s="2">
        <v>7.5060000000000002</v>
      </c>
      <c r="J847">
        <v>9</v>
      </c>
      <c r="K847" s="2">
        <v>-6.0048000000000004</v>
      </c>
      <c r="L847" s="3">
        <f>(Table1[[#This Row],[Profit]]/Table1[[#This Row],[Sales]])*100</f>
        <v>-80</v>
      </c>
    </row>
    <row r="848" spans="1:12" x14ac:dyDescent="0.3">
      <c r="A848" t="s">
        <v>5991</v>
      </c>
      <c r="B848" s="1">
        <v>44158</v>
      </c>
      <c r="C848" t="s">
        <v>2827</v>
      </c>
      <c r="D848" t="s">
        <v>2828</v>
      </c>
      <c r="E848" t="s">
        <v>14</v>
      </c>
      <c r="F848" t="s">
        <v>15</v>
      </c>
      <c r="G848" t="s">
        <v>24</v>
      </c>
      <c r="H848" t="s">
        <v>1556</v>
      </c>
      <c r="I848" s="2">
        <v>115.476</v>
      </c>
      <c r="J848">
        <v>1</v>
      </c>
      <c r="K848" s="2">
        <v>-5.9808000000000003</v>
      </c>
      <c r="L848" s="3">
        <f>(Table1[[#This Row],[Profit]]/Table1[[#This Row],[Sales]])*100</f>
        <v>-5.1792580276421081</v>
      </c>
    </row>
    <row r="849" spans="1:12" x14ac:dyDescent="0.3">
      <c r="A849" t="s">
        <v>4416</v>
      </c>
      <c r="B849" s="1">
        <v>43927</v>
      </c>
      <c r="C849" t="s">
        <v>1052</v>
      </c>
      <c r="D849" t="s">
        <v>1053</v>
      </c>
      <c r="E849" t="s">
        <v>14</v>
      </c>
      <c r="F849" t="s">
        <v>41</v>
      </c>
      <c r="G849" t="s">
        <v>24</v>
      </c>
      <c r="H849" t="s">
        <v>4230</v>
      </c>
      <c r="I849" s="2">
        <v>114.1</v>
      </c>
      <c r="J849">
        <v>5</v>
      </c>
      <c r="K849" s="2">
        <v>-5.94</v>
      </c>
      <c r="L849" s="3">
        <f>(Table1[[#This Row],[Profit]]/Table1[[#This Row],[Sales]])*100</f>
        <v>-5.2059596844872917</v>
      </c>
    </row>
    <row r="850" spans="1:12" x14ac:dyDescent="0.3">
      <c r="A850" t="s">
        <v>1455</v>
      </c>
      <c r="B850" s="1">
        <v>43606</v>
      </c>
      <c r="C850" t="s">
        <v>1456</v>
      </c>
      <c r="D850" t="s">
        <v>1457</v>
      </c>
      <c r="E850" t="s">
        <v>14</v>
      </c>
      <c r="F850" t="s">
        <v>29</v>
      </c>
      <c r="G850" t="s">
        <v>24</v>
      </c>
      <c r="H850" t="s">
        <v>1458</v>
      </c>
      <c r="I850" s="2">
        <v>3.798</v>
      </c>
      <c r="J850">
        <v>3</v>
      </c>
      <c r="K850" s="2">
        <v>-5.8868999999999998</v>
      </c>
      <c r="L850" s="3">
        <f>(Table1[[#This Row],[Profit]]/Table1[[#This Row],[Sales]])*100</f>
        <v>-154.99999999999997</v>
      </c>
    </row>
    <row r="851" spans="1:12" x14ac:dyDescent="0.3">
      <c r="A851" t="s">
        <v>6149</v>
      </c>
      <c r="B851" s="1">
        <v>44174</v>
      </c>
      <c r="C851" t="s">
        <v>1635</v>
      </c>
      <c r="D851" t="s">
        <v>1636</v>
      </c>
      <c r="E851" t="s">
        <v>14</v>
      </c>
      <c r="F851" t="s">
        <v>29</v>
      </c>
      <c r="G851" t="s">
        <v>16</v>
      </c>
      <c r="H851" t="s">
        <v>2590</v>
      </c>
      <c r="I851" s="2">
        <v>826.70799999999997</v>
      </c>
      <c r="J851">
        <v>3</v>
      </c>
      <c r="K851" s="2">
        <v>-5.8247999999999998</v>
      </c>
      <c r="L851" s="3">
        <f>(Table1[[#This Row],[Profit]]/Table1[[#This Row],[Sales]])*100</f>
        <v>-0.7045776743420894</v>
      </c>
    </row>
    <row r="852" spans="1:12" x14ac:dyDescent="0.3">
      <c r="A852" t="s">
        <v>4524</v>
      </c>
      <c r="B852" s="1">
        <v>43945</v>
      </c>
      <c r="C852" t="s">
        <v>769</v>
      </c>
      <c r="D852" t="s">
        <v>770</v>
      </c>
      <c r="E852" t="s">
        <v>14</v>
      </c>
      <c r="F852" t="s">
        <v>15</v>
      </c>
      <c r="G852" t="s">
        <v>24</v>
      </c>
      <c r="H852" t="s">
        <v>1005</v>
      </c>
      <c r="I852" s="2">
        <v>110.518</v>
      </c>
      <c r="J852">
        <v>2</v>
      </c>
      <c r="K852" s="2">
        <v>-5.7637999999999998</v>
      </c>
      <c r="L852" s="3">
        <f>(Table1[[#This Row],[Profit]]/Table1[[#This Row],[Sales]])*100</f>
        <v>-5.2152590528239742</v>
      </c>
    </row>
    <row r="853" spans="1:12" x14ac:dyDescent="0.3">
      <c r="A853" t="s">
        <v>142</v>
      </c>
      <c r="B853" s="1">
        <v>43486</v>
      </c>
      <c r="C853" t="s">
        <v>143</v>
      </c>
      <c r="D853" t="s">
        <v>144</v>
      </c>
      <c r="E853" t="s">
        <v>14</v>
      </c>
      <c r="F853" t="s">
        <v>23</v>
      </c>
      <c r="G853" t="s">
        <v>16</v>
      </c>
      <c r="H853" t="s">
        <v>145</v>
      </c>
      <c r="I853" s="2">
        <v>153.56800000000001</v>
      </c>
      <c r="J853">
        <v>2</v>
      </c>
      <c r="K853" s="2">
        <v>-5.7587999999999999</v>
      </c>
      <c r="L853" s="3">
        <f>(Table1[[#This Row],[Profit]]/Table1[[#This Row],[Sales]])*100</f>
        <v>-3.75</v>
      </c>
    </row>
    <row r="854" spans="1:12" x14ac:dyDescent="0.3">
      <c r="A854" t="s">
        <v>5035</v>
      </c>
      <c r="B854" s="1">
        <v>44032</v>
      </c>
      <c r="C854" t="s">
        <v>815</v>
      </c>
      <c r="D854" t="s">
        <v>816</v>
      </c>
      <c r="E854" t="s">
        <v>14</v>
      </c>
      <c r="F854" t="s">
        <v>29</v>
      </c>
      <c r="G854" t="s">
        <v>16</v>
      </c>
      <c r="H854" t="s">
        <v>158</v>
      </c>
      <c r="I854" s="2">
        <v>106.792</v>
      </c>
      <c r="J854">
        <v>1</v>
      </c>
      <c r="K854" s="2">
        <v>-5.7148000000000003</v>
      </c>
      <c r="L854" s="3">
        <f>(Table1[[#This Row],[Profit]]/Table1[[#This Row],[Sales]])*100</f>
        <v>-5.3513371788148927</v>
      </c>
    </row>
    <row r="855" spans="1:12" x14ac:dyDescent="0.3">
      <c r="A855" t="s">
        <v>3614</v>
      </c>
      <c r="B855" s="1">
        <v>43797</v>
      </c>
      <c r="C855" t="s">
        <v>3615</v>
      </c>
      <c r="D855" t="s">
        <v>3616</v>
      </c>
      <c r="E855" t="s">
        <v>14</v>
      </c>
      <c r="F855" t="s">
        <v>41</v>
      </c>
      <c r="G855" t="s">
        <v>24</v>
      </c>
      <c r="H855" t="s">
        <v>3617</v>
      </c>
      <c r="I855" s="2">
        <v>7.4340000000000002</v>
      </c>
      <c r="J855">
        <v>6</v>
      </c>
      <c r="K855" s="2">
        <v>-5.6993999999999998</v>
      </c>
      <c r="L855" s="3">
        <f>(Table1[[#This Row],[Profit]]/Table1[[#This Row],[Sales]])*100</f>
        <v>-76.666666666666657</v>
      </c>
    </row>
    <row r="856" spans="1:12" x14ac:dyDescent="0.3">
      <c r="A856" t="s">
        <v>4402</v>
      </c>
      <c r="B856" s="1">
        <v>43922</v>
      </c>
      <c r="C856" t="s">
        <v>1976</v>
      </c>
      <c r="D856" t="s">
        <v>1977</v>
      </c>
      <c r="E856" t="s">
        <v>14</v>
      </c>
      <c r="F856" t="s">
        <v>41</v>
      </c>
      <c r="G856" t="s">
        <v>18</v>
      </c>
      <c r="H856" t="s">
        <v>334</v>
      </c>
      <c r="I856" s="2">
        <v>111.976</v>
      </c>
      <c r="J856">
        <v>3</v>
      </c>
      <c r="K856" s="2">
        <v>-5.6943000000000001</v>
      </c>
      <c r="L856" s="3">
        <f>(Table1[[#This Row],[Profit]]/Table1[[#This Row],[Sales]])*100</f>
        <v>-5.0852861327427306</v>
      </c>
    </row>
    <row r="857" spans="1:12" x14ac:dyDescent="0.3">
      <c r="A857" t="s">
        <v>3272</v>
      </c>
      <c r="B857" s="1">
        <v>43773</v>
      </c>
      <c r="C857" t="s">
        <v>1845</v>
      </c>
      <c r="D857" t="s">
        <v>1846</v>
      </c>
      <c r="E857" t="s">
        <v>14</v>
      </c>
      <c r="F857" t="s">
        <v>29</v>
      </c>
      <c r="G857" t="s">
        <v>16</v>
      </c>
      <c r="H857" t="s">
        <v>82</v>
      </c>
      <c r="I857" s="2">
        <v>11.375999999999999</v>
      </c>
      <c r="J857">
        <v>3</v>
      </c>
      <c r="K857" s="2">
        <v>-5.6879999999999997</v>
      </c>
      <c r="L857" s="3">
        <f>(Table1[[#This Row],[Profit]]/Table1[[#This Row],[Sales]])*100</f>
        <v>-50</v>
      </c>
    </row>
    <row r="858" spans="1:12" x14ac:dyDescent="0.3">
      <c r="A858" t="s">
        <v>5863</v>
      </c>
      <c r="B858" s="1">
        <v>44147</v>
      </c>
      <c r="C858" t="s">
        <v>1577</v>
      </c>
      <c r="D858" t="s">
        <v>1578</v>
      </c>
      <c r="E858" t="s">
        <v>14</v>
      </c>
      <c r="F858" t="s">
        <v>23</v>
      </c>
      <c r="G858" t="s">
        <v>16</v>
      </c>
      <c r="H858" t="s">
        <v>5864</v>
      </c>
      <c r="I858" s="2">
        <v>134.56800000000001</v>
      </c>
      <c r="J858">
        <v>2</v>
      </c>
      <c r="K858" s="2">
        <v>-5.6783999999999999</v>
      </c>
      <c r="L858" s="3">
        <f>(Table1[[#This Row],[Profit]]/Table1[[#This Row],[Sales]])*100</f>
        <v>-4.2197253433208486</v>
      </c>
    </row>
    <row r="859" spans="1:12" x14ac:dyDescent="0.3">
      <c r="A859" t="s">
        <v>5110</v>
      </c>
      <c r="B859" s="1">
        <v>44047</v>
      </c>
      <c r="C859" t="s">
        <v>1347</v>
      </c>
      <c r="D859" t="s">
        <v>1348</v>
      </c>
      <c r="E859" t="s">
        <v>14</v>
      </c>
      <c r="F859" t="s">
        <v>29</v>
      </c>
      <c r="G859" t="s">
        <v>24</v>
      </c>
      <c r="H859" t="s">
        <v>2394</v>
      </c>
      <c r="I859" s="2">
        <v>126.318</v>
      </c>
      <c r="J859">
        <v>3</v>
      </c>
      <c r="K859" s="2">
        <v>-5.6406000000000001</v>
      </c>
      <c r="L859" s="3">
        <f>(Table1[[#This Row],[Profit]]/Table1[[#This Row],[Sales]])*100</f>
        <v>-4.4653968555550279</v>
      </c>
    </row>
    <row r="860" spans="1:12" x14ac:dyDescent="0.3">
      <c r="A860" t="s">
        <v>6060</v>
      </c>
      <c r="B860" s="1">
        <v>44166</v>
      </c>
      <c r="C860" t="s">
        <v>3893</v>
      </c>
      <c r="D860" t="s">
        <v>3894</v>
      </c>
      <c r="E860" t="s">
        <v>14</v>
      </c>
      <c r="F860" t="s">
        <v>15</v>
      </c>
      <c r="G860" t="s">
        <v>24</v>
      </c>
      <c r="H860" t="s">
        <v>3806</v>
      </c>
      <c r="I860" s="2">
        <v>117.001</v>
      </c>
      <c r="J860">
        <v>7</v>
      </c>
      <c r="K860" s="2">
        <v>-5.6006999999999998</v>
      </c>
      <c r="L860" s="3">
        <f>(Table1[[#This Row],[Profit]]/Table1[[#This Row],[Sales]])*100</f>
        <v>-4.7868821634003123</v>
      </c>
    </row>
    <row r="861" spans="1:12" x14ac:dyDescent="0.3">
      <c r="A861" t="s">
        <v>636</v>
      </c>
      <c r="B861" s="1">
        <v>43537</v>
      </c>
      <c r="C861" t="s">
        <v>637</v>
      </c>
      <c r="D861" t="s">
        <v>638</v>
      </c>
      <c r="E861" t="s">
        <v>14</v>
      </c>
      <c r="F861" t="s">
        <v>15</v>
      </c>
      <c r="G861" t="s">
        <v>16</v>
      </c>
      <c r="H861" t="s">
        <v>639</v>
      </c>
      <c r="I861" s="2">
        <v>386.68</v>
      </c>
      <c r="J861">
        <v>2</v>
      </c>
      <c r="K861" s="2">
        <v>-5.524</v>
      </c>
      <c r="L861" s="3">
        <f>(Table1[[#This Row],[Profit]]/Table1[[#This Row],[Sales]])*100</f>
        <v>-1.4285714285714286</v>
      </c>
    </row>
    <row r="862" spans="1:12" x14ac:dyDescent="0.3">
      <c r="A862" t="s">
        <v>3917</v>
      </c>
      <c r="B862" s="1">
        <v>43825</v>
      </c>
      <c r="C862" t="s">
        <v>599</v>
      </c>
      <c r="D862" t="s">
        <v>600</v>
      </c>
      <c r="E862" t="s">
        <v>14</v>
      </c>
      <c r="F862" t="s">
        <v>23</v>
      </c>
      <c r="G862" t="s">
        <v>16</v>
      </c>
      <c r="H862" t="s">
        <v>1913</v>
      </c>
      <c r="I862" s="2">
        <v>146.352</v>
      </c>
      <c r="J862">
        <v>3</v>
      </c>
      <c r="K862" s="2">
        <v>-5.4882</v>
      </c>
      <c r="L862" s="3">
        <f>(Table1[[#This Row],[Profit]]/Table1[[#This Row],[Sales]])*100</f>
        <v>-3.75</v>
      </c>
    </row>
    <row r="863" spans="1:12" x14ac:dyDescent="0.3">
      <c r="A863" t="s">
        <v>1272</v>
      </c>
      <c r="B863" s="1">
        <v>43591</v>
      </c>
      <c r="C863" t="s">
        <v>1145</v>
      </c>
      <c r="D863" t="s">
        <v>1146</v>
      </c>
      <c r="E863" t="s">
        <v>14</v>
      </c>
      <c r="F863" t="s">
        <v>29</v>
      </c>
      <c r="G863" t="s">
        <v>24</v>
      </c>
      <c r="H863" t="s">
        <v>1273</v>
      </c>
      <c r="I863" s="2">
        <v>3.2080000000000002</v>
      </c>
      <c r="J863">
        <v>2</v>
      </c>
      <c r="K863" s="2">
        <v>-5.2931999999999997</v>
      </c>
      <c r="L863" s="3">
        <f>(Table1[[#This Row],[Profit]]/Table1[[#This Row],[Sales]])*100</f>
        <v>-165</v>
      </c>
    </row>
    <row r="864" spans="1:12" x14ac:dyDescent="0.3">
      <c r="A864" t="s">
        <v>26</v>
      </c>
      <c r="B864" s="1">
        <v>43468</v>
      </c>
      <c r="C864" t="s">
        <v>27</v>
      </c>
      <c r="D864" t="s">
        <v>28</v>
      </c>
      <c r="E864" t="s">
        <v>14</v>
      </c>
      <c r="F864" t="s">
        <v>29</v>
      </c>
      <c r="G864" t="s">
        <v>18</v>
      </c>
      <c r="H864" t="s">
        <v>30</v>
      </c>
      <c r="I864" s="2">
        <v>30.08</v>
      </c>
      <c r="J864">
        <v>2</v>
      </c>
      <c r="K864" s="2">
        <v>-5.2640000000000002</v>
      </c>
      <c r="L864" s="3">
        <f>(Table1[[#This Row],[Profit]]/Table1[[#This Row],[Sales]])*100</f>
        <v>-17.5</v>
      </c>
    </row>
    <row r="865" spans="1:12" x14ac:dyDescent="0.3">
      <c r="A865" t="s">
        <v>5339</v>
      </c>
      <c r="B865" s="1">
        <v>44083</v>
      </c>
      <c r="C865" t="s">
        <v>4657</v>
      </c>
      <c r="D865" t="s">
        <v>4658</v>
      </c>
      <c r="E865" t="s">
        <v>14</v>
      </c>
      <c r="F865" t="s">
        <v>15</v>
      </c>
      <c r="G865" t="s">
        <v>24</v>
      </c>
      <c r="H865" t="s">
        <v>3095</v>
      </c>
      <c r="I865" s="2">
        <v>102.258</v>
      </c>
      <c r="J865">
        <v>2</v>
      </c>
      <c r="K865" s="2">
        <v>-5.2149999999999999</v>
      </c>
      <c r="L865" s="3">
        <f>(Table1[[#This Row],[Profit]]/Table1[[#This Row],[Sales]])*100</f>
        <v>-5.099845488861507</v>
      </c>
    </row>
    <row r="866" spans="1:12" x14ac:dyDescent="0.3">
      <c r="A866" t="s">
        <v>4862</v>
      </c>
      <c r="B866" s="1">
        <v>44001</v>
      </c>
      <c r="C866" t="s">
        <v>528</v>
      </c>
      <c r="D866" t="s">
        <v>529</v>
      </c>
      <c r="E866" t="s">
        <v>14</v>
      </c>
      <c r="F866" t="s">
        <v>29</v>
      </c>
      <c r="G866" t="s">
        <v>24</v>
      </c>
      <c r="H866" t="s">
        <v>4867</v>
      </c>
      <c r="I866" s="2">
        <v>78.263999999999996</v>
      </c>
      <c r="J866">
        <v>1</v>
      </c>
      <c r="K866" s="2">
        <v>-5.2072000000000003</v>
      </c>
      <c r="L866" s="3">
        <f>(Table1[[#This Row],[Profit]]/Table1[[#This Row],[Sales]])*100</f>
        <v>-6.6533783093120729</v>
      </c>
    </row>
    <row r="867" spans="1:12" x14ac:dyDescent="0.3">
      <c r="A867" t="s">
        <v>985</v>
      </c>
      <c r="B867" s="1">
        <v>43567</v>
      </c>
      <c r="C867" t="s">
        <v>837</v>
      </c>
      <c r="D867" t="s">
        <v>838</v>
      </c>
      <c r="E867" t="s">
        <v>14</v>
      </c>
      <c r="F867" t="s">
        <v>41</v>
      </c>
      <c r="G867" t="s">
        <v>24</v>
      </c>
      <c r="H867" t="s">
        <v>986</v>
      </c>
      <c r="I867" s="2">
        <v>51.984000000000002</v>
      </c>
      <c r="J867">
        <v>1</v>
      </c>
      <c r="K867" s="2">
        <v>-5.1984000000000004</v>
      </c>
      <c r="L867" s="3">
        <f>(Table1[[#This Row],[Profit]]/Table1[[#This Row],[Sales]])*100</f>
        <v>-10</v>
      </c>
    </row>
    <row r="868" spans="1:12" x14ac:dyDescent="0.3">
      <c r="A868" t="s">
        <v>5230</v>
      </c>
      <c r="B868" s="1">
        <v>44072</v>
      </c>
      <c r="C868" t="s">
        <v>811</v>
      </c>
      <c r="D868" t="s">
        <v>812</v>
      </c>
      <c r="E868" t="s">
        <v>14</v>
      </c>
      <c r="F868" t="s">
        <v>29</v>
      </c>
      <c r="G868" t="s">
        <v>24</v>
      </c>
      <c r="H868" t="s">
        <v>2146</v>
      </c>
      <c r="I868" s="2">
        <v>96.24</v>
      </c>
      <c r="J868">
        <v>9</v>
      </c>
      <c r="K868" s="2">
        <v>-5.1840000000000002</v>
      </c>
      <c r="L868" s="3">
        <f>(Table1[[#This Row],[Profit]]/Table1[[#This Row],[Sales]])*100</f>
        <v>-5.3865336658354117</v>
      </c>
    </row>
    <row r="869" spans="1:12" x14ac:dyDescent="0.3">
      <c r="A869" t="s">
        <v>1379</v>
      </c>
      <c r="B869" s="1">
        <v>43600</v>
      </c>
      <c r="C869" t="s">
        <v>1380</v>
      </c>
      <c r="D869" t="s">
        <v>1381</v>
      </c>
      <c r="E869" t="s">
        <v>14</v>
      </c>
      <c r="F869" t="s">
        <v>41</v>
      </c>
      <c r="G869" t="s">
        <v>24</v>
      </c>
      <c r="H869" t="s">
        <v>1382</v>
      </c>
      <c r="I869" s="2">
        <v>7.7640000000000002</v>
      </c>
      <c r="J869">
        <v>4</v>
      </c>
      <c r="K869" s="2">
        <v>-5.1760000000000002</v>
      </c>
      <c r="L869" s="3">
        <f>(Table1[[#This Row],[Profit]]/Table1[[#This Row],[Sales]])*100</f>
        <v>-66.666666666666657</v>
      </c>
    </row>
    <row r="870" spans="1:12" x14ac:dyDescent="0.3">
      <c r="A870" t="s">
        <v>6276</v>
      </c>
      <c r="B870" s="1">
        <v>44190</v>
      </c>
      <c r="C870" t="s">
        <v>3979</v>
      </c>
      <c r="D870" t="s">
        <v>3980</v>
      </c>
      <c r="E870" t="s">
        <v>14</v>
      </c>
      <c r="F870" t="s">
        <v>29</v>
      </c>
      <c r="G870" t="s">
        <v>24</v>
      </c>
      <c r="H870" t="s">
        <v>2124</v>
      </c>
      <c r="I870" s="2">
        <v>339.16800000000001</v>
      </c>
      <c r="J870">
        <v>3</v>
      </c>
      <c r="K870" s="2">
        <v>-5.0688000000000004</v>
      </c>
      <c r="L870" s="3">
        <f>(Table1[[#This Row],[Profit]]/Table1[[#This Row],[Sales]])*100</f>
        <v>-1.4944806113784321</v>
      </c>
    </row>
    <row r="871" spans="1:12" x14ac:dyDescent="0.3">
      <c r="A871" t="s">
        <v>3622</v>
      </c>
      <c r="B871" s="1">
        <v>43797</v>
      </c>
      <c r="C871" t="s">
        <v>784</v>
      </c>
      <c r="D871" t="s">
        <v>785</v>
      </c>
      <c r="E871" t="s">
        <v>14</v>
      </c>
      <c r="F871" t="s">
        <v>15</v>
      </c>
      <c r="G871" t="s">
        <v>24</v>
      </c>
      <c r="H871" t="s">
        <v>2541</v>
      </c>
      <c r="I871" s="2">
        <v>6.8879999999999999</v>
      </c>
      <c r="J871">
        <v>2</v>
      </c>
      <c r="K871" s="2">
        <v>-5.0511999999999997</v>
      </c>
      <c r="L871" s="3">
        <f>(Table1[[#This Row],[Profit]]/Table1[[#This Row],[Sales]])*100</f>
        <v>-73.333333333333329</v>
      </c>
    </row>
    <row r="872" spans="1:12" x14ac:dyDescent="0.3">
      <c r="A872" t="s">
        <v>4895</v>
      </c>
      <c r="B872" s="1">
        <v>44007</v>
      </c>
      <c r="C872" t="s">
        <v>4814</v>
      </c>
      <c r="D872" t="s">
        <v>4815</v>
      </c>
      <c r="E872" t="s">
        <v>14</v>
      </c>
      <c r="F872" t="s">
        <v>15</v>
      </c>
      <c r="G872" t="s">
        <v>16</v>
      </c>
      <c r="H872" t="s">
        <v>3596</v>
      </c>
      <c r="I872" s="2">
        <v>417.78399999999999</v>
      </c>
      <c r="J872">
        <v>1</v>
      </c>
      <c r="K872" s="2">
        <v>-5.0098000000000003</v>
      </c>
      <c r="L872" s="3">
        <f>(Table1[[#This Row],[Profit]]/Table1[[#This Row],[Sales]])*100</f>
        <v>-1.1991363958409131</v>
      </c>
    </row>
    <row r="873" spans="1:12" x14ac:dyDescent="0.3">
      <c r="A873" t="s">
        <v>4880</v>
      </c>
      <c r="B873" s="1">
        <v>44004</v>
      </c>
      <c r="C873" t="s">
        <v>1436</v>
      </c>
      <c r="D873" t="s">
        <v>1437</v>
      </c>
      <c r="E873" t="s">
        <v>14</v>
      </c>
      <c r="F873" t="s">
        <v>29</v>
      </c>
      <c r="G873" t="s">
        <v>24</v>
      </c>
      <c r="H873" t="s">
        <v>1032</v>
      </c>
      <c r="I873" s="2">
        <v>79.036000000000001</v>
      </c>
      <c r="J873">
        <v>3</v>
      </c>
      <c r="K873" s="2">
        <v>-5.0094000000000003</v>
      </c>
      <c r="L873" s="3">
        <f>(Table1[[#This Row],[Profit]]/Table1[[#This Row],[Sales]])*100</f>
        <v>-6.3381243990080467</v>
      </c>
    </row>
    <row r="874" spans="1:12" x14ac:dyDescent="0.3">
      <c r="A874" t="s">
        <v>4505</v>
      </c>
      <c r="B874" s="1">
        <v>43942</v>
      </c>
      <c r="C874" t="s">
        <v>2373</v>
      </c>
      <c r="D874" t="s">
        <v>2374</v>
      </c>
      <c r="E874" t="s">
        <v>14</v>
      </c>
      <c r="F874" t="s">
        <v>29</v>
      </c>
      <c r="G874" t="s">
        <v>24</v>
      </c>
      <c r="H874" t="s">
        <v>4506</v>
      </c>
      <c r="I874" s="2">
        <v>99.933999999999997</v>
      </c>
      <c r="J874">
        <v>3</v>
      </c>
      <c r="K874" s="2">
        <v>-4.9878</v>
      </c>
      <c r="L874" s="3">
        <f>(Table1[[#This Row],[Profit]]/Table1[[#This Row],[Sales]])*100</f>
        <v>-4.9910941221206002</v>
      </c>
    </row>
    <row r="875" spans="1:12" x14ac:dyDescent="0.3">
      <c r="A875" t="s">
        <v>5671</v>
      </c>
      <c r="B875" s="1">
        <v>44125</v>
      </c>
      <c r="C875" t="s">
        <v>3109</v>
      </c>
      <c r="D875" t="s">
        <v>3110</v>
      </c>
      <c r="E875" t="s">
        <v>14</v>
      </c>
      <c r="F875" t="s">
        <v>15</v>
      </c>
      <c r="G875" t="s">
        <v>24</v>
      </c>
      <c r="H875" t="s">
        <v>4393</v>
      </c>
      <c r="I875" s="2">
        <v>118.21599999999999</v>
      </c>
      <c r="J875">
        <v>4</v>
      </c>
      <c r="K875" s="2">
        <v>-4.9728000000000003</v>
      </c>
      <c r="L875" s="3">
        <f>(Table1[[#This Row],[Profit]]/Table1[[#This Row],[Sales]])*100</f>
        <v>-4.2065371861676937</v>
      </c>
    </row>
    <row r="876" spans="1:12" x14ac:dyDescent="0.3">
      <c r="A876" t="s">
        <v>6184</v>
      </c>
      <c r="B876" s="1">
        <v>44179</v>
      </c>
      <c r="C876" t="s">
        <v>706</v>
      </c>
      <c r="D876" t="s">
        <v>707</v>
      </c>
      <c r="E876" t="s">
        <v>14</v>
      </c>
      <c r="F876" t="s">
        <v>29</v>
      </c>
      <c r="G876" t="s">
        <v>18</v>
      </c>
      <c r="H876" t="s">
        <v>1274</v>
      </c>
      <c r="I876" s="2">
        <v>274.26400000000001</v>
      </c>
      <c r="J876">
        <v>3</v>
      </c>
      <c r="K876" s="2">
        <v>-4.9080000000000004</v>
      </c>
      <c r="L876" s="3">
        <f>(Table1[[#This Row],[Profit]]/Table1[[#This Row],[Sales]])*100</f>
        <v>-1.789516670069714</v>
      </c>
    </row>
    <row r="877" spans="1:12" x14ac:dyDescent="0.3">
      <c r="A877" t="s">
        <v>907</v>
      </c>
      <c r="B877" s="1">
        <v>43563</v>
      </c>
      <c r="C877" t="s">
        <v>908</v>
      </c>
      <c r="D877" t="s">
        <v>909</v>
      </c>
      <c r="E877" t="s">
        <v>14</v>
      </c>
      <c r="F877" t="s">
        <v>15</v>
      </c>
      <c r="G877" t="s">
        <v>16</v>
      </c>
      <c r="H877" t="s">
        <v>910</v>
      </c>
      <c r="I877" s="2">
        <v>388.70400000000001</v>
      </c>
      <c r="J877">
        <v>6</v>
      </c>
      <c r="K877" s="2">
        <v>-4.8587999999999996</v>
      </c>
      <c r="L877" s="3">
        <f>(Table1[[#This Row],[Profit]]/Table1[[#This Row],[Sales]])*100</f>
        <v>-1.25</v>
      </c>
    </row>
    <row r="878" spans="1:12" x14ac:dyDescent="0.3">
      <c r="A878" t="s">
        <v>2914</v>
      </c>
      <c r="B878" s="1">
        <v>43733</v>
      </c>
      <c r="C878" t="s">
        <v>2915</v>
      </c>
      <c r="D878" t="s">
        <v>2916</v>
      </c>
      <c r="E878" t="s">
        <v>14</v>
      </c>
      <c r="F878" t="s">
        <v>15</v>
      </c>
      <c r="G878" t="s">
        <v>24</v>
      </c>
      <c r="H878" t="s">
        <v>2917</v>
      </c>
      <c r="I878" s="2">
        <v>24.224</v>
      </c>
      <c r="J878">
        <v>2</v>
      </c>
      <c r="K878" s="2">
        <v>-4.8448000000000002</v>
      </c>
      <c r="L878" s="3">
        <f>(Table1[[#This Row],[Profit]]/Table1[[#This Row],[Sales]])*100</f>
        <v>-20</v>
      </c>
    </row>
    <row r="879" spans="1:12" x14ac:dyDescent="0.3">
      <c r="A879" t="s">
        <v>2512</v>
      </c>
      <c r="B879" s="1">
        <v>43709</v>
      </c>
      <c r="C879" t="s">
        <v>605</v>
      </c>
      <c r="D879" t="s">
        <v>606</v>
      </c>
      <c r="E879" t="s">
        <v>14</v>
      </c>
      <c r="F879" t="s">
        <v>15</v>
      </c>
      <c r="G879" t="s">
        <v>18</v>
      </c>
      <c r="H879" t="s">
        <v>1591</v>
      </c>
      <c r="I879" s="2">
        <v>23.988</v>
      </c>
      <c r="J879">
        <v>2</v>
      </c>
      <c r="K879" s="2">
        <v>-4.7976000000000001</v>
      </c>
      <c r="L879" s="3">
        <f>(Table1[[#This Row],[Profit]]/Table1[[#This Row],[Sales]])*100</f>
        <v>-20</v>
      </c>
    </row>
    <row r="880" spans="1:12" x14ac:dyDescent="0.3">
      <c r="A880" t="s">
        <v>4480</v>
      </c>
      <c r="B880" s="1">
        <v>43937</v>
      </c>
      <c r="C880" t="s">
        <v>1235</v>
      </c>
      <c r="D880" t="s">
        <v>1236</v>
      </c>
      <c r="E880" t="s">
        <v>14</v>
      </c>
      <c r="F880" t="s">
        <v>29</v>
      </c>
      <c r="G880" t="s">
        <v>24</v>
      </c>
      <c r="H880" t="s">
        <v>3668</v>
      </c>
      <c r="I880" s="2">
        <v>130.89599999999999</v>
      </c>
      <c r="J880">
        <v>1</v>
      </c>
      <c r="K880" s="2">
        <v>-4.7784000000000004</v>
      </c>
      <c r="L880" s="3">
        <f>(Table1[[#This Row],[Profit]]/Table1[[#This Row],[Sales]])*100</f>
        <v>-3.6505317198386509</v>
      </c>
    </row>
    <row r="881" spans="1:12" x14ac:dyDescent="0.3">
      <c r="A881" t="s">
        <v>1407</v>
      </c>
      <c r="B881" s="1">
        <v>43602</v>
      </c>
      <c r="C881" t="s">
        <v>1408</v>
      </c>
      <c r="D881" t="s">
        <v>1409</v>
      </c>
      <c r="E881" t="s">
        <v>14</v>
      </c>
      <c r="F881" t="s">
        <v>29</v>
      </c>
      <c r="G881" t="s">
        <v>24</v>
      </c>
      <c r="H881" t="s">
        <v>1410</v>
      </c>
      <c r="I881" s="2">
        <v>2.89</v>
      </c>
      <c r="J881">
        <v>1</v>
      </c>
      <c r="K881" s="2">
        <v>-4.7685000000000004</v>
      </c>
      <c r="L881" s="3">
        <f>(Table1[[#This Row],[Profit]]/Table1[[#This Row],[Sales]])*100</f>
        <v>-165</v>
      </c>
    </row>
    <row r="882" spans="1:12" x14ac:dyDescent="0.3">
      <c r="A882" t="s">
        <v>1982</v>
      </c>
      <c r="B882" s="1">
        <v>43653</v>
      </c>
      <c r="C882" t="s">
        <v>1983</v>
      </c>
      <c r="D882" t="s">
        <v>1984</v>
      </c>
      <c r="E882" t="s">
        <v>14</v>
      </c>
      <c r="F882" t="s">
        <v>15</v>
      </c>
      <c r="G882" t="s">
        <v>24</v>
      </c>
      <c r="H882" t="s">
        <v>1734</v>
      </c>
      <c r="I882" s="2">
        <v>5.7149999999999999</v>
      </c>
      <c r="J882">
        <v>5</v>
      </c>
      <c r="K882" s="2">
        <v>-4.7625000000000002</v>
      </c>
      <c r="L882" s="3">
        <f>(Table1[[#This Row],[Profit]]/Table1[[#This Row],[Sales]])*100</f>
        <v>-83.333333333333343</v>
      </c>
    </row>
    <row r="883" spans="1:12" x14ac:dyDescent="0.3">
      <c r="A883" t="s">
        <v>4143</v>
      </c>
      <c r="B883" s="1">
        <v>43878</v>
      </c>
      <c r="C883" t="s">
        <v>937</v>
      </c>
      <c r="D883" t="s">
        <v>938</v>
      </c>
      <c r="E883" t="s">
        <v>14</v>
      </c>
      <c r="F883" t="s">
        <v>15</v>
      </c>
      <c r="G883" t="s">
        <v>24</v>
      </c>
      <c r="H883" t="s">
        <v>1734</v>
      </c>
      <c r="I883" s="2">
        <v>92.715000000000003</v>
      </c>
      <c r="J883">
        <v>5</v>
      </c>
      <c r="K883" s="2">
        <v>-4.7625000000000002</v>
      </c>
      <c r="L883" s="3">
        <f>(Table1[[#This Row],[Profit]]/Table1[[#This Row],[Sales]])*100</f>
        <v>-5.1367092703446051</v>
      </c>
    </row>
    <row r="884" spans="1:12" x14ac:dyDescent="0.3">
      <c r="A884" t="s">
        <v>4380</v>
      </c>
      <c r="B884" s="1">
        <v>43920</v>
      </c>
      <c r="C884" t="s">
        <v>1911</v>
      </c>
      <c r="D884" t="s">
        <v>1912</v>
      </c>
      <c r="E884" t="s">
        <v>14</v>
      </c>
      <c r="F884" t="s">
        <v>15</v>
      </c>
      <c r="G884" t="s">
        <v>24</v>
      </c>
      <c r="H884" t="s">
        <v>1734</v>
      </c>
      <c r="I884" s="2">
        <v>115.715</v>
      </c>
      <c r="J884">
        <v>5</v>
      </c>
      <c r="K884" s="2">
        <v>-4.7625000000000002</v>
      </c>
      <c r="L884" s="3">
        <f>(Table1[[#This Row],[Profit]]/Table1[[#This Row],[Sales]])*100</f>
        <v>-4.115715335090524</v>
      </c>
    </row>
    <row r="885" spans="1:12" x14ac:dyDescent="0.3">
      <c r="A885" t="s">
        <v>737</v>
      </c>
      <c r="B885" s="1">
        <v>43545</v>
      </c>
      <c r="C885" t="s">
        <v>738</v>
      </c>
      <c r="D885" t="s">
        <v>739</v>
      </c>
      <c r="E885" t="s">
        <v>14</v>
      </c>
      <c r="F885" t="s">
        <v>29</v>
      </c>
      <c r="G885" t="s">
        <v>24</v>
      </c>
      <c r="H885" t="s">
        <v>740</v>
      </c>
      <c r="I885" s="2">
        <v>3.1680000000000001</v>
      </c>
      <c r="J885">
        <v>2</v>
      </c>
      <c r="K885" s="2">
        <v>-4.7519999999999998</v>
      </c>
      <c r="L885" s="3">
        <f>(Table1[[#This Row],[Profit]]/Table1[[#This Row],[Sales]])*100</f>
        <v>-149.99999999999997</v>
      </c>
    </row>
    <row r="886" spans="1:12" x14ac:dyDescent="0.3">
      <c r="A886" t="s">
        <v>6055</v>
      </c>
      <c r="B886" s="1">
        <v>44166</v>
      </c>
      <c r="C886" t="s">
        <v>2695</v>
      </c>
      <c r="D886" t="s">
        <v>2696</v>
      </c>
      <c r="E886" t="s">
        <v>14</v>
      </c>
      <c r="F886" t="s">
        <v>23</v>
      </c>
      <c r="G886" t="s">
        <v>24</v>
      </c>
      <c r="H886" t="s">
        <v>1147</v>
      </c>
      <c r="I886" s="2">
        <v>122.783</v>
      </c>
      <c r="J886">
        <v>7</v>
      </c>
      <c r="K886" s="2">
        <v>-4.7481</v>
      </c>
      <c r="L886" s="3">
        <f>(Table1[[#This Row],[Profit]]/Table1[[#This Row],[Sales]])*100</f>
        <v>-3.8670662876782611</v>
      </c>
    </row>
    <row r="887" spans="1:12" x14ac:dyDescent="0.3">
      <c r="A887" t="s">
        <v>4452</v>
      </c>
      <c r="B887" s="1">
        <v>43932</v>
      </c>
      <c r="C887" t="s">
        <v>1153</v>
      </c>
      <c r="D887" t="s">
        <v>1154</v>
      </c>
      <c r="E887" t="s">
        <v>14</v>
      </c>
      <c r="F887" t="s">
        <v>15</v>
      </c>
      <c r="G887" t="s">
        <v>18</v>
      </c>
      <c r="H887" t="s">
        <v>3619</v>
      </c>
      <c r="I887" s="2">
        <v>115.12</v>
      </c>
      <c r="J887">
        <v>2</v>
      </c>
      <c r="K887" s="2">
        <v>-4.7460000000000004</v>
      </c>
      <c r="L887" s="3">
        <f>(Table1[[#This Row],[Profit]]/Table1[[#This Row],[Sales]])*100</f>
        <v>-4.1226546212647674</v>
      </c>
    </row>
    <row r="888" spans="1:12" x14ac:dyDescent="0.3">
      <c r="A888" t="s">
        <v>4505</v>
      </c>
      <c r="B888" s="1">
        <v>43942</v>
      </c>
      <c r="C888" t="s">
        <v>2373</v>
      </c>
      <c r="D888" t="s">
        <v>2374</v>
      </c>
      <c r="E888" t="s">
        <v>14</v>
      </c>
      <c r="F888" t="s">
        <v>29</v>
      </c>
      <c r="G888" t="s">
        <v>24</v>
      </c>
      <c r="H888" t="s">
        <v>845</v>
      </c>
      <c r="I888" s="2">
        <v>119.694</v>
      </c>
      <c r="J888">
        <v>3</v>
      </c>
      <c r="K888" s="2">
        <v>-4.7145000000000001</v>
      </c>
      <c r="L888" s="3">
        <f>(Table1[[#This Row],[Profit]]/Table1[[#This Row],[Sales]])*100</f>
        <v>-3.9387939245074941</v>
      </c>
    </row>
    <row r="889" spans="1:12" x14ac:dyDescent="0.3">
      <c r="A889" t="s">
        <v>3409</v>
      </c>
      <c r="B889" s="1">
        <v>43782</v>
      </c>
      <c r="C889" t="s">
        <v>2520</v>
      </c>
      <c r="D889" t="s">
        <v>2521</v>
      </c>
      <c r="E889" t="s">
        <v>14</v>
      </c>
      <c r="F889" t="s">
        <v>29</v>
      </c>
      <c r="G889" t="s">
        <v>24</v>
      </c>
      <c r="H889" t="s">
        <v>190</v>
      </c>
      <c r="I889" s="2">
        <v>3.1360000000000001</v>
      </c>
      <c r="J889">
        <v>2</v>
      </c>
      <c r="K889" s="2">
        <v>-4.7039999999999997</v>
      </c>
      <c r="L889" s="3">
        <f>(Table1[[#This Row],[Profit]]/Table1[[#This Row],[Sales]])*100</f>
        <v>-149.99999999999997</v>
      </c>
    </row>
    <row r="890" spans="1:12" x14ac:dyDescent="0.3">
      <c r="A890" t="s">
        <v>2077</v>
      </c>
      <c r="B890" s="1">
        <v>43663</v>
      </c>
      <c r="C890" t="s">
        <v>2078</v>
      </c>
      <c r="D890" t="s">
        <v>2079</v>
      </c>
      <c r="E890" t="s">
        <v>14</v>
      </c>
      <c r="F890" t="s">
        <v>23</v>
      </c>
      <c r="G890" t="s">
        <v>18</v>
      </c>
      <c r="H890" t="s">
        <v>97</v>
      </c>
      <c r="I890" s="2">
        <v>20.783999999999999</v>
      </c>
      <c r="J890">
        <v>2</v>
      </c>
      <c r="K890" s="2">
        <v>-4.6764000000000001</v>
      </c>
      <c r="L890" s="3">
        <f>(Table1[[#This Row],[Profit]]/Table1[[#This Row],[Sales]])*100</f>
        <v>-22.5</v>
      </c>
    </row>
    <row r="891" spans="1:12" x14ac:dyDescent="0.3">
      <c r="A891" t="s">
        <v>1609</v>
      </c>
      <c r="B891" s="1">
        <v>43620</v>
      </c>
      <c r="C891" t="s">
        <v>1472</v>
      </c>
      <c r="D891" t="s">
        <v>1473</v>
      </c>
      <c r="E891" t="s">
        <v>14</v>
      </c>
      <c r="F891" t="s">
        <v>29</v>
      </c>
      <c r="G891" t="s">
        <v>16</v>
      </c>
      <c r="H891" t="s">
        <v>1286</v>
      </c>
      <c r="I891" s="2">
        <v>11.688000000000001</v>
      </c>
      <c r="J891">
        <v>3</v>
      </c>
      <c r="K891" s="2">
        <v>-4.6752000000000002</v>
      </c>
      <c r="L891" s="3">
        <f>(Table1[[#This Row],[Profit]]/Table1[[#This Row],[Sales]])*100</f>
        <v>-40</v>
      </c>
    </row>
    <row r="892" spans="1:12" x14ac:dyDescent="0.3">
      <c r="A892" t="s">
        <v>3394</v>
      </c>
      <c r="B892" s="1">
        <v>43781</v>
      </c>
      <c r="C892" t="s">
        <v>1496</v>
      </c>
      <c r="D892" t="s">
        <v>1497</v>
      </c>
      <c r="E892" t="s">
        <v>14</v>
      </c>
      <c r="F892" t="s">
        <v>23</v>
      </c>
      <c r="G892" t="s">
        <v>24</v>
      </c>
      <c r="H892" t="s">
        <v>409</v>
      </c>
      <c r="I892" s="2">
        <v>6.27</v>
      </c>
      <c r="J892">
        <v>5</v>
      </c>
      <c r="K892" s="2">
        <v>-4.5979999999999999</v>
      </c>
      <c r="L892" s="3">
        <f>(Table1[[#This Row],[Profit]]/Table1[[#This Row],[Sales]])*100</f>
        <v>-73.333333333333343</v>
      </c>
    </row>
    <row r="893" spans="1:12" x14ac:dyDescent="0.3">
      <c r="A893" t="s">
        <v>5038</v>
      </c>
      <c r="B893" s="1">
        <v>44033</v>
      </c>
      <c r="C893" t="s">
        <v>2869</v>
      </c>
      <c r="D893" t="s">
        <v>2870</v>
      </c>
      <c r="E893" t="s">
        <v>14</v>
      </c>
      <c r="F893" t="s">
        <v>29</v>
      </c>
      <c r="G893" t="s">
        <v>24</v>
      </c>
      <c r="H893" t="s">
        <v>1262</v>
      </c>
      <c r="I893" s="2">
        <v>110.864</v>
      </c>
      <c r="J893">
        <v>4</v>
      </c>
      <c r="K893" s="2">
        <v>-4.5823999999999998</v>
      </c>
      <c r="L893" s="3">
        <f>(Table1[[#This Row],[Profit]]/Table1[[#This Row],[Sales]])*100</f>
        <v>-4.1333525761293117</v>
      </c>
    </row>
    <row r="894" spans="1:12" x14ac:dyDescent="0.3">
      <c r="A894" t="s">
        <v>4009</v>
      </c>
      <c r="B894" s="1">
        <v>43844</v>
      </c>
      <c r="C894" t="s">
        <v>460</v>
      </c>
      <c r="D894" t="s">
        <v>461</v>
      </c>
      <c r="E894" t="s">
        <v>14</v>
      </c>
      <c r="F894" t="s">
        <v>41</v>
      </c>
      <c r="G894" t="s">
        <v>24</v>
      </c>
      <c r="H894" t="s">
        <v>1790</v>
      </c>
      <c r="I894" s="2">
        <v>122.97</v>
      </c>
      <c r="J894">
        <v>5</v>
      </c>
      <c r="K894" s="2">
        <v>-4.577</v>
      </c>
      <c r="L894" s="3">
        <f>(Table1[[#This Row],[Profit]]/Table1[[#This Row],[Sales]])*100</f>
        <v>-3.7220460274863787</v>
      </c>
    </row>
    <row r="895" spans="1:12" x14ac:dyDescent="0.3">
      <c r="A895" t="s">
        <v>1725</v>
      </c>
      <c r="B895" s="1">
        <v>43628</v>
      </c>
      <c r="C895" t="s">
        <v>1726</v>
      </c>
      <c r="D895" t="s">
        <v>1727</v>
      </c>
      <c r="E895" t="s">
        <v>14</v>
      </c>
      <c r="F895" t="s">
        <v>29</v>
      </c>
      <c r="G895" t="s">
        <v>16</v>
      </c>
      <c r="H895" t="s">
        <v>1729</v>
      </c>
      <c r="I895" s="2">
        <v>6.984</v>
      </c>
      <c r="J895">
        <v>2</v>
      </c>
      <c r="K895" s="2">
        <v>-4.5396000000000001</v>
      </c>
      <c r="L895" s="3">
        <f>(Table1[[#This Row],[Profit]]/Table1[[#This Row],[Sales]])*100</f>
        <v>-65</v>
      </c>
    </row>
    <row r="896" spans="1:12" x14ac:dyDescent="0.3">
      <c r="A896" t="s">
        <v>2984</v>
      </c>
      <c r="B896" s="1">
        <v>43739</v>
      </c>
      <c r="C896" t="s">
        <v>2985</v>
      </c>
      <c r="D896" t="s">
        <v>2986</v>
      </c>
      <c r="E896" t="s">
        <v>14</v>
      </c>
      <c r="F896" t="s">
        <v>41</v>
      </c>
      <c r="G896" t="s">
        <v>24</v>
      </c>
      <c r="H896" t="s">
        <v>845</v>
      </c>
      <c r="I896" s="2">
        <v>5.3879999999999999</v>
      </c>
      <c r="J896">
        <v>4</v>
      </c>
      <c r="K896" s="2">
        <v>-4.49</v>
      </c>
      <c r="L896" s="3">
        <f>(Table1[[#This Row],[Profit]]/Table1[[#This Row],[Sales]])*100</f>
        <v>-83.333333333333343</v>
      </c>
    </row>
    <row r="897" spans="1:12" x14ac:dyDescent="0.3">
      <c r="A897" t="s">
        <v>4786</v>
      </c>
      <c r="B897" s="1">
        <v>43990</v>
      </c>
      <c r="C897" t="s">
        <v>892</v>
      </c>
      <c r="D897" t="s">
        <v>893</v>
      </c>
      <c r="E897" t="s">
        <v>14</v>
      </c>
      <c r="F897" t="s">
        <v>29</v>
      </c>
      <c r="G897" t="s">
        <v>24</v>
      </c>
      <c r="H897" t="s">
        <v>4787</v>
      </c>
      <c r="I897" s="2">
        <v>99.623999999999995</v>
      </c>
      <c r="J897">
        <v>2</v>
      </c>
      <c r="K897" s="2">
        <v>-4.4660000000000002</v>
      </c>
      <c r="L897" s="3">
        <f>(Table1[[#This Row],[Profit]]/Table1[[#This Row],[Sales]])*100</f>
        <v>-4.4828555368184375</v>
      </c>
    </row>
    <row r="898" spans="1:12" x14ac:dyDescent="0.3">
      <c r="A898" t="s">
        <v>5673</v>
      </c>
      <c r="B898" s="1">
        <v>44125</v>
      </c>
      <c r="C898" t="s">
        <v>3134</v>
      </c>
      <c r="D898" t="s">
        <v>3135</v>
      </c>
      <c r="E898" t="s">
        <v>14</v>
      </c>
      <c r="F898" t="s">
        <v>15</v>
      </c>
      <c r="G898" t="s">
        <v>24</v>
      </c>
      <c r="H898" t="s">
        <v>2687</v>
      </c>
      <c r="I898" s="2">
        <v>147.376</v>
      </c>
      <c r="J898">
        <v>3</v>
      </c>
      <c r="K898" s="2">
        <v>-4.4610000000000003</v>
      </c>
      <c r="L898" s="3">
        <f>(Table1[[#This Row],[Profit]]/Table1[[#This Row],[Sales]])*100</f>
        <v>-3.0269514710672021</v>
      </c>
    </row>
    <row r="899" spans="1:12" x14ac:dyDescent="0.3">
      <c r="A899" t="s">
        <v>6102</v>
      </c>
      <c r="B899" s="1">
        <v>44169</v>
      </c>
      <c r="C899" t="s">
        <v>3134</v>
      </c>
      <c r="D899" t="s">
        <v>3135</v>
      </c>
      <c r="E899" t="s">
        <v>14</v>
      </c>
      <c r="F899" t="s">
        <v>15</v>
      </c>
      <c r="G899" t="s">
        <v>24</v>
      </c>
      <c r="H899" t="s">
        <v>37</v>
      </c>
      <c r="I899" s="2">
        <v>112.346</v>
      </c>
      <c r="J899">
        <v>3</v>
      </c>
      <c r="K899" s="2">
        <v>-4.4550000000000001</v>
      </c>
      <c r="L899" s="3">
        <f>(Table1[[#This Row],[Profit]]/Table1[[#This Row],[Sales]])*100</f>
        <v>-3.965428230644616</v>
      </c>
    </row>
    <row r="900" spans="1:12" x14ac:dyDescent="0.3">
      <c r="A900" t="s">
        <v>3059</v>
      </c>
      <c r="B900" s="1">
        <v>43748</v>
      </c>
      <c r="C900" t="s">
        <v>39</v>
      </c>
      <c r="D900" t="s">
        <v>40</v>
      </c>
      <c r="E900" t="s">
        <v>14</v>
      </c>
      <c r="F900" t="s">
        <v>41</v>
      </c>
      <c r="G900" t="s">
        <v>24</v>
      </c>
      <c r="H900" t="s">
        <v>2468</v>
      </c>
      <c r="I900" s="2">
        <v>20.608000000000001</v>
      </c>
      <c r="J900">
        <v>2</v>
      </c>
      <c r="K900" s="2">
        <v>-4.3792</v>
      </c>
      <c r="L900" s="3">
        <f>(Table1[[#This Row],[Profit]]/Table1[[#This Row],[Sales]])*100</f>
        <v>-21.25</v>
      </c>
    </row>
    <row r="901" spans="1:12" x14ac:dyDescent="0.3">
      <c r="A901" t="s">
        <v>5463</v>
      </c>
      <c r="B901" s="1">
        <v>44096</v>
      </c>
      <c r="C901" t="s">
        <v>2516</v>
      </c>
      <c r="D901" t="s">
        <v>2517</v>
      </c>
      <c r="E901" t="s">
        <v>14</v>
      </c>
      <c r="F901" t="s">
        <v>15</v>
      </c>
      <c r="G901" t="s">
        <v>24</v>
      </c>
      <c r="H901" t="s">
        <v>724</v>
      </c>
      <c r="I901" s="2">
        <v>94.606999999999999</v>
      </c>
      <c r="J901">
        <v>1</v>
      </c>
      <c r="K901" s="2">
        <v>-4.2987000000000002</v>
      </c>
      <c r="L901" s="3">
        <f>(Table1[[#This Row],[Profit]]/Table1[[#This Row],[Sales]])*100</f>
        <v>-4.5437441204139226</v>
      </c>
    </row>
    <row r="902" spans="1:12" x14ac:dyDescent="0.3">
      <c r="A902" t="s">
        <v>5062</v>
      </c>
      <c r="B902" s="1">
        <v>44037</v>
      </c>
      <c r="C902" t="s">
        <v>4352</v>
      </c>
      <c r="D902" t="s">
        <v>4353</v>
      </c>
      <c r="E902" t="s">
        <v>14</v>
      </c>
      <c r="F902" t="s">
        <v>29</v>
      </c>
      <c r="G902" t="s">
        <v>16</v>
      </c>
      <c r="H902" t="s">
        <v>746</v>
      </c>
      <c r="I902" s="2">
        <v>337.11599999999999</v>
      </c>
      <c r="J902">
        <v>6</v>
      </c>
      <c r="K902" s="2">
        <v>-4.2587999999999999</v>
      </c>
      <c r="L902" s="3">
        <f>(Table1[[#This Row],[Profit]]/Table1[[#This Row],[Sales]])*100</f>
        <v>-1.2633040259139288</v>
      </c>
    </row>
    <row r="903" spans="1:12" x14ac:dyDescent="0.3">
      <c r="A903" t="s">
        <v>5368</v>
      </c>
      <c r="B903" s="1">
        <v>44085</v>
      </c>
      <c r="C903" t="s">
        <v>1203</v>
      </c>
      <c r="D903" t="s">
        <v>1204</v>
      </c>
      <c r="E903" t="s">
        <v>14</v>
      </c>
      <c r="F903" t="s">
        <v>29</v>
      </c>
      <c r="G903" t="s">
        <v>24</v>
      </c>
      <c r="H903" t="s">
        <v>520</v>
      </c>
      <c r="I903" s="2">
        <v>86.555999999999997</v>
      </c>
      <c r="J903">
        <v>2</v>
      </c>
      <c r="K903" s="2">
        <v>-4.2012</v>
      </c>
      <c r="L903" s="3">
        <f>(Table1[[#This Row],[Profit]]/Table1[[#This Row],[Sales]])*100</f>
        <v>-4.8537363094412864</v>
      </c>
    </row>
    <row r="904" spans="1:12" x14ac:dyDescent="0.3">
      <c r="A904" t="s">
        <v>1479</v>
      </c>
      <c r="B904" s="1">
        <v>43608</v>
      </c>
      <c r="C904" t="s">
        <v>1480</v>
      </c>
      <c r="D904" t="s">
        <v>1481</v>
      </c>
      <c r="E904" t="s">
        <v>14</v>
      </c>
      <c r="F904" t="s">
        <v>15</v>
      </c>
      <c r="G904" t="s">
        <v>24</v>
      </c>
      <c r="H904" t="s">
        <v>1483</v>
      </c>
      <c r="I904" s="2">
        <v>6.2939999999999996</v>
      </c>
      <c r="J904">
        <v>1</v>
      </c>
      <c r="K904" s="2">
        <v>-4.1959999999999997</v>
      </c>
      <c r="L904" s="3">
        <f>(Table1[[#This Row],[Profit]]/Table1[[#This Row],[Sales]])*100</f>
        <v>-66.666666666666657</v>
      </c>
    </row>
    <row r="905" spans="1:12" x14ac:dyDescent="0.3">
      <c r="A905" t="s">
        <v>4106</v>
      </c>
      <c r="B905" s="1">
        <v>43864</v>
      </c>
      <c r="C905" t="s">
        <v>3862</v>
      </c>
      <c r="D905" t="s">
        <v>3863</v>
      </c>
      <c r="E905" t="s">
        <v>14</v>
      </c>
      <c r="F905" t="s">
        <v>15</v>
      </c>
      <c r="G905" t="s">
        <v>24</v>
      </c>
      <c r="H905" t="s">
        <v>2498</v>
      </c>
      <c r="I905" s="2">
        <v>936.22900000000004</v>
      </c>
      <c r="J905">
        <v>3</v>
      </c>
      <c r="K905" s="2">
        <v>-4.1832000000000003</v>
      </c>
      <c r="L905" s="3">
        <f>(Table1[[#This Row],[Profit]]/Table1[[#This Row],[Sales]])*100</f>
        <v>-0.44681376030864239</v>
      </c>
    </row>
    <row r="906" spans="1:12" x14ac:dyDescent="0.3">
      <c r="A906" t="s">
        <v>3260</v>
      </c>
      <c r="B906" s="1">
        <v>43773</v>
      </c>
      <c r="C906" t="s">
        <v>3002</v>
      </c>
      <c r="D906" t="s">
        <v>3003</v>
      </c>
      <c r="E906" t="s">
        <v>14</v>
      </c>
      <c r="F906" t="s">
        <v>23</v>
      </c>
      <c r="G906" t="s">
        <v>24</v>
      </c>
      <c r="H906" t="s">
        <v>3261</v>
      </c>
      <c r="I906" s="2">
        <v>17.584</v>
      </c>
      <c r="J906">
        <v>7</v>
      </c>
      <c r="K906" s="2">
        <v>-4.1761999999999997</v>
      </c>
      <c r="L906" s="3">
        <f>(Table1[[#This Row],[Profit]]/Table1[[#This Row],[Sales]])*100</f>
        <v>-23.75</v>
      </c>
    </row>
    <row r="907" spans="1:12" x14ac:dyDescent="0.3">
      <c r="A907" t="s">
        <v>3852</v>
      </c>
      <c r="B907" s="1">
        <v>43818</v>
      </c>
      <c r="C907" t="s">
        <v>899</v>
      </c>
      <c r="D907" t="s">
        <v>900</v>
      </c>
      <c r="E907" t="s">
        <v>14</v>
      </c>
      <c r="F907" t="s">
        <v>23</v>
      </c>
      <c r="G907" t="s">
        <v>24</v>
      </c>
      <c r="H907" t="s">
        <v>2748</v>
      </c>
      <c r="I907" s="2">
        <v>5.2140000000000004</v>
      </c>
      <c r="J907">
        <v>2</v>
      </c>
      <c r="K907" s="2">
        <v>-4.1711999999999998</v>
      </c>
      <c r="L907" s="3">
        <f>(Table1[[#This Row],[Profit]]/Table1[[#This Row],[Sales]])*100</f>
        <v>-80</v>
      </c>
    </row>
    <row r="908" spans="1:12" x14ac:dyDescent="0.3">
      <c r="A908" t="s">
        <v>4766</v>
      </c>
      <c r="B908" s="1">
        <v>43985</v>
      </c>
      <c r="C908" t="s">
        <v>1214</v>
      </c>
      <c r="D908" t="s">
        <v>1215</v>
      </c>
      <c r="E908" t="s">
        <v>14</v>
      </c>
      <c r="F908" t="s">
        <v>41</v>
      </c>
      <c r="G908" t="s">
        <v>18</v>
      </c>
      <c r="H908" t="s">
        <v>31</v>
      </c>
      <c r="I908" s="2">
        <v>153.4</v>
      </c>
      <c r="J908">
        <v>2</v>
      </c>
      <c r="K908" s="2">
        <v>-4.1399999999999997</v>
      </c>
      <c r="L908" s="3">
        <f>(Table1[[#This Row],[Profit]]/Table1[[#This Row],[Sales]])*100</f>
        <v>-2.6988265971316814</v>
      </c>
    </row>
    <row r="909" spans="1:12" x14ac:dyDescent="0.3">
      <c r="A909" t="s">
        <v>919</v>
      </c>
      <c r="B909" s="1">
        <v>43563</v>
      </c>
      <c r="C909" t="s">
        <v>528</v>
      </c>
      <c r="D909" t="s">
        <v>529</v>
      </c>
      <c r="E909" t="s">
        <v>14</v>
      </c>
      <c r="F909" t="s">
        <v>29</v>
      </c>
      <c r="G909" t="s">
        <v>16</v>
      </c>
      <c r="H909" t="s">
        <v>921</v>
      </c>
      <c r="I909" s="2">
        <v>95.983999999999995</v>
      </c>
      <c r="J909">
        <v>4</v>
      </c>
      <c r="K909" s="2">
        <v>-4.1135999999999999</v>
      </c>
      <c r="L909" s="3">
        <f>(Table1[[#This Row],[Profit]]/Table1[[#This Row],[Sales]])*100</f>
        <v>-4.2857142857142856</v>
      </c>
    </row>
    <row r="910" spans="1:12" x14ac:dyDescent="0.3">
      <c r="A910" t="s">
        <v>3885</v>
      </c>
      <c r="B910" s="1">
        <v>43822</v>
      </c>
      <c r="C910" t="s">
        <v>59</v>
      </c>
      <c r="D910" t="s">
        <v>60</v>
      </c>
      <c r="E910" t="s">
        <v>14</v>
      </c>
      <c r="F910" t="s">
        <v>15</v>
      </c>
      <c r="G910" t="s">
        <v>24</v>
      </c>
      <c r="H910" t="s">
        <v>3740</v>
      </c>
      <c r="I910" s="2">
        <v>5.5529999999999999</v>
      </c>
      <c r="J910">
        <v>3</v>
      </c>
      <c r="K910" s="2">
        <v>-4.0721999999999996</v>
      </c>
      <c r="L910" s="3">
        <f>(Table1[[#This Row],[Profit]]/Table1[[#This Row],[Sales]])*100</f>
        <v>-73.333333333333329</v>
      </c>
    </row>
    <row r="911" spans="1:12" x14ac:dyDescent="0.3">
      <c r="A911" t="s">
        <v>3775</v>
      </c>
      <c r="B911" s="1">
        <v>43810</v>
      </c>
      <c r="C911" t="s">
        <v>267</v>
      </c>
      <c r="D911" t="s">
        <v>268</v>
      </c>
      <c r="E911" t="s">
        <v>14</v>
      </c>
      <c r="F911" t="s">
        <v>15</v>
      </c>
      <c r="G911" t="s">
        <v>24</v>
      </c>
      <c r="H911" t="s">
        <v>512</v>
      </c>
      <c r="I911" s="2">
        <v>64.959999999999994</v>
      </c>
      <c r="J911">
        <v>5</v>
      </c>
      <c r="K911" s="2">
        <v>-4.0599999999999996</v>
      </c>
      <c r="L911" s="3">
        <f>(Table1[[#This Row],[Profit]]/Table1[[#This Row],[Sales]])*100</f>
        <v>-6.25</v>
      </c>
    </row>
    <row r="912" spans="1:12" x14ac:dyDescent="0.3">
      <c r="A912" t="s">
        <v>5988</v>
      </c>
      <c r="B912" s="1">
        <v>44158</v>
      </c>
      <c r="C912" t="s">
        <v>3986</v>
      </c>
      <c r="D912" t="s">
        <v>3987</v>
      </c>
      <c r="E912" t="s">
        <v>14</v>
      </c>
      <c r="F912" t="s">
        <v>29</v>
      </c>
      <c r="G912" t="s">
        <v>16</v>
      </c>
      <c r="H912" t="s">
        <v>3039</v>
      </c>
      <c r="I912" s="2">
        <v>86.463999999999999</v>
      </c>
      <c r="J912">
        <v>1</v>
      </c>
      <c r="K912" s="2">
        <v>-4.04</v>
      </c>
      <c r="L912" s="3">
        <f>(Table1[[#This Row],[Profit]]/Table1[[#This Row],[Sales]])*100</f>
        <v>-4.6724648408586233</v>
      </c>
    </row>
    <row r="913" spans="1:12" x14ac:dyDescent="0.3">
      <c r="A913" t="s">
        <v>5714</v>
      </c>
      <c r="B913" s="1">
        <v>44131</v>
      </c>
      <c r="C913" t="s">
        <v>1168</v>
      </c>
      <c r="D913" t="s">
        <v>1169</v>
      </c>
      <c r="E913" t="s">
        <v>14</v>
      </c>
      <c r="F913" t="s">
        <v>41</v>
      </c>
      <c r="G913" t="s">
        <v>24</v>
      </c>
      <c r="H913" t="s">
        <v>4219</v>
      </c>
      <c r="I913" s="2">
        <v>85.606999999999999</v>
      </c>
      <c r="J913">
        <v>3</v>
      </c>
      <c r="K913" s="2">
        <v>-3.9249000000000001</v>
      </c>
      <c r="L913" s="3">
        <f>(Table1[[#This Row],[Profit]]/Table1[[#This Row],[Sales]])*100</f>
        <v>-4.5847886270982512</v>
      </c>
    </row>
    <row r="914" spans="1:12" x14ac:dyDescent="0.3">
      <c r="A914" t="s">
        <v>3423</v>
      </c>
      <c r="B914" s="1">
        <v>43783</v>
      </c>
      <c r="C914" t="s">
        <v>2698</v>
      </c>
      <c r="D914" t="s">
        <v>2699</v>
      </c>
      <c r="E914" t="s">
        <v>14</v>
      </c>
      <c r="F914" t="s">
        <v>29</v>
      </c>
      <c r="G914" t="s">
        <v>24</v>
      </c>
      <c r="H914" t="s">
        <v>1378</v>
      </c>
      <c r="I914" s="2">
        <v>2.2959999999999998</v>
      </c>
      <c r="J914">
        <v>2</v>
      </c>
      <c r="K914" s="2">
        <v>-3.9032</v>
      </c>
      <c r="L914" s="3">
        <f>(Table1[[#This Row],[Profit]]/Table1[[#This Row],[Sales]])*100</f>
        <v>-170.00000000000003</v>
      </c>
    </row>
    <row r="915" spans="1:12" x14ac:dyDescent="0.3">
      <c r="A915" t="s">
        <v>5179</v>
      </c>
      <c r="B915" s="1">
        <v>44062</v>
      </c>
      <c r="C915" t="s">
        <v>4885</v>
      </c>
      <c r="D915" t="s">
        <v>4886</v>
      </c>
      <c r="E915" t="s">
        <v>14</v>
      </c>
      <c r="F915" t="s">
        <v>29</v>
      </c>
      <c r="G915" t="s">
        <v>24</v>
      </c>
      <c r="H915" t="s">
        <v>1378</v>
      </c>
      <c r="I915" s="2">
        <v>107.29600000000001</v>
      </c>
      <c r="J915">
        <v>2</v>
      </c>
      <c r="K915" s="2">
        <v>-3.9032</v>
      </c>
      <c r="L915" s="3">
        <f>(Table1[[#This Row],[Profit]]/Table1[[#This Row],[Sales]])*100</f>
        <v>-3.6377870563674324</v>
      </c>
    </row>
    <row r="916" spans="1:12" x14ac:dyDescent="0.3">
      <c r="A916" t="s">
        <v>4828</v>
      </c>
      <c r="B916" s="1">
        <v>43997</v>
      </c>
      <c r="C916" t="s">
        <v>1992</v>
      </c>
      <c r="D916" t="s">
        <v>1993</v>
      </c>
      <c r="E916" t="s">
        <v>14</v>
      </c>
      <c r="F916" t="s">
        <v>41</v>
      </c>
      <c r="G916" t="s">
        <v>16</v>
      </c>
      <c r="H916" t="s">
        <v>219</v>
      </c>
      <c r="I916" s="2">
        <v>119.72799999999999</v>
      </c>
      <c r="J916">
        <v>2</v>
      </c>
      <c r="K916" s="2">
        <v>-3.8864000000000001</v>
      </c>
      <c r="L916" s="3">
        <f>(Table1[[#This Row],[Profit]]/Table1[[#This Row],[Sales]])*100</f>
        <v>-3.2460243217960714</v>
      </c>
    </row>
    <row r="917" spans="1:12" x14ac:dyDescent="0.3">
      <c r="A917" t="s">
        <v>1799</v>
      </c>
      <c r="B917" s="1">
        <v>43634</v>
      </c>
      <c r="C917" t="s">
        <v>637</v>
      </c>
      <c r="D917" t="s">
        <v>638</v>
      </c>
      <c r="E917" t="s">
        <v>14</v>
      </c>
      <c r="F917" t="s">
        <v>15</v>
      </c>
      <c r="G917" t="s">
        <v>24</v>
      </c>
      <c r="H917" t="s">
        <v>1709</v>
      </c>
      <c r="I917" s="2">
        <v>4.6260000000000003</v>
      </c>
      <c r="J917">
        <v>2</v>
      </c>
      <c r="K917" s="2">
        <v>-3.855</v>
      </c>
      <c r="L917" s="3">
        <f>(Table1[[#This Row],[Profit]]/Table1[[#This Row],[Sales]])*100</f>
        <v>-83.333333333333329</v>
      </c>
    </row>
    <row r="918" spans="1:12" x14ac:dyDescent="0.3">
      <c r="A918" t="s">
        <v>527</v>
      </c>
      <c r="B918" s="1">
        <v>43532</v>
      </c>
      <c r="C918" t="s">
        <v>528</v>
      </c>
      <c r="D918" t="s">
        <v>529</v>
      </c>
      <c r="E918" t="s">
        <v>14</v>
      </c>
      <c r="F918" t="s">
        <v>41</v>
      </c>
      <c r="G918" t="s">
        <v>16</v>
      </c>
      <c r="H918" t="s">
        <v>531</v>
      </c>
      <c r="I918" s="2">
        <v>102.36</v>
      </c>
      <c r="J918">
        <v>3</v>
      </c>
      <c r="K918" s="2">
        <v>-3.8384999999999998</v>
      </c>
      <c r="L918" s="3">
        <f>(Table1[[#This Row],[Profit]]/Table1[[#This Row],[Sales]])*100</f>
        <v>-3.75</v>
      </c>
    </row>
    <row r="919" spans="1:12" x14ac:dyDescent="0.3">
      <c r="A919" t="s">
        <v>2060</v>
      </c>
      <c r="B919" s="1">
        <v>43662</v>
      </c>
      <c r="C919" t="s">
        <v>2051</v>
      </c>
      <c r="D919" t="s">
        <v>2052</v>
      </c>
      <c r="E919" t="s">
        <v>14</v>
      </c>
      <c r="F919" t="s">
        <v>29</v>
      </c>
      <c r="G919" t="s">
        <v>16</v>
      </c>
      <c r="H919" t="s">
        <v>1286</v>
      </c>
      <c r="I919" s="2">
        <v>9.5519999999999996</v>
      </c>
      <c r="J919">
        <v>3</v>
      </c>
      <c r="K919" s="2">
        <v>-3.8208000000000002</v>
      </c>
      <c r="L919" s="3">
        <f>(Table1[[#This Row],[Profit]]/Table1[[#This Row],[Sales]])*100</f>
        <v>-40</v>
      </c>
    </row>
    <row r="920" spans="1:12" x14ac:dyDescent="0.3">
      <c r="A920" t="s">
        <v>2369</v>
      </c>
      <c r="B920" s="1">
        <v>43695</v>
      </c>
      <c r="C920" t="s">
        <v>2370</v>
      </c>
      <c r="D920" t="s">
        <v>2371</v>
      </c>
      <c r="E920" t="s">
        <v>14</v>
      </c>
      <c r="F920" t="s">
        <v>29</v>
      </c>
      <c r="G920" t="s">
        <v>16</v>
      </c>
      <c r="H920" t="s">
        <v>1286</v>
      </c>
      <c r="I920" s="2">
        <v>9.5519999999999996</v>
      </c>
      <c r="J920">
        <v>3</v>
      </c>
      <c r="K920" s="2">
        <v>-3.8208000000000002</v>
      </c>
      <c r="L920" s="3">
        <f>(Table1[[#This Row],[Profit]]/Table1[[#This Row],[Sales]])*100</f>
        <v>-40</v>
      </c>
    </row>
    <row r="921" spans="1:12" x14ac:dyDescent="0.3">
      <c r="A921" t="s">
        <v>4810</v>
      </c>
      <c r="B921" s="1">
        <v>43993</v>
      </c>
      <c r="C921" t="s">
        <v>528</v>
      </c>
      <c r="D921" t="s">
        <v>529</v>
      </c>
      <c r="E921" t="s">
        <v>14</v>
      </c>
      <c r="F921" t="s">
        <v>41</v>
      </c>
      <c r="G921" t="s">
        <v>24</v>
      </c>
      <c r="H921" t="s">
        <v>1734</v>
      </c>
      <c r="I921" s="2">
        <v>81.572000000000003</v>
      </c>
      <c r="J921">
        <v>4</v>
      </c>
      <c r="K921" s="2">
        <v>-3.81</v>
      </c>
      <c r="L921" s="3">
        <f>(Table1[[#This Row],[Profit]]/Table1[[#This Row],[Sales]])*100</f>
        <v>-4.6707203452164965</v>
      </c>
    </row>
    <row r="922" spans="1:12" x14ac:dyDescent="0.3">
      <c r="A922" t="s">
        <v>4177</v>
      </c>
      <c r="B922" s="1">
        <v>43885</v>
      </c>
      <c r="C922" t="s">
        <v>178</v>
      </c>
      <c r="D922" t="s">
        <v>179</v>
      </c>
      <c r="E922" t="s">
        <v>14</v>
      </c>
      <c r="F922" t="s">
        <v>15</v>
      </c>
      <c r="G922" t="s">
        <v>24</v>
      </c>
      <c r="H922" t="s">
        <v>2526</v>
      </c>
      <c r="I922" s="2">
        <v>132.95599999999999</v>
      </c>
      <c r="J922">
        <v>4</v>
      </c>
      <c r="K922" s="2">
        <v>-3.7995999999999999</v>
      </c>
      <c r="L922" s="3">
        <f>(Table1[[#This Row],[Profit]]/Table1[[#This Row],[Sales]])*100</f>
        <v>-2.8577875387346192</v>
      </c>
    </row>
    <row r="923" spans="1:12" x14ac:dyDescent="0.3">
      <c r="A923" t="s">
        <v>5801</v>
      </c>
      <c r="B923" s="1">
        <v>44141</v>
      </c>
      <c r="C923" t="s">
        <v>5384</v>
      </c>
      <c r="D923" t="s">
        <v>5385</v>
      </c>
      <c r="E923" t="s">
        <v>14</v>
      </c>
      <c r="F923" t="s">
        <v>23</v>
      </c>
      <c r="G923" t="s">
        <v>24</v>
      </c>
      <c r="H923" t="s">
        <v>437</v>
      </c>
      <c r="I923" s="2">
        <v>82.682000000000002</v>
      </c>
      <c r="J923">
        <v>1</v>
      </c>
      <c r="K923" s="2">
        <v>-3.7879999999999998</v>
      </c>
      <c r="L923" s="3">
        <f>(Table1[[#This Row],[Profit]]/Table1[[#This Row],[Sales]])*100</f>
        <v>-4.5814082871725397</v>
      </c>
    </row>
    <row r="924" spans="1:12" x14ac:dyDescent="0.3">
      <c r="A924" t="s">
        <v>1207</v>
      </c>
      <c r="B924" s="1">
        <v>43587</v>
      </c>
      <c r="C924" t="s">
        <v>1208</v>
      </c>
      <c r="D924" t="s">
        <v>1209</v>
      </c>
      <c r="E924" t="s">
        <v>14</v>
      </c>
      <c r="F924" t="s">
        <v>29</v>
      </c>
      <c r="G924" t="s">
        <v>24</v>
      </c>
      <c r="H924" t="s">
        <v>1210</v>
      </c>
      <c r="I924" s="2">
        <v>18.936</v>
      </c>
      <c r="J924">
        <v>3</v>
      </c>
      <c r="K924" s="2">
        <v>-3.7871999999999999</v>
      </c>
      <c r="L924" s="3">
        <f>(Table1[[#This Row],[Profit]]/Table1[[#This Row],[Sales]])*100</f>
        <v>-20</v>
      </c>
    </row>
    <row r="925" spans="1:12" x14ac:dyDescent="0.3">
      <c r="A925" t="s">
        <v>6174</v>
      </c>
      <c r="B925" s="1">
        <v>44176</v>
      </c>
      <c r="C925" t="s">
        <v>2078</v>
      </c>
      <c r="D925" t="s">
        <v>2079</v>
      </c>
      <c r="E925" t="s">
        <v>14</v>
      </c>
      <c r="F925" t="s">
        <v>29</v>
      </c>
      <c r="G925" t="s">
        <v>24</v>
      </c>
      <c r="H925" t="s">
        <v>6175</v>
      </c>
      <c r="I925" s="2">
        <v>360.392</v>
      </c>
      <c r="J925">
        <v>2</v>
      </c>
      <c r="K925" s="2">
        <v>-3.7584</v>
      </c>
      <c r="L925" s="3">
        <f>(Table1[[#This Row],[Profit]]/Table1[[#This Row],[Sales]])*100</f>
        <v>-1.0428644365024751</v>
      </c>
    </row>
    <row r="926" spans="1:12" x14ac:dyDescent="0.3">
      <c r="A926" t="s">
        <v>6074</v>
      </c>
      <c r="B926" s="1">
        <v>44167</v>
      </c>
      <c r="C926" t="s">
        <v>2108</v>
      </c>
      <c r="D926" t="s">
        <v>2109</v>
      </c>
      <c r="E926" t="s">
        <v>14</v>
      </c>
      <c r="F926" t="s">
        <v>29</v>
      </c>
      <c r="G926" t="s">
        <v>16</v>
      </c>
      <c r="H926" t="s">
        <v>654</v>
      </c>
      <c r="I926" s="2">
        <v>139.75200000000001</v>
      </c>
      <c r="J926">
        <v>4</v>
      </c>
      <c r="K926" s="2">
        <v>-3.7195999999999998</v>
      </c>
      <c r="L926" s="3">
        <f>(Table1[[#This Row],[Profit]]/Table1[[#This Row],[Sales]])*100</f>
        <v>-2.6615719274142764</v>
      </c>
    </row>
    <row r="927" spans="1:12" x14ac:dyDescent="0.3">
      <c r="A927" t="s">
        <v>4126</v>
      </c>
      <c r="B927" s="1">
        <v>43872</v>
      </c>
      <c r="C927" t="s">
        <v>2802</v>
      </c>
      <c r="D927" t="s">
        <v>2803</v>
      </c>
      <c r="E927" t="s">
        <v>14</v>
      </c>
      <c r="F927" t="s">
        <v>15</v>
      </c>
      <c r="G927" t="s">
        <v>16</v>
      </c>
      <c r="H927" t="s">
        <v>269</v>
      </c>
      <c r="I927" s="2">
        <v>164.56800000000001</v>
      </c>
      <c r="J927">
        <v>2</v>
      </c>
      <c r="K927" s="2">
        <v>-3.6892</v>
      </c>
      <c r="L927" s="3">
        <f>(Table1[[#This Row],[Profit]]/Table1[[#This Row],[Sales]])*100</f>
        <v>-2.2417480919741384</v>
      </c>
    </row>
    <row r="928" spans="1:12" x14ac:dyDescent="0.3">
      <c r="A928" t="s">
        <v>4140</v>
      </c>
      <c r="B928" s="1">
        <v>43877</v>
      </c>
      <c r="C928" t="s">
        <v>2108</v>
      </c>
      <c r="D928" t="s">
        <v>2109</v>
      </c>
      <c r="E928" t="s">
        <v>14</v>
      </c>
      <c r="F928" t="s">
        <v>29</v>
      </c>
      <c r="G928" t="s">
        <v>16</v>
      </c>
      <c r="H928" t="s">
        <v>61</v>
      </c>
      <c r="I928" s="2">
        <v>110.69199999999999</v>
      </c>
      <c r="J928">
        <v>1</v>
      </c>
      <c r="K928" s="2">
        <v>-3.6537000000000002</v>
      </c>
      <c r="L928" s="3">
        <f>(Table1[[#This Row],[Profit]]/Table1[[#This Row],[Sales]])*100</f>
        <v>-3.3007805442127709</v>
      </c>
    </row>
    <row r="929" spans="1:12" x14ac:dyDescent="0.3">
      <c r="A929" t="s">
        <v>4057</v>
      </c>
      <c r="B929" s="1">
        <v>43853</v>
      </c>
      <c r="C929" t="s">
        <v>4058</v>
      </c>
      <c r="D929" t="s">
        <v>4059</v>
      </c>
      <c r="E929" t="s">
        <v>14</v>
      </c>
      <c r="F929" t="s">
        <v>23</v>
      </c>
      <c r="G929" t="s">
        <v>24</v>
      </c>
      <c r="H929" t="s">
        <v>176</v>
      </c>
      <c r="I929" s="2">
        <v>109.938</v>
      </c>
      <c r="J929">
        <v>2</v>
      </c>
      <c r="K929" s="2">
        <v>-3.6212</v>
      </c>
      <c r="L929" s="3">
        <f>(Table1[[#This Row],[Profit]]/Table1[[#This Row],[Sales]])*100</f>
        <v>-3.2938565373210356</v>
      </c>
    </row>
    <row r="930" spans="1:12" x14ac:dyDescent="0.3">
      <c r="A930" t="s">
        <v>5335</v>
      </c>
      <c r="B930" s="1">
        <v>44083</v>
      </c>
      <c r="C930" t="s">
        <v>3726</v>
      </c>
      <c r="D930" t="s">
        <v>3727</v>
      </c>
      <c r="E930" t="s">
        <v>14</v>
      </c>
      <c r="F930" t="s">
        <v>15</v>
      </c>
      <c r="G930" t="s">
        <v>24</v>
      </c>
      <c r="H930" t="s">
        <v>965</v>
      </c>
      <c r="I930" s="2">
        <v>124.503</v>
      </c>
      <c r="J930">
        <v>1</v>
      </c>
      <c r="K930" s="2">
        <v>-3.6023999999999998</v>
      </c>
      <c r="L930" s="3">
        <f>(Table1[[#This Row],[Profit]]/Table1[[#This Row],[Sales]])*100</f>
        <v>-2.8934242548372326</v>
      </c>
    </row>
    <row r="931" spans="1:12" x14ac:dyDescent="0.3">
      <c r="A931" t="s">
        <v>1222</v>
      </c>
      <c r="B931" s="1">
        <v>43588</v>
      </c>
      <c r="C931" t="s">
        <v>178</v>
      </c>
      <c r="D931" t="s">
        <v>179</v>
      </c>
      <c r="E931" t="s">
        <v>14</v>
      </c>
      <c r="F931" t="s">
        <v>29</v>
      </c>
      <c r="G931" t="s">
        <v>24</v>
      </c>
      <c r="H931" t="s">
        <v>208</v>
      </c>
      <c r="I931" s="2">
        <v>2.1819999999999999</v>
      </c>
      <c r="J931">
        <v>1</v>
      </c>
      <c r="K931" s="2">
        <v>-3.6002999999999998</v>
      </c>
      <c r="L931" s="3">
        <f>(Table1[[#This Row],[Profit]]/Table1[[#This Row],[Sales]])*100</f>
        <v>-165</v>
      </c>
    </row>
    <row r="932" spans="1:12" x14ac:dyDescent="0.3">
      <c r="A932" t="s">
        <v>1979</v>
      </c>
      <c r="B932" s="1">
        <v>43653</v>
      </c>
      <c r="C932" t="s">
        <v>1480</v>
      </c>
      <c r="D932" t="s">
        <v>1481</v>
      </c>
      <c r="E932" t="s">
        <v>14</v>
      </c>
      <c r="F932" t="s">
        <v>23</v>
      </c>
      <c r="G932" t="s">
        <v>16</v>
      </c>
      <c r="H932" t="s">
        <v>1980</v>
      </c>
      <c r="I932" s="2">
        <v>287.96800000000002</v>
      </c>
      <c r="J932">
        <v>4</v>
      </c>
      <c r="K932" s="2">
        <v>-3.5996000000000001</v>
      </c>
      <c r="L932" s="3">
        <f>(Table1[[#This Row],[Profit]]/Table1[[#This Row],[Sales]])*100</f>
        <v>-1.25</v>
      </c>
    </row>
    <row r="933" spans="1:12" x14ac:dyDescent="0.3">
      <c r="A933" t="s">
        <v>4854</v>
      </c>
      <c r="B933" s="1">
        <v>43999</v>
      </c>
      <c r="C933" t="s">
        <v>3532</v>
      </c>
      <c r="D933" t="s">
        <v>3533</v>
      </c>
      <c r="E933" t="s">
        <v>14</v>
      </c>
      <c r="F933" t="s">
        <v>29</v>
      </c>
      <c r="G933" t="s">
        <v>24</v>
      </c>
      <c r="H933" t="s">
        <v>228</v>
      </c>
      <c r="I933" s="2">
        <v>131.304</v>
      </c>
      <c r="J933">
        <v>4</v>
      </c>
      <c r="K933" s="2">
        <v>-3.5712000000000002</v>
      </c>
      <c r="L933" s="3">
        <f>(Table1[[#This Row],[Profit]]/Table1[[#This Row],[Sales]])*100</f>
        <v>-2.7197952842259188</v>
      </c>
    </row>
    <row r="934" spans="1:12" x14ac:dyDescent="0.3">
      <c r="A934" t="s">
        <v>5339</v>
      </c>
      <c r="B934" s="1">
        <v>44083</v>
      </c>
      <c r="C934" t="s">
        <v>4657</v>
      </c>
      <c r="D934" t="s">
        <v>4658</v>
      </c>
      <c r="E934" t="s">
        <v>14</v>
      </c>
      <c r="F934" t="s">
        <v>15</v>
      </c>
      <c r="G934" t="s">
        <v>24</v>
      </c>
      <c r="H934" t="s">
        <v>4230</v>
      </c>
      <c r="I934" s="2">
        <v>131.86000000000001</v>
      </c>
      <c r="J934">
        <v>3</v>
      </c>
      <c r="K934" s="2">
        <v>-3.5640000000000001</v>
      </c>
      <c r="L934" s="3">
        <f>(Table1[[#This Row],[Profit]]/Table1[[#This Row],[Sales]])*100</f>
        <v>-2.7028666767784011</v>
      </c>
    </row>
    <row r="935" spans="1:12" x14ac:dyDescent="0.3">
      <c r="A935" t="s">
        <v>4419</v>
      </c>
      <c r="B935" s="1">
        <v>43928</v>
      </c>
      <c r="C935" t="s">
        <v>1333</v>
      </c>
      <c r="D935" t="s">
        <v>1334</v>
      </c>
      <c r="E935" t="s">
        <v>14</v>
      </c>
      <c r="F935" t="s">
        <v>41</v>
      </c>
      <c r="G935" t="s">
        <v>24</v>
      </c>
      <c r="H935" t="s">
        <v>4364</v>
      </c>
      <c r="I935" s="2">
        <v>106.328</v>
      </c>
      <c r="J935">
        <v>2</v>
      </c>
      <c r="K935" s="2">
        <v>-3.552</v>
      </c>
      <c r="L935" s="3">
        <f>(Table1[[#This Row],[Profit]]/Table1[[#This Row],[Sales]])*100</f>
        <v>-3.3406064254006469</v>
      </c>
    </row>
    <row r="936" spans="1:12" x14ac:dyDescent="0.3">
      <c r="A936" t="s">
        <v>4552</v>
      </c>
      <c r="B936" s="1">
        <v>43951</v>
      </c>
      <c r="C936" t="s">
        <v>2414</v>
      </c>
      <c r="D936" t="s">
        <v>2415</v>
      </c>
      <c r="E936" t="s">
        <v>14</v>
      </c>
      <c r="F936" t="s">
        <v>41</v>
      </c>
      <c r="G936" t="s">
        <v>24</v>
      </c>
      <c r="H936" t="s">
        <v>3541</v>
      </c>
      <c r="I936" s="2">
        <v>126.842</v>
      </c>
      <c r="J936">
        <v>3</v>
      </c>
      <c r="K936" s="2">
        <v>-3.5508000000000002</v>
      </c>
      <c r="L936" s="3">
        <f>(Table1[[#This Row],[Profit]]/Table1[[#This Row],[Sales]])*100</f>
        <v>-2.7993882152599299</v>
      </c>
    </row>
    <row r="937" spans="1:12" x14ac:dyDescent="0.3">
      <c r="A937" t="s">
        <v>5652</v>
      </c>
      <c r="B937" s="1">
        <v>44123</v>
      </c>
      <c r="C937" t="s">
        <v>309</v>
      </c>
      <c r="D937" t="s">
        <v>310</v>
      </c>
      <c r="E937" t="s">
        <v>14</v>
      </c>
      <c r="F937" t="s">
        <v>29</v>
      </c>
      <c r="G937" t="s">
        <v>24</v>
      </c>
      <c r="H937" t="s">
        <v>4393</v>
      </c>
      <c r="I937" s="2">
        <v>103.072</v>
      </c>
      <c r="J937">
        <v>2</v>
      </c>
      <c r="K937" s="2">
        <v>-3.5224000000000002</v>
      </c>
      <c r="L937" s="3">
        <f>(Table1[[#This Row],[Profit]]/Table1[[#This Row],[Sales]])*100</f>
        <v>-3.4174169512573735</v>
      </c>
    </row>
    <row r="938" spans="1:12" x14ac:dyDescent="0.3">
      <c r="A938" t="s">
        <v>2906</v>
      </c>
      <c r="B938" s="1">
        <v>43733</v>
      </c>
      <c r="C938" t="s">
        <v>2907</v>
      </c>
      <c r="D938" t="s">
        <v>2908</v>
      </c>
      <c r="E938" t="s">
        <v>14</v>
      </c>
      <c r="F938" t="s">
        <v>23</v>
      </c>
      <c r="G938" t="s">
        <v>24</v>
      </c>
      <c r="H938" t="s">
        <v>2840</v>
      </c>
      <c r="I938" s="2">
        <v>5.0220000000000002</v>
      </c>
      <c r="J938">
        <v>1</v>
      </c>
      <c r="K938" s="2">
        <v>-3.5154000000000001</v>
      </c>
      <c r="L938" s="3">
        <f>(Table1[[#This Row],[Profit]]/Table1[[#This Row],[Sales]])*100</f>
        <v>-70</v>
      </c>
    </row>
    <row r="939" spans="1:12" x14ac:dyDescent="0.3">
      <c r="A939" t="s">
        <v>4783</v>
      </c>
      <c r="B939" s="1">
        <v>43990</v>
      </c>
      <c r="C939" t="s">
        <v>4784</v>
      </c>
      <c r="D939" t="s">
        <v>4785</v>
      </c>
      <c r="E939" t="s">
        <v>14</v>
      </c>
      <c r="F939" t="s">
        <v>23</v>
      </c>
      <c r="G939" t="s">
        <v>18</v>
      </c>
      <c r="H939" t="s">
        <v>4790</v>
      </c>
      <c r="I939" s="2">
        <v>146.52000000000001</v>
      </c>
      <c r="J939">
        <v>2</v>
      </c>
      <c r="K939" s="2">
        <v>-3.504</v>
      </c>
      <c r="L939" s="3">
        <f>(Table1[[#This Row],[Profit]]/Table1[[#This Row],[Sales]])*100</f>
        <v>-2.3914823914823913</v>
      </c>
    </row>
    <row r="940" spans="1:12" x14ac:dyDescent="0.3">
      <c r="A940" t="s">
        <v>4766</v>
      </c>
      <c r="B940" s="1">
        <v>43985</v>
      </c>
      <c r="C940" t="s">
        <v>1214</v>
      </c>
      <c r="D940" t="s">
        <v>1215</v>
      </c>
      <c r="E940" t="s">
        <v>14</v>
      </c>
      <c r="F940" t="s">
        <v>41</v>
      </c>
      <c r="G940" t="s">
        <v>24</v>
      </c>
      <c r="H940" t="s">
        <v>1032</v>
      </c>
      <c r="I940" s="2">
        <v>93.554000000000002</v>
      </c>
      <c r="J940">
        <v>3</v>
      </c>
      <c r="K940" s="2">
        <v>-3.4914000000000001</v>
      </c>
      <c r="L940" s="3">
        <f>(Table1[[#This Row],[Profit]]/Table1[[#This Row],[Sales]])*100</f>
        <v>-3.7319622891592017</v>
      </c>
    </row>
    <row r="941" spans="1:12" x14ac:dyDescent="0.3">
      <c r="A941" t="s">
        <v>3248</v>
      </c>
      <c r="B941" s="1">
        <v>43772</v>
      </c>
      <c r="C941" t="s">
        <v>3249</v>
      </c>
      <c r="D941" t="s">
        <v>3250</v>
      </c>
      <c r="E941" t="s">
        <v>14</v>
      </c>
      <c r="F941" t="s">
        <v>23</v>
      </c>
      <c r="G941" t="s">
        <v>24</v>
      </c>
      <c r="H941" t="s">
        <v>3132</v>
      </c>
      <c r="I941" s="2">
        <v>4.1580000000000004</v>
      </c>
      <c r="J941">
        <v>7</v>
      </c>
      <c r="K941" s="2">
        <v>-3.4649999999999999</v>
      </c>
      <c r="L941" s="3">
        <f>(Table1[[#This Row],[Profit]]/Table1[[#This Row],[Sales]])*100</f>
        <v>-83.333333333333329</v>
      </c>
    </row>
    <row r="942" spans="1:12" x14ac:dyDescent="0.3">
      <c r="A942" t="s">
        <v>5929</v>
      </c>
      <c r="B942" s="1">
        <v>44152</v>
      </c>
      <c r="C942" t="s">
        <v>1898</v>
      </c>
      <c r="D942" t="s">
        <v>1899</v>
      </c>
      <c r="E942" t="s">
        <v>14</v>
      </c>
      <c r="F942" t="s">
        <v>23</v>
      </c>
      <c r="G942" t="s">
        <v>24</v>
      </c>
      <c r="H942" t="s">
        <v>3132</v>
      </c>
      <c r="I942" s="2">
        <v>109.158</v>
      </c>
      <c r="J942">
        <v>7</v>
      </c>
      <c r="K942" s="2">
        <v>-3.4649999999999999</v>
      </c>
      <c r="L942" s="3">
        <f>(Table1[[#This Row],[Profit]]/Table1[[#This Row],[Sales]])*100</f>
        <v>-3.1742978068487879</v>
      </c>
    </row>
    <row r="943" spans="1:12" x14ac:dyDescent="0.3">
      <c r="A943" t="s">
        <v>2811</v>
      </c>
      <c r="B943" s="1">
        <v>43727</v>
      </c>
      <c r="C943" t="s">
        <v>924</v>
      </c>
      <c r="D943" t="s">
        <v>925</v>
      </c>
      <c r="E943" t="s">
        <v>14</v>
      </c>
      <c r="F943" t="s">
        <v>29</v>
      </c>
      <c r="G943" t="s">
        <v>24</v>
      </c>
      <c r="H943" t="s">
        <v>2793</v>
      </c>
      <c r="I943" s="2">
        <v>2.3079999999999998</v>
      </c>
      <c r="J943">
        <v>2</v>
      </c>
      <c r="K943" s="2">
        <v>-3.4620000000000002</v>
      </c>
      <c r="L943" s="3">
        <f>(Table1[[#This Row],[Profit]]/Table1[[#This Row],[Sales]])*100</f>
        <v>-150.00000000000003</v>
      </c>
    </row>
    <row r="944" spans="1:12" x14ac:dyDescent="0.3">
      <c r="A944" t="s">
        <v>4275</v>
      </c>
      <c r="B944" s="1">
        <v>43906</v>
      </c>
      <c r="C944" t="s">
        <v>989</v>
      </c>
      <c r="D944" t="s">
        <v>990</v>
      </c>
      <c r="E944" t="s">
        <v>14</v>
      </c>
      <c r="F944" t="s">
        <v>15</v>
      </c>
      <c r="G944" t="s">
        <v>24</v>
      </c>
      <c r="H944" t="s">
        <v>2793</v>
      </c>
      <c r="I944" s="2">
        <v>125.193</v>
      </c>
      <c r="J944">
        <v>3</v>
      </c>
      <c r="K944" s="2">
        <v>-3.4620000000000002</v>
      </c>
      <c r="L944" s="3">
        <f>(Table1[[#This Row],[Profit]]/Table1[[#This Row],[Sales]])*100</f>
        <v>-2.7653303299705256</v>
      </c>
    </row>
    <row r="945" spans="1:12" x14ac:dyDescent="0.3">
      <c r="A945" t="s">
        <v>1161</v>
      </c>
      <c r="B945" s="1">
        <v>43580</v>
      </c>
      <c r="C945" t="s">
        <v>1162</v>
      </c>
      <c r="D945" t="s">
        <v>1163</v>
      </c>
      <c r="E945" t="s">
        <v>14</v>
      </c>
      <c r="F945" t="s">
        <v>15</v>
      </c>
      <c r="G945" t="s">
        <v>24</v>
      </c>
      <c r="H945" t="s">
        <v>1165</v>
      </c>
      <c r="I945" s="2">
        <v>4.8959999999999999</v>
      </c>
      <c r="J945">
        <v>3</v>
      </c>
      <c r="K945" s="2">
        <v>-3.4272</v>
      </c>
      <c r="L945" s="3">
        <f>(Table1[[#This Row],[Profit]]/Table1[[#This Row],[Sales]])*100</f>
        <v>-70</v>
      </c>
    </row>
    <row r="946" spans="1:12" x14ac:dyDescent="0.3">
      <c r="A946" t="s">
        <v>2366</v>
      </c>
      <c r="B946" s="1">
        <v>43695</v>
      </c>
      <c r="C946" t="s">
        <v>2367</v>
      </c>
      <c r="D946" t="s">
        <v>2368</v>
      </c>
      <c r="E946" t="s">
        <v>14</v>
      </c>
      <c r="F946" t="s">
        <v>29</v>
      </c>
      <c r="G946" t="s">
        <v>24</v>
      </c>
      <c r="H946" t="s">
        <v>1688</v>
      </c>
      <c r="I946" s="2">
        <v>2.0680000000000001</v>
      </c>
      <c r="J946">
        <v>1</v>
      </c>
      <c r="K946" s="2">
        <v>-3.4121999999999999</v>
      </c>
      <c r="L946" s="3">
        <f>(Table1[[#This Row],[Profit]]/Table1[[#This Row],[Sales]])*100</f>
        <v>-165</v>
      </c>
    </row>
    <row r="947" spans="1:12" x14ac:dyDescent="0.3">
      <c r="A947" t="s">
        <v>5447</v>
      </c>
      <c r="B947" s="1">
        <v>44093</v>
      </c>
      <c r="C947" t="s">
        <v>4994</v>
      </c>
      <c r="D947" t="s">
        <v>4995</v>
      </c>
      <c r="E947" t="s">
        <v>14</v>
      </c>
      <c r="F947" t="s">
        <v>15</v>
      </c>
      <c r="G947" t="s">
        <v>24</v>
      </c>
      <c r="H947" t="s">
        <v>2546</v>
      </c>
      <c r="I947" s="2">
        <v>84.841999999999999</v>
      </c>
      <c r="J947">
        <v>3</v>
      </c>
      <c r="K947" s="2">
        <v>-3.3894000000000002</v>
      </c>
      <c r="L947" s="3">
        <f>(Table1[[#This Row],[Profit]]/Table1[[#This Row],[Sales]])*100</f>
        <v>-3.9949553287286959</v>
      </c>
    </row>
    <row r="948" spans="1:12" x14ac:dyDescent="0.3">
      <c r="A948" t="s">
        <v>5044</v>
      </c>
      <c r="B948" s="1">
        <v>44033</v>
      </c>
      <c r="C948" t="s">
        <v>2626</v>
      </c>
      <c r="D948" t="s">
        <v>2627</v>
      </c>
      <c r="E948" t="s">
        <v>14</v>
      </c>
      <c r="F948" t="s">
        <v>29</v>
      </c>
      <c r="G948" t="s">
        <v>24</v>
      </c>
      <c r="H948" t="s">
        <v>2124</v>
      </c>
      <c r="I948" s="2">
        <v>82.111999999999995</v>
      </c>
      <c r="J948">
        <v>2</v>
      </c>
      <c r="K948" s="2">
        <v>-3.3792</v>
      </c>
      <c r="L948" s="3">
        <f>(Table1[[#This Row],[Profit]]/Table1[[#This Row],[Sales]])*100</f>
        <v>-4.1153546375682</v>
      </c>
    </row>
    <row r="949" spans="1:12" x14ac:dyDescent="0.3">
      <c r="A949" t="s">
        <v>5655</v>
      </c>
      <c r="B949" s="1">
        <v>44123</v>
      </c>
      <c r="C949" t="s">
        <v>5656</v>
      </c>
      <c r="D949" t="s">
        <v>5657</v>
      </c>
      <c r="E949" t="s">
        <v>14</v>
      </c>
      <c r="F949" t="s">
        <v>23</v>
      </c>
      <c r="G949" t="s">
        <v>16</v>
      </c>
      <c r="H949" t="s">
        <v>5658</v>
      </c>
      <c r="I949" s="2">
        <v>131.36799999999999</v>
      </c>
      <c r="J949">
        <v>2</v>
      </c>
      <c r="K949" s="2">
        <v>-3.3506</v>
      </c>
      <c r="L949" s="3">
        <f>(Table1[[#This Row],[Profit]]/Table1[[#This Row],[Sales]])*100</f>
        <v>-2.5505450337981852</v>
      </c>
    </row>
    <row r="950" spans="1:12" x14ac:dyDescent="0.3">
      <c r="A950" t="s">
        <v>3394</v>
      </c>
      <c r="B950" s="1">
        <v>43781</v>
      </c>
      <c r="C950" t="s">
        <v>1496</v>
      </c>
      <c r="D950" t="s">
        <v>1497</v>
      </c>
      <c r="E950" t="s">
        <v>14</v>
      </c>
      <c r="F950" t="s">
        <v>23</v>
      </c>
      <c r="G950" t="s">
        <v>24</v>
      </c>
      <c r="H950" t="s">
        <v>1102</v>
      </c>
      <c r="I950" s="2">
        <v>4.3680000000000003</v>
      </c>
      <c r="J950">
        <v>7</v>
      </c>
      <c r="K950" s="2">
        <v>-3.3488000000000002</v>
      </c>
      <c r="L950" s="3">
        <f>(Table1[[#This Row],[Profit]]/Table1[[#This Row],[Sales]])*100</f>
        <v>-76.666666666666657</v>
      </c>
    </row>
    <row r="951" spans="1:12" x14ac:dyDescent="0.3">
      <c r="A951" t="s">
        <v>3336</v>
      </c>
      <c r="B951" s="1">
        <v>43779</v>
      </c>
      <c r="C951" t="s">
        <v>3337</v>
      </c>
      <c r="D951" t="s">
        <v>3338</v>
      </c>
      <c r="E951" t="s">
        <v>14</v>
      </c>
      <c r="F951" t="s">
        <v>15</v>
      </c>
      <c r="G951" t="s">
        <v>24</v>
      </c>
      <c r="H951" t="s">
        <v>844</v>
      </c>
      <c r="I951" s="2">
        <v>14.72</v>
      </c>
      <c r="J951">
        <v>5</v>
      </c>
      <c r="K951" s="2">
        <v>-3.3119999999999998</v>
      </c>
      <c r="L951" s="3">
        <f>(Table1[[#This Row],[Profit]]/Table1[[#This Row],[Sales]])*100</f>
        <v>-22.499999999999996</v>
      </c>
    </row>
    <row r="952" spans="1:12" x14ac:dyDescent="0.3">
      <c r="A952" t="s">
        <v>4665</v>
      </c>
      <c r="B952" s="1">
        <v>43969</v>
      </c>
      <c r="C952" t="s">
        <v>2234</v>
      </c>
      <c r="D952" t="s">
        <v>2235</v>
      </c>
      <c r="E952" t="s">
        <v>14</v>
      </c>
      <c r="F952" t="s">
        <v>29</v>
      </c>
      <c r="G952" t="s">
        <v>24</v>
      </c>
      <c r="H952" t="s">
        <v>3025</v>
      </c>
      <c r="I952" s="2">
        <v>80.995999999999995</v>
      </c>
      <c r="J952">
        <v>1</v>
      </c>
      <c r="K952" s="2">
        <v>-3.2934000000000001</v>
      </c>
      <c r="L952" s="3">
        <f>(Table1[[#This Row],[Profit]]/Table1[[#This Row],[Sales]])*100</f>
        <v>-4.066126722307275</v>
      </c>
    </row>
    <row r="953" spans="1:12" x14ac:dyDescent="0.3">
      <c r="A953" t="s">
        <v>1272</v>
      </c>
      <c r="B953" s="1">
        <v>43591</v>
      </c>
      <c r="C953" t="s">
        <v>1145</v>
      </c>
      <c r="D953" t="s">
        <v>1146</v>
      </c>
      <c r="E953" t="s">
        <v>14</v>
      </c>
      <c r="F953" t="s">
        <v>29</v>
      </c>
      <c r="G953" t="s">
        <v>18</v>
      </c>
      <c r="H953" t="s">
        <v>1274</v>
      </c>
      <c r="I953" s="2">
        <v>26.175999999999998</v>
      </c>
      <c r="J953">
        <v>2</v>
      </c>
      <c r="K953" s="2">
        <v>-3.2719999999999998</v>
      </c>
      <c r="L953" s="3">
        <f>(Table1[[#This Row],[Profit]]/Table1[[#This Row],[Sales]])*100</f>
        <v>-12.5</v>
      </c>
    </row>
    <row r="954" spans="1:12" x14ac:dyDescent="0.3">
      <c r="A954" t="s">
        <v>5719</v>
      </c>
      <c r="B954" s="1">
        <v>44132</v>
      </c>
      <c r="C954" t="s">
        <v>5720</v>
      </c>
      <c r="D954" t="s">
        <v>5721</v>
      </c>
      <c r="E954" t="s">
        <v>14</v>
      </c>
      <c r="F954" t="s">
        <v>29</v>
      </c>
      <c r="G954" t="s">
        <v>18</v>
      </c>
      <c r="H954" t="s">
        <v>1274</v>
      </c>
      <c r="I954" s="2">
        <v>109.176</v>
      </c>
      <c r="J954">
        <v>2</v>
      </c>
      <c r="K954" s="2">
        <v>-3.2719999999999998</v>
      </c>
      <c r="L954" s="3">
        <f>(Table1[[#This Row],[Profit]]/Table1[[#This Row],[Sales]])*100</f>
        <v>-2.9969956767055028</v>
      </c>
    </row>
    <row r="955" spans="1:12" x14ac:dyDescent="0.3">
      <c r="A955" t="s">
        <v>2714</v>
      </c>
      <c r="B955" s="1">
        <v>43719</v>
      </c>
      <c r="C955" t="s">
        <v>1208</v>
      </c>
      <c r="D955" t="s">
        <v>1209</v>
      </c>
      <c r="E955" t="s">
        <v>14</v>
      </c>
      <c r="F955" t="s">
        <v>29</v>
      </c>
      <c r="G955" t="s">
        <v>24</v>
      </c>
      <c r="H955" t="s">
        <v>624</v>
      </c>
      <c r="I955" s="2">
        <v>1.9079999999999999</v>
      </c>
      <c r="J955">
        <v>3</v>
      </c>
      <c r="K955" s="2">
        <v>-3.2435999999999998</v>
      </c>
      <c r="L955" s="3">
        <f>(Table1[[#This Row],[Profit]]/Table1[[#This Row],[Sales]])*100</f>
        <v>-170</v>
      </c>
    </row>
    <row r="956" spans="1:12" x14ac:dyDescent="0.3">
      <c r="A956" t="s">
        <v>1450</v>
      </c>
      <c r="B956" s="1">
        <v>43606</v>
      </c>
      <c r="C956" t="s">
        <v>1451</v>
      </c>
      <c r="D956" t="s">
        <v>1452</v>
      </c>
      <c r="E956" t="s">
        <v>14</v>
      </c>
      <c r="F956" t="s">
        <v>29</v>
      </c>
      <c r="G956" t="s">
        <v>24</v>
      </c>
      <c r="H956" t="s">
        <v>1453</v>
      </c>
      <c r="I956" s="2">
        <v>1.964</v>
      </c>
      <c r="J956">
        <v>2</v>
      </c>
      <c r="K956" s="2">
        <v>-3.2406000000000001</v>
      </c>
      <c r="L956" s="3">
        <f>(Table1[[#This Row],[Profit]]/Table1[[#This Row],[Sales]])*100</f>
        <v>-165</v>
      </c>
    </row>
    <row r="957" spans="1:12" x14ac:dyDescent="0.3">
      <c r="A957" t="s">
        <v>2975</v>
      </c>
      <c r="B957" s="1">
        <v>43738</v>
      </c>
      <c r="C957" t="s">
        <v>2976</v>
      </c>
      <c r="D957" t="s">
        <v>2977</v>
      </c>
      <c r="E957" t="s">
        <v>14</v>
      </c>
      <c r="F957" t="s">
        <v>29</v>
      </c>
      <c r="G957" t="s">
        <v>24</v>
      </c>
      <c r="H957" t="s">
        <v>1453</v>
      </c>
      <c r="I957" s="2">
        <v>1.964</v>
      </c>
      <c r="J957">
        <v>2</v>
      </c>
      <c r="K957" s="2">
        <v>-3.2406000000000001</v>
      </c>
      <c r="L957" s="3">
        <f>(Table1[[#This Row],[Profit]]/Table1[[#This Row],[Sales]])*100</f>
        <v>-165</v>
      </c>
    </row>
    <row r="958" spans="1:12" x14ac:dyDescent="0.3">
      <c r="A958" t="s">
        <v>6289</v>
      </c>
      <c r="B958" s="1">
        <v>44193</v>
      </c>
      <c r="C958" t="s">
        <v>4730</v>
      </c>
      <c r="D958" t="s">
        <v>4731</v>
      </c>
      <c r="E958" t="s">
        <v>14</v>
      </c>
      <c r="F958" t="s">
        <v>29</v>
      </c>
      <c r="G958" t="s">
        <v>16</v>
      </c>
      <c r="H958" t="s">
        <v>3583</v>
      </c>
      <c r="I958" s="2">
        <v>116.372</v>
      </c>
      <c r="J958">
        <v>2</v>
      </c>
      <c r="K958" s="2">
        <v>-3.2391999999999999</v>
      </c>
      <c r="L958" s="3">
        <f>(Table1[[#This Row],[Profit]]/Table1[[#This Row],[Sales]])*100</f>
        <v>-2.7834874368404772</v>
      </c>
    </row>
    <row r="959" spans="1:12" x14ac:dyDescent="0.3">
      <c r="A959" t="s">
        <v>5337</v>
      </c>
      <c r="B959" s="1">
        <v>44083</v>
      </c>
      <c r="C959" t="s">
        <v>4011</v>
      </c>
      <c r="D959" t="s">
        <v>4012</v>
      </c>
      <c r="E959" t="s">
        <v>14</v>
      </c>
      <c r="F959" t="s">
        <v>41</v>
      </c>
      <c r="G959" t="s">
        <v>24</v>
      </c>
      <c r="H959" t="s">
        <v>5169</v>
      </c>
      <c r="I959" s="2">
        <v>292.48</v>
      </c>
      <c r="J959">
        <v>2</v>
      </c>
      <c r="K959" s="2">
        <v>-3.2309999999999999</v>
      </c>
      <c r="L959" s="3">
        <f>(Table1[[#This Row],[Profit]]/Table1[[#This Row],[Sales]])*100</f>
        <v>-1.104690919037199</v>
      </c>
    </row>
    <row r="960" spans="1:12" x14ac:dyDescent="0.3">
      <c r="A960" t="s">
        <v>1207</v>
      </c>
      <c r="B960" s="1">
        <v>43587</v>
      </c>
      <c r="C960" t="s">
        <v>1208</v>
      </c>
      <c r="D960" t="s">
        <v>1209</v>
      </c>
      <c r="E960" t="s">
        <v>14</v>
      </c>
      <c r="F960" t="s">
        <v>29</v>
      </c>
      <c r="G960" t="s">
        <v>24</v>
      </c>
      <c r="H960" t="s">
        <v>1211</v>
      </c>
      <c r="I960" s="2">
        <v>12.672000000000001</v>
      </c>
      <c r="J960">
        <v>3</v>
      </c>
      <c r="K960" s="2">
        <v>-3.1680000000000001</v>
      </c>
      <c r="L960" s="3">
        <f>(Table1[[#This Row],[Profit]]/Table1[[#This Row],[Sales]])*100</f>
        <v>-25</v>
      </c>
    </row>
    <row r="961" spans="1:12" x14ac:dyDescent="0.3">
      <c r="A961" t="s">
        <v>4654</v>
      </c>
      <c r="B961" s="1">
        <v>43966</v>
      </c>
      <c r="C961" t="s">
        <v>2516</v>
      </c>
      <c r="D961" t="s">
        <v>2517</v>
      </c>
      <c r="E961" t="s">
        <v>14</v>
      </c>
      <c r="F961" t="s">
        <v>23</v>
      </c>
      <c r="G961" t="s">
        <v>24</v>
      </c>
      <c r="H961" t="s">
        <v>740</v>
      </c>
      <c r="I961" s="2">
        <v>114.752</v>
      </c>
      <c r="J961">
        <v>2</v>
      </c>
      <c r="K961" s="2">
        <v>-3.1680000000000001</v>
      </c>
      <c r="L961" s="3">
        <f>(Table1[[#This Row],[Profit]]/Table1[[#This Row],[Sales]])*100</f>
        <v>-2.7607361963190189</v>
      </c>
    </row>
    <row r="962" spans="1:12" x14ac:dyDescent="0.3">
      <c r="A962" t="s">
        <v>4741</v>
      </c>
      <c r="B962" s="1">
        <v>43981</v>
      </c>
      <c r="C962" t="s">
        <v>493</v>
      </c>
      <c r="D962" t="s">
        <v>494</v>
      </c>
      <c r="E962" t="s">
        <v>14</v>
      </c>
      <c r="F962" t="s">
        <v>23</v>
      </c>
      <c r="G962" t="s">
        <v>18</v>
      </c>
      <c r="H962" t="s">
        <v>3145</v>
      </c>
      <c r="I962" s="2">
        <v>144.36000000000001</v>
      </c>
      <c r="J962">
        <v>2</v>
      </c>
      <c r="K962" s="2">
        <v>-3.0939999999999999</v>
      </c>
      <c r="L962" s="3">
        <f>(Table1[[#This Row],[Profit]]/Table1[[#This Row],[Sales]])*100</f>
        <v>-2.1432529786644499</v>
      </c>
    </row>
    <row r="963" spans="1:12" x14ac:dyDescent="0.3">
      <c r="A963" t="s">
        <v>4445</v>
      </c>
      <c r="B963" s="1">
        <v>43931</v>
      </c>
      <c r="C963" t="s">
        <v>4446</v>
      </c>
      <c r="D963" t="s">
        <v>4447</v>
      </c>
      <c r="E963" t="s">
        <v>14</v>
      </c>
      <c r="F963" t="s">
        <v>41</v>
      </c>
      <c r="G963" t="s">
        <v>24</v>
      </c>
      <c r="H963" t="s">
        <v>944</v>
      </c>
      <c r="I963" s="2">
        <v>97.418999999999997</v>
      </c>
      <c r="J963">
        <v>3</v>
      </c>
      <c r="K963" s="2">
        <v>-3.0933000000000002</v>
      </c>
      <c r="L963" s="3">
        <f>(Table1[[#This Row],[Profit]]/Table1[[#This Row],[Sales]])*100</f>
        <v>-3.1752532873464112</v>
      </c>
    </row>
    <row r="964" spans="1:12" x14ac:dyDescent="0.3">
      <c r="A964" t="s">
        <v>5285</v>
      </c>
      <c r="B964" s="1">
        <v>44078</v>
      </c>
      <c r="C964" t="s">
        <v>2633</v>
      </c>
      <c r="D964" t="s">
        <v>2634</v>
      </c>
      <c r="E964" t="s">
        <v>14</v>
      </c>
      <c r="F964" t="s">
        <v>15</v>
      </c>
      <c r="G964" t="s">
        <v>24</v>
      </c>
      <c r="H964" t="s">
        <v>130</v>
      </c>
      <c r="I964" s="2">
        <v>88.367999999999995</v>
      </c>
      <c r="J964">
        <v>2</v>
      </c>
      <c r="K964" s="2">
        <v>-3.0575999999999999</v>
      </c>
      <c r="L964" s="3">
        <f>(Table1[[#This Row],[Profit]]/Table1[[#This Row],[Sales]])*100</f>
        <v>-3.4600760456273765</v>
      </c>
    </row>
    <row r="965" spans="1:12" x14ac:dyDescent="0.3">
      <c r="A965" t="s">
        <v>2490</v>
      </c>
      <c r="B965" s="1">
        <v>43706</v>
      </c>
      <c r="C965" t="s">
        <v>554</v>
      </c>
      <c r="D965" t="s">
        <v>555</v>
      </c>
      <c r="E965" t="s">
        <v>14</v>
      </c>
      <c r="F965" t="s">
        <v>29</v>
      </c>
      <c r="G965" t="s">
        <v>24</v>
      </c>
      <c r="H965" t="s">
        <v>1597</v>
      </c>
      <c r="I965" s="2">
        <v>1.788</v>
      </c>
      <c r="J965">
        <v>3</v>
      </c>
      <c r="K965" s="2">
        <v>-3.0396000000000001</v>
      </c>
      <c r="L965" s="3">
        <f>(Table1[[#This Row],[Profit]]/Table1[[#This Row],[Sales]])*100</f>
        <v>-170</v>
      </c>
    </row>
    <row r="966" spans="1:12" x14ac:dyDescent="0.3">
      <c r="A966" t="s">
        <v>4179</v>
      </c>
      <c r="B966" s="1">
        <v>43886</v>
      </c>
      <c r="C966" t="s">
        <v>4180</v>
      </c>
      <c r="D966" t="s">
        <v>4181</v>
      </c>
      <c r="E966" t="s">
        <v>14</v>
      </c>
      <c r="F966" t="s">
        <v>29</v>
      </c>
      <c r="G966" t="s">
        <v>24</v>
      </c>
      <c r="H966" t="s">
        <v>1597</v>
      </c>
      <c r="I966" s="2">
        <v>529.78800000000001</v>
      </c>
      <c r="J966">
        <v>3</v>
      </c>
      <c r="K966" s="2">
        <v>-3.0396000000000001</v>
      </c>
      <c r="L966" s="3">
        <f>(Table1[[#This Row],[Profit]]/Table1[[#This Row],[Sales]])*100</f>
        <v>-0.57373892953407779</v>
      </c>
    </row>
    <row r="967" spans="1:12" x14ac:dyDescent="0.3">
      <c r="A967" t="s">
        <v>2291</v>
      </c>
      <c r="B967" s="1">
        <v>43686</v>
      </c>
      <c r="C967" t="s">
        <v>2292</v>
      </c>
      <c r="D967" t="s">
        <v>2293</v>
      </c>
      <c r="E967" t="s">
        <v>14</v>
      </c>
      <c r="F967" t="s">
        <v>41</v>
      </c>
      <c r="G967" t="s">
        <v>24</v>
      </c>
      <c r="H967" t="s">
        <v>1185</v>
      </c>
      <c r="I967" s="2">
        <v>4.3380000000000001</v>
      </c>
      <c r="J967">
        <v>3</v>
      </c>
      <c r="K967" s="2">
        <v>-3.0366</v>
      </c>
      <c r="L967" s="3">
        <f>(Table1[[#This Row],[Profit]]/Table1[[#This Row],[Sales]])*100</f>
        <v>-70</v>
      </c>
    </row>
    <row r="968" spans="1:12" x14ac:dyDescent="0.3">
      <c r="A968" t="s">
        <v>3060</v>
      </c>
      <c r="B968" s="1">
        <v>43748</v>
      </c>
      <c r="C968" t="s">
        <v>719</v>
      </c>
      <c r="D968" t="s">
        <v>720</v>
      </c>
      <c r="E968" t="s">
        <v>14</v>
      </c>
      <c r="F968" t="s">
        <v>23</v>
      </c>
      <c r="G968" t="s">
        <v>18</v>
      </c>
      <c r="H968" t="s">
        <v>405</v>
      </c>
      <c r="I968" s="2">
        <v>15.992000000000001</v>
      </c>
      <c r="J968">
        <v>1</v>
      </c>
      <c r="K968" s="2">
        <v>-2.9984999999999999</v>
      </c>
      <c r="L968" s="3">
        <f>(Table1[[#This Row],[Profit]]/Table1[[#This Row],[Sales]])*100</f>
        <v>-18.749999999999996</v>
      </c>
    </row>
    <row r="969" spans="1:12" x14ac:dyDescent="0.3">
      <c r="A969" t="s">
        <v>5758</v>
      </c>
      <c r="B969" s="1">
        <v>44138</v>
      </c>
      <c r="C969" t="s">
        <v>345</v>
      </c>
      <c r="D969" t="s">
        <v>346</v>
      </c>
      <c r="E969" t="s">
        <v>14</v>
      </c>
      <c r="F969" t="s">
        <v>41</v>
      </c>
      <c r="G969" t="s">
        <v>24</v>
      </c>
      <c r="H969" t="s">
        <v>517</v>
      </c>
      <c r="I969" s="2">
        <v>119.086</v>
      </c>
      <c r="J969">
        <v>2</v>
      </c>
      <c r="K969" s="2">
        <v>-2.9964</v>
      </c>
      <c r="L969" s="3">
        <f>(Table1[[#This Row],[Profit]]/Table1[[#This Row],[Sales]])*100</f>
        <v>-2.5161647884721963</v>
      </c>
    </row>
    <row r="970" spans="1:12" x14ac:dyDescent="0.3">
      <c r="A970" t="s">
        <v>4169</v>
      </c>
      <c r="B970" s="1">
        <v>43882</v>
      </c>
      <c r="C970" t="s">
        <v>345</v>
      </c>
      <c r="D970" t="s">
        <v>346</v>
      </c>
      <c r="E970" t="s">
        <v>14</v>
      </c>
      <c r="F970" t="s">
        <v>29</v>
      </c>
      <c r="G970" t="s">
        <v>18</v>
      </c>
      <c r="H970" t="s">
        <v>4170</v>
      </c>
      <c r="I970" s="2">
        <v>973.904</v>
      </c>
      <c r="J970">
        <v>1</v>
      </c>
      <c r="K970" s="2">
        <v>-2.9940000000000002</v>
      </c>
      <c r="L970" s="3">
        <f>(Table1[[#This Row],[Profit]]/Table1[[#This Row],[Sales]])*100</f>
        <v>-0.30742249749461964</v>
      </c>
    </row>
    <row r="971" spans="1:12" x14ac:dyDescent="0.3">
      <c r="A971" t="s">
        <v>5439</v>
      </c>
      <c r="B971" s="1">
        <v>44092</v>
      </c>
      <c r="C971" t="s">
        <v>762</v>
      </c>
      <c r="D971" t="s">
        <v>763</v>
      </c>
      <c r="E971" t="s">
        <v>14</v>
      </c>
      <c r="F971" t="s">
        <v>29</v>
      </c>
      <c r="G971" t="s">
        <v>24</v>
      </c>
      <c r="H971" t="s">
        <v>2687</v>
      </c>
      <c r="I971" s="2">
        <v>153.584</v>
      </c>
      <c r="J971">
        <v>2</v>
      </c>
      <c r="K971" s="2">
        <v>-2.9740000000000002</v>
      </c>
      <c r="L971" s="3">
        <f>(Table1[[#This Row],[Profit]]/Table1[[#This Row],[Sales]])*100</f>
        <v>-1.9363996249609334</v>
      </c>
    </row>
    <row r="972" spans="1:12" x14ac:dyDescent="0.3">
      <c r="A972" t="s">
        <v>5773</v>
      </c>
      <c r="B972" s="1">
        <v>44139</v>
      </c>
      <c r="C972" t="s">
        <v>309</v>
      </c>
      <c r="D972" t="s">
        <v>310</v>
      </c>
      <c r="E972" t="s">
        <v>14</v>
      </c>
      <c r="F972" t="s">
        <v>41</v>
      </c>
      <c r="G972" t="s">
        <v>24</v>
      </c>
      <c r="H972" t="s">
        <v>37</v>
      </c>
      <c r="I972" s="2">
        <v>105.56399999999999</v>
      </c>
      <c r="J972">
        <v>2</v>
      </c>
      <c r="K972" s="2">
        <v>-2.97</v>
      </c>
      <c r="L972" s="3">
        <f>(Table1[[#This Row],[Profit]]/Table1[[#This Row],[Sales]])*100</f>
        <v>-2.8134591337956127</v>
      </c>
    </row>
    <row r="973" spans="1:12" x14ac:dyDescent="0.3">
      <c r="A973" t="s">
        <v>5253</v>
      </c>
      <c r="B973" s="1">
        <v>44076</v>
      </c>
      <c r="C973" t="s">
        <v>1626</v>
      </c>
      <c r="D973" t="s">
        <v>1627</v>
      </c>
      <c r="E973" t="s">
        <v>14</v>
      </c>
      <c r="F973" t="s">
        <v>23</v>
      </c>
      <c r="G973" t="s">
        <v>16</v>
      </c>
      <c r="H973" t="s">
        <v>5016</v>
      </c>
      <c r="I973" s="2">
        <v>265.52800000000002</v>
      </c>
      <c r="J973">
        <v>2</v>
      </c>
      <c r="K973" s="2">
        <v>-2.9565999999999999</v>
      </c>
      <c r="L973" s="3">
        <f>(Table1[[#This Row],[Profit]]/Table1[[#This Row],[Sales]])*100</f>
        <v>-1.1134795577114276</v>
      </c>
    </row>
    <row r="974" spans="1:12" x14ac:dyDescent="0.3">
      <c r="A974" t="s">
        <v>3857</v>
      </c>
      <c r="B974" s="1">
        <v>43818</v>
      </c>
      <c r="C974" t="s">
        <v>3571</v>
      </c>
      <c r="D974" t="s">
        <v>3572</v>
      </c>
      <c r="E974" t="s">
        <v>14</v>
      </c>
      <c r="F974" t="s">
        <v>29</v>
      </c>
      <c r="G974" t="s">
        <v>24</v>
      </c>
      <c r="H974" t="s">
        <v>2146</v>
      </c>
      <c r="I974" s="2">
        <v>1.8</v>
      </c>
      <c r="J974">
        <v>5</v>
      </c>
      <c r="K974" s="2">
        <v>-2.88</v>
      </c>
      <c r="L974" s="3">
        <f>(Table1[[#This Row],[Profit]]/Table1[[#This Row],[Sales]])*100</f>
        <v>-160</v>
      </c>
    </row>
    <row r="975" spans="1:12" x14ac:dyDescent="0.3">
      <c r="A975" t="s">
        <v>1609</v>
      </c>
      <c r="B975" s="1">
        <v>43620</v>
      </c>
      <c r="C975" t="s">
        <v>1472</v>
      </c>
      <c r="D975" t="s">
        <v>1473</v>
      </c>
      <c r="E975" t="s">
        <v>14</v>
      </c>
      <c r="F975" t="s">
        <v>29</v>
      </c>
      <c r="G975" t="s">
        <v>16</v>
      </c>
      <c r="H975" t="s">
        <v>1613</v>
      </c>
      <c r="I975" s="2">
        <v>4.0439999999999996</v>
      </c>
      <c r="J975">
        <v>3</v>
      </c>
      <c r="K975" s="2">
        <v>-2.8308</v>
      </c>
      <c r="L975" s="3">
        <f>(Table1[[#This Row],[Profit]]/Table1[[#This Row],[Sales]])*100</f>
        <v>-70</v>
      </c>
    </row>
    <row r="976" spans="1:12" x14ac:dyDescent="0.3">
      <c r="A976" t="s">
        <v>3489</v>
      </c>
      <c r="B976" s="1">
        <v>43789</v>
      </c>
      <c r="C976" t="s">
        <v>3490</v>
      </c>
      <c r="D976" t="s">
        <v>3491</v>
      </c>
      <c r="E976" t="s">
        <v>14</v>
      </c>
      <c r="F976" t="s">
        <v>29</v>
      </c>
      <c r="G976" t="s">
        <v>16</v>
      </c>
      <c r="H976" t="s">
        <v>1109</v>
      </c>
      <c r="I976" s="2">
        <v>7.0679999999999996</v>
      </c>
      <c r="J976">
        <v>3</v>
      </c>
      <c r="K976" s="2">
        <v>-2.8271999999999999</v>
      </c>
      <c r="L976" s="3">
        <f>(Table1[[#This Row],[Profit]]/Table1[[#This Row],[Sales]])*100</f>
        <v>-40</v>
      </c>
    </row>
    <row r="977" spans="1:12" x14ac:dyDescent="0.3">
      <c r="A977" t="s">
        <v>5895</v>
      </c>
      <c r="B977" s="1">
        <v>44149</v>
      </c>
      <c r="C977" t="s">
        <v>602</v>
      </c>
      <c r="D977" t="s">
        <v>603</v>
      </c>
      <c r="E977" t="s">
        <v>14</v>
      </c>
      <c r="F977" t="s">
        <v>15</v>
      </c>
      <c r="G977" t="s">
        <v>24</v>
      </c>
      <c r="H977" t="s">
        <v>3188</v>
      </c>
      <c r="I977" s="2">
        <v>83.647999999999996</v>
      </c>
      <c r="J977">
        <v>2</v>
      </c>
      <c r="K977" s="2">
        <v>-2.7968000000000002</v>
      </c>
      <c r="L977" s="3">
        <f>(Table1[[#This Row],[Profit]]/Table1[[#This Row],[Sales]])*100</f>
        <v>-3.3435348125478201</v>
      </c>
    </row>
    <row r="978" spans="1:12" x14ac:dyDescent="0.3">
      <c r="A978" t="s">
        <v>2496</v>
      </c>
      <c r="B978" s="1">
        <v>43706</v>
      </c>
      <c r="C978" t="s">
        <v>1288</v>
      </c>
      <c r="D978" t="s">
        <v>1289</v>
      </c>
      <c r="E978" t="s">
        <v>14</v>
      </c>
      <c r="F978" t="s">
        <v>15</v>
      </c>
      <c r="G978" t="s">
        <v>24</v>
      </c>
      <c r="H978" t="s">
        <v>2498</v>
      </c>
      <c r="I978" s="2">
        <v>3.4860000000000002</v>
      </c>
      <c r="J978">
        <v>2</v>
      </c>
      <c r="K978" s="2">
        <v>-2.7888000000000002</v>
      </c>
      <c r="L978" s="3">
        <f>(Table1[[#This Row],[Profit]]/Table1[[#This Row],[Sales]])*100</f>
        <v>-80</v>
      </c>
    </row>
    <row r="979" spans="1:12" x14ac:dyDescent="0.3">
      <c r="A979" t="s">
        <v>519</v>
      </c>
      <c r="B979" s="1">
        <v>43530</v>
      </c>
      <c r="C979" t="s">
        <v>443</v>
      </c>
      <c r="D979" t="s">
        <v>444</v>
      </c>
      <c r="E979" t="s">
        <v>14</v>
      </c>
      <c r="F979" t="s">
        <v>29</v>
      </c>
      <c r="G979" t="s">
        <v>24</v>
      </c>
      <c r="H979" t="s">
        <v>521</v>
      </c>
      <c r="I979" s="2">
        <v>1.728</v>
      </c>
      <c r="J979">
        <v>4</v>
      </c>
      <c r="K979" s="2">
        <v>-2.7648000000000001</v>
      </c>
      <c r="L979" s="3">
        <f>(Table1[[#This Row],[Profit]]/Table1[[#This Row],[Sales]])*100</f>
        <v>-160</v>
      </c>
    </row>
    <row r="980" spans="1:12" x14ac:dyDescent="0.3">
      <c r="A980" t="s">
        <v>406</v>
      </c>
      <c r="B980" s="1">
        <v>43517</v>
      </c>
      <c r="C980" t="s">
        <v>407</v>
      </c>
      <c r="D980" t="s">
        <v>408</v>
      </c>
      <c r="E980" t="s">
        <v>14</v>
      </c>
      <c r="F980" t="s">
        <v>41</v>
      </c>
      <c r="G980" t="s">
        <v>24</v>
      </c>
      <c r="H980" t="s">
        <v>409</v>
      </c>
      <c r="I980" s="2">
        <v>3.762</v>
      </c>
      <c r="J980">
        <v>3</v>
      </c>
      <c r="K980" s="2">
        <v>-2.7587999999999999</v>
      </c>
      <c r="L980" s="3">
        <f>(Table1[[#This Row],[Profit]]/Table1[[#This Row],[Sales]])*100</f>
        <v>-73.333333333333329</v>
      </c>
    </row>
    <row r="981" spans="1:12" x14ac:dyDescent="0.3">
      <c r="A981" t="s">
        <v>5416</v>
      </c>
      <c r="B981" s="1">
        <v>44090</v>
      </c>
      <c r="C981" t="s">
        <v>1208</v>
      </c>
      <c r="D981" t="s">
        <v>1209</v>
      </c>
      <c r="E981" t="s">
        <v>14</v>
      </c>
      <c r="F981" t="s">
        <v>15</v>
      </c>
      <c r="G981" t="s">
        <v>24</v>
      </c>
      <c r="H981" t="s">
        <v>1378</v>
      </c>
      <c r="I981" s="2">
        <v>98.444000000000003</v>
      </c>
      <c r="J981">
        <v>2</v>
      </c>
      <c r="K981" s="2">
        <v>-2.7551999999999999</v>
      </c>
      <c r="L981" s="3">
        <f>(Table1[[#This Row],[Profit]]/Table1[[#This Row],[Sales]])*100</f>
        <v>-2.7987485270813859</v>
      </c>
    </row>
    <row r="982" spans="1:12" x14ac:dyDescent="0.3">
      <c r="A982" t="s">
        <v>3059</v>
      </c>
      <c r="B982" s="1">
        <v>43748</v>
      </c>
      <c r="C982" t="s">
        <v>39</v>
      </c>
      <c r="D982" t="s">
        <v>40</v>
      </c>
      <c r="E982" t="s">
        <v>14</v>
      </c>
      <c r="F982" t="s">
        <v>41</v>
      </c>
      <c r="G982" t="s">
        <v>24</v>
      </c>
      <c r="H982" t="s">
        <v>264</v>
      </c>
      <c r="I982" s="2">
        <v>4.0949999999999998</v>
      </c>
      <c r="J982">
        <v>3</v>
      </c>
      <c r="K982" s="2">
        <v>-2.73</v>
      </c>
      <c r="L982" s="3">
        <f>(Table1[[#This Row],[Profit]]/Table1[[#This Row],[Sales]])*100</f>
        <v>-66.666666666666671</v>
      </c>
    </row>
    <row r="983" spans="1:12" x14ac:dyDescent="0.3">
      <c r="A983" t="s">
        <v>4955</v>
      </c>
      <c r="B983" s="1">
        <v>44015</v>
      </c>
      <c r="C983" t="s">
        <v>4956</v>
      </c>
      <c r="D983" t="s">
        <v>4957</v>
      </c>
      <c r="E983" t="s">
        <v>14</v>
      </c>
      <c r="F983" t="s">
        <v>41</v>
      </c>
      <c r="G983" t="s">
        <v>18</v>
      </c>
      <c r="H983" t="s">
        <v>1774</v>
      </c>
      <c r="I983" s="2">
        <v>152</v>
      </c>
      <c r="J983">
        <v>2</v>
      </c>
      <c r="K983" s="2">
        <v>-2.7</v>
      </c>
      <c r="L983" s="3">
        <f>(Table1[[#This Row],[Profit]]/Table1[[#This Row],[Sales]])*100</f>
        <v>-1.7763157894736841</v>
      </c>
    </row>
    <row r="984" spans="1:12" x14ac:dyDescent="0.3">
      <c r="A984" t="s">
        <v>5719</v>
      </c>
      <c r="B984" s="1">
        <v>44132</v>
      </c>
      <c r="C984" t="s">
        <v>5720</v>
      </c>
      <c r="D984" t="s">
        <v>5721</v>
      </c>
      <c r="E984" t="s">
        <v>14</v>
      </c>
      <c r="F984" t="s">
        <v>29</v>
      </c>
      <c r="G984" t="s">
        <v>18</v>
      </c>
      <c r="H984" t="s">
        <v>1774</v>
      </c>
      <c r="I984" s="2">
        <v>138</v>
      </c>
      <c r="J984">
        <v>2</v>
      </c>
      <c r="K984" s="2">
        <v>-2.7</v>
      </c>
      <c r="L984" s="3">
        <f>(Table1[[#This Row],[Profit]]/Table1[[#This Row],[Sales]])*100</f>
        <v>-1.956521739130435</v>
      </c>
    </row>
    <row r="985" spans="1:12" x14ac:dyDescent="0.3">
      <c r="A985" t="s">
        <v>2547</v>
      </c>
      <c r="B985" s="1">
        <v>43710</v>
      </c>
      <c r="C985" t="s">
        <v>2548</v>
      </c>
      <c r="D985" t="s">
        <v>2549</v>
      </c>
      <c r="E985" t="s">
        <v>14</v>
      </c>
      <c r="F985" t="s">
        <v>23</v>
      </c>
      <c r="G985" t="s">
        <v>16</v>
      </c>
      <c r="H985" t="s">
        <v>1980</v>
      </c>
      <c r="I985" s="2">
        <v>215.976</v>
      </c>
      <c r="J985">
        <v>3</v>
      </c>
      <c r="K985" s="2">
        <v>-2.6997</v>
      </c>
      <c r="L985" s="3">
        <f>(Table1[[#This Row],[Profit]]/Table1[[#This Row],[Sales]])*100</f>
        <v>-1.25</v>
      </c>
    </row>
    <row r="986" spans="1:12" x14ac:dyDescent="0.3">
      <c r="A986" t="s">
        <v>5251</v>
      </c>
      <c r="B986" s="1">
        <v>44076</v>
      </c>
      <c r="C986" t="s">
        <v>1935</v>
      </c>
      <c r="D986" t="s">
        <v>1936</v>
      </c>
      <c r="E986" t="s">
        <v>14</v>
      </c>
      <c r="F986" t="s">
        <v>23</v>
      </c>
      <c r="G986" t="s">
        <v>16</v>
      </c>
      <c r="H986" t="s">
        <v>1980</v>
      </c>
      <c r="I986" s="2">
        <v>236.976</v>
      </c>
      <c r="J986">
        <v>3</v>
      </c>
      <c r="K986" s="2">
        <v>-2.6997</v>
      </c>
      <c r="L986" s="3">
        <f>(Table1[[#This Row],[Profit]]/Table1[[#This Row],[Sales]])*100</f>
        <v>-1.1392292890419284</v>
      </c>
    </row>
    <row r="987" spans="1:12" x14ac:dyDescent="0.3">
      <c r="A987" t="s">
        <v>5826</v>
      </c>
      <c r="B987" s="1">
        <v>44144</v>
      </c>
      <c r="C987" t="s">
        <v>282</v>
      </c>
      <c r="D987" t="s">
        <v>283</v>
      </c>
      <c r="E987" t="s">
        <v>14</v>
      </c>
      <c r="F987" t="s">
        <v>23</v>
      </c>
      <c r="G987" t="s">
        <v>16</v>
      </c>
      <c r="H987" t="s">
        <v>1980</v>
      </c>
      <c r="I987" s="2">
        <v>229.976</v>
      </c>
      <c r="J987">
        <v>3</v>
      </c>
      <c r="K987" s="2">
        <v>-2.6997</v>
      </c>
      <c r="L987" s="3">
        <f>(Table1[[#This Row],[Profit]]/Table1[[#This Row],[Sales]])*100</f>
        <v>-1.1739051031411973</v>
      </c>
    </row>
    <row r="988" spans="1:12" x14ac:dyDescent="0.3">
      <c r="A988" t="s">
        <v>360</v>
      </c>
      <c r="B988" s="1">
        <v>43512</v>
      </c>
      <c r="C988" t="s">
        <v>361</v>
      </c>
      <c r="D988" t="s">
        <v>362</v>
      </c>
      <c r="E988" t="s">
        <v>14</v>
      </c>
      <c r="F988" t="s">
        <v>29</v>
      </c>
      <c r="G988" t="s">
        <v>16</v>
      </c>
      <c r="H988" t="s">
        <v>364</v>
      </c>
      <c r="I988" s="2">
        <v>62.957999999999998</v>
      </c>
      <c r="J988">
        <v>3</v>
      </c>
      <c r="K988" s="2">
        <v>-2.6981999999999999</v>
      </c>
      <c r="L988" s="3">
        <f>(Table1[[#This Row],[Profit]]/Table1[[#This Row],[Sales]])*100</f>
        <v>-4.2857142857142856</v>
      </c>
    </row>
    <row r="989" spans="1:12" x14ac:dyDescent="0.3">
      <c r="A989" t="s">
        <v>6094</v>
      </c>
      <c r="B989" s="1">
        <v>44169</v>
      </c>
      <c r="C989" t="s">
        <v>1702</v>
      </c>
      <c r="D989" t="s">
        <v>1703</v>
      </c>
      <c r="E989" t="s">
        <v>14</v>
      </c>
      <c r="F989" t="s">
        <v>15</v>
      </c>
      <c r="G989" t="s">
        <v>16</v>
      </c>
      <c r="H989" t="s">
        <v>6095</v>
      </c>
      <c r="I989" s="2">
        <v>213.55199999999999</v>
      </c>
      <c r="J989">
        <v>7</v>
      </c>
      <c r="K989" s="2">
        <v>-2.6936</v>
      </c>
      <c r="L989" s="3">
        <f>(Table1[[#This Row],[Profit]]/Table1[[#This Row],[Sales]])*100</f>
        <v>-1.2613321345620738</v>
      </c>
    </row>
    <row r="990" spans="1:12" x14ac:dyDescent="0.3">
      <c r="A990" t="s">
        <v>4116</v>
      </c>
      <c r="B990" s="1">
        <v>43870</v>
      </c>
      <c r="C990" t="s">
        <v>2485</v>
      </c>
      <c r="D990" t="s">
        <v>2486</v>
      </c>
      <c r="E990" t="s">
        <v>14</v>
      </c>
      <c r="F990" t="s">
        <v>29</v>
      </c>
      <c r="G990" t="s">
        <v>16</v>
      </c>
      <c r="H990" t="s">
        <v>1031</v>
      </c>
      <c r="I990" s="2">
        <v>122.98399999999999</v>
      </c>
      <c r="J990">
        <v>2</v>
      </c>
      <c r="K990" s="2">
        <v>-2.6892</v>
      </c>
      <c r="L990" s="3">
        <f>(Table1[[#This Row],[Profit]]/Table1[[#This Row],[Sales]])*100</f>
        <v>-2.1866259025564303</v>
      </c>
    </row>
    <row r="991" spans="1:12" x14ac:dyDescent="0.3">
      <c r="A991" t="s">
        <v>6289</v>
      </c>
      <c r="B991" s="1">
        <v>44193</v>
      </c>
      <c r="C991" t="s">
        <v>4730</v>
      </c>
      <c r="D991" t="s">
        <v>4731</v>
      </c>
      <c r="E991" t="s">
        <v>14</v>
      </c>
      <c r="F991" t="s">
        <v>29</v>
      </c>
      <c r="G991" t="s">
        <v>24</v>
      </c>
      <c r="H991" t="s">
        <v>1250</v>
      </c>
      <c r="I991" s="2">
        <v>398.68</v>
      </c>
      <c r="J991">
        <v>5</v>
      </c>
      <c r="K991" s="2">
        <v>-2.6880000000000002</v>
      </c>
      <c r="L991" s="3">
        <f>(Table1[[#This Row],[Profit]]/Table1[[#This Row],[Sales]])*100</f>
        <v>-0.67422494230962171</v>
      </c>
    </row>
    <row r="992" spans="1:12" x14ac:dyDescent="0.3">
      <c r="A992" t="s">
        <v>224</v>
      </c>
      <c r="B992" s="1">
        <v>43495</v>
      </c>
      <c r="C992" t="s">
        <v>225</v>
      </c>
      <c r="D992" t="s">
        <v>226</v>
      </c>
      <c r="E992" t="s">
        <v>14</v>
      </c>
      <c r="F992" t="s">
        <v>29</v>
      </c>
      <c r="G992" t="s">
        <v>24</v>
      </c>
      <c r="H992" t="s">
        <v>228</v>
      </c>
      <c r="I992" s="2">
        <v>1.728</v>
      </c>
      <c r="J992">
        <v>3</v>
      </c>
      <c r="K992" s="2">
        <v>-2.6783999999999999</v>
      </c>
      <c r="L992" s="3">
        <f>(Table1[[#This Row],[Profit]]/Table1[[#This Row],[Sales]])*100</f>
        <v>-155</v>
      </c>
    </row>
    <row r="993" spans="1:12" x14ac:dyDescent="0.3">
      <c r="A993" t="s">
        <v>1725</v>
      </c>
      <c r="B993" s="1">
        <v>43628</v>
      </c>
      <c r="C993" t="s">
        <v>1726</v>
      </c>
      <c r="D993" t="s">
        <v>1727</v>
      </c>
      <c r="E993" t="s">
        <v>14</v>
      </c>
      <c r="F993" t="s">
        <v>29</v>
      </c>
      <c r="G993" t="s">
        <v>24</v>
      </c>
      <c r="H993" t="s">
        <v>1734</v>
      </c>
      <c r="I993" s="2">
        <v>1.524</v>
      </c>
      <c r="J993">
        <v>2</v>
      </c>
      <c r="K993" s="2">
        <v>-2.6669999999999998</v>
      </c>
      <c r="L993" s="3">
        <f>(Table1[[#This Row],[Profit]]/Table1[[#This Row],[Sales]])*100</f>
        <v>-174.99999999999997</v>
      </c>
    </row>
    <row r="994" spans="1:12" x14ac:dyDescent="0.3">
      <c r="A994" t="s">
        <v>4750</v>
      </c>
      <c r="B994" s="1">
        <v>43983</v>
      </c>
      <c r="C994" t="s">
        <v>4132</v>
      </c>
      <c r="D994" t="s">
        <v>4133</v>
      </c>
      <c r="E994" t="s">
        <v>14</v>
      </c>
      <c r="F994" t="s">
        <v>15</v>
      </c>
      <c r="G994" t="s">
        <v>24</v>
      </c>
      <c r="H994" t="s">
        <v>1458</v>
      </c>
      <c r="I994" s="2">
        <v>108.798</v>
      </c>
      <c r="J994">
        <v>2</v>
      </c>
      <c r="K994" s="2">
        <v>-2.6585999999999999</v>
      </c>
      <c r="L994" s="3">
        <f>(Table1[[#This Row],[Profit]]/Table1[[#This Row],[Sales]])*100</f>
        <v>-2.4436110957922019</v>
      </c>
    </row>
    <row r="995" spans="1:12" x14ac:dyDescent="0.3">
      <c r="A995" t="s">
        <v>2392</v>
      </c>
      <c r="B995" s="1">
        <v>43699</v>
      </c>
      <c r="C995" t="s">
        <v>1718</v>
      </c>
      <c r="D995" t="s">
        <v>1719</v>
      </c>
      <c r="E995" t="s">
        <v>14</v>
      </c>
      <c r="F995" t="s">
        <v>15</v>
      </c>
      <c r="G995" t="s">
        <v>24</v>
      </c>
      <c r="H995" t="s">
        <v>2394</v>
      </c>
      <c r="I995" s="2">
        <v>3.3180000000000001</v>
      </c>
      <c r="J995">
        <v>2</v>
      </c>
      <c r="K995" s="2">
        <v>-2.6543999999999999</v>
      </c>
      <c r="L995" s="3">
        <f>(Table1[[#This Row],[Profit]]/Table1[[#This Row],[Sales]])*100</f>
        <v>-80</v>
      </c>
    </row>
    <row r="996" spans="1:12" x14ac:dyDescent="0.3">
      <c r="A996" t="s">
        <v>4700</v>
      </c>
      <c r="B996" s="1">
        <v>43973</v>
      </c>
      <c r="C996" t="s">
        <v>1416</v>
      </c>
      <c r="D996" t="s">
        <v>1417</v>
      </c>
      <c r="E996" t="s">
        <v>14</v>
      </c>
      <c r="F996" t="s">
        <v>29</v>
      </c>
      <c r="G996" t="s">
        <v>24</v>
      </c>
      <c r="H996" t="s">
        <v>339</v>
      </c>
      <c r="I996" s="2">
        <v>96.591999999999999</v>
      </c>
      <c r="J996">
        <v>2</v>
      </c>
      <c r="K996" s="2">
        <v>-2.6267999999999998</v>
      </c>
      <c r="L996" s="3">
        <f>(Table1[[#This Row],[Profit]]/Table1[[#This Row],[Sales]])*100</f>
        <v>-2.7194798741096569</v>
      </c>
    </row>
    <row r="997" spans="1:12" x14ac:dyDescent="0.3">
      <c r="A997" t="s">
        <v>1558</v>
      </c>
      <c r="B997" s="1">
        <v>43615</v>
      </c>
      <c r="C997" t="s">
        <v>1559</v>
      </c>
      <c r="D997" t="s">
        <v>1560</v>
      </c>
      <c r="E997" t="s">
        <v>14</v>
      </c>
      <c r="F997" t="s">
        <v>41</v>
      </c>
      <c r="G997" t="s">
        <v>24</v>
      </c>
      <c r="H997" t="s">
        <v>1561</v>
      </c>
      <c r="I997" s="2">
        <v>3.282</v>
      </c>
      <c r="J997">
        <v>2</v>
      </c>
      <c r="K997" s="2">
        <v>-2.6255999999999999</v>
      </c>
      <c r="L997" s="3">
        <f>(Table1[[#This Row],[Profit]]/Table1[[#This Row],[Sales]])*100</f>
        <v>-80</v>
      </c>
    </row>
    <row r="998" spans="1:12" x14ac:dyDescent="0.3">
      <c r="A998" t="s">
        <v>3589</v>
      </c>
      <c r="B998" s="1">
        <v>43795</v>
      </c>
      <c r="C998" t="s">
        <v>3184</v>
      </c>
      <c r="D998" t="s">
        <v>3185</v>
      </c>
      <c r="E998" t="s">
        <v>14</v>
      </c>
      <c r="F998" t="s">
        <v>41</v>
      </c>
      <c r="G998" t="s">
        <v>24</v>
      </c>
      <c r="H998" t="s">
        <v>1943</v>
      </c>
      <c r="I998" s="2">
        <v>3.7440000000000002</v>
      </c>
      <c r="J998">
        <v>4</v>
      </c>
      <c r="K998" s="2">
        <v>-2.6208</v>
      </c>
      <c r="L998" s="3">
        <f>(Table1[[#This Row],[Profit]]/Table1[[#This Row],[Sales]])*100</f>
        <v>-70</v>
      </c>
    </row>
    <row r="999" spans="1:12" x14ac:dyDescent="0.3">
      <c r="A999" t="s">
        <v>6282</v>
      </c>
      <c r="B999" s="1">
        <v>44191</v>
      </c>
      <c r="C999" t="s">
        <v>2114</v>
      </c>
      <c r="D999" t="s">
        <v>2115</v>
      </c>
      <c r="E999" t="s">
        <v>14</v>
      </c>
      <c r="F999" t="s">
        <v>15</v>
      </c>
      <c r="G999" t="s">
        <v>24</v>
      </c>
      <c r="H999" t="s">
        <v>3267</v>
      </c>
      <c r="I999" s="2">
        <v>308.13200000000001</v>
      </c>
      <c r="J999">
        <v>2</v>
      </c>
      <c r="K999" s="2">
        <v>-2.61</v>
      </c>
      <c r="L999" s="3">
        <f>(Table1[[#This Row],[Profit]]/Table1[[#This Row],[Sales]])*100</f>
        <v>-0.84703958043955174</v>
      </c>
    </row>
    <row r="1000" spans="1:12" x14ac:dyDescent="0.3">
      <c r="A1000" t="s">
        <v>4104</v>
      </c>
      <c r="B1000" s="1">
        <v>43864</v>
      </c>
      <c r="C1000" t="s">
        <v>2937</v>
      </c>
      <c r="D1000" t="s">
        <v>2938</v>
      </c>
      <c r="E1000" t="s">
        <v>14</v>
      </c>
      <c r="F1000" t="s">
        <v>41</v>
      </c>
      <c r="G1000" t="s">
        <v>24</v>
      </c>
      <c r="H1000" t="s">
        <v>1382</v>
      </c>
      <c r="I1000" s="2">
        <v>118.88200000000001</v>
      </c>
      <c r="J1000">
        <v>2</v>
      </c>
      <c r="K1000" s="2">
        <v>-2.5880000000000001</v>
      </c>
      <c r="L1000" s="3">
        <f>(Table1[[#This Row],[Profit]]/Table1[[#This Row],[Sales]])*100</f>
        <v>-2.1769485708517688</v>
      </c>
    </row>
    <row r="1001" spans="1:12" x14ac:dyDescent="0.3">
      <c r="A1001" t="s">
        <v>5387</v>
      </c>
      <c r="B1001" s="1">
        <v>44088</v>
      </c>
      <c r="C1001" t="s">
        <v>558</v>
      </c>
      <c r="D1001" t="s">
        <v>559</v>
      </c>
      <c r="E1001" t="s">
        <v>14</v>
      </c>
      <c r="F1001" t="s">
        <v>15</v>
      </c>
      <c r="G1001" t="s">
        <v>24</v>
      </c>
      <c r="H1001" t="s">
        <v>1382</v>
      </c>
      <c r="I1001" s="2">
        <v>68.882000000000005</v>
      </c>
      <c r="J1001">
        <v>2</v>
      </c>
      <c r="K1001" s="2">
        <v>-2.5880000000000001</v>
      </c>
      <c r="L1001" s="3">
        <f>(Table1[[#This Row],[Profit]]/Table1[[#This Row],[Sales]])*100</f>
        <v>-3.7571499085392408</v>
      </c>
    </row>
    <row r="1002" spans="1:12" x14ac:dyDescent="0.3">
      <c r="A1002" t="s">
        <v>4766</v>
      </c>
      <c r="B1002" s="1">
        <v>43985</v>
      </c>
      <c r="C1002" t="s">
        <v>1214</v>
      </c>
      <c r="D1002" t="s">
        <v>1215</v>
      </c>
      <c r="E1002" t="s">
        <v>14</v>
      </c>
      <c r="F1002" t="s">
        <v>41</v>
      </c>
      <c r="G1002" t="s">
        <v>18</v>
      </c>
      <c r="H1002" t="s">
        <v>767</v>
      </c>
      <c r="I1002" s="2">
        <v>222.99199999999999</v>
      </c>
      <c r="J1002">
        <v>1</v>
      </c>
      <c r="K1002" s="2">
        <v>-2.5749</v>
      </c>
      <c r="L1002" s="3">
        <f>(Table1[[#This Row],[Profit]]/Table1[[#This Row],[Sales]])*100</f>
        <v>-1.1547051015283061</v>
      </c>
    </row>
    <row r="1003" spans="1:12" x14ac:dyDescent="0.3">
      <c r="A1003" t="s">
        <v>4258</v>
      </c>
      <c r="B1003" s="1">
        <v>43903</v>
      </c>
      <c r="C1003" t="s">
        <v>1935</v>
      </c>
      <c r="D1003" t="s">
        <v>1936</v>
      </c>
      <c r="E1003" t="s">
        <v>14</v>
      </c>
      <c r="F1003" t="s">
        <v>29</v>
      </c>
      <c r="G1003" t="s">
        <v>16</v>
      </c>
      <c r="H1003" t="s">
        <v>3085</v>
      </c>
      <c r="I1003" s="2">
        <v>139.768</v>
      </c>
      <c r="J1003">
        <v>1</v>
      </c>
      <c r="K1003" s="2">
        <v>-2.5648</v>
      </c>
      <c r="L1003" s="3">
        <f>(Table1[[#This Row],[Profit]]/Table1[[#This Row],[Sales]])*100</f>
        <v>-1.8350409249613644</v>
      </c>
    </row>
    <row r="1004" spans="1:12" x14ac:dyDescent="0.3">
      <c r="A1004" t="s">
        <v>5686</v>
      </c>
      <c r="B1004" s="1">
        <v>44126</v>
      </c>
      <c r="C1004" t="s">
        <v>2837</v>
      </c>
      <c r="D1004" t="s">
        <v>2838</v>
      </c>
      <c r="E1004" t="s">
        <v>14</v>
      </c>
      <c r="F1004" t="s">
        <v>23</v>
      </c>
      <c r="G1004" t="s">
        <v>24</v>
      </c>
      <c r="H1004" t="s">
        <v>948</v>
      </c>
      <c r="I1004" s="2">
        <v>84.168000000000006</v>
      </c>
      <c r="J1004">
        <v>4</v>
      </c>
      <c r="K1004" s="2">
        <v>-2.5344000000000002</v>
      </c>
      <c r="L1004" s="3">
        <f>(Table1[[#This Row],[Profit]]/Table1[[#This Row],[Sales]])*100</f>
        <v>-3.0111206159110351</v>
      </c>
    </row>
    <row r="1005" spans="1:12" x14ac:dyDescent="0.3">
      <c r="A1005" t="s">
        <v>5444</v>
      </c>
      <c r="B1005" s="1">
        <v>44093</v>
      </c>
      <c r="C1005" t="s">
        <v>257</v>
      </c>
      <c r="D1005" t="s">
        <v>258</v>
      </c>
      <c r="E1005" t="s">
        <v>14</v>
      </c>
      <c r="F1005" t="s">
        <v>23</v>
      </c>
      <c r="G1005" t="s">
        <v>24</v>
      </c>
      <c r="H1005" t="s">
        <v>1210</v>
      </c>
      <c r="I1005" s="2">
        <v>135.624</v>
      </c>
      <c r="J1005">
        <v>2</v>
      </c>
      <c r="K1005" s="2">
        <v>-2.5247999999999999</v>
      </c>
      <c r="L1005" s="3">
        <f>(Table1[[#This Row],[Profit]]/Table1[[#This Row],[Sales]])*100</f>
        <v>-1.8616174128472835</v>
      </c>
    </row>
    <row r="1006" spans="1:12" x14ac:dyDescent="0.3">
      <c r="A1006" t="s">
        <v>5733</v>
      </c>
      <c r="B1006" s="1">
        <v>44134</v>
      </c>
      <c r="C1006" t="s">
        <v>3034</v>
      </c>
      <c r="D1006" t="s">
        <v>3035</v>
      </c>
      <c r="E1006" t="s">
        <v>14</v>
      </c>
      <c r="F1006" t="s">
        <v>15</v>
      </c>
      <c r="G1006" t="s">
        <v>24</v>
      </c>
      <c r="H1006" t="s">
        <v>1966</v>
      </c>
      <c r="I1006" s="2">
        <v>109.16800000000001</v>
      </c>
      <c r="J1006">
        <v>2</v>
      </c>
      <c r="K1006" s="2">
        <v>-2.5127999999999999</v>
      </c>
      <c r="L1006" s="3">
        <f>(Table1[[#This Row],[Profit]]/Table1[[#This Row],[Sales]])*100</f>
        <v>-2.3017734134544918</v>
      </c>
    </row>
    <row r="1007" spans="1:12" x14ac:dyDescent="0.3">
      <c r="A1007" t="s">
        <v>6154</v>
      </c>
      <c r="B1007" s="1">
        <v>44175</v>
      </c>
      <c r="C1007" t="s">
        <v>118</v>
      </c>
      <c r="D1007" t="s">
        <v>119</v>
      </c>
      <c r="E1007" t="s">
        <v>14</v>
      </c>
      <c r="F1007" t="s">
        <v>15</v>
      </c>
      <c r="G1007" t="s">
        <v>24</v>
      </c>
      <c r="H1007" t="s">
        <v>208</v>
      </c>
      <c r="I1007" s="2">
        <v>443.27300000000002</v>
      </c>
      <c r="J1007">
        <v>1</v>
      </c>
      <c r="K1007" s="2">
        <v>-2.5093000000000001</v>
      </c>
      <c r="L1007" s="3">
        <f>(Table1[[#This Row],[Profit]]/Table1[[#This Row],[Sales]])*100</f>
        <v>-0.56608455737209351</v>
      </c>
    </row>
    <row r="1008" spans="1:12" x14ac:dyDescent="0.3">
      <c r="A1008" t="s">
        <v>3735</v>
      </c>
      <c r="B1008" s="1">
        <v>43807</v>
      </c>
      <c r="C1008" t="s">
        <v>1805</v>
      </c>
      <c r="D1008" t="s">
        <v>1806</v>
      </c>
      <c r="E1008" t="s">
        <v>14</v>
      </c>
      <c r="F1008" t="s">
        <v>41</v>
      </c>
      <c r="G1008" t="s">
        <v>18</v>
      </c>
      <c r="H1008" t="s">
        <v>1822</v>
      </c>
      <c r="I1008" s="2">
        <v>16.559999999999999</v>
      </c>
      <c r="J1008">
        <v>3</v>
      </c>
      <c r="K1008" s="2">
        <v>-2.484</v>
      </c>
      <c r="L1008" s="3">
        <f>(Table1[[#This Row],[Profit]]/Table1[[#This Row],[Sales]])*100</f>
        <v>-15.000000000000002</v>
      </c>
    </row>
    <row r="1009" spans="1:12" x14ac:dyDescent="0.3">
      <c r="A1009" t="s">
        <v>2651</v>
      </c>
      <c r="B1009" s="1">
        <v>43714</v>
      </c>
      <c r="C1009" t="s">
        <v>2652</v>
      </c>
      <c r="D1009" t="s">
        <v>2653</v>
      </c>
      <c r="E1009" t="s">
        <v>14</v>
      </c>
      <c r="F1009" t="s">
        <v>41</v>
      </c>
      <c r="G1009" t="s">
        <v>24</v>
      </c>
      <c r="H1009" t="s">
        <v>2028</v>
      </c>
      <c r="I1009" s="2">
        <v>3.2040000000000002</v>
      </c>
      <c r="J1009">
        <v>2</v>
      </c>
      <c r="K1009" s="2">
        <v>-2.4563999999999999</v>
      </c>
      <c r="L1009" s="3">
        <f>(Table1[[#This Row],[Profit]]/Table1[[#This Row],[Sales]])*100</f>
        <v>-76.666666666666657</v>
      </c>
    </row>
    <row r="1010" spans="1:12" x14ac:dyDescent="0.3">
      <c r="A1010" t="s">
        <v>3336</v>
      </c>
      <c r="B1010" s="1">
        <v>43779</v>
      </c>
      <c r="C1010" t="s">
        <v>3337</v>
      </c>
      <c r="D1010" t="s">
        <v>3338</v>
      </c>
      <c r="E1010" t="s">
        <v>14</v>
      </c>
      <c r="F1010" t="s">
        <v>15</v>
      </c>
      <c r="G1010" t="s">
        <v>24</v>
      </c>
      <c r="H1010" t="s">
        <v>512</v>
      </c>
      <c r="I1010" s="2">
        <v>38.975999999999999</v>
      </c>
      <c r="J1010">
        <v>3</v>
      </c>
      <c r="K1010" s="2">
        <v>-2.4359999999999999</v>
      </c>
      <c r="L1010" s="3">
        <f>(Table1[[#This Row],[Profit]]/Table1[[#This Row],[Sales]])*100</f>
        <v>-6.25</v>
      </c>
    </row>
    <row r="1011" spans="1:12" x14ac:dyDescent="0.3">
      <c r="A1011" t="s">
        <v>6289</v>
      </c>
      <c r="B1011" s="1">
        <v>44193</v>
      </c>
      <c r="C1011" t="s">
        <v>4730</v>
      </c>
      <c r="D1011" t="s">
        <v>4731</v>
      </c>
      <c r="E1011" t="s">
        <v>14</v>
      </c>
      <c r="F1011" t="s">
        <v>29</v>
      </c>
      <c r="G1011" t="s">
        <v>16</v>
      </c>
      <c r="H1011" t="s">
        <v>2856</v>
      </c>
      <c r="I1011" s="2">
        <v>1302.9680000000001</v>
      </c>
      <c r="J1011">
        <v>3</v>
      </c>
      <c r="K1011" s="2">
        <v>-2.3904000000000001</v>
      </c>
      <c r="L1011" s="3">
        <f>(Table1[[#This Row],[Profit]]/Table1[[#This Row],[Sales]])*100</f>
        <v>-0.18345807418140736</v>
      </c>
    </row>
    <row r="1012" spans="1:12" x14ac:dyDescent="0.3">
      <c r="A1012" t="s">
        <v>2496</v>
      </c>
      <c r="B1012" s="1">
        <v>43706</v>
      </c>
      <c r="C1012" t="s">
        <v>1288</v>
      </c>
      <c r="D1012" t="s">
        <v>1289</v>
      </c>
      <c r="E1012" t="s">
        <v>14</v>
      </c>
      <c r="F1012" t="s">
        <v>15</v>
      </c>
      <c r="G1012" t="s">
        <v>24</v>
      </c>
      <c r="H1012" t="s">
        <v>290</v>
      </c>
      <c r="I1012" s="2">
        <v>10.584</v>
      </c>
      <c r="J1012">
        <v>7</v>
      </c>
      <c r="K1012" s="2">
        <v>-2.3814000000000002</v>
      </c>
      <c r="L1012" s="3">
        <f>(Table1[[#This Row],[Profit]]/Table1[[#This Row],[Sales]])*100</f>
        <v>-22.500000000000004</v>
      </c>
    </row>
    <row r="1013" spans="1:12" x14ac:dyDescent="0.3">
      <c r="A1013" t="s">
        <v>3545</v>
      </c>
      <c r="B1013" s="1">
        <v>43793</v>
      </c>
      <c r="C1013" t="s">
        <v>3546</v>
      </c>
      <c r="D1013" t="s">
        <v>3547</v>
      </c>
      <c r="E1013" t="s">
        <v>14</v>
      </c>
      <c r="F1013" t="s">
        <v>29</v>
      </c>
      <c r="G1013" t="s">
        <v>18</v>
      </c>
      <c r="H1013" t="s">
        <v>3548</v>
      </c>
      <c r="I1013" s="2">
        <v>94.992000000000004</v>
      </c>
      <c r="J1013">
        <v>2</v>
      </c>
      <c r="K1013" s="2">
        <v>-2.3748</v>
      </c>
      <c r="L1013" s="3">
        <f>(Table1[[#This Row],[Profit]]/Table1[[#This Row],[Sales]])*100</f>
        <v>-2.5</v>
      </c>
    </row>
    <row r="1014" spans="1:12" x14ac:dyDescent="0.3">
      <c r="A1014" t="s">
        <v>5335</v>
      </c>
      <c r="B1014" s="1">
        <v>44083</v>
      </c>
      <c r="C1014" t="s">
        <v>3726</v>
      </c>
      <c r="D1014" t="s">
        <v>3727</v>
      </c>
      <c r="E1014" t="s">
        <v>14</v>
      </c>
      <c r="F1014" t="s">
        <v>15</v>
      </c>
      <c r="G1014" t="s">
        <v>24</v>
      </c>
      <c r="H1014" t="s">
        <v>1032</v>
      </c>
      <c r="I1014" s="2">
        <v>94.036000000000001</v>
      </c>
      <c r="J1014">
        <v>2</v>
      </c>
      <c r="K1014" s="2">
        <v>-2.3275999999999999</v>
      </c>
      <c r="L1014" s="3">
        <f>(Table1[[#This Row],[Profit]]/Table1[[#This Row],[Sales]])*100</f>
        <v>-2.4752222553064782</v>
      </c>
    </row>
    <row r="1015" spans="1:12" x14ac:dyDescent="0.3">
      <c r="A1015" t="s">
        <v>5780</v>
      </c>
      <c r="B1015" s="1">
        <v>44139</v>
      </c>
      <c r="C1015" t="s">
        <v>1661</v>
      </c>
      <c r="D1015" t="s">
        <v>1662</v>
      </c>
      <c r="E1015" t="s">
        <v>14</v>
      </c>
      <c r="F1015" t="s">
        <v>29</v>
      </c>
      <c r="G1015" t="s">
        <v>24</v>
      </c>
      <c r="H1015" t="s">
        <v>5781</v>
      </c>
      <c r="I1015" s="2">
        <v>78.408000000000001</v>
      </c>
      <c r="J1015">
        <v>2</v>
      </c>
      <c r="K1015" s="2">
        <v>-2.3231999999999999</v>
      </c>
      <c r="L1015" s="3">
        <f>(Table1[[#This Row],[Profit]]/Table1[[#This Row],[Sales]])*100</f>
        <v>-2.9629629629629628</v>
      </c>
    </row>
    <row r="1016" spans="1:12" x14ac:dyDescent="0.3">
      <c r="A1016" t="s">
        <v>5066</v>
      </c>
      <c r="B1016" s="1">
        <v>44039</v>
      </c>
      <c r="C1016" t="s">
        <v>5067</v>
      </c>
      <c r="D1016" t="s">
        <v>5068</v>
      </c>
      <c r="E1016" t="s">
        <v>14</v>
      </c>
      <c r="F1016" t="s">
        <v>41</v>
      </c>
      <c r="G1016" t="s">
        <v>16</v>
      </c>
      <c r="H1016" t="s">
        <v>1181</v>
      </c>
      <c r="I1016" s="2">
        <v>131.03200000000001</v>
      </c>
      <c r="J1016">
        <v>3</v>
      </c>
      <c r="K1016" s="2">
        <v>-2.2757999999999998</v>
      </c>
      <c r="L1016" s="3">
        <f>(Table1[[#This Row],[Profit]]/Table1[[#This Row],[Sales]])*100</f>
        <v>-1.7368276451553817</v>
      </c>
    </row>
    <row r="1017" spans="1:12" x14ac:dyDescent="0.3">
      <c r="A1017" t="s">
        <v>4963</v>
      </c>
      <c r="B1017" s="1">
        <v>44018</v>
      </c>
      <c r="C1017" t="s">
        <v>3649</v>
      </c>
      <c r="D1017" t="s">
        <v>3650</v>
      </c>
      <c r="E1017" t="s">
        <v>14</v>
      </c>
      <c r="F1017" t="s">
        <v>15</v>
      </c>
      <c r="G1017" t="s">
        <v>24</v>
      </c>
      <c r="H1017" t="s">
        <v>1453</v>
      </c>
      <c r="I1017" s="2">
        <v>74.945999999999998</v>
      </c>
      <c r="J1017">
        <v>2</v>
      </c>
      <c r="K1017" s="2">
        <v>-2.2585999999999999</v>
      </c>
      <c r="L1017" s="3">
        <f>(Table1[[#This Row],[Profit]]/Table1[[#This Row],[Sales]])*100</f>
        <v>-3.0136364849358204</v>
      </c>
    </row>
    <row r="1018" spans="1:12" x14ac:dyDescent="0.3">
      <c r="A1018" t="s">
        <v>1438</v>
      </c>
      <c r="B1018" s="1">
        <v>43605</v>
      </c>
      <c r="C1018" t="s">
        <v>774</v>
      </c>
      <c r="D1018" t="s">
        <v>775</v>
      </c>
      <c r="E1018" t="s">
        <v>14</v>
      </c>
      <c r="F1018" t="s">
        <v>41</v>
      </c>
      <c r="G1018" t="s">
        <v>24</v>
      </c>
      <c r="H1018" t="s">
        <v>845</v>
      </c>
      <c r="I1018" s="2">
        <v>2.694</v>
      </c>
      <c r="J1018">
        <v>2</v>
      </c>
      <c r="K1018" s="2">
        <v>-2.2450000000000001</v>
      </c>
      <c r="L1018" s="3">
        <f>(Table1[[#This Row],[Profit]]/Table1[[#This Row],[Sales]])*100</f>
        <v>-83.333333333333343</v>
      </c>
    </row>
    <row r="1019" spans="1:12" x14ac:dyDescent="0.3">
      <c r="A1019" t="s">
        <v>1156</v>
      </c>
      <c r="B1019" s="1">
        <v>43579</v>
      </c>
      <c r="C1019" t="s">
        <v>1157</v>
      </c>
      <c r="D1019" t="s">
        <v>1158</v>
      </c>
      <c r="E1019" t="s">
        <v>14</v>
      </c>
      <c r="F1019" t="s">
        <v>23</v>
      </c>
      <c r="G1019" t="s">
        <v>24</v>
      </c>
      <c r="H1019" t="s">
        <v>1160</v>
      </c>
      <c r="I1019" s="2">
        <v>3.1080000000000001</v>
      </c>
      <c r="J1019">
        <v>2</v>
      </c>
      <c r="K1019" s="2">
        <v>-2.1756000000000002</v>
      </c>
      <c r="L1019" s="3">
        <f>(Table1[[#This Row],[Profit]]/Table1[[#This Row],[Sales]])*100</f>
        <v>-70</v>
      </c>
    </row>
    <row r="1020" spans="1:12" x14ac:dyDescent="0.3">
      <c r="A1020" t="s">
        <v>1399</v>
      </c>
      <c r="B1020" s="1">
        <v>43602</v>
      </c>
      <c r="C1020" t="s">
        <v>1400</v>
      </c>
      <c r="D1020" t="s">
        <v>1401</v>
      </c>
      <c r="E1020" t="s">
        <v>14</v>
      </c>
      <c r="F1020" t="s">
        <v>41</v>
      </c>
      <c r="G1020" t="s">
        <v>24</v>
      </c>
      <c r="H1020" t="s">
        <v>546</v>
      </c>
      <c r="I1020" s="2">
        <v>2.952</v>
      </c>
      <c r="J1020">
        <v>2</v>
      </c>
      <c r="K1020" s="2">
        <v>-2.1648000000000001</v>
      </c>
      <c r="L1020" s="3">
        <f>(Table1[[#This Row],[Profit]]/Table1[[#This Row],[Sales]])*100</f>
        <v>-73.333333333333343</v>
      </c>
    </row>
    <row r="1021" spans="1:12" x14ac:dyDescent="0.3">
      <c r="A1021" t="s">
        <v>620</v>
      </c>
      <c r="B1021" s="1">
        <v>43537</v>
      </c>
      <c r="C1021" t="s">
        <v>621</v>
      </c>
      <c r="D1021" t="s">
        <v>622</v>
      </c>
      <c r="E1021" t="s">
        <v>14</v>
      </c>
      <c r="F1021" t="s">
        <v>29</v>
      </c>
      <c r="G1021" t="s">
        <v>24</v>
      </c>
      <c r="H1021" t="s">
        <v>624</v>
      </c>
      <c r="I1021" s="2">
        <v>1.272</v>
      </c>
      <c r="J1021">
        <v>2</v>
      </c>
      <c r="K1021" s="2">
        <v>-2.1623999999999999</v>
      </c>
      <c r="L1021" s="3">
        <f>(Table1[[#This Row],[Profit]]/Table1[[#This Row],[Sales]])*100</f>
        <v>-170</v>
      </c>
    </row>
    <row r="1022" spans="1:12" x14ac:dyDescent="0.3">
      <c r="A1022" t="s">
        <v>1685</v>
      </c>
      <c r="B1022" s="1">
        <v>43627</v>
      </c>
      <c r="C1022" t="s">
        <v>1686</v>
      </c>
      <c r="D1022" t="s">
        <v>1687</v>
      </c>
      <c r="E1022" t="s">
        <v>14</v>
      </c>
      <c r="F1022" t="s">
        <v>29</v>
      </c>
      <c r="G1022" t="s">
        <v>24</v>
      </c>
      <c r="H1022" t="s">
        <v>1250</v>
      </c>
      <c r="I1022" s="2">
        <v>1.3440000000000001</v>
      </c>
      <c r="J1022">
        <v>4</v>
      </c>
      <c r="K1022" s="2">
        <v>-2.1503999999999999</v>
      </c>
      <c r="L1022" s="3">
        <f>(Table1[[#This Row],[Profit]]/Table1[[#This Row],[Sales]])*100</f>
        <v>-160</v>
      </c>
    </row>
    <row r="1023" spans="1:12" x14ac:dyDescent="0.3">
      <c r="A1023" t="s">
        <v>2369</v>
      </c>
      <c r="B1023" s="1">
        <v>43695</v>
      </c>
      <c r="C1023" t="s">
        <v>2370</v>
      </c>
      <c r="D1023" t="s">
        <v>2371</v>
      </c>
      <c r="E1023" t="s">
        <v>14</v>
      </c>
      <c r="F1023" t="s">
        <v>29</v>
      </c>
      <c r="G1023" t="s">
        <v>16</v>
      </c>
      <c r="H1023" t="s">
        <v>1349</v>
      </c>
      <c r="I1023" s="2">
        <v>5.3440000000000003</v>
      </c>
      <c r="J1023">
        <v>4</v>
      </c>
      <c r="K1023" s="2">
        <v>-2.1375999999999999</v>
      </c>
      <c r="L1023" s="3">
        <f>(Table1[[#This Row],[Profit]]/Table1[[#This Row],[Sales]])*100</f>
        <v>-40</v>
      </c>
    </row>
    <row r="1024" spans="1:12" x14ac:dyDescent="0.3">
      <c r="A1024" t="s">
        <v>5160</v>
      </c>
      <c r="B1024" s="1">
        <v>44060</v>
      </c>
      <c r="C1024" t="s">
        <v>3168</v>
      </c>
      <c r="D1024" t="s">
        <v>3169</v>
      </c>
      <c r="E1024" t="s">
        <v>14</v>
      </c>
      <c r="F1024" t="s">
        <v>29</v>
      </c>
      <c r="G1024" t="s">
        <v>16</v>
      </c>
      <c r="H1024" t="s">
        <v>4604</v>
      </c>
      <c r="I1024" s="2">
        <v>164.59200000000001</v>
      </c>
      <c r="J1024">
        <v>4</v>
      </c>
      <c r="K1024" s="2">
        <v>-2.1312000000000002</v>
      </c>
      <c r="L1024" s="3">
        <f>(Table1[[#This Row],[Profit]]/Table1[[#This Row],[Sales]])*100</f>
        <v>-1.294838145231846</v>
      </c>
    </row>
    <row r="1025" spans="1:12" x14ac:dyDescent="0.3">
      <c r="A1025" t="s">
        <v>4893</v>
      </c>
      <c r="B1025" s="1">
        <v>44007</v>
      </c>
      <c r="C1025" t="s">
        <v>2249</v>
      </c>
      <c r="D1025" t="s">
        <v>2250</v>
      </c>
      <c r="E1025" t="s">
        <v>14</v>
      </c>
      <c r="F1025" t="s">
        <v>23</v>
      </c>
      <c r="G1025" t="s">
        <v>24</v>
      </c>
      <c r="H1025" t="s">
        <v>4739</v>
      </c>
      <c r="I1025" s="2">
        <v>123.304</v>
      </c>
      <c r="J1025">
        <v>3</v>
      </c>
      <c r="K1025" s="2">
        <v>-2.1194999999999999</v>
      </c>
      <c r="L1025" s="3">
        <f>(Table1[[#This Row],[Profit]]/Table1[[#This Row],[Sales]])*100</f>
        <v>-1.7189223382858627</v>
      </c>
    </row>
    <row r="1026" spans="1:12" x14ac:dyDescent="0.3">
      <c r="A1026" t="s">
        <v>5693</v>
      </c>
      <c r="B1026" s="1">
        <v>44127</v>
      </c>
      <c r="C1026" t="s">
        <v>5694</v>
      </c>
      <c r="D1026" t="s">
        <v>5695</v>
      </c>
      <c r="E1026" t="s">
        <v>14</v>
      </c>
      <c r="F1026" t="s">
        <v>29</v>
      </c>
      <c r="G1026" t="s">
        <v>18</v>
      </c>
      <c r="H1026" t="s">
        <v>31</v>
      </c>
      <c r="I1026" s="2">
        <v>148.19999999999999</v>
      </c>
      <c r="J1026">
        <v>1</v>
      </c>
      <c r="K1026" s="2">
        <v>-2.0699999999999998</v>
      </c>
      <c r="L1026" s="3">
        <f>(Table1[[#This Row],[Profit]]/Table1[[#This Row],[Sales]])*100</f>
        <v>-1.3967611336032388</v>
      </c>
    </row>
    <row r="1027" spans="1:12" x14ac:dyDescent="0.3">
      <c r="A1027" t="s">
        <v>3747</v>
      </c>
      <c r="B1027" s="1">
        <v>43808</v>
      </c>
      <c r="C1027" t="s">
        <v>769</v>
      </c>
      <c r="D1027" t="s">
        <v>770</v>
      </c>
      <c r="E1027" t="s">
        <v>14</v>
      </c>
      <c r="F1027" t="s">
        <v>41</v>
      </c>
      <c r="G1027" t="s">
        <v>24</v>
      </c>
      <c r="H1027" t="s">
        <v>944</v>
      </c>
      <c r="I1027" s="2">
        <v>2.9460000000000002</v>
      </c>
      <c r="J1027">
        <v>2</v>
      </c>
      <c r="K1027" s="2">
        <v>-2.0621999999999998</v>
      </c>
      <c r="L1027" s="3">
        <f>(Table1[[#This Row],[Profit]]/Table1[[#This Row],[Sales]])*100</f>
        <v>-69.999999999999986</v>
      </c>
    </row>
    <row r="1028" spans="1:12" x14ac:dyDescent="0.3">
      <c r="A1028" t="s">
        <v>3372</v>
      </c>
      <c r="B1028" s="1">
        <v>43780</v>
      </c>
      <c r="C1028" t="s">
        <v>3373</v>
      </c>
      <c r="D1028" t="s">
        <v>3374</v>
      </c>
      <c r="E1028" t="s">
        <v>14</v>
      </c>
      <c r="F1028" t="s">
        <v>29</v>
      </c>
      <c r="G1028" t="s">
        <v>16</v>
      </c>
      <c r="H1028" t="s">
        <v>921</v>
      </c>
      <c r="I1028" s="2">
        <v>47.991999999999997</v>
      </c>
      <c r="J1028">
        <v>2</v>
      </c>
      <c r="K1028" s="2">
        <v>-2.0568</v>
      </c>
      <c r="L1028" s="3">
        <f>(Table1[[#This Row],[Profit]]/Table1[[#This Row],[Sales]])*100</f>
        <v>-4.2857142857142856</v>
      </c>
    </row>
    <row r="1029" spans="1:12" x14ac:dyDescent="0.3">
      <c r="A1029" t="s">
        <v>4612</v>
      </c>
      <c r="B1029" s="1">
        <v>43959</v>
      </c>
      <c r="C1029" t="s">
        <v>2633</v>
      </c>
      <c r="D1029" t="s">
        <v>2634</v>
      </c>
      <c r="E1029" t="s">
        <v>14</v>
      </c>
      <c r="F1029" t="s">
        <v>15</v>
      </c>
      <c r="G1029" t="s">
        <v>16</v>
      </c>
      <c r="H1029" t="s">
        <v>921</v>
      </c>
      <c r="I1029" s="2">
        <v>157.99199999999999</v>
      </c>
      <c r="J1029">
        <v>2</v>
      </c>
      <c r="K1029" s="2">
        <v>-2.0568</v>
      </c>
      <c r="L1029" s="3">
        <f>(Table1[[#This Row],[Profit]]/Table1[[#This Row],[Sales]])*100</f>
        <v>-1.3018380677502659</v>
      </c>
    </row>
    <row r="1030" spans="1:12" x14ac:dyDescent="0.3">
      <c r="A1030" t="s">
        <v>2949</v>
      </c>
      <c r="B1030" s="1">
        <v>43735</v>
      </c>
      <c r="C1030" t="s">
        <v>2950</v>
      </c>
      <c r="D1030" t="s">
        <v>2951</v>
      </c>
      <c r="E1030" t="s">
        <v>14</v>
      </c>
      <c r="F1030" t="s">
        <v>15</v>
      </c>
      <c r="G1030" t="s">
        <v>24</v>
      </c>
      <c r="H1030" t="s">
        <v>1147</v>
      </c>
      <c r="I1030" s="2">
        <v>2.907</v>
      </c>
      <c r="J1030">
        <v>3</v>
      </c>
      <c r="K1030" s="2">
        <v>-2.0348999999999999</v>
      </c>
      <c r="L1030" s="3">
        <f>(Table1[[#This Row],[Profit]]/Table1[[#This Row],[Sales]])*100</f>
        <v>-70</v>
      </c>
    </row>
    <row r="1031" spans="1:12" x14ac:dyDescent="0.3">
      <c r="A1031" t="s">
        <v>3467</v>
      </c>
      <c r="B1031" s="1">
        <v>43788</v>
      </c>
      <c r="C1031" t="s">
        <v>128</v>
      </c>
      <c r="D1031" t="s">
        <v>129</v>
      </c>
      <c r="E1031" t="s">
        <v>14</v>
      </c>
      <c r="F1031" t="s">
        <v>29</v>
      </c>
      <c r="G1031" t="s">
        <v>24</v>
      </c>
      <c r="H1031" t="s">
        <v>1597</v>
      </c>
      <c r="I1031" s="2">
        <v>1.1919999999999999</v>
      </c>
      <c r="J1031">
        <v>2</v>
      </c>
      <c r="K1031" s="2">
        <v>-2.0264000000000002</v>
      </c>
      <c r="L1031" s="3">
        <f>(Table1[[#This Row],[Profit]]/Table1[[#This Row],[Sales]])*100</f>
        <v>-170.00000000000003</v>
      </c>
    </row>
    <row r="1032" spans="1:12" x14ac:dyDescent="0.3">
      <c r="A1032" t="s">
        <v>1192</v>
      </c>
      <c r="B1032" s="1">
        <v>43586</v>
      </c>
      <c r="C1032" t="s">
        <v>950</v>
      </c>
      <c r="D1032" t="s">
        <v>951</v>
      </c>
      <c r="E1032" t="s">
        <v>14</v>
      </c>
      <c r="F1032" t="s">
        <v>41</v>
      </c>
      <c r="G1032" t="s">
        <v>24</v>
      </c>
      <c r="H1032" t="s">
        <v>1195</v>
      </c>
      <c r="I1032" s="2">
        <v>2.742</v>
      </c>
      <c r="J1032">
        <v>2</v>
      </c>
      <c r="K1032" s="2">
        <v>-2.0108000000000001</v>
      </c>
      <c r="L1032" s="3">
        <f>(Table1[[#This Row],[Profit]]/Table1[[#This Row],[Sales]])*100</f>
        <v>-73.333333333333343</v>
      </c>
    </row>
    <row r="1033" spans="1:12" x14ac:dyDescent="0.3">
      <c r="A1033" t="s">
        <v>5337</v>
      </c>
      <c r="B1033" s="1">
        <v>44083</v>
      </c>
      <c r="C1033" t="s">
        <v>4011</v>
      </c>
      <c r="D1033" t="s">
        <v>4012</v>
      </c>
      <c r="E1033" t="s">
        <v>14</v>
      </c>
      <c r="F1033" t="s">
        <v>41</v>
      </c>
      <c r="G1033" t="s">
        <v>24</v>
      </c>
      <c r="H1033" t="s">
        <v>844</v>
      </c>
      <c r="I1033" s="2">
        <v>101.83199999999999</v>
      </c>
      <c r="J1033">
        <v>3</v>
      </c>
      <c r="K1033" s="2">
        <v>-1.9872000000000001</v>
      </c>
      <c r="L1033" s="3">
        <f>(Table1[[#This Row],[Profit]]/Table1[[#This Row],[Sales]])*100</f>
        <v>-1.9514494461465945</v>
      </c>
    </row>
    <row r="1034" spans="1:12" x14ac:dyDescent="0.3">
      <c r="A1034" t="s">
        <v>3948</v>
      </c>
      <c r="B1034" s="1">
        <v>43828</v>
      </c>
      <c r="C1034" t="s">
        <v>3051</v>
      </c>
      <c r="D1034" t="s">
        <v>3052</v>
      </c>
      <c r="E1034" t="s">
        <v>14</v>
      </c>
      <c r="F1034" t="s">
        <v>41</v>
      </c>
      <c r="G1034" t="s">
        <v>24</v>
      </c>
      <c r="H1034" t="s">
        <v>1943</v>
      </c>
      <c r="I1034" s="2">
        <v>2.8079999999999998</v>
      </c>
      <c r="J1034">
        <v>3</v>
      </c>
      <c r="K1034" s="2">
        <v>-1.9656</v>
      </c>
      <c r="L1034" s="3">
        <f>(Table1[[#This Row],[Profit]]/Table1[[#This Row],[Sales]])*100</f>
        <v>-70</v>
      </c>
    </row>
    <row r="1035" spans="1:12" x14ac:dyDescent="0.3">
      <c r="A1035" t="s">
        <v>3994</v>
      </c>
      <c r="B1035" s="1">
        <v>43837</v>
      </c>
      <c r="C1035" t="s">
        <v>3995</v>
      </c>
      <c r="D1035" t="s">
        <v>3996</v>
      </c>
      <c r="E1035" t="s">
        <v>14</v>
      </c>
      <c r="F1035" t="s">
        <v>41</v>
      </c>
      <c r="G1035" t="s">
        <v>24</v>
      </c>
      <c r="H1035" t="s">
        <v>1943</v>
      </c>
      <c r="I1035" s="2">
        <v>93.808000000000007</v>
      </c>
      <c r="J1035">
        <v>3</v>
      </c>
      <c r="K1035" s="2">
        <v>-1.9656</v>
      </c>
      <c r="L1035" s="3">
        <f>(Table1[[#This Row],[Profit]]/Table1[[#This Row],[Sales]])*100</f>
        <v>-2.0953436807095343</v>
      </c>
    </row>
    <row r="1036" spans="1:12" x14ac:dyDescent="0.3">
      <c r="A1036" t="s">
        <v>4706</v>
      </c>
      <c r="B1036" s="1">
        <v>43974</v>
      </c>
      <c r="C1036" t="s">
        <v>1472</v>
      </c>
      <c r="D1036" t="s">
        <v>1473</v>
      </c>
      <c r="E1036" t="s">
        <v>14</v>
      </c>
      <c r="F1036" t="s">
        <v>29</v>
      </c>
      <c r="G1036" t="s">
        <v>24</v>
      </c>
      <c r="H1036" t="s">
        <v>37</v>
      </c>
      <c r="I1036" s="2">
        <v>100.188</v>
      </c>
      <c r="J1036">
        <v>1</v>
      </c>
      <c r="K1036" s="2">
        <v>-1.9601999999999999</v>
      </c>
      <c r="L1036" s="3">
        <f>(Table1[[#This Row],[Profit]]/Table1[[#This Row],[Sales]])*100</f>
        <v>-1.9565217391304346</v>
      </c>
    </row>
    <row r="1037" spans="1:12" x14ac:dyDescent="0.3">
      <c r="A1037" t="s">
        <v>5799</v>
      </c>
      <c r="B1037" s="1">
        <v>44141</v>
      </c>
      <c r="C1037" t="s">
        <v>1480</v>
      </c>
      <c r="D1037" t="s">
        <v>1481</v>
      </c>
      <c r="E1037" t="s">
        <v>14</v>
      </c>
      <c r="F1037" t="s">
        <v>29</v>
      </c>
      <c r="G1037" t="s">
        <v>24</v>
      </c>
      <c r="H1037" t="s">
        <v>1943</v>
      </c>
      <c r="I1037" s="2">
        <v>102.248</v>
      </c>
      <c r="J1037">
        <v>2</v>
      </c>
      <c r="K1037" s="2">
        <v>-1.9343999999999999</v>
      </c>
      <c r="L1037" s="3">
        <f>(Table1[[#This Row],[Profit]]/Table1[[#This Row],[Sales]])*100</f>
        <v>-1.8918707456380561</v>
      </c>
    </row>
    <row r="1038" spans="1:12" x14ac:dyDescent="0.3">
      <c r="A1038" t="s">
        <v>6149</v>
      </c>
      <c r="B1038" s="1">
        <v>44174</v>
      </c>
      <c r="C1038" t="s">
        <v>1635</v>
      </c>
      <c r="D1038" t="s">
        <v>1636</v>
      </c>
      <c r="E1038" t="s">
        <v>14</v>
      </c>
      <c r="F1038" t="s">
        <v>29</v>
      </c>
      <c r="G1038" t="s">
        <v>24</v>
      </c>
      <c r="H1038" t="s">
        <v>4226</v>
      </c>
      <c r="I1038" s="2">
        <v>98.248000000000005</v>
      </c>
      <c r="J1038">
        <v>3</v>
      </c>
      <c r="K1038" s="2">
        <v>-1.9343999999999999</v>
      </c>
      <c r="L1038" s="3">
        <f>(Table1[[#This Row],[Profit]]/Table1[[#This Row],[Sales]])*100</f>
        <v>-1.9688950411204296</v>
      </c>
    </row>
    <row r="1039" spans="1:12" x14ac:dyDescent="0.3">
      <c r="A1039" t="s">
        <v>4582</v>
      </c>
      <c r="B1039" s="1">
        <v>43955</v>
      </c>
      <c r="C1039" t="s">
        <v>3818</v>
      </c>
      <c r="D1039" t="s">
        <v>3819</v>
      </c>
      <c r="E1039" t="s">
        <v>14</v>
      </c>
      <c r="F1039" t="s">
        <v>15</v>
      </c>
      <c r="G1039" t="s">
        <v>24</v>
      </c>
      <c r="H1039" t="s">
        <v>1709</v>
      </c>
      <c r="I1039" s="2">
        <v>87.313000000000002</v>
      </c>
      <c r="J1039">
        <v>1</v>
      </c>
      <c r="K1039" s="2">
        <v>-1.9275</v>
      </c>
      <c r="L1039" s="3">
        <f>(Table1[[#This Row],[Profit]]/Table1[[#This Row],[Sales]])*100</f>
        <v>-2.2075750460985191</v>
      </c>
    </row>
    <row r="1040" spans="1:12" x14ac:dyDescent="0.3">
      <c r="A1040" t="s">
        <v>3483</v>
      </c>
      <c r="B1040" s="1">
        <v>43789</v>
      </c>
      <c r="C1040" t="s">
        <v>3484</v>
      </c>
      <c r="D1040" t="s">
        <v>3485</v>
      </c>
      <c r="E1040" t="s">
        <v>14</v>
      </c>
      <c r="F1040" t="s">
        <v>15</v>
      </c>
      <c r="G1040" t="s">
        <v>24</v>
      </c>
      <c r="H1040" t="s">
        <v>3487</v>
      </c>
      <c r="I1040" s="2">
        <v>2.6280000000000001</v>
      </c>
      <c r="J1040">
        <v>2</v>
      </c>
      <c r="K1040" s="2">
        <v>-1.9272</v>
      </c>
      <c r="L1040" s="3">
        <f>(Table1[[#This Row],[Profit]]/Table1[[#This Row],[Sales]])*100</f>
        <v>-73.333333333333329</v>
      </c>
    </row>
    <row r="1041" spans="1:12" x14ac:dyDescent="0.3">
      <c r="A1041" t="s">
        <v>1553</v>
      </c>
      <c r="B1041" s="1">
        <v>43615</v>
      </c>
      <c r="C1041" t="s">
        <v>1554</v>
      </c>
      <c r="D1041" t="s">
        <v>1555</v>
      </c>
      <c r="E1041" t="s">
        <v>14</v>
      </c>
      <c r="F1041" t="s">
        <v>23</v>
      </c>
      <c r="G1041" t="s">
        <v>24</v>
      </c>
      <c r="H1041" t="s">
        <v>948</v>
      </c>
      <c r="I1041" s="2">
        <v>2.3759999999999999</v>
      </c>
      <c r="J1041">
        <v>3</v>
      </c>
      <c r="K1041" s="2">
        <v>-1.9008</v>
      </c>
      <c r="L1041" s="3">
        <f>(Table1[[#This Row],[Profit]]/Table1[[#This Row],[Sales]])*100</f>
        <v>-80</v>
      </c>
    </row>
    <row r="1042" spans="1:12" x14ac:dyDescent="0.3">
      <c r="A1042" t="s">
        <v>5520</v>
      </c>
      <c r="B1042" s="1">
        <v>44102</v>
      </c>
      <c r="C1042" t="s">
        <v>3229</v>
      </c>
      <c r="D1042" t="s">
        <v>3230</v>
      </c>
      <c r="E1042" t="s">
        <v>14</v>
      </c>
      <c r="F1042" t="s">
        <v>15</v>
      </c>
      <c r="G1042" t="s">
        <v>24</v>
      </c>
      <c r="H1042" t="s">
        <v>2032</v>
      </c>
      <c r="I1042" s="2">
        <v>97.655000000000001</v>
      </c>
      <c r="J1042">
        <v>1</v>
      </c>
      <c r="K1042" s="2">
        <v>-1.8585</v>
      </c>
      <c r="L1042" s="3">
        <f>(Table1[[#This Row],[Profit]]/Table1[[#This Row],[Sales]])*100</f>
        <v>-1.9031283600430087</v>
      </c>
    </row>
    <row r="1043" spans="1:12" x14ac:dyDescent="0.3">
      <c r="A1043" t="s">
        <v>4009</v>
      </c>
      <c r="B1043" s="1">
        <v>43844</v>
      </c>
      <c r="C1043" t="s">
        <v>460</v>
      </c>
      <c r="D1043" t="s">
        <v>461</v>
      </c>
      <c r="E1043" t="s">
        <v>14</v>
      </c>
      <c r="F1043" t="s">
        <v>41</v>
      </c>
      <c r="G1043" t="s">
        <v>24</v>
      </c>
      <c r="H1043" t="s">
        <v>409</v>
      </c>
      <c r="I1043" s="2">
        <v>101.508</v>
      </c>
      <c r="J1043">
        <v>2</v>
      </c>
      <c r="K1043" s="2">
        <v>-1.8391999999999999</v>
      </c>
      <c r="L1043" s="3">
        <f>(Table1[[#This Row],[Profit]]/Table1[[#This Row],[Sales]])*100</f>
        <v>-1.811876896402254</v>
      </c>
    </row>
    <row r="1044" spans="1:12" x14ac:dyDescent="0.3">
      <c r="A1044" t="s">
        <v>5790</v>
      </c>
      <c r="B1044" s="1">
        <v>44140</v>
      </c>
      <c r="C1044" t="s">
        <v>2678</v>
      </c>
      <c r="D1044" t="s">
        <v>2679</v>
      </c>
      <c r="E1044" t="s">
        <v>14</v>
      </c>
      <c r="F1044" t="s">
        <v>23</v>
      </c>
      <c r="G1044" t="s">
        <v>24</v>
      </c>
      <c r="H1044" t="s">
        <v>339</v>
      </c>
      <c r="I1044" s="2">
        <v>81.388000000000005</v>
      </c>
      <c r="J1044">
        <v>2</v>
      </c>
      <c r="K1044" s="2">
        <v>-1.8308</v>
      </c>
      <c r="L1044" s="3">
        <f>(Table1[[#This Row],[Profit]]/Table1[[#This Row],[Sales]])*100</f>
        <v>-2.2494716665847543</v>
      </c>
    </row>
    <row r="1045" spans="1:12" x14ac:dyDescent="0.3">
      <c r="A1045" t="s">
        <v>1761</v>
      </c>
      <c r="B1045" s="1">
        <v>43632</v>
      </c>
      <c r="C1045" t="s">
        <v>1762</v>
      </c>
      <c r="D1045" t="s">
        <v>1763</v>
      </c>
      <c r="E1045" t="s">
        <v>14</v>
      </c>
      <c r="F1045" t="s">
        <v>41</v>
      </c>
      <c r="G1045" t="s">
        <v>18</v>
      </c>
      <c r="H1045" t="s">
        <v>1764</v>
      </c>
      <c r="I1045" s="2">
        <v>91.474999999999994</v>
      </c>
      <c r="J1045">
        <v>1</v>
      </c>
      <c r="K1045" s="2">
        <v>-1.8294999999999999</v>
      </c>
      <c r="L1045" s="3">
        <f>(Table1[[#This Row],[Profit]]/Table1[[#This Row],[Sales]])*100</f>
        <v>-2</v>
      </c>
    </row>
    <row r="1046" spans="1:12" x14ac:dyDescent="0.3">
      <c r="A1046" t="s">
        <v>1254</v>
      </c>
      <c r="B1046" s="1">
        <v>43590</v>
      </c>
      <c r="C1046" t="s">
        <v>1255</v>
      </c>
      <c r="D1046" t="s">
        <v>1256</v>
      </c>
      <c r="E1046" t="s">
        <v>14</v>
      </c>
      <c r="F1046" t="s">
        <v>23</v>
      </c>
      <c r="G1046" t="s">
        <v>16</v>
      </c>
      <c r="H1046" t="s">
        <v>1257</v>
      </c>
      <c r="I1046" s="2">
        <v>71.087999999999994</v>
      </c>
      <c r="J1046">
        <v>2</v>
      </c>
      <c r="K1046" s="2">
        <v>-1.7771999999999999</v>
      </c>
      <c r="L1046" s="3">
        <f>(Table1[[#This Row],[Profit]]/Table1[[#This Row],[Sales]])*100</f>
        <v>-2.5</v>
      </c>
    </row>
    <row r="1047" spans="1:12" x14ac:dyDescent="0.3">
      <c r="A1047" t="s">
        <v>1606</v>
      </c>
      <c r="B1047" s="1">
        <v>43619</v>
      </c>
      <c r="C1047" t="s">
        <v>1448</v>
      </c>
      <c r="D1047" t="s">
        <v>1449</v>
      </c>
      <c r="E1047" t="s">
        <v>14</v>
      </c>
      <c r="F1047" t="s">
        <v>23</v>
      </c>
      <c r="G1047" t="s">
        <v>16</v>
      </c>
      <c r="H1047" t="s">
        <v>1257</v>
      </c>
      <c r="I1047" s="2">
        <v>71.087999999999994</v>
      </c>
      <c r="J1047">
        <v>2</v>
      </c>
      <c r="K1047" s="2">
        <v>-1.7771999999999999</v>
      </c>
      <c r="L1047" s="3">
        <f>(Table1[[#This Row],[Profit]]/Table1[[#This Row],[Sales]])*100</f>
        <v>-2.5</v>
      </c>
    </row>
    <row r="1048" spans="1:12" x14ac:dyDescent="0.3">
      <c r="A1048" t="s">
        <v>6000</v>
      </c>
      <c r="B1048" s="1">
        <v>44159</v>
      </c>
      <c r="C1048" t="s">
        <v>977</v>
      </c>
      <c r="D1048" t="s">
        <v>978</v>
      </c>
      <c r="E1048" t="s">
        <v>14</v>
      </c>
      <c r="F1048" t="s">
        <v>23</v>
      </c>
      <c r="G1048" t="s">
        <v>16</v>
      </c>
      <c r="H1048" t="s">
        <v>1257</v>
      </c>
      <c r="I1048" s="2">
        <v>163.08799999999999</v>
      </c>
      <c r="J1048">
        <v>2</v>
      </c>
      <c r="K1048" s="2">
        <v>-1.7771999999999999</v>
      </c>
      <c r="L1048" s="3">
        <f>(Table1[[#This Row],[Profit]]/Table1[[#This Row],[Sales]])*100</f>
        <v>-1.0897184342195625</v>
      </c>
    </row>
    <row r="1049" spans="1:12" x14ac:dyDescent="0.3">
      <c r="A1049" t="s">
        <v>5903</v>
      </c>
      <c r="B1049" s="1">
        <v>44151</v>
      </c>
      <c r="C1049" t="s">
        <v>4254</v>
      </c>
      <c r="D1049" t="s">
        <v>4255</v>
      </c>
      <c r="E1049" t="s">
        <v>14</v>
      </c>
      <c r="F1049" t="s">
        <v>15</v>
      </c>
      <c r="G1049" t="s">
        <v>18</v>
      </c>
      <c r="H1049" t="s">
        <v>87</v>
      </c>
      <c r="I1049" s="2">
        <v>178.96</v>
      </c>
      <c r="J1049">
        <v>5</v>
      </c>
      <c r="K1049" s="2">
        <v>-1.7495000000000001</v>
      </c>
      <c r="L1049" s="3">
        <f>(Table1[[#This Row],[Profit]]/Table1[[#This Row],[Sales]])*100</f>
        <v>-0.97759275815824764</v>
      </c>
    </row>
    <row r="1050" spans="1:12" x14ac:dyDescent="0.3">
      <c r="A1050" t="s">
        <v>1521</v>
      </c>
      <c r="B1050" s="1">
        <v>43612</v>
      </c>
      <c r="C1050" t="s">
        <v>1522</v>
      </c>
      <c r="D1050" t="s">
        <v>1523</v>
      </c>
      <c r="E1050" t="s">
        <v>14</v>
      </c>
      <c r="F1050" t="s">
        <v>29</v>
      </c>
      <c r="G1050" t="s">
        <v>16</v>
      </c>
      <c r="H1050" t="s">
        <v>1525</v>
      </c>
      <c r="I1050" s="2">
        <v>5.5839999999999996</v>
      </c>
      <c r="J1050">
        <v>2</v>
      </c>
      <c r="K1050" s="2">
        <v>-1.6752</v>
      </c>
      <c r="L1050" s="3">
        <f>(Table1[[#This Row],[Profit]]/Table1[[#This Row],[Sales]])*100</f>
        <v>-30.000000000000004</v>
      </c>
    </row>
    <row r="1051" spans="1:12" x14ac:dyDescent="0.3">
      <c r="A1051" t="s">
        <v>4581</v>
      </c>
      <c r="B1051" s="1">
        <v>43955</v>
      </c>
      <c r="C1051" t="s">
        <v>679</v>
      </c>
      <c r="D1051" t="s">
        <v>680</v>
      </c>
      <c r="E1051" t="s">
        <v>14</v>
      </c>
      <c r="F1051" t="s">
        <v>15</v>
      </c>
      <c r="G1051" t="s">
        <v>24</v>
      </c>
      <c r="H1051" t="s">
        <v>3790</v>
      </c>
      <c r="I1051" s="2">
        <v>92.201999999999998</v>
      </c>
      <c r="J1051">
        <v>2</v>
      </c>
      <c r="K1051" s="2">
        <v>-1.5414000000000001</v>
      </c>
      <c r="L1051" s="3">
        <f>(Table1[[#This Row],[Profit]]/Table1[[#This Row],[Sales]])*100</f>
        <v>-1.6717641699746211</v>
      </c>
    </row>
    <row r="1052" spans="1:12" x14ac:dyDescent="0.3">
      <c r="A1052" t="s">
        <v>5457</v>
      </c>
      <c r="B1052" s="1">
        <v>44095</v>
      </c>
      <c r="C1052" t="s">
        <v>2999</v>
      </c>
      <c r="D1052" t="s">
        <v>3000</v>
      </c>
      <c r="E1052" t="s">
        <v>14</v>
      </c>
      <c r="F1052" t="s">
        <v>15</v>
      </c>
      <c r="G1052" t="s">
        <v>24</v>
      </c>
      <c r="H1052" t="s">
        <v>624</v>
      </c>
      <c r="I1052" s="2">
        <v>104.908</v>
      </c>
      <c r="J1052">
        <v>2</v>
      </c>
      <c r="K1052" s="2">
        <v>-1.5264</v>
      </c>
      <c r="L1052" s="3">
        <f>(Table1[[#This Row],[Profit]]/Table1[[#This Row],[Sales]])*100</f>
        <v>-1.4549891333358753</v>
      </c>
    </row>
    <row r="1053" spans="1:12" x14ac:dyDescent="0.3">
      <c r="A1053" t="s">
        <v>5613</v>
      </c>
      <c r="B1053" s="1">
        <v>44116</v>
      </c>
      <c r="C1053" t="s">
        <v>3557</v>
      </c>
      <c r="D1053" t="s">
        <v>3558</v>
      </c>
      <c r="E1053" t="s">
        <v>14</v>
      </c>
      <c r="F1053" t="s">
        <v>29</v>
      </c>
      <c r="G1053" t="s">
        <v>18</v>
      </c>
      <c r="H1053" t="s">
        <v>4489</v>
      </c>
      <c r="I1053" s="2">
        <v>157.98400000000001</v>
      </c>
      <c r="J1053">
        <v>2</v>
      </c>
      <c r="K1053" s="2">
        <v>-1.4994000000000001</v>
      </c>
      <c r="L1053" s="3">
        <f>(Table1[[#This Row],[Profit]]/Table1[[#This Row],[Sales]])*100</f>
        <v>-0.94908345148875839</v>
      </c>
    </row>
    <row r="1054" spans="1:12" x14ac:dyDescent="0.3">
      <c r="A1054" t="s">
        <v>513</v>
      </c>
      <c r="B1054" s="1">
        <v>43530</v>
      </c>
      <c r="C1054" t="s">
        <v>514</v>
      </c>
      <c r="D1054" t="s">
        <v>515</v>
      </c>
      <c r="E1054" t="s">
        <v>14</v>
      </c>
      <c r="F1054" t="s">
        <v>15</v>
      </c>
      <c r="G1054" t="s">
        <v>24</v>
      </c>
      <c r="H1054" t="s">
        <v>517</v>
      </c>
      <c r="I1054" s="2">
        <v>2.0430000000000001</v>
      </c>
      <c r="J1054">
        <v>1</v>
      </c>
      <c r="K1054" s="2">
        <v>-1.4982</v>
      </c>
      <c r="L1054" s="3">
        <f>(Table1[[#This Row],[Profit]]/Table1[[#This Row],[Sales]])*100</f>
        <v>-73.333333333333329</v>
      </c>
    </row>
    <row r="1055" spans="1:12" x14ac:dyDescent="0.3">
      <c r="A1055" t="s">
        <v>2210</v>
      </c>
      <c r="B1055" s="1">
        <v>43675</v>
      </c>
      <c r="C1055" t="s">
        <v>2211</v>
      </c>
      <c r="D1055" t="s">
        <v>2212</v>
      </c>
      <c r="E1055" t="s">
        <v>14</v>
      </c>
      <c r="F1055" t="s">
        <v>41</v>
      </c>
      <c r="G1055" t="s">
        <v>24</v>
      </c>
      <c r="H1055" t="s">
        <v>2213</v>
      </c>
      <c r="I1055" s="2">
        <v>2.214</v>
      </c>
      <c r="J1055">
        <v>3</v>
      </c>
      <c r="K1055" s="2">
        <v>-1.476</v>
      </c>
      <c r="L1055" s="3">
        <f>(Table1[[#This Row],[Profit]]/Table1[[#This Row],[Sales]])*100</f>
        <v>-66.666666666666657</v>
      </c>
    </row>
    <row r="1056" spans="1:12" x14ac:dyDescent="0.3">
      <c r="A1056" t="s">
        <v>3817</v>
      </c>
      <c r="B1056" s="1">
        <v>43814</v>
      </c>
      <c r="C1056" t="s">
        <v>3818</v>
      </c>
      <c r="D1056" t="s">
        <v>3819</v>
      </c>
      <c r="E1056" t="s">
        <v>14</v>
      </c>
      <c r="F1056" t="s">
        <v>15</v>
      </c>
      <c r="G1056" t="s">
        <v>24</v>
      </c>
      <c r="H1056" t="s">
        <v>2213</v>
      </c>
      <c r="I1056" s="2">
        <v>2.214</v>
      </c>
      <c r="J1056">
        <v>3</v>
      </c>
      <c r="K1056" s="2">
        <v>-1.476</v>
      </c>
      <c r="L1056" s="3">
        <f>(Table1[[#This Row],[Profit]]/Table1[[#This Row],[Sales]])*100</f>
        <v>-66.666666666666657</v>
      </c>
    </row>
    <row r="1057" spans="1:12" x14ac:dyDescent="0.3">
      <c r="A1057" t="s">
        <v>4539</v>
      </c>
      <c r="B1057" s="1">
        <v>43947</v>
      </c>
      <c r="C1057" t="s">
        <v>2174</v>
      </c>
      <c r="D1057" t="s">
        <v>2175</v>
      </c>
      <c r="E1057" t="s">
        <v>14</v>
      </c>
      <c r="F1057" t="s">
        <v>29</v>
      </c>
      <c r="G1057" t="s">
        <v>16</v>
      </c>
      <c r="H1057" t="s">
        <v>91</v>
      </c>
      <c r="I1057" s="2">
        <v>87.988</v>
      </c>
      <c r="J1057">
        <v>1</v>
      </c>
      <c r="K1057" s="2">
        <v>-1.4413</v>
      </c>
      <c r="L1057" s="3">
        <f>(Table1[[#This Row],[Profit]]/Table1[[#This Row],[Sales]])*100</f>
        <v>-1.6380642814929309</v>
      </c>
    </row>
    <row r="1058" spans="1:12" x14ac:dyDescent="0.3">
      <c r="A1058" t="s">
        <v>2087</v>
      </c>
      <c r="B1058" s="1">
        <v>43664</v>
      </c>
      <c r="C1058" t="s">
        <v>2088</v>
      </c>
      <c r="D1058" t="s">
        <v>2089</v>
      </c>
      <c r="E1058" t="s">
        <v>14</v>
      </c>
      <c r="F1058" t="s">
        <v>23</v>
      </c>
      <c r="G1058" t="s">
        <v>24</v>
      </c>
      <c r="H1058" t="s">
        <v>1102</v>
      </c>
      <c r="I1058" s="2">
        <v>1.8720000000000001</v>
      </c>
      <c r="J1058">
        <v>3</v>
      </c>
      <c r="K1058" s="2">
        <v>-1.4352</v>
      </c>
      <c r="L1058" s="3">
        <f>(Table1[[#This Row],[Profit]]/Table1[[#This Row],[Sales]])*100</f>
        <v>-76.666666666666657</v>
      </c>
    </row>
    <row r="1059" spans="1:12" x14ac:dyDescent="0.3">
      <c r="A1059" t="s">
        <v>3752</v>
      </c>
      <c r="B1059" s="1">
        <v>43808</v>
      </c>
      <c r="C1059" t="s">
        <v>509</v>
      </c>
      <c r="D1059" t="s">
        <v>510</v>
      </c>
      <c r="E1059" t="s">
        <v>14</v>
      </c>
      <c r="F1059" t="s">
        <v>29</v>
      </c>
      <c r="G1059" t="s">
        <v>18</v>
      </c>
      <c r="H1059" t="s">
        <v>3754</v>
      </c>
      <c r="I1059" s="2">
        <v>19.04</v>
      </c>
      <c r="J1059">
        <v>4</v>
      </c>
      <c r="K1059" s="2">
        <v>-1.4279999999999999</v>
      </c>
      <c r="L1059" s="3">
        <f>(Table1[[#This Row],[Profit]]/Table1[[#This Row],[Sales]])*100</f>
        <v>-7.5</v>
      </c>
    </row>
    <row r="1060" spans="1:12" x14ac:dyDescent="0.3">
      <c r="A1060" t="s">
        <v>5289</v>
      </c>
      <c r="B1060" s="1">
        <v>44078</v>
      </c>
      <c r="C1060" t="s">
        <v>1125</v>
      </c>
      <c r="D1060" t="s">
        <v>1126</v>
      </c>
      <c r="E1060" t="s">
        <v>14</v>
      </c>
      <c r="F1060" t="s">
        <v>15</v>
      </c>
      <c r="G1060" t="s">
        <v>18</v>
      </c>
      <c r="H1060" t="s">
        <v>3754</v>
      </c>
      <c r="I1060" s="2">
        <v>94.04</v>
      </c>
      <c r="J1060">
        <v>4</v>
      </c>
      <c r="K1060" s="2">
        <v>-1.4279999999999999</v>
      </c>
      <c r="L1060" s="3">
        <f>(Table1[[#This Row],[Profit]]/Table1[[#This Row],[Sales]])*100</f>
        <v>-1.5185027647809441</v>
      </c>
    </row>
    <row r="1061" spans="1:12" x14ac:dyDescent="0.3">
      <c r="A1061" t="s">
        <v>743</v>
      </c>
      <c r="B1061" s="1">
        <v>43545</v>
      </c>
      <c r="C1061" t="s">
        <v>744</v>
      </c>
      <c r="D1061" t="s">
        <v>745</v>
      </c>
      <c r="E1061" t="s">
        <v>14</v>
      </c>
      <c r="F1061" t="s">
        <v>29</v>
      </c>
      <c r="G1061" t="s">
        <v>16</v>
      </c>
      <c r="H1061" t="s">
        <v>746</v>
      </c>
      <c r="I1061" s="2">
        <v>99.372</v>
      </c>
      <c r="J1061">
        <v>2</v>
      </c>
      <c r="K1061" s="2">
        <v>-1.4196</v>
      </c>
      <c r="L1061" s="3">
        <f>(Table1[[#This Row],[Profit]]/Table1[[#This Row],[Sales]])*100</f>
        <v>-1.4285714285714286</v>
      </c>
    </row>
    <row r="1062" spans="1:12" x14ac:dyDescent="0.3">
      <c r="A1062" t="s">
        <v>6289</v>
      </c>
      <c r="B1062" s="1">
        <v>44193</v>
      </c>
      <c r="C1062" t="s">
        <v>4730</v>
      </c>
      <c r="D1062" t="s">
        <v>4731</v>
      </c>
      <c r="E1062" t="s">
        <v>14</v>
      </c>
      <c r="F1062" t="s">
        <v>29</v>
      </c>
      <c r="G1062" t="s">
        <v>16</v>
      </c>
      <c r="H1062" t="s">
        <v>3786</v>
      </c>
      <c r="I1062" s="2">
        <v>478.96</v>
      </c>
      <c r="J1062">
        <v>2</v>
      </c>
      <c r="K1062" s="2">
        <v>-1.4059999999999999</v>
      </c>
      <c r="L1062" s="3">
        <f>(Table1[[#This Row],[Profit]]/Table1[[#This Row],[Sales]])*100</f>
        <v>-0.29355269751127444</v>
      </c>
    </row>
    <row r="1063" spans="1:12" x14ac:dyDescent="0.3">
      <c r="A1063" t="s">
        <v>5912</v>
      </c>
      <c r="B1063" s="1">
        <v>44151</v>
      </c>
      <c r="C1063" t="s">
        <v>2950</v>
      </c>
      <c r="D1063" t="s">
        <v>2951</v>
      </c>
      <c r="E1063" t="s">
        <v>14</v>
      </c>
      <c r="F1063" t="s">
        <v>15</v>
      </c>
      <c r="G1063" t="s">
        <v>24</v>
      </c>
      <c r="H1063" t="s">
        <v>3188</v>
      </c>
      <c r="I1063" s="2">
        <v>97.823999999999998</v>
      </c>
      <c r="J1063">
        <v>1</v>
      </c>
      <c r="K1063" s="2">
        <v>-1.3984000000000001</v>
      </c>
      <c r="L1063" s="3">
        <f>(Table1[[#This Row],[Profit]]/Table1[[#This Row],[Sales]])*100</f>
        <v>-1.4295060516846583</v>
      </c>
    </row>
    <row r="1064" spans="1:12" x14ac:dyDescent="0.3">
      <c r="A1064" t="s">
        <v>4195</v>
      </c>
      <c r="B1064" s="1">
        <v>43892</v>
      </c>
      <c r="C1064" t="s">
        <v>637</v>
      </c>
      <c r="D1064" t="s">
        <v>638</v>
      </c>
      <c r="E1064" t="s">
        <v>14</v>
      </c>
      <c r="F1064" t="s">
        <v>29</v>
      </c>
      <c r="G1064" t="s">
        <v>24</v>
      </c>
      <c r="H1064" t="s">
        <v>844</v>
      </c>
      <c r="I1064" s="2">
        <v>94.975999999999999</v>
      </c>
      <c r="J1064">
        <v>4</v>
      </c>
      <c r="K1064" s="2">
        <v>-1.3952</v>
      </c>
      <c r="L1064" s="3">
        <f>(Table1[[#This Row],[Profit]]/Table1[[#This Row],[Sales]])*100</f>
        <v>-1.4690026954177897</v>
      </c>
    </row>
    <row r="1065" spans="1:12" x14ac:dyDescent="0.3">
      <c r="A1065" t="s">
        <v>533</v>
      </c>
      <c r="B1065" s="1">
        <v>43532</v>
      </c>
      <c r="C1065" t="s">
        <v>534</v>
      </c>
      <c r="D1065" t="s">
        <v>535</v>
      </c>
      <c r="E1065" t="s">
        <v>14</v>
      </c>
      <c r="F1065" t="s">
        <v>15</v>
      </c>
      <c r="G1065" t="s">
        <v>24</v>
      </c>
      <c r="H1065" t="s">
        <v>536</v>
      </c>
      <c r="I1065" s="2">
        <v>5.984</v>
      </c>
      <c r="J1065">
        <v>2</v>
      </c>
      <c r="K1065" s="2">
        <v>-1.3464</v>
      </c>
      <c r="L1065" s="3">
        <f>(Table1[[#This Row],[Profit]]/Table1[[#This Row],[Sales]])*100</f>
        <v>-22.5</v>
      </c>
    </row>
    <row r="1066" spans="1:12" x14ac:dyDescent="0.3">
      <c r="A1066" t="s">
        <v>1826</v>
      </c>
      <c r="B1066" s="1">
        <v>43637</v>
      </c>
      <c r="C1066" t="s">
        <v>1635</v>
      </c>
      <c r="D1066" t="s">
        <v>1636</v>
      </c>
      <c r="E1066" t="s">
        <v>14</v>
      </c>
      <c r="F1066" t="s">
        <v>29</v>
      </c>
      <c r="G1066" t="s">
        <v>24</v>
      </c>
      <c r="H1066" t="s">
        <v>409</v>
      </c>
      <c r="I1066" s="2">
        <v>0.83599999999999997</v>
      </c>
      <c r="J1066">
        <v>1</v>
      </c>
      <c r="K1066" s="2">
        <v>-1.3375999999999999</v>
      </c>
      <c r="L1066" s="3">
        <f>(Table1[[#This Row],[Profit]]/Table1[[#This Row],[Sales]])*100</f>
        <v>-160</v>
      </c>
    </row>
    <row r="1067" spans="1:12" x14ac:dyDescent="0.3">
      <c r="A1067" t="s">
        <v>6186</v>
      </c>
      <c r="B1067" s="1">
        <v>44179</v>
      </c>
      <c r="C1067" t="s">
        <v>876</v>
      </c>
      <c r="D1067" t="s">
        <v>877</v>
      </c>
      <c r="E1067" t="s">
        <v>14</v>
      </c>
      <c r="F1067" t="s">
        <v>29</v>
      </c>
      <c r="G1067" t="s">
        <v>16</v>
      </c>
      <c r="H1067" t="s">
        <v>5441</v>
      </c>
      <c r="I1067" s="2">
        <v>434.03199999999998</v>
      </c>
      <c r="J1067">
        <v>1</v>
      </c>
      <c r="K1067" s="2">
        <v>-1.3208</v>
      </c>
      <c r="L1067" s="3">
        <f>(Table1[[#This Row],[Profit]]/Table1[[#This Row],[Sales]])*100</f>
        <v>-0.30430935967854905</v>
      </c>
    </row>
    <row r="1068" spans="1:12" x14ac:dyDescent="0.3">
      <c r="A1068" t="s">
        <v>6238</v>
      </c>
      <c r="B1068" s="1">
        <v>44187</v>
      </c>
      <c r="C1068" t="s">
        <v>3612</v>
      </c>
      <c r="D1068" t="s">
        <v>3613</v>
      </c>
      <c r="E1068" t="s">
        <v>14</v>
      </c>
      <c r="F1068" t="s">
        <v>15</v>
      </c>
      <c r="G1068" t="s">
        <v>24</v>
      </c>
      <c r="H1068" t="s">
        <v>1561</v>
      </c>
      <c r="I1068" s="2">
        <v>128.64099999999999</v>
      </c>
      <c r="J1068">
        <v>1</v>
      </c>
      <c r="K1068" s="2">
        <v>-1.3128</v>
      </c>
      <c r="L1068" s="3">
        <f>(Table1[[#This Row],[Profit]]/Table1[[#This Row],[Sales]])*100</f>
        <v>-1.0205144549560405</v>
      </c>
    </row>
    <row r="1069" spans="1:12" x14ac:dyDescent="0.3">
      <c r="A1069" t="s">
        <v>2121</v>
      </c>
      <c r="B1069" s="1">
        <v>43667</v>
      </c>
      <c r="C1069" t="s">
        <v>719</v>
      </c>
      <c r="D1069" t="s">
        <v>720</v>
      </c>
      <c r="E1069" t="s">
        <v>14</v>
      </c>
      <c r="F1069" t="s">
        <v>15</v>
      </c>
      <c r="G1069" t="s">
        <v>24</v>
      </c>
      <c r="H1069" t="s">
        <v>1382</v>
      </c>
      <c r="I1069" s="2">
        <v>1.9410000000000001</v>
      </c>
      <c r="J1069">
        <v>1</v>
      </c>
      <c r="K1069" s="2">
        <v>-1.294</v>
      </c>
      <c r="L1069" s="3">
        <f>(Table1[[#This Row],[Profit]]/Table1[[#This Row],[Sales]])*100</f>
        <v>-66.666666666666657</v>
      </c>
    </row>
    <row r="1070" spans="1:12" x14ac:dyDescent="0.3">
      <c r="A1070" t="s">
        <v>1991</v>
      </c>
      <c r="B1070" s="1">
        <v>43654</v>
      </c>
      <c r="C1070" t="s">
        <v>1992</v>
      </c>
      <c r="D1070" t="s">
        <v>1993</v>
      </c>
      <c r="E1070" t="s">
        <v>14</v>
      </c>
      <c r="F1070" t="s">
        <v>23</v>
      </c>
      <c r="G1070" t="s">
        <v>24</v>
      </c>
      <c r="H1070" t="s">
        <v>1245</v>
      </c>
      <c r="I1070" s="2">
        <v>33.488</v>
      </c>
      <c r="J1070">
        <v>7</v>
      </c>
      <c r="K1070" s="2">
        <v>-1.2558</v>
      </c>
      <c r="L1070" s="3">
        <f>(Table1[[#This Row],[Profit]]/Table1[[#This Row],[Sales]])*100</f>
        <v>-3.75</v>
      </c>
    </row>
    <row r="1071" spans="1:12" x14ac:dyDescent="0.3">
      <c r="A1071" t="s">
        <v>2632</v>
      </c>
      <c r="B1071" s="1">
        <v>43713</v>
      </c>
      <c r="C1071" t="s">
        <v>2633</v>
      </c>
      <c r="D1071" t="s">
        <v>2634</v>
      </c>
      <c r="E1071" t="s">
        <v>14</v>
      </c>
      <c r="F1071" t="s">
        <v>15</v>
      </c>
      <c r="G1071" t="s">
        <v>16</v>
      </c>
      <c r="H1071" t="s">
        <v>2635</v>
      </c>
      <c r="I1071" s="2">
        <v>85.245999999999995</v>
      </c>
      <c r="J1071">
        <v>2</v>
      </c>
      <c r="K1071" s="2">
        <v>-1.2178</v>
      </c>
      <c r="L1071" s="3">
        <f>(Table1[[#This Row],[Profit]]/Table1[[#This Row],[Sales]])*100</f>
        <v>-1.4285714285714286</v>
      </c>
    </row>
    <row r="1072" spans="1:12" x14ac:dyDescent="0.3">
      <c r="A1072" t="s">
        <v>3640</v>
      </c>
      <c r="B1072" s="1">
        <v>43800</v>
      </c>
      <c r="C1072" t="s">
        <v>3641</v>
      </c>
      <c r="D1072" t="s">
        <v>3642</v>
      </c>
      <c r="E1072" t="s">
        <v>14</v>
      </c>
      <c r="F1072" t="s">
        <v>29</v>
      </c>
      <c r="G1072" t="s">
        <v>16</v>
      </c>
      <c r="H1072" t="s">
        <v>2635</v>
      </c>
      <c r="I1072" s="2">
        <v>85.245999999999995</v>
      </c>
      <c r="J1072">
        <v>2</v>
      </c>
      <c r="K1072" s="2">
        <v>-1.2178</v>
      </c>
      <c r="L1072" s="3">
        <f>(Table1[[#This Row],[Profit]]/Table1[[#This Row],[Sales]])*100</f>
        <v>-1.4285714285714286</v>
      </c>
    </row>
    <row r="1073" spans="1:12" x14ac:dyDescent="0.3">
      <c r="A1073" t="s">
        <v>5295</v>
      </c>
      <c r="B1073" s="1">
        <v>44079</v>
      </c>
      <c r="C1073" t="s">
        <v>1656</v>
      </c>
      <c r="D1073" t="s">
        <v>1657</v>
      </c>
      <c r="E1073" t="s">
        <v>14</v>
      </c>
      <c r="F1073" t="s">
        <v>41</v>
      </c>
      <c r="G1073" t="s">
        <v>18</v>
      </c>
      <c r="H1073" t="s">
        <v>4239</v>
      </c>
      <c r="I1073" s="2">
        <v>133.56800000000001</v>
      </c>
      <c r="J1073">
        <v>4</v>
      </c>
      <c r="K1073" s="2">
        <v>-1.1195999999999999</v>
      </c>
      <c r="L1073" s="3">
        <f>(Table1[[#This Row],[Profit]]/Table1[[#This Row],[Sales]])*100</f>
        <v>-0.83822472448490637</v>
      </c>
    </row>
    <row r="1074" spans="1:12" x14ac:dyDescent="0.3">
      <c r="A1074" t="s">
        <v>4862</v>
      </c>
      <c r="B1074" s="1">
        <v>44001</v>
      </c>
      <c r="C1074" t="s">
        <v>528</v>
      </c>
      <c r="D1074" t="s">
        <v>529</v>
      </c>
      <c r="E1074" t="s">
        <v>14</v>
      </c>
      <c r="F1074" t="s">
        <v>29</v>
      </c>
      <c r="G1074" t="s">
        <v>24</v>
      </c>
      <c r="H1074" t="s">
        <v>4869</v>
      </c>
      <c r="I1074" s="2">
        <v>124.444</v>
      </c>
      <c r="J1074">
        <v>1</v>
      </c>
      <c r="K1074" s="2">
        <v>-1.1100000000000001</v>
      </c>
      <c r="L1074" s="3">
        <f>(Table1[[#This Row],[Profit]]/Table1[[#This Row],[Sales]])*100</f>
        <v>-0.89196747131239751</v>
      </c>
    </row>
    <row r="1075" spans="1:12" x14ac:dyDescent="0.3">
      <c r="A1075" t="s">
        <v>5160</v>
      </c>
      <c r="B1075" s="1">
        <v>44060</v>
      </c>
      <c r="C1075" t="s">
        <v>3168</v>
      </c>
      <c r="D1075" t="s">
        <v>3169</v>
      </c>
      <c r="E1075" t="s">
        <v>14</v>
      </c>
      <c r="F1075" t="s">
        <v>29</v>
      </c>
      <c r="G1075" t="s">
        <v>24</v>
      </c>
      <c r="H1075" t="s">
        <v>5161</v>
      </c>
      <c r="I1075" s="2">
        <v>103.55200000000001</v>
      </c>
      <c r="J1075">
        <v>2</v>
      </c>
      <c r="K1075" s="2">
        <v>-1.0409999999999999</v>
      </c>
      <c r="L1075" s="3">
        <f>(Table1[[#This Row],[Profit]]/Table1[[#This Row],[Sales]])*100</f>
        <v>-1.0052920271940666</v>
      </c>
    </row>
    <row r="1076" spans="1:12" x14ac:dyDescent="0.3">
      <c r="A1076" t="s">
        <v>5021</v>
      </c>
      <c r="B1076" s="1">
        <v>44028</v>
      </c>
      <c r="C1076" t="s">
        <v>3822</v>
      </c>
      <c r="D1076" t="s">
        <v>3823</v>
      </c>
      <c r="E1076" t="s">
        <v>14</v>
      </c>
      <c r="F1076" t="s">
        <v>15</v>
      </c>
      <c r="G1076" t="s">
        <v>16</v>
      </c>
      <c r="H1076" t="s">
        <v>1675</v>
      </c>
      <c r="I1076" s="2">
        <v>114.372</v>
      </c>
      <c r="J1076">
        <v>2</v>
      </c>
      <c r="K1076" s="2">
        <v>-1.0196000000000001</v>
      </c>
      <c r="L1076" s="3">
        <f>(Table1[[#This Row],[Profit]]/Table1[[#This Row],[Sales]])*100</f>
        <v>-0.89147693491413993</v>
      </c>
    </row>
    <row r="1077" spans="1:12" x14ac:dyDescent="0.3">
      <c r="A1077" t="s">
        <v>4670</v>
      </c>
      <c r="B1077" s="1">
        <v>43969</v>
      </c>
      <c r="C1077" t="s">
        <v>12</v>
      </c>
      <c r="D1077" t="s">
        <v>13</v>
      </c>
      <c r="E1077" t="s">
        <v>14</v>
      </c>
      <c r="F1077" t="s">
        <v>29</v>
      </c>
      <c r="G1077" t="s">
        <v>16</v>
      </c>
      <c r="H1077" t="s">
        <v>2723</v>
      </c>
      <c r="I1077" s="2">
        <v>105.892</v>
      </c>
      <c r="J1077">
        <v>1</v>
      </c>
      <c r="K1077" s="2">
        <v>-0.99329999999999996</v>
      </c>
      <c r="L1077" s="3">
        <f>(Table1[[#This Row],[Profit]]/Table1[[#This Row],[Sales]])*100</f>
        <v>-0.93803120160163189</v>
      </c>
    </row>
    <row r="1078" spans="1:12" x14ac:dyDescent="0.3">
      <c r="A1078" t="s">
        <v>4524</v>
      </c>
      <c r="B1078" s="1">
        <v>43945</v>
      </c>
      <c r="C1078" t="s">
        <v>769</v>
      </c>
      <c r="D1078" t="s">
        <v>770</v>
      </c>
      <c r="E1078" t="s">
        <v>14</v>
      </c>
      <c r="F1078" t="s">
        <v>15</v>
      </c>
      <c r="G1078" t="s">
        <v>24</v>
      </c>
      <c r="H1078" t="s">
        <v>3132</v>
      </c>
      <c r="I1078" s="2">
        <v>92.188000000000002</v>
      </c>
      <c r="J1078">
        <v>2</v>
      </c>
      <c r="K1078" s="2">
        <v>-0.99</v>
      </c>
      <c r="L1078" s="3">
        <f>(Table1[[#This Row],[Profit]]/Table1[[#This Row],[Sales]])*100</f>
        <v>-1.0738924805831562</v>
      </c>
    </row>
    <row r="1079" spans="1:12" x14ac:dyDescent="0.3">
      <c r="A1079" t="s">
        <v>6292</v>
      </c>
      <c r="B1079" s="1">
        <v>44193</v>
      </c>
      <c r="C1079" t="s">
        <v>3328</v>
      </c>
      <c r="D1079" t="s">
        <v>3329</v>
      </c>
      <c r="E1079" t="s">
        <v>14</v>
      </c>
      <c r="F1079" t="s">
        <v>23</v>
      </c>
      <c r="G1079" t="s">
        <v>24</v>
      </c>
      <c r="H1079" t="s">
        <v>3132</v>
      </c>
      <c r="I1079" s="2">
        <v>198.18799999999999</v>
      </c>
      <c r="J1079">
        <v>2</v>
      </c>
      <c r="K1079" s="2">
        <v>-0.99</v>
      </c>
      <c r="L1079" s="3">
        <f>(Table1[[#This Row],[Profit]]/Table1[[#This Row],[Sales]])*100</f>
        <v>-0.49952570286798392</v>
      </c>
    </row>
    <row r="1080" spans="1:12" x14ac:dyDescent="0.3">
      <c r="A1080" t="s">
        <v>4196</v>
      </c>
      <c r="B1080" s="1">
        <v>43892</v>
      </c>
      <c r="C1080" t="s">
        <v>4197</v>
      </c>
      <c r="D1080" t="s">
        <v>4198</v>
      </c>
      <c r="E1080" t="s">
        <v>14</v>
      </c>
      <c r="F1080" t="s">
        <v>29</v>
      </c>
      <c r="G1080" t="s">
        <v>24</v>
      </c>
      <c r="H1080" t="s">
        <v>2851</v>
      </c>
      <c r="I1080" s="2">
        <v>118.556</v>
      </c>
      <c r="J1080">
        <v>1</v>
      </c>
      <c r="K1080" s="2">
        <v>-0.94520000000000004</v>
      </c>
      <c r="L1080" s="3">
        <f>(Table1[[#This Row],[Profit]]/Table1[[#This Row],[Sales]])*100</f>
        <v>-0.79726036640912312</v>
      </c>
    </row>
    <row r="1081" spans="1:12" x14ac:dyDescent="0.3">
      <c r="A1081" t="s">
        <v>4671</v>
      </c>
      <c r="B1081" s="1">
        <v>43969</v>
      </c>
      <c r="C1081" t="s">
        <v>460</v>
      </c>
      <c r="D1081" t="s">
        <v>461</v>
      </c>
      <c r="E1081" t="s">
        <v>14</v>
      </c>
      <c r="F1081" t="s">
        <v>15</v>
      </c>
      <c r="G1081" t="s">
        <v>18</v>
      </c>
      <c r="H1081" t="s">
        <v>3528</v>
      </c>
      <c r="I1081" s="2">
        <v>133.048</v>
      </c>
      <c r="J1081">
        <v>3</v>
      </c>
      <c r="K1081" s="2">
        <v>-0.9012</v>
      </c>
      <c r="L1081" s="3">
        <f>(Table1[[#This Row],[Profit]]/Table1[[#This Row],[Sales]])*100</f>
        <v>-0.67734952798989834</v>
      </c>
    </row>
    <row r="1082" spans="1:12" x14ac:dyDescent="0.3">
      <c r="A1082" t="s">
        <v>5731</v>
      </c>
      <c r="B1082" s="1">
        <v>44134</v>
      </c>
      <c r="C1082" t="s">
        <v>2985</v>
      </c>
      <c r="D1082" t="s">
        <v>2986</v>
      </c>
      <c r="E1082" t="s">
        <v>14</v>
      </c>
      <c r="F1082" t="s">
        <v>23</v>
      </c>
      <c r="G1082" t="s">
        <v>16</v>
      </c>
      <c r="H1082" t="s">
        <v>1980</v>
      </c>
      <c r="I1082" s="2">
        <v>172.99199999999999</v>
      </c>
      <c r="J1082">
        <v>1</v>
      </c>
      <c r="K1082" s="2">
        <v>-0.89990000000000003</v>
      </c>
      <c r="L1082" s="3">
        <f>(Table1[[#This Row],[Profit]]/Table1[[#This Row],[Sales]])*100</f>
        <v>-0.52019746577876436</v>
      </c>
    </row>
    <row r="1083" spans="1:12" x14ac:dyDescent="0.3">
      <c r="A1083" t="s">
        <v>5153</v>
      </c>
      <c r="B1083" s="1">
        <v>44059</v>
      </c>
      <c r="C1083" t="s">
        <v>2976</v>
      </c>
      <c r="D1083" t="s">
        <v>2977</v>
      </c>
      <c r="E1083" t="s">
        <v>14</v>
      </c>
      <c r="F1083" t="s">
        <v>41</v>
      </c>
      <c r="G1083" t="s">
        <v>24</v>
      </c>
      <c r="H1083" t="s">
        <v>5154</v>
      </c>
      <c r="I1083" s="2">
        <v>154.136</v>
      </c>
      <c r="J1083">
        <v>4</v>
      </c>
      <c r="K1083" s="2">
        <v>-0.83919999999999995</v>
      </c>
      <c r="L1083" s="3">
        <f>(Table1[[#This Row],[Profit]]/Table1[[#This Row],[Sales]])*100</f>
        <v>-0.54445424819639787</v>
      </c>
    </row>
    <row r="1084" spans="1:12" x14ac:dyDescent="0.3">
      <c r="A1084" t="s">
        <v>508</v>
      </c>
      <c r="B1084" s="1">
        <v>43529</v>
      </c>
      <c r="C1084" t="s">
        <v>509</v>
      </c>
      <c r="D1084" t="s">
        <v>510</v>
      </c>
      <c r="E1084" t="s">
        <v>14</v>
      </c>
      <c r="F1084" t="s">
        <v>29</v>
      </c>
      <c r="G1084" t="s">
        <v>24</v>
      </c>
      <c r="H1084" t="s">
        <v>512</v>
      </c>
      <c r="I1084" s="2">
        <v>12.992000000000001</v>
      </c>
      <c r="J1084">
        <v>1</v>
      </c>
      <c r="K1084" s="2">
        <v>-0.81200000000000006</v>
      </c>
      <c r="L1084" s="3">
        <f>(Table1[[#This Row],[Profit]]/Table1[[#This Row],[Sales]])*100</f>
        <v>-6.25</v>
      </c>
    </row>
    <row r="1085" spans="1:12" x14ac:dyDescent="0.3">
      <c r="A1085" t="s">
        <v>4990</v>
      </c>
      <c r="B1085" s="1">
        <v>44021</v>
      </c>
      <c r="C1085" t="s">
        <v>143</v>
      </c>
      <c r="D1085" t="s">
        <v>144</v>
      </c>
      <c r="E1085" t="s">
        <v>14</v>
      </c>
      <c r="F1085" t="s">
        <v>23</v>
      </c>
      <c r="G1085" t="s">
        <v>24</v>
      </c>
      <c r="H1085" t="s">
        <v>2146</v>
      </c>
      <c r="I1085" s="2">
        <v>64.08</v>
      </c>
      <c r="J1085">
        <v>2</v>
      </c>
      <c r="K1085" s="2">
        <v>-0.79200000000000004</v>
      </c>
      <c r="L1085" s="3">
        <f>(Table1[[#This Row],[Profit]]/Table1[[#This Row],[Sales]])*100</f>
        <v>-1.2359550561797754</v>
      </c>
    </row>
    <row r="1086" spans="1:12" x14ac:dyDescent="0.3">
      <c r="A1086" t="s">
        <v>1006</v>
      </c>
      <c r="B1086" s="1">
        <v>43570</v>
      </c>
      <c r="C1086" t="s">
        <v>1007</v>
      </c>
      <c r="D1086" t="s">
        <v>1008</v>
      </c>
      <c r="E1086" t="s">
        <v>14</v>
      </c>
      <c r="F1086" t="s">
        <v>41</v>
      </c>
      <c r="G1086" t="s">
        <v>24</v>
      </c>
      <c r="H1086" t="s">
        <v>1011</v>
      </c>
      <c r="I1086" s="2">
        <v>4.7679999999999998</v>
      </c>
      <c r="J1086">
        <v>2</v>
      </c>
      <c r="K1086" s="2">
        <v>-0.77480000000000004</v>
      </c>
      <c r="L1086" s="3">
        <f>(Table1[[#This Row],[Profit]]/Table1[[#This Row],[Sales]])*100</f>
        <v>-16.25</v>
      </c>
    </row>
    <row r="1087" spans="1:12" x14ac:dyDescent="0.3">
      <c r="A1087" t="s">
        <v>5665</v>
      </c>
      <c r="B1087" s="1">
        <v>44124</v>
      </c>
      <c r="C1087" t="s">
        <v>2626</v>
      </c>
      <c r="D1087" t="s">
        <v>2627</v>
      </c>
      <c r="E1087" t="s">
        <v>14</v>
      </c>
      <c r="F1087" t="s">
        <v>41</v>
      </c>
      <c r="G1087" t="s">
        <v>24</v>
      </c>
      <c r="H1087" t="s">
        <v>1011</v>
      </c>
      <c r="I1087" s="2">
        <v>83.768000000000001</v>
      </c>
      <c r="J1087">
        <v>2</v>
      </c>
      <c r="K1087" s="2">
        <v>-0.77480000000000004</v>
      </c>
      <c r="L1087" s="3">
        <f>(Table1[[#This Row],[Profit]]/Table1[[#This Row],[Sales]])*100</f>
        <v>-0.92493553624295677</v>
      </c>
    </row>
    <row r="1088" spans="1:12" x14ac:dyDescent="0.3">
      <c r="A1088" t="s">
        <v>3467</v>
      </c>
      <c r="B1088" s="1">
        <v>43788</v>
      </c>
      <c r="C1088" t="s">
        <v>128</v>
      </c>
      <c r="D1088" t="s">
        <v>129</v>
      </c>
      <c r="E1088" t="s">
        <v>14</v>
      </c>
      <c r="F1088" t="s">
        <v>29</v>
      </c>
      <c r="G1088" t="s">
        <v>16</v>
      </c>
      <c r="H1088" t="s">
        <v>1044</v>
      </c>
      <c r="I1088" s="2">
        <v>2.3279999999999998</v>
      </c>
      <c r="J1088">
        <v>2</v>
      </c>
      <c r="K1088" s="2">
        <v>-0.75660000000000005</v>
      </c>
      <c r="L1088" s="3">
        <f>(Table1[[#This Row],[Profit]]/Table1[[#This Row],[Sales]])*100</f>
        <v>-32.500000000000007</v>
      </c>
    </row>
    <row r="1089" spans="1:12" x14ac:dyDescent="0.3">
      <c r="A1089" t="s">
        <v>3879</v>
      </c>
      <c r="B1089" s="1">
        <v>43822</v>
      </c>
      <c r="C1089" t="s">
        <v>75</v>
      </c>
      <c r="D1089" t="s">
        <v>76</v>
      </c>
      <c r="E1089" t="s">
        <v>14</v>
      </c>
      <c r="F1089" t="s">
        <v>29</v>
      </c>
      <c r="G1089" t="s">
        <v>16</v>
      </c>
      <c r="H1089" t="s">
        <v>1044</v>
      </c>
      <c r="I1089" s="2">
        <v>2.3279999999999998</v>
      </c>
      <c r="J1089">
        <v>2</v>
      </c>
      <c r="K1089" s="2">
        <v>-0.75660000000000005</v>
      </c>
      <c r="L1089" s="3">
        <f>(Table1[[#This Row],[Profit]]/Table1[[#This Row],[Sales]])*100</f>
        <v>-32.500000000000007</v>
      </c>
    </row>
    <row r="1090" spans="1:12" x14ac:dyDescent="0.3">
      <c r="A1090" t="s">
        <v>5938</v>
      </c>
      <c r="B1090" s="1">
        <v>44153</v>
      </c>
      <c r="C1090" t="s">
        <v>1145</v>
      </c>
      <c r="D1090" t="s">
        <v>1146</v>
      </c>
      <c r="E1090" t="s">
        <v>14</v>
      </c>
      <c r="F1090" t="s">
        <v>41</v>
      </c>
      <c r="G1090" t="s">
        <v>24</v>
      </c>
      <c r="H1090" t="s">
        <v>844</v>
      </c>
      <c r="I1090" s="2">
        <v>139.94399999999999</v>
      </c>
      <c r="J1090">
        <v>1</v>
      </c>
      <c r="K1090" s="2">
        <v>-0.66239999999999999</v>
      </c>
      <c r="L1090" s="3">
        <f>(Table1[[#This Row],[Profit]]/Table1[[#This Row],[Sales]])*100</f>
        <v>-0.47333219001886473</v>
      </c>
    </row>
    <row r="1091" spans="1:12" x14ac:dyDescent="0.3">
      <c r="A1091" t="s">
        <v>4757</v>
      </c>
      <c r="B1091" s="1">
        <v>43984</v>
      </c>
      <c r="C1091" t="s">
        <v>1869</v>
      </c>
      <c r="D1091" t="s">
        <v>1870</v>
      </c>
      <c r="E1091" t="s">
        <v>14</v>
      </c>
      <c r="F1091" t="s">
        <v>15</v>
      </c>
      <c r="G1091" t="s">
        <v>18</v>
      </c>
      <c r="H1091" t="s">
        <v>4758</v>
      </c>
      <c r="I1091" s="2">
        <v>95.97</v>
      </c>
      <c r="J1091">
        <v>1</v>
      </c>
      <c r="K1091" s="2">
        <v>-0.64349999999999996</v>
      </c>
      <c r="L1091" s="3">
        <f>(Table1[[#This Row],[Profit]]/Table1[[#This Row],[Sales]])*100</f>
        <v>-0.67052203813691769</v>
      </c>
    </row>
    <row r="1092" spans="1:12" x14ac:dyDescent="0.3">
      <c r="A1092" t="s">
        <v>1925</v>
      </c>
      <c r="B1092" s="1">
        <v>43646</v>
      </c>
      <c r="C1092" t="s">
        <v>1926</v>
      </c>
      <c r="D1092" t="s">
        <v>1927</v>
      </c>
      <c r="E1092" t="s">
        <v>14</v>
      </c>
      <c r="F1092" t="s">
        <v>29</v>
      </c>
      <c r="G1092" t="s">
        <v>18</v>
      </c>
      <c r="H1092" t="s">
        <v>580</v>
      </c>
      <c r="I1092" s="2">
        <v>50.12</v>
      </c>
      <c r="J1092">
        <v>7</v>
      </c>
      <c r="K1092" s="2">
        <v>-0.62649999999999995</v>
      </c>
      <c r="L1092" s="3">
        <f>(Table1[[#This Row],[Profit]]/Table1[[#This Row],[Sales]])*100</f>
        <v>-1.25</v>
      </c>
    </row>
    <row r="1093" spans="1:12" x14ac:dyDescent="0.3">
      <c r="A1093" t="s">
        <v>6308</v>
      </c>
      <c r="B1093" s="1">
        <v>44195</v>
      </c>
      <c r="C1093" t="s">
        <v>1003</v>
      </c>
      <c r="D1093" t="s">
        <v>1004</v>
      </c>
      <c r="E1093" t="s">
        <v>14</v>
      </c>
      <c r="F1093" t="s">
        <v>23</v>
      </c>
      <c r="G1093" t="s">
        <v>24</v>
      </c>
      <c r="H1093" t="s">
        <v>150</v>
      </c>
      <c r="I1093" s="2">
        <v>388.024</v>
      </c>
      <c r="J1093">
        <v>3</v>
      </c>
      <c r="K1093" s="2">
        <v>-0.6048</v>
      </c>
      <c r="L1093" s="3">
        <f>(Table1[[#This Row],[Profit]]/Table1[[#This Row],[Sales]])*100</f>
        <v>-0.15586664742387069</v>
      </c>
    </row>
    <row r="1094" spans="1:12" x14ac:dyDescent="0.3">
      <c r="A1094" t="s">
        <v>6309</v>
      </c>
      <c r="B1094" s="1">
        <v>44196</v>
      </c>
      <c r="C1094" t="s">
        <v>1003</v>
      </c>
      <c r="D1094" t="s">
        <v>1004</v>
      </c>
      <c r="E1094" t="s">
        <v>14</v>
      </c>
      <c r="F1094" t="s">
        <v>23</v>
      </c>
      <c r="G1094" t="s">
        <v>24</v>
      </c>
      <c r="H1094" t="s">
        <v>150</v>
      </c>
      <c r="I1094" s="2">
        <v>2975.51</v>
      </c>
      <c r="J1094">
        <v>3</v>
      </c>
      <c r="K1094" s="2">
        <v>-0.6048</v>
      </c>
      <c r="L1094" s="3">
        <f>(Table1[[#This Row],[Profit]]/Table1[[#This Row],[Sales]])*100</f>
        <v>-2.0325927320022447E-2</v>
      </c>
    </row>
    <row r="1095" spans="1:12" x14ac:dyDescent="0.3">
      <c r="A1095" t="s">
        <v>3527</v>
      </c>
      <c r="B1095" s="1">
        <v>43791</v>
      </c>
      <c r="C1095" t="s">
        <v>3175</v>
      </c>
      <c r="D1095" t="s">
        <v>3176</v>
      </c>
      <c r="E1095" t="s">
        <v>14</v>
      </c>
      <c r="F1095" t="s">
        <v>29</v>
      </c>
      <c r="G1095" t="s">
        <v>18</v>
      </c>
      <c r="H1095" t="s">
        <v>3528</v>
      </c>
      <c r="I1095" s="2">
        <v>24.032</v>
      </c>
      <c r="J1095">
        <v>2</v>
      </c>
      <c r="K1095" s="2">
        <v>-0.6008</v>
      </c>
      <c r="L1095" s="3">
        <f>(Table1[[#This Row],[Profit]]/Table1[[#This Row],[Sales]])*100</f>
        <v>-2.5</v>
      </c>
    </row>
    <row r="1096" spans="1:12" x14ac:dyDescent="0.3">
      <c r="A1096" t="s">
        <v>5860</v>
      </c>
      <c r="B1096" s="1">
        <v>44147</v>
      </c>
      <c r="C1096" t="s">
        <v>2220</v>
      </c>
      <c r="D1096" t="s">
        <v>2221</v>
      </c>
      <c r="E1096" t="s">
        <v>14</v>
      </c>
      <c r="F1096" t="s">
        <v>29</v>
      </c>
      <c r="G1096" t="s">
        <v>18</v>
      </c>
      <c r="H1096" t="s">
        <v>4239</v>
      </c>
      <c r="I1096" s="2">
        <v>160.78399999999999</v>
      </c>
      <c r="J1096">
        <v>2</v>
      </c>
      <c r="K1096" s="2">
        <v>-0.55979999999999996</v>
      </c>
      <c r="L1096" s="3">
        <f>(Table1[[#This Row],[Profit]]/Table1[[#This Row],[Sales]])*100</f>
        <v>-0.34816897203701858</v>
      </c>
    </row>
    <row r="1097" spans="1:12" x14ac:dyDescent="0.3">
      <c r="A1097" t="s">
        <v>5521</v>
      </c>
      <c r="B1097" s="1">
        <v>44102</v>
      </c>
      <c r="C1097" t="s">
        <v>3134</v>
      </c>
      <c r="D1097" t="s">
        <v>3135</v>
      </c>
      <c r="E1097" t="s">
        <v>14</v>
      </c>
      <c r="F1097" t="s">
        <v>29</v>
      </c>
      <c r="G1097" t="s">
        <v>24</v>
      </c>
      <c r="H1097" t="s">
        <v>844</v>
      </c>
      <c r="I1097" s="2">
        <v>110.744</v>
      </c>
      <c r="J1097">
        <v>1</v>
      </c>
      <c r="K1097" s="2">
        <v>-0.3488</v>
      </c>
      <c r="L1097" s="3">
        <f>(Table1[[#This Row],[Profit]]/Table1[[#This Row],[Sales]])*100</f>
        <v>-0.31496062992125984</v>
      </c>
    </row>
    <row r="1098" spans="1:12" x14ac:dyDescent="0.3">
      <c r="A1098" t="s">
        <v>4741</v>
      </c>
      <c r="B1098" s="1">
        <v>43981</v>
      </c>
      <c r="C1098" t="s">
        <v>493</v>
      </c>
      <c r="D1098" t="s">
        <v>494</v>
      </c>
      <c r="E1098" t="s">
        <v>14</v>
      </c>
      <c r="F1098" t="s">
        <v>23</v>
      </c>
      <c r="G1098" t="s">
        <v>16</v>
      </c>
      <c r="H1098" t="s">
        <v>4748</v>
      </c>
      <c r="I1098" s="2">
        <v>123.592</v>
      </c>
      <c r="J1098">
        <v>1</v>
      </c>
      <c r="K1098" s="2">
        <v>-0.33979999999999999</v>
      </c>
      <c r="L1098" s="3">
        <f>(Table1[[#This Row],[Profit]]/Table1[[#This Row],[Sales]])*100</f>
        <v>-0.27493688911903685</v>
      </c>
    </row>
    <row r="1099" spans="1:12" x14ac:dyDescent="0.3">
      <c r="A1099" t="s">
        <v>5286</v>
      </c>
      <c r="B1099" s="1">
        <v>44078</v>
      </c>
      <c r="C1099" t="s">
        <v>367</v>
      </c>
      <c r="D1099" t="s">
        <v>368</v>
      </c>
      <c r="E1099" t="s">
        <v>14</v>
      </c>
      <c r="F1099" t="s">
        <v>29</v>
      </c>
      <c r="G1099" t="s">
        <v>24</v>
      </c>
      <c r="H1099" t="s">
        <v>5154</v>
      </c>
      <c r="I1099" s="2">
        <v>102.78400000000001</v>
      </c>
      <c r="J1099">
        <v>1</v>
      </c>
      <c r="K1099" s="2">
        <v>-0.20979999999999999</v>
      </c>
      <c r="L1099" s="3">
        <f>(Table1[[#This Row],[Profit]]/Table1[[#This Row],[Sales]])*100</f>
        <v>-0.20411737235367369</v>
      </c>
    </row>
    <row r="1100" spans="1:12" x14ac:dyDescent="0.3">
      <c r="A1100" t="s">
        <v>196</v>
      </c>
      <c r="B1100" s="1">
        <v>43490</v>
      </c>
      <c r="C1100" t="s">
        <v>197</v>
      </c>
      <c r="D1100" t="s">
        <v>198</v>
      </c>
      <c r="E1100" t="s">
        <v>14</v>
      </c>
      <c r="F1100" t="s">
        <v>15</v>
      </c>
      <c r="G1100" t="s">
        <v>24</v>
      </c>
      <c r="H1100" t="s">
        <v>202</v>
      </c>
      <c r="I1100" s="2">
        <v>428.68</v>
      </c>
      <c r="J1100">
        <v>7</v>
      </c>
      <c r="K1100" s="2">
        <v>0</v>
      </c>
      <c r="L1100" s="3">
        <f>(Table1[[#This Row],[Profit]]/Table1[[#This Row],[Sales]])*100</f>
        <v>0</v>
      </c>
    </row>
    <row r="1101" spans="1:12" x14ac:dyDescent="0.3">
      <c r="A1101" t="s">
        <v>323</v>
      </c>
      <c r="B1101" s="1">
        <v>43504</v>
      </c>
      <c r="C1101" t="s">
        <v>324</v>
      </c>
      <c r="D1101" t="s">
        <v>325</v>
      </c>
      <c r="E1101" t="s">
        <v>14</v>
      </c>
      <c r="F1101" t="s">
        <v>29</v>
      </c>
      <c r="G1101" t="s">
        <v>16</v>
      </c>
      <c r="H1101" t="s">
        <v>326</v>
      </c>
      <c r="I1101" s="2">
        <v>241.5</v>
      </c>
      <c r="J1101">
        <v>4</v>
      </c>
      <c r="K1101" s="2">
        <v>0</v>
      </c>
      <c r="L1101" s="3">
        <f>(Table1[[#This Row],[Profit]]/Table1[[#This Row],[Sales]])*100</f>
        <v>0</v>
      </c>
    </row>
    <row r="1102" spans="1:12" x14ac:dyDescent="0.3">
      <c r="A1102" t="s">
        <v>620</v>
      </c>
      <c r="B1102" s="1">
        <v>43537</v>
      </c>
      <c r="C1102" t="s">
        <v>621</v>
      </c>
      <c r="D1102" t="s">
        <v>622</v>
      </c>
      <c r="E1102" t="s">
        <v>14</v>
      </c>
      <c r="F1102" t="s">
        <v>29</v>
      </c>
      <c r="G1102" t="s">
        <v>16</v>
      </c>
      <c r="H1102" t="s">
        <v>625</v>
      </c>
      <c r="I1102" s="2">
        <v>557.58500000000004</v>
      </c>
      <c r="J1102">
        <v>5</v>
      </c>
      <c r="K1102" s="2">
        <v>0</v>
      </c>
      <c r="L1102" s="3">
        <f>(Table1[[#This Row],[Profit]]/Table1[[#This Row],[Sales]])*100</f>
        <v>0</v>
      </c>
    </row>
    <row r="1103" spans="1:12" x14ac:dyDescent="0.3">
      <c r="A1103" t="s">
        <v>737</v>
      </c>
      <c r="B1103" s="1">
        <v>43545</v>
      </c>
      <c r="C1103" t="s">
        <v>738</v>
      </c>
      <c r="D1103" t="s">
        <v>739</v>
      </c>
      <c r="E1103" t="s">
        <v>14</v>
      </c>
      <c r="F1103" t="s">
        <v>29</v>
      </c>
      <c r="G1103" t="s">
        <v>16</v>
      </c>
      <c r="H1103" t="s">
        <v>741</v>
      </c>
      <c r="I1103" s="2">
        <v>528.42999999999995</v>
      </c>
      <c r="J1103">
        <v>5</v>
      </c>
      <c r="K1103" s="2">
        <v>0</v>
      </c>
      <c r="L1103" s="3">
        <f>(Table1[[#This Row],[Profit]]/Table1[[#This Row],[Sales]])*100</f>
        <v>0</v>
      </c>
    </row>
    <row r="1104" spans="1:12" x14ac:dyDescent="0.3">
      <c r="A1104" t="s">
        <v>1012</v>
      </c>
      <c r="B1104" s="1">
        <v>43570</v>
      </c>
      <c r="C1104" t="s">
        <v>1013</v>
      </c>
      <c r="D1104" t="s">
        <v>1014</v>
      </c>
      <c r="E1104" t="s">
        <v>14</v>
      </c>
      <c r="F1104" t="s">
        <v>23</v>
      </c>
      <c r="G1104" t="s">
        <v>16</v>
      </c>
      <c r="H1104" t="s">
        <v>1015</v>
      </c>
      <c r="I1104" s="2">
        <v>1121.568</v>
      </c>
      <c r="J1104">
        <v>2</v>
      </c>
      <c r="K1104" s="2">
        <v>0</v>
      </c>
      <c r="L1104" s="3">
        <f>(Table1[[#This Row],[Profit]]/Table1[[#This Row],[Sales]])*100</f>
        <v>0</v>
      </c>
    </row>
    <row r="1105" spans="1:12" x14ac:dyDescent="0.3">
      <c r="A1105" t="s">
        <v>1387</v>
      </c>
      <c r="B1105" s="1">
        <v>43601</v>
      </c>
      <c r="C1105" t="s">
        <v>1388</v>
      </c>
      <c r="D1105" t="s">
        <v>1389</v>
      </c>
      <c r="E1105" t="s">
        <v>14</v>
      </c>
      <c r="F1105" t="s">
        <v>15</v>
      </c>
      <c r="G1105" t="s">
        <v>24</v>
      </c>
      <c r="H1105" t="s">
        <v>643</v>
      </c>
      <c r="I1105" s="2">
        <v>552.55999999999995</v>
      </c>
      <c r="J1105">
        <v>4</v>
      </c>
      <c r="K1105" s="2">
        <v>0</v>
      </c>
      <c r="L1105" s="3">
        <f>(Table1[[#This Row],[Profit]]/Table1[[#This Row],[Sales]])*100</f>
        <v>0</v>
      </c>
    </row>
    <row r="1106" spans="1:12" x14ac:dyDescent="0.3">
      <c r="A1106" t="s">
        <v>1418</v>
      </c>
      <c r="B1106" s="1">
        <v>43604</v>
      </c>
      <c r="C1106" t="s">
        <v>1419</v>
      </c>
      <c r="D1106" t="s">
        <v>1420</v>
      </c>
      <c r="E1106" t="s">
        <v>14</v>
      </c>
      <c r="F1106" t="s">
        <v>15</v>
      </c>
      <c r="G1106" t="s">
        <v>24</v>
      </c>
      <c r="H1106" t="s">
        <v>1422</v>
      </c>
      <c r="I1106" s="2">
        <v>454.9</v>
      </c>
      <c r="J1106">
        <v>5</v>
      </c>
      <c r="K1106" s="2">
        <v>0</v>
      </c>
      <c r="L1106" s="3">
        <f>(Table1[[#This Row],[Profit]]/Table1[[#This Row],[Sales]])*100</f>
        <v>0</v>
      </c>
    </row>
    <row r="1107" spans="1:12" x14ac:dyDescent="0.3">
      <c r="A1107" t="s">
        <v>1506</v>
      </c>
      <c r="B1107" s="1">
        <v>43611</v>
      </c>
      <c r="C1107" t="s">
        <v>1507</v>
      </c>
      <c r="D1107" t="s">
        <v>1508</v>
      </c>
      <c r="E1107" t="s">
        <v>14</v>
      </c>
      <c r="F1107" t="s">
        <v>23</v>
      </c>
      <c r="G1107" t="s">
        <v>24</v>
      </c>
      <c r="H1107" t="s">
        <v>1509</v>
      </c>
      <c r="I1107" s="2">
        <v>5.94</v>
      </c>
      <c r="J1107">
        <v>3</v>
      </c>
      <c r="K1107" s="2">
        <v>0</v>
      </c>
      <c r="L1107" s="3">
        <f>(Table1[[#This Row],[Profit]]/Table1[[#This Row],[Sales]])*100</f>
        <v>0</v>
      </c>
    </row>
    <row r="1108" spans="1:12" x14ac:dyDescent="0.3">
      <c r="A1108" t="s">
        <v>1655</v>
      </c>
      <c r="B1108" s="1">
        <v>43622</v>
      </c>
      <c r="C1108" t="s">
        <v>1656</v>
      </c>
      <c r="D1108" t="s">
        <v>1657</v>
      </c>
      <c r="E1108" t="s">
        <v>14</v>
      </c>
      <c r="F1108" t="s">
        <v>15</v>
      </c>
      <c r="G1108" t="s">
        <v>16</v>
      </c>
      <c r="H1108" t="s">
        <v>1658</v>
      </c>
      <c r="I1108" s="2">
        <v>82.64</v>
      </c>
      <c r="J1108">
        <v>2</v>
      </c>
      <c r="K1108" s="2">
        <v>0</v>
      </c>
      <c r="L1108" s="3">
        <f>(Table1[[#This Row],[Profit]]/Table1[[#This Row],[Sales]])*100</f>
        <v>0</v>
      </c>
    </row>
    <row r="1109" spans="1:12" x14ac:dyDescent="0.3">
      <c r="A1109" t="s">
        <v>1950</v>
      </c>
      <c r="B1109" s="1">
        <v>43648</v>
      </c>
      <c r="C1109" t="s">
        <v>361</v>
      </c>
      <c r="D1109" t="s">
        <v>362</v>
      </c>
      <c r="E1109" t="s">
        <v>14</v>
      </c>
      <c r="F1109" t="s">
        <v>29</v>
      </c>
      <c r="G1109" t="s">
        <v>16</v>
      </c>
      <c r="H1109" t="s">
        <v>741</v>
      </c>
      <c r="I1109" s="2">
        <v>528.42999999999995</v>
      </c>
      <c r="J1109">
        <v>5</v>
      </c>
      <c r="K1109" s="2">
        <v>0</v>
      </c>
      <c r="L1109" s="3">
        <f>(Table1[[#This Row],[Profit]]/Table1[[#This Row],[Sales]])*100</f>
        <v>0</v>
      </c>
    </row>
    <row r="1110" spans="1:12" x14ac:dyDescent="0.3">
      <c r="A1110" t="s">
        <v>2087</v>
      </c>
      <c r="B1110" s="1">
        <v>43664</v>
      </c>
      <c r="C1110" t="s">
        <v>2088</v>
      </c>
      <c r="D1110" t="s">
        <v>2089</v>
      </c>
      <c r="E1110" t="s">
        <v>14</v>
      </c>
      <c r="F1110" t="s">
        <v>23</v>
      </c>
      <c r="G1110" t="s">
        <v>24</v>
      </c>
      <c r="H1110" t="s">
        <v>2091</v>
      </c>
      <c r="I1110" s="2">
        <v>593.56799999999998</v>
      </c>
      <c r="J1110">
        <v>2</v>
      </c>
      <c r="K1110" s="2">
        <v>0</v>
      </c>
      <c r="L1110" s="3">
        <f>(Table1[[#This Row],[Profit]]/Table1[[#This Row],[Sales]])*100</f>
        <v>0</v>
      </c>
    </row>
    <row r="1111" spans="1:12" x14ac:dyDescent="0.3">
      <c r="A1111" t="s">
        <v>2126</v>
      </c>
      <c r="B1111" s="1">
        <v>43667</v>
      </c>
      <c r="C1111" t="s">
        <v>977</v>
      </c>
      <c r="D1111" t="s">
        <v>978</v>
      </c>
      <c r="E1111" t="s">
        <v>14</v>
      </c>
      <c r="F1111" t="s">
        <v>41</v>
      </c>
      <c r="G1111" t="s">
        <v>16</v>
      </c>
      <c r="H1111" t="s">
        <v>2128</v>
      </c>
      <c r="I1111" s="2">
        <v>363.92</v>
      </c>
      <c r="J1111">
        <v>5</v>
      </c>
      <c r="K1111" s="2">
        <v>0</v>
      </c>
      <c r="L1111" s="3">
        <f>(Table1[[#This Row],[Profit]]/Table1[[#This Row],[Sales]])*100</f>
        <v>0</v>
      </c>
    </row>
    <row r="1112" spans="1:12" x14ac:dyDescent="0.3">
      <c r="A1112" t="s">
        <v>2566</v>
      </c>
      <c r="B1112" s="1">
        <v>43711</v>
      </c>
      <c r="C1112" t="s">
        <v>1179</v>
      </c>
      <c r="D1112" t="s">
        <v>1180</v>
      </c>
      <c r="E1112" t="s">
        <v>14</v>
      </c>
      <c r="F1112" t="s">
        <v>29</v>
      </c>
      <c r="G1112" t="s">
        <v>16</v>
      </c>
      <c r="H1112" t="s">
        <v>2567</v>
      </c>
      <c r="I1112" s="2">
        <v>198.744</v>
      </c>
      <c r="J1112">
        <v>4</v>
      </c>
      <c r="K1112" s="2">
        <v>0</v>
      </c>
      <c r="L1112" s="3">
        <f>(Table1[[#This Row],[Profit]]/Table1[[#This Row],[Sales]])*100</f>
        <v>0</v>
      </c>
    </row>
    <row r="1113" spans="1:12" x14ac:dyDescent="0.3">
      <c r="A1113" t="s">
        <v>3055</v>
      </c>
      <c r="B1113" s="1">
        <v>43747</v>
      </c>
      <c r="C1113" t="s">
        <v>3056</v>
      </c>
      <c r="D1113" t="s">
        <v>3057</v>
      </c>
      <c r="E1113" t="s">
        <v>14</v>
      </c>
      <c r="F1113" t="s">
        <v>23</v>
      </c>
      <c r="G1113" t="s">
        <v>16</v>
      </c>
      <c r="H1113" t="s">
        <v>1290</v>
      </c>
      <c r="I1113" s="2">
        <v>169.56800000000001</v>
      </c>
      <c r="J1113">
        <v>2</v>
      </c>
      <c r="K1113" s="2">
        <v>0</v>
      </c>
      <c r="L1113" s="3">
        <f>(Table1[[#This Row],[Profit]]/Table1[[#This Row],[Sales]])*100</f>
        <v>0</v>
      </c>
    </row>
    <row r="1114" spans="1:12" x14ac:dyDescent="0.3">
      <c r="A1114" t="s">
        <v>3196</v>
      </c>
      <c r="B1114" s="1">
        <v>43766</v>
      </c>
      <c r="C1114" t="s">
        <v>356</v>
      </c>
      <c r="D1114" t="s">
        <v>357</v>
      </c>
      <c r="E1114" t="s">
        <v>14</v>
      </c>
      <c r="F1114" t="s">
        <v>41</v>
      </c>
      <c r="G1114" t="s">
        <v>16</v>
      </c>
      <c r="H1114" t="s">
        <v>940</v>
      </c>
      <c r="I1114" s="2">
        <v>63.968000000000004</v>
      </c>
      <c r="J1114">
        <v>2</v>
      </c>
      <c r="K1114" s="2">
        <v>0</v>
      </c>
      <c r="L1114" s="3">
        <f>(Table1[[#This Row],[Profit]]/Table1[[#This Row],[Sales]])*100</f>
        <v>0</v>
      </c>
    </row>
    <row r="1115" spans="1:12" x14ac:dyDescent="0.3">
      <c r="A1115" t="s">
        <v>3384</v>
      </c>
      <c r="B1115" s="1">
        <v>43780</v>
      </c>
      <c r="C1115" t="s">
        <v>3385</v>
      </c>
      <c r="D1115" t="s">
        <v>3386</v>
      </c>
      <c r="E1115" t="s">
        <v>14</v>
      </c>
      <c r="F1115" t="s">
        <v>23</v>
      </c>
      <c r="G1115" t="s">
        <v>16</v>
      </c>
      <c r="H1115" t="s">
        <v>3388</v>
      </c>
      <c r="I1115" s="2">
        <v>451.15199999999999</v>
      </c>
      <c r="J1115">
        <v>3</v>
      </c>
      <c r="K1115" s="2">
        <v>0</v>
      </c>
      <c r="L1115" s="3">
        <f>(Table1[[#This Row],[Profit]]/Table1[[#This Row],[Sales]])*100</f>
        <v>0</v>
      </c>
    </row>
    <row r="1116" spans="1:12" x14ac:dyDescent="0.3">
      <c r="A1116" t="s">
        <v>3399</v>
      </c>
      <c r="B1116" s="1">
        <v>43781</v>
      </c>
      <c r="C1116" t="s">
        <v>989</v>
      </c>
      <c r="D1116" t="s">
        <v>990</v>
      </c>
      <c r="E1116" t="s">
        <v>14</v>
      </c>
      <c r="F1116" t="s">
        <v>15</v>
      </c>
      <c r="G1116" t="s">
        <v>16</v>
      </c>
      <c r="H1116" t="s">
        <v>843</v>
      </c>
      <c r="I1116" s="2">
        <v>1537.0740000000001</v>
      </c>
      <c r="J1116">
        <v>9</v>
      </c>
      <c r="K1116" s="2">
        <v>0</v>
      </c>
      <c r="L1116" s="3">
        <f>(Table1[[#This Row],[Profit]]/Table1[[#This Row],[Sales]])*100</f>
        <v>0</v>
      </c>
    </row>
    <row r="1117" spans="1:12" x14ac:dyDescent="0.3">
      <c r="A1117" t="s">
        <v>3690</v>
      </c>
      <c r="B1117" s="1">
        <v>43803</v>
      </c>
      <c r="C1117" t="s">
        <v>3691</v>
      </c>
      <c r="D1117" t="s">
        <v>3692</v>
      </c>
      <c r="E1117" t="s">
        <v>14</v>
      </c>
      <c r="F1117" t="s">
        <v>15</v>
      </c>
      <c r="G1117" t="s">
        <v>24</v>
      </c>
      <c r="H1117" t="s">
        <v>3693</v>
      </c>
      <c r="I1117" s="2">
        <v>212.88</v>
      </c>
      <c r="J1117">
        <v>6</v>
      </c>
      <c r="K1117" s="2">
        <v>0</v>
      </c>
      <c r="L1117" s="3">
        <f>(Table1[[#This Row],[Profit]]/Table1[[#This Row],[Sales]])*100</f>
        <v>0</v>
      </c>
    </row>
    <row r="1118" spans="1:12" x14ac:dyDescent="0.3">
      <c r="A1118" t="s">
        <v>3718</v>
      </c>
      <c r="B1118" s="1">
        <v>43805</v>
      </c>
      <c r="C1118" t="s">
        <v>1476</v>
      </c>
      <c r="D1118" t="s">
        <v>1477</v>
      </c>
      <c r="E1118" t="s">
        <v>14</v>
      </c>
      <c r="F1118" t="s">
        <v>23</v>
      </c>
      <c r="G1118" t="s">
        <v>24</v>
      </c>
      <c r="H1118" t="s">
        <v>1509</v>
      </c>
      <c r="I1118" s="2">
        <v>13.86</v>
      </c>
      <c r="J1118">
        <v>7</v>
      </c>
      <c r="K1118" s="2">
        <v>0</v>
      </c>
      <c r="L1118" s="3">
        <f>(Table1[[#This Row],[Profit]]/Table1[[#This Row],[Sales]])*100</f>
        <v>0</v>
      </c>
    </row>
    <row r="1119" spans="1:12" x14ac:dyDescent="0.3">
      <c r="A1119" t="s">
        <v>3957</v>
      </c>
      <c r="B1119" s="1">
        <v>43829</v>
      </c>
      <c r="C1119" t="s">
        <v>971</v>
      </c>
      <c r="D1119" t="s">
        <v>972</v>
      </c>
      <c r="E1119" t="s">
        <v>14</v>
      </c>
      <c r="F1119" t="s">
        <v>15</v>
      </c>
      <c r="G1119" t="s">
        <v>16</v>
      </c>
      <c r="H1119" t="s">
        <v>843</v>
      </c>
      <c r="I1119" s="2">
        <v>170.786</v>
      </c>
      <c r="J1119">
        <v>1</v>
      </c>
      <c r="K1119" s="2">
        <v>0</v>
      </c>
      <c r="L1119" s="3">
        <f>(Table1[[#This Row],[Profit]]/Table1[[#This Row],[Sales]])*100</f>
        <v>0</v>
      </c>
    </row>
    <row r="1120" spans="1:12" x14ac:dyDescent="0.3">
      <c r="A1120" t="s">
        <v>4419</v>
      </c>
      <c r="B1120" s="1">
        <v>43928</v>
      </c>
      <c r="C1120" t="s">
        <v>1333</v>
      </c>
      <c r="D1120" t="s">
        <v>1334</v>
      </c>
      <c r="E1120" t="s">
        <v>14</v>
      </c>
      <c r="F1120" t="s">
        <v>41</v>
      </c>
      <c r="G1120" t="s">
        <v>16</v>
      </c>
      <c r="H1120" t="s">
        <v>135</v>
      </c>
      <c r="I1120" s="2">
        <v>275.072</v>
      </c>
      <c r="J1120">
        <v>3</v>
      </c>
      <c r="K1120" s="2">
        <v>0</v>
      </c>
      <c r="L1120" s="3">
        <f>(Table1[[#This Row],[Profit]]/Table1[[#This Row],[Sales]])*100</f>
        <v>0</v>
      </c>
    </row>
    <row r="1121" spans="1:12" x14ac:dyDescent="0.3">
      <c r="A1121" t="s">
        <v>4428</v>
      </c>
      <c r="B1121" s="1">
        <v>43930</v>
      </c>
      <c r="C1121" t="s">
        <v>4429</v>
      </c>
      <c r="D1121" t="s">
        <v>4430</v>
      </c>
      <c r="E1121" t="s">
        <v>14</v>
      </c>
      <c r="F1121" t="s">
        <v>15</v>
      </c>
      <c r="G1121" t="s">
        <v>24</v>
      </c>
      <c r="H1121" t="s">
        <v>4435</v>
      </c>
      <c r="I1121" s="2">
        <v>520.80999999999995</v>
      </c>
      <c r="J1121">
        <v>3</v>
      </c>
      <c r="K1121" s="2">
        <v>0</v>
      </c>
      <c r="L1121" s="3">
        <f>(Table1[[#This Row],[Profit]]/Table1[[#This Row],[Sales]])*100</f>
        <v>0</v>
      </c>
    </row>
    <row r="1122" spans="1:12" x14ac:dyDescent="0.3">
      <c r="A1122" t="s">
        <v>4508</v>
      </c>
      <c r="B1122" s="1">
        <v>43943</v>
      </c>
      <c r="C1122" t="s">
        <v>2494</v>
      </c>
      <c r="D1122" t="s">
        <v>2495</v>
      </c>
      <c r="E1122" t="s">
        <v>14</v>
      </c>
      <c r="F1122" t="s">
        <v>15</v>
      </c>
      <c r="G1122" t="s">
        <v>16</v>
      </c>
      <c r="H1122" t="s">
        <v>1290</v>
      </c>
      <c r="I1122" s="2">
        <v>265.35199999999998</v>
      </c>
      <c r="J1122">
        <v>3</v>
      </c>
      <c r="K1122" s="2">
        <v>0</v>
      </c>
      <c r="L1122" s="3">
        <f>(Table1[[#This Row],[Profit]]/Table1[[#This Row],[Sales]])*100</f>
        <v>0</v>
      </c>
    </row>
    <row r="1123" spans="1:12" x14ac:dyDescent="0.3">
      <c r="A1123" t="s">
        <v>4566</v>
      </c>
      <c r="B1123" s="1">
        <v>43952</v>
      </c>
      <c r="C1123" t="s">
        <v>565</v>
      </c>
      <c r="D1123" t="s">
        <v>566</v>
      </c>
      <c r="E1123" t="s">
        <v>14</v>
      </c>
      <c r="F1123" t="s">
        <v>41</v>
      </c>
      <c r="G1123" t="s">
        <v>16</v>
      </c>
      <c r="H1123" t="s">
        <v>1015</v>
      </c>
      <c r="I1123" s="2">
        <v>2821.92</v>
      </c>
      <c r="J1123">
        <v>5</v>
      </c>
      <c r="K1123" s="2">
        <v>0</v>
      </c>
      <c r="L1123" s="3">
        <f>(Table1[[#This Row],[Profit]]/Table1[[#This Row],[Sales]])*100</f>
        <v>0</v>
      </c>
    </row>
    <row r="1124" spans="1:12" x14ac:dyDescent="0.3">
      <c r="A1124" t="s">
        <v>4766</v>
      </c>
      <c r="B1124" s="1">
        <v>43985</v>
      </c>
      <c r="C1124" t="s">
        <v>1214</v>
      </c>
      <c r="D1124" t="s">
        <v>1215</v>
      </c>
      <c r="E1124" t="s">
        <v>14</v>
      </c>
      <c r="F1124" t="s">
        <v>41</v>
      </c>
      <c r="G1124" t="s">
        <v>16</v>
      </c>
      <c r="H1124" t="s">
        <v>4387</v>
      </c>
      <c r="I1124" s="2">
        <v>276.56799999999998</v>
      </c>
      <c r="J1124">
        <v>2</v>
      </c>
      <c r="K1124" s="2">
        <v>0</v>
      </c>
      <c r="L1124" s="3">
        <f>(Table1[[#This Row],[Profit]]/Table1[[#This Row],[Sales]])*100</f>
        <v>0</v>
      </c>
    </row>
    <row r="1125" spans="1:12" x14ac:dyDescent="0.3">
      <c r="A1125" t="s">
        <v>4780</v>
      </c>
      <c r="B1125" s="1">
        <v>43988</v>
      </c>
      <c r="C1125" t="s">
        <v>2292</v>
      </c>
      <c r="D1125" t="s">
        <v>2293</v>
      </c>
      <c r="E1125" t="s">
        <v>14</v>
      </c>
      <c r="F1125" t="s">
        <v>23</v>
      </c>
      <c r="G1125" t="s">
        <v>24</v>
      </c>
      <c r="H1125" t="s">
        <v>1211</v>
      </c>
      <c r="I1125" s="2">
        <v>115.4</v>
      </c>
      <c r="J1125">
        <v>5</v>
      </c>
      <c r="K1125" s="2">
        <v>0</v>
      </c>
      <c r="L1125" s="3">
        <f>(Table1[[#This Row],[Profit]]/Table1[[#This Row],[Sales]])*100</f>
        <v>0</v>
      </c>
    </row>
    <row r="1126" spans="1:12" x14ac:dyDescent="0.3">
      <c r="A1126" t="s">
        <v>4900</v>
      </c>
      <c r="B1126" s="1">
        <v>44008</v>
      </c>
      <c r="C1126" t="s">
        <v>1391</v>
      </c>
      <c r="D1126" t="s">
        <v>1392</v>
      </c>
      <c r="E1126" t="s">
        <v>14</v>
      </c>
      <c r="F1126" t="s">
        <v>15</v>
      </c>
      <c r="G1126" t="s">
        <v>24</v>
      </c>
      <c r="H1126" t="s">
        <v>1422</v>
      </c>
      <c r="I1126" s="2">
        <v>285.94</v>
      </c>
      <c r="J1126">
        <v>3</v>
      </c>
      <c r="K1126" s="2">
        <v>0</v>
      </c>
      <c r="L1126" s="3">
        <f>(Table1[[#This Row],[Profit]]/Table1[[#This Row],[Sales]])*100</f>
        <v>0</v>
      </c>
    </row>
    <row r="1127" spans="1:12" x14ac:dyDescent="0.3">
      <c r="A1127" t="s">
        <v>5024</v>
      </c>
      <c r="B1127" s="1">
        <v>44029</v>
      </c>
      <c r="C1127" t="s">
        <v>49</v>
      </c>
      <c r="D1127" t="s">
        <v>50</v>
      </c>
      <c r="E1127" t="s">
        <v>14</v>
      </c>
      <c r="F1127" t="s">
        <v>23</v>
      </c>
      <c r="G1127" t="s">
        <v>24</v>
      </c>
      <c r="H1127" t="s">
        <v>1211</v>
      </c>
      <c r="I1127" s="2">
        <v>121.56</v>
      </c>
      <c r="J1127">
        <v>2</v>
      </c>
      <c r="K1127" s="2">
        <v>0</v>
      </c>
      <c r="L1127" s="3">
        <f>(Table1[[#This Row],[Profit]]/Table1[[#This Row],[Sales]])*100</f>
        <v>0</v>
      </c>
    </row>
    <row r="1128" spans="1:12" x14ac:dyDescent="0.3">
      <c r="A1128" t="s">
        <v>5144</v>
      </c>
      <c r="B1128" s="1">
        <v>44056</v>
      </c>
      <c r="C1128" t="s">
        <v>762</v>
      </c>
      <c r="D1128" t="s">
        <v>763</v>
      </c>
      <c r="E1128" t="s">
        <v>14</v>
      </c>
      <c r="F1128" t="s">
        <v>41</v>
      </c>
      <c r="G1128" t="s">
        <v>16</v>
      </c>
      <c r="H1128" t="s">
        <v>940</v>
      </c>
      <c r="I1128" s="2">
        <v>132.98400000000001</v>
      </c>
      <c r="J1128">
        <v>1</v>
      </c>
      <c r="K1128" s="2">
        <v>0</v>
      </c>
      <c r="L1128" s="3">
        <f>(Table1[[#This Row],[Profit]]/Table1[[#This Row],[Sales]])*100</f>
        <v>0</v>
      </c>
    </row>
    <row r="1129" spans="1:12" x14ac:dyDescent="0.3">
      <c r="A1129" t="s">
        <v>5394</v>
      </c>
      <c r="B1129" s="1">
        <v>44089</v>
      </c>
      <c r="C1129" t="s">
        <v>5395</v>
      </c>
      <c r="D1129" t="s">
        <v>5396</v>
      </c>
      <c r="E1129" t="s">
        <v>14</v>
      </c>
      <c r="F1129" t="s">
        <v>15</v>
      </c>
      <c r="G1129" t="s">
        <v>24</v>
      </c>
      <c r="H1129" t="s">
        <v>2660</v>
      </c>
      <c r="I1129" s="2">
        <v>104.96</v>
      </c>
      <c r="J1129">
        <v>2</v>
      </c>
      <c r="K1129" s="2">
        <v>0</v>
      </c>
      <c r="L1129" s="3">
        <f>(Table1[[#This Row],[Profit]]/Table1[[#This Row],[Sales]])*100</f>
        <v>0</v>
      </c>
    </row>
    <row r="1130" spans="1:12" x14ac:dyDescent="0.3">
      <c r="A1130" t="s">
        <v>5397</v>
      </c>
      <c r="B1130" s="1">
        <v>44089</v>
      </c>
      <c r="C1130" t="s">
        <v>501</v>
      </c>
      <c r="D1130" t="s">
        <v>502</v>
      </c>
      <c r="E1130" t="s">
        <v>14</v>
      </c>
      <c r="F1130" t="s">
        <v>23</v>
      </c>
      <c r="G1130" t="s">
        <v>16</v>
      </c>
      <c r="H1130" t="s">
        <v>2128</v>
      </c>
      <c r="I1130" s="2">
        <v>241.352</v>
      </c>
      <c r="J1130">
        <v>3</v>
      </c>
      <c r="K1130" s="2">
        <v>0</v>
      </c>
      <c r="L1130" s="3">
        <f>(Table1[[#This Row],[Profit]]/Table1[[#This Row],[Sales]])*100</f>
        <v>0</v>
      </c>
    </row>
    <row r="1131" spans="1:12" x14ac:dyDescent="0.3">
      <c r="A1131" t="s">
        <v>5523</v>
      </c>
      <c r="B1131" s="1">
        <v>44103</v>
      </c>
      <c r="C1131" t="s">
        <v>356</v>
      </c>
      <c r="D1131" t="s">
        <v>357</v>
      </c>
      <c r="E1131" t="s">
        <v>14</v>
      </c>
      <c r="F1131" t="s">
        <v>23</v>
      </c>
      <c r="G1131" t="s">
        <v>16</v>
      </c>
      <c r="H1131" t="s">
        <v>2128</v>
      </c>
      <c r="I1131" s="2">
        <v>187.78399999999999</v>
      </c>
      <c r="J1131">
        <v>1</v>
      </c>
      <c r="K1131" s="2">
        <v>0</v>
      </c>
      <c r="L1131" s="3">
        <f>(Table1[[#This Row],[Profit]]/Table1[[#This Row],[Sales]])*100</f>
        <v>0</v>
      </c>
    </row>
    <row r="1132" spans="1:12" x14ac:dyDescent="0.3">
      <c r="A1132" t="s">
        <v>5541</v>
      </c>
      <c r="B1132" s="1">
        <v>44105</v>
      </c>
      <c r="C1132" t="s">
        <v>3691</v>
      </c>
      <c r="D1132" t="s">
        <v>3692</v>
      </c>
      <c r="E1132" t="s">
        <v>14</v>
      </c>
      <c r="F1132" t="s">
        <v>23</v>
      </c>
      <c r="G1132" t="s">
        <v>16</v>
      </c>
      <c r="H1132" t="s">
        <v>3388</v>
      </c>
      <c r="I1132" s="2">
        <v>468.15199999999999</v>
      </c>
      <c r="J1132">
        <v>3</v>
      </c>
      <c r="K1132" s="2">
        <v>0</v>
      </c>
      <c r="L1132" s="3">
        <f>(Table1[[#This Row],[Profit]]/Table1[[#This Row],[Sales]])*100</f>
        <v>0</v>
      </c>
    </row>
    <row r="1133" spans="1:12" x14ac:dyDescent="0.3">
      <c r="A1133" t="s">
        <v>5856</v>
      </c>
      <c r="B1133" s="1">
        <v>44146</v>
      </c>
      <c r="C1133" t="s">
        <v>2182</v>
      </c>
      <c r="D1133" t="s">
        <v>2183</v>
      </c>
      <c r="E1133" t="s">
        <v>14</v>
      </c>
      <c r="F1133" t="s">
        <v>15</v>
      </c>
      <c r="G1133" t="s">
        <v>24</v>
      </c>
      <c r="H1133" t="s">
        <v>3693</v>
      </c>
      <c r="I1133" s="2">
        <v>125.48</v>
      </c>
      <c r="J1133">
        <v>1</v>
      </c>
      <c r="K1133" s="2">
        <v>0</v>
      </c>
      <c r="L1133" s="3">
        <f>(Table1[[#This Row],[Profit]]/Table1[[#This Row],[Sales]])*100</f>
        <v>0</v>
      </c>
    </row>
    <row r="1134" spans="1:12" x14ac:dyDescent="0.3">
      <c r="A1134" t="s">
        <v>5902</v>
      </c>
      <c r="B1134" s="1">
        <v>44150</v>
      </c>
      <c r="C1134" t="s">
        <v>5135</v>
      </c>
      <c r="D1134" t="s">
        <v>5136</v>
      </c>
      <c r="E1134" t="s">
        <v>14</v>
      </c>
      <c r="F1134" t="s">
        <v>41</v>
      </c>
      <c r="G1134" t="s">
        <v>16</v>
      </c>
      <c r="H1134" t="s">
        <v>1290</v>
      </c>
      <c r="I1134" s="2">
        <v>378.13600000000002</v>
      </c>
      <c r="J1134">
        <v>4</v>
      </c>
      <c r="K1134" s="2">
        <v>0</v>
      </c>
      <c r="L1134" s="3">
        <f>(Table1[[#This Row],[Profit]]/Table1[[#This Row],[Sales]])*100</f>
        <v>0</v>
      </c>
    </row>
    <row r="1135" spans="1:12" x14ac:dyDescent="0.3">
      <c r="A1135" t="s">
        <v>6012</v>
      </c>
      <c r="B1135" s="1">
        <v>44160</v>
      </c>
      <c r="C1135" t="s">
        <v>2528</v>
      </c>
      <c r="D1135" t="s">
        <v>2529</v>
      </c>
      <c r="E1135" t="s">
        <v>14</v>
      </c>
      <c r="F1135" t="s">
        <v>29</v>
      </c>
      <c r="G1135" t="s">
        <v>24</v>
      </c>
      <c r="H1135" t="s">
        <v>4435</v>
      </c>
      <c r="I1135" s="2">
        <v>526.80999999999995</v>
      </c>
      <c r="J1135">
        <v>3</v>
      </c>
      <c r="K1135" s="2">
        <v>0</v>
      </c>
      <c r="L1135" s="3">
        <f>(Table1[[#This Row],[Profit]]/Table1[[#This Row],[Sales]])*100</f>
        <v>0</v>
      </c>
    </row>
    <row r="1136" spans="1:12" x14ac:dyDescent="0.3">
      <c r="A1136" t="s">
        <v>6069</v>
      </c>
      <c r="B1136" s="1">
        <v>44167</v>
      </c>
      <c r="C1136" t="s">
        <v>4254</v>
      </c>
      <c r="D1136" t="s">
        <v>4255</v>
      </c>
      <c r="E1136" t="s">
        <v>14</v>
      </c>
      <c r="F1136" t="s">
        <v>23</v>
      </c>
      <c r="G1136" t="s">
        <v>16</v>
      </c>
      <c r="H1136" t="s">
        <v>1290</v>
      </c>
      <c r="I1136" s="2">
        <v>556.70399999999995</v>
      </c>
      <c r="J1136">
        <v>6</v>
      </c>
      <c r="K1136" s="2">
        <v>0</v>
      </c>
      <c r="L1136" s="3">
        <f>(Table1[[#This Row],[Profit]]/Table1[[#This Row],[Sales]])*100</f>
        <v>0</v>
      </c>
    </row>
    <row r="1137" spans="1:12" x14ac:dyDescent="0.3">
      <c r="A1137" t="s">
        <v>6133</v>
      </c>
      <c r="B1137" s="1">
        <v>44173</v>
      </c>
      <c r="C1137" t="s">
        <v>2578</v>
      </c>
      <c r="D1137" t="s">
        <v>2579</v>
      </c>
      <c r="E1137" t="s">
        <v>14</v>
      </c>
      <c r="F1137" t="s">
        <v>15</v>
      </c>
      <c r="G1137" t="s">
        <v>24</v>
      </c>
      <c r="H1137" t="s">
        <v>1422</v>
      </c>
      <c r="I1137" s="2">
        <v>282.94</v>
      </c>
      <c r="J1137">
        <v>3</v>
      </c>
      <c r="K1137" s="2">
        <v>0</v>
      </c>
      <c r="L1137" s="3">
        <f>(Table1[[#This Row],[Profit]]/Table1[[#This Row],[Sales]])*100</f>
        <v>0</v>
      </c>
    </row>
    <row r="1138" spans="1:12" x14ac:dyDescent="0.3">
      <c r="A1138" t="s">
        <v>6265</v>
      </c>
      <c r="B1138" s="1">
        <v>44189</v>
      </c>
      <c r="C1138" t="s">
        <v>390</v>
      </c>
      <c r="D1138" t="s">
        <v>391</v>
      </c>
      <c r="E1138" t="s">
        <v>14</v>
      </c>
      <c r="F1138" t="s">
        <v>23</v>
      </c>
      <c r="G1138" t="s">
        <v>24</v>
      </c>
      <c r="H1138" t="s">
        <v>4435</v>
      </c>
      <c r="I1138" s="2">
        <v>814.62</v>
      </c>
      <c r="J1138">
        <v>6</v>
      </c>
      <c r="K1138" s="2">
        <v>0</v>
      </c>
      <c r="L1138" s="3">
        <f>(Table1[[#This Row],[Profit]]/Table1[[#This Row],[Sales]])*100</f>
        <v>0</v>
      </c>
    </row>
    <row r="1139" spans="1:12" x14ac:dyDescent="0.3">
      <c r="A1139" t="s">
        <v>1952</v>
      </c>
      <c r="B1139" s="1">
        <v>43649</v>
      </c>
      <c r="C1139" t="s">
        <v>1953</v>
      </c>
      <c r="D1139" t="s">
        <v>1954</v>
      </c>
      <c r="E1139" t="s">
        <v>14</v>
      </c>
      <c r="F1139" t="s">
        <v>23</v>
      </c>
      <c r="G1139" t="s">
        <v>24</v>
      </c>
      <c r="H1139" t="s">
        <v>1956</v>
      </c>
      <c r="I1139" s="2">
        <v>3.96</v>
      </c>
      <c r="J1139">
        <v>2</v>
      </c>
      <c r="K1139" s="2">
        <v>7.9200000000000007E-2</v>
      </c>
      <c r="L1139" s="3">
        <f>(Table1[[#This Row],[Profit]]/Table1[[#This Row],[Sales]])*100</f>
        <v>2</v>
      </c>
    </row>
    <row r="1140" spans="1:12" x14ac:dyDescent="0.3">
      <c r="A1140" t="s">
        <v>4013</v>
      </c>
      <c r="B1140" s="1">
        <v>43844</v>
      </c>
      <c r="C1140" t="s">
        <v>4014</v>
      </c>
      <c r="D1140" t="s">
        <v>4015</v>
      </c>
      <c r="E1140" t="s">
        <v>14</v>
      </c>
      <c r="F1140" t="s">
        <v>29</v>
      </c>
      <c r="G1140" t="s">
        <v>24</v>
      </c>
      <c r="H1140" t="s">
        <v>150</v>
      </c>
      <c r="I1140" s="2">
        <v>121.52</v>
      </c>
      <c r="J1140">
        <v>2</v>
      </c>
      <c r="K1140" s="2">
        <v>0.1008</v>
      </c>
      <c r="L1140" s="3">
        <f>(Table1[[#This Row],[Profit]]/Table1[[#This Row],[Sales]])*100</f>
        <v>8.294930875576037E-2</v>
      </c>
    </row>
    <row r="1141" spans="1:12" x14ac:dyDescent="0.3">
      <c r="A1141" t="s">
        <v>4064</v>
      </c>
      <c r="B1141" s="1">
        <v>43854</v>
      </c>
      <c r="C1141" t="s">
        <v>2020</v>
      </c>
      <c r="D1141" t="s">
        <v>2021</v>
      </c>
      <c r="E1141" t="s">
        <v>14</v>
      </c>
      <c r="F1141" t="s">
        <v>41</v>
      </c>
      <c r="G1141" t="s">
        <v>24</v>
      </c>
      <c r="H1141" t="s">
        <v>290</v>
      </c>
      <c r="I1141" s="2">
        <v>98.67</v>
      </c>
      <c r="J1141">
        <v>3</v>
      </c>
      <c r="K1141" s="2">
        <v>0.1134</v>
      </c>
      <c r="L1141" s="3">
        <f>(Table1[[#This Row],[Profit]]/Table1[[#This Row],[Sales]])*100</f>
        <v>0.1149285497111584</v>
      </c>
    </row>
    <row r="1142" spans="1:12" x14ac:dyDescent="0.3">
      <c r="A1142" t="s">
        <v>4969</v>
      </c>
      <c r="B1142" s="1">
        <v>44019</v>
      </c>
      <c r="C1142" t="s">
        <v>1589</v>
      </c>
      <c r="D1142" t="s">
        <v>1590</v>
      </c>
      <c r="E1142" t="s">
        <v>14</v>
      </c>
      <c r="F1142" t="s">
        <v>23</v>
      </c>
      <c r="G1142" t="s">
        <v>24</v>
      </c>
      <c r="H1142" t="s">
        <v>1956</v>
      </c>
      <c r="I1142" s="2">
        <v>130.94</v>
      </c>
      <c r="J1142">
        <v>3</v>
      </c>
      <c r="K1142" s="2">
        <v>0.1188</v>
      </c>
      <c r="L1142" s="3">
        <f>(Table1[[#This Row],[Profit]]/Table1[[#This Row],[Sales]])*100</f>
        <v>9.0728577974644883E-2</v>
      </c>
    </row>
    <row r="1143" spans="1:12" x14ac:dyDescent="0.3">
      <c r="A1143" t="s">
        <v>3128</v>
      </c>
      <c r="B1143" s="1">
        <v>43759</v>
      </c>
      <c r="C1143" t="s">
        <v>1359</v>
      </c>
      <c r="D1143" t="s">
        <v>1360</v>
      </c>
      <c r="E1143" t="s">
        <v>14</v>
      </c>
      <c r="F1143" t="s">
        <v>15</v>
      </c>
      <c r="G1143" t="s">
        <v>24</v>
      </c>
      <c r="H1143" t="s">
        <v>844</v>
      </c>
      <c r="I1143" s="2">
        <v>7.36</v>
      </c>
      <c r="J1143">
        <v>2</v>
      </c>
      <c r="K1143" s="2">
        <v>0.1472</v>
      </c>
      <c r="L1143" s="3">
        <f>(Table1[[#This Row],[Profit]]/Table1[[#This Row],[Sales]])*100</f>
        <v>2</v>
      </c>
    </row>
    <row r="1144" spans="1:12" x14ac:dyDescent="0.3">
      <c r="A1144" t="s">
        <v>2819</v>
      </c>
      <c r="B1144" s="1">
        <v>43727</v>
      </c>
      <c r="C1144" t="s">
        <v>2020</v>
      </c>
      <c r="D1144" t="s">
        <v>2021</v>
      </c>
      <c r="E1144" t="s">
        <v>14</v>
      </c>
      <c r="F1144" t="s">
        <v>41</v>
      </c>
      <c r="G1144" t="s">
        <v>24</v>
      </c>
      <c r="H1144" t="s">
        <v>2820</v>
      </c>
      <c r="I1144" s="2">
        <v>5.04</v>
      </c>
      <c r="J1144">
        <v>2</v>
      </c>
      <c r="K1144" s="2">
        <v>0.1512</v>
      </c>
      <c r="L1144" s="3">
        <f>(Table1[[#This Row],[Profit]]/Table1[[#This Row],[Sales]])*100</f>
        <v>3</v>
      </c>
    </row>
    <row r="1145" spans="1:12" x14ac:dyDescent="0.3">
      <c r="A1145" t="s">
        <v>4449</v>
      </c>
      <c r="B1145" s="1">
        <v>43932</v>
      </c>
      <c r="C1145" t="s">
        <v>2791</v>
      </c>
      <c r="D1145" t="s">
        <v>2792</v>
      </c>
      <c r="E1145" t="s">
        <v>14</v>
      </c>
      <c r="F1145" t="s">
        <v>41</v>
      </c>
      <c r="G1145" t="s">
        <v>24</v>
      </c>
      <c r="H1145" t="s">
        <v>4451</v>
      </c>
      <c r="I1145" s="2">
        <v>108.752</v>
      </c>
      <c r="J1145">
        <v>1</v>
      </c>
      <c r="K1145" s="2">
        <v>0.15329999999999999</v>
      </c>
      <c r="L1145" s="3">
        <f>(Table1[[#This Row],[Profit]]/Table1[[#This Row],[Sales]])*100</f>
        <v>0.14096292481977343</v>
      </c>
    </row>
    <row r="1146" spans="1:12" x14ac:dyDescent="0.3">
      <c r="A1146" t="s">
        <v>5889</v>
      </c>
      <c r="B1146" s="1">
        <v>44148</v>
      </c>
      <c r="C1146" t="s">
        <v>1671</v>
      </c>
      <c r="D1146" t="s">
        <v>1672</v>
      </c>
      <c r="E1146" t="s">
        <v>14</v>
      </c>
      <c r="F1146" t="s">
        <v>41</v>
      </c>
      <c r="G1146" t="s">
        <v>24</v>
      </c>
      <c r="H1146" t="s">
        <v>1810</v>
      </c>
      <c r="I1146" s="2">
        <v>108.06399999999999</v>
      </c>
      <c r="J1146">
        <v>1</v>
      </c>
      <c r="K1146" s="2">
        <v>0.15479999999999999</v>
      </c>
      <c r="L1146" s="3">
        <f>(Table1[[#This Row],[Profit]]/Table1[[#This Row],[Sales]])*100</f>
        <v>0.14324844536570921</v>
      </c>
    </row>
    <row r="1147" spans="1:12" x14ac:dyDescent="0.3">
      <c r="A1147" t="s">
        <v>3055</v>
      </c>
      <c r="B1147" s="1">
        <v>43747</v>
      </c>
      <c r="C1147" t="s">
        <v>3056</v>
      </c>
      <c r="D1147" t="s">
        <v>3057</v>
      </c>
      <c r="E1147" t="s">
        <v>14</v>
      </c>
      <c r="F1147" t="s">
        <v>23</v>
      </c>
      <c r="G1147" t="s">
        <v>24</v>
      </c>
      <c r="H1147" t="s">
        <v>3058</v>
      </c>
      <c r="I1147" s="2">
        <v>1.4079999999999999</v>
      </c>
      <c r="J1147">
        <v>1</v>
      </c>
      <c r="K1147" s="2">
        <v>0.15840000000000001</v>
      </c>
      <c r="L1147" s="3">
        <f>(Table1[[#This Row],[Profit]]/Table1[[#This Row],[Sales]])*100</f>
        <v>11.250000000000002</v>
      </c>
    </row>
    <row r="1148" spans="1:12" x14ac:dyDescent="0.3">
      <c r="A1148" t="s">
        <v>2418</v>
      </c>
      <c r="B1148" s="1">
        <v>43700</v>
      </c>
      <c r="C1148" t="s">
        <v>2419</v>
      </c>
      <c r="D1148" t="s">
        <v>2420</v>
      </c>
      <c r="E1148" t="s">
        <v>14</v>
      </c>
      <c r="F1148" t="s">
        <v>23</v>
      </c>
      <c r="G1148" t="s">
        <v>24</v>
      </c>
      <c r="H1148" t="s">
        <v>2422</v>
      </c>
      <c r="I1148" s="2">
        <v>15.88</v>
      </c>
      <c r="J1148">
        <v>4</v>
      </c>
      <c r="K1148" s="2">
        <v>0.1588</v>
      </c>
      <c r="L1148" s="3">
        <f>(Table1[[#This Row],[Profit]]/Table1[[#This Row],[Sales]])*100</f>
        <v>0.99999999999999989</v>
      </c>
    </row>
    <row r="1149" spans="1:12" x14ac:dyDescent="0.3">
      <c r="A1149" t="s">
        <v>5745</v>
      </c>
      <c r="B1149" s="1">
        <v>44137</v>
      </c>
      <c r="C1149" t="s">
        <v>1573</v>
      </c>
      <c r="D1149" t="s">
        <v>1574</v>
      </c>
      <c r="E1149" t="s">
        <v>14</v>
      </c>
      <c r="F1149" t="s">
        <v>23</v>
      </c>
      <c r="G1149" t="s">
        <v>24</v>
      </c>
      <c r="H1149" t="s">
        <v>4317</v>
      </c>
      <c r="I1149" s="2">
        <v>107.58</v>
      </c>
      <c r="J1149">
        <v>3</v>
      </c>
      <c r="K1149" s="2">
        <v>0.16739999999999999</v>
      </c>
      <c r="L1149" s="3">
        <f>(Table1[[#This Row],[Profit]]/Table1[[#This Row],[Sales]])*100</f>
        <v>0.15560513106525375</v>
      </c>
    </row>
    <row r="1150" spans="1:12" x14ac:dyDescent="0.3">
      <c r="A1150" t="s">
        <v>1503</v>
      </c>
      <c r="B1150" s="1">
        <v>43611</v>
      </c>
      <c r="C1150" t="s">
        <v>1368</v>
      </c>
      <c r="D1150" t="s">
        <v>1369</v>
      </c>
      <c r="E1150" t="s">
        <v>14</v>
      </c>
      <c r="F1150" t="s">
        <v>15</v>
      </c>
      <c r="G1150" t="s">
        <v>24</v>
      </c>
      <c r="H1150" t="s">
        <v>1504</v>
      </c>
      <c r="I1150" s="2">
        <v>1.504</v>
      </c>
      <c r="J1150">
        <v>1</v>
      </c>
      <c r="K1150" s="2">
        <v>0.16919999999999999</v>
      </c>
      <c r="L1150" s="3">
        <f>(Table1[[#This Row],[Profit]]/Table1[[#This Row],[Sales]])*100</f>
        <v>11.249999999999998</v>
      </c>
    </row>
    <row r="1151" spans="1:12" x14ac:dyDescent="0.3">
      <c r="A1151" t="s">
        <v>5990</v>
      </c>
      <c r="B1151" s="1">
        <v>44158</v>
      </c>
      <c r="C1151" t="s">
        <v>762</v>
      </c>
      <c r="D1151" t="s">
        <v>763</v>
      </c>
      <c r="E1151" t="s">
        <v>14</v>
      </c>
      <c r="F1151" t="s">
        <v>29</v>
      </c>
      <c r="G1151" t="s">
        <v>24</v>
      </c>
      <c r="H1151" t="s">
        <v>844</v>
      </c>
      <c r="I1151" s="2">
        <v>88.36</v>
      </c>
      <c r="J1151">
        <v>2</v>
      </c>
      <c r="K1151" s="2">
        <v>0.1744</v>
      </c>
      <c r="L1151" s="3">
        <f>(Table1[[#This Row],[Profit]]/Table1[[#This Row],[Sales]])*100</f>
        <v>0.19737437754640108</v>
      </c>
    </row>
    <row r="1152" spans="1:12" x14ac:dyDescent="0.3">
      <c r="A1152" t="s">
        <v>6073</v>
      </c>
      <c r="B1152" s="1">
        <v>44167</v>
      </c>
      <c r="C1152" t="s">
        <v>1087</v>
      </c>
      <c r="D1152" t="s">
        <v>1088</v>
      </c>
      <c r="E1152" t="s">
        <v>14</v>
      </c>
      <c r="F1152" t="s">
        <v>15</v>
      </c>
      <c r="G1152" t="s">
        <v>24</v>
      </c>
      <c r="H1152" t="s">
        <v>844</v>
      </c>
      <c r="I1152" s="2">
        <v>134.36000000000001</v>
      </c>
      <c r="J1152">
        <v>2</v>
      </c>
      <c r="K1152" s="2">
        <v>0.1744</v>
      </c>
      <c r="L1152" s="3">
        <f>(Table1[[#This Row],[Profit]]/Table1[[#This Row],[Sales]])*100</f>
        <v>0.12980053587377194</v>
      </c>
    </row>
    <row r="1153" spans="1:12" x14ac:dyDescent="0.3">
      <c r="A1153" t="s">
        <v>285</v>
      </c>
      <c r="B1153" s="1">
        <v>43501</v>
      </c>
      <c r="C1153" t="s">
        <v>286</v>
      </c>
      <c r="D1153" t="s">
        <v>287</v>
      </c>
      <c r="E1153" t="s">
        <v>14</v>
      </c>
      <c r="F1153" t="s">
        <v>41</v>
      </c>
      <c r="G1153" t="s">
        <v>24</v>
      </c>
      <c r="H1153" t="s">
        <v>290</v>
      </c>
      <c r="I1153" s="2">
        <v>9.4499999999999993</v>
      </c>
      <c r="J1153">
        <v>5</v>
      </c>
      <c r="K1153" s="2">
        <v>0.189</v>
      </c>
      <c r="L1153" s="3">
        <f>(Table1[[#This Row],[Profit]]/Table1[[#This Row],[Sales]])*100</f>
        <v>2</v>
      </c>
    </row>
    <row r="1154" spans="1:12" x14ac:dyDescent="0.3">
      <c r="A1154" t="s">
        <v>4157</v>
      </c>
      <c r="B1154" s="1">
        <v>43880</v>
      </c>
      <c r="C1154" t="s">
        <v>2333</v>
      </c>
      <c r="D1154" t="s">
        <v>2334</v>
      </c>
      <c r="E1154" t="s">
        <v>14</v>
      </c>
      <c r="F1154" t="s">
        <v>23</v>
      </c>
      <c r="G1154" t="s">
        <v>24</v>
      </c>
      <c r="H1154" t="s">
        <v>536</v>
      </c>
      <c r="I1154" s="2">
        <v>831.22</v>
      </c>
      <c r="J1154">
        <v>3</v>
      </c>
      <c r="K1154" s="2">
        <v>0.22439999999999999</v>
      </c>
      <c r="L1154" s="3">
        <f>(Table1[[#This Row],[Profit]]/Table1[[#This Row],[Sales]])*100</f>
        <v>2.6996463030244697E-2</v>
      </c>
    </row>
    <row r="1155" spans="1:12" x14ac:dyDescent="0.3">
      <c r="A1155" t="s">
        <v>2275</v>
      </c>
      <c r="B1155" s="1">
        <v>43685</v>
      </c>
      <c r="C1155" t="s">
        <v>2276</v>
      </c>
      <c r="D1155" t="s">
        <v>2277</v>
      </c>
      <c r="E1155" t="s">
        <v>14</v>
      </c>
      <c r="F1155" t="s">
        <v>41</v>
      </c>
      <c r="G1155" t="s">
        <v>24</v>
      </c>
      <c r="H1155" t="s">
        <v>2278</v>
      </c>
      <c r="I1155" s="2">
        <v>23.34</v>
      </c>
      <c r="J1155">
        <v>3</v>
      </c>
      <c r="K1155" s="2">
        <v>0.2334</v>
      </c>
      <c r="L1155" s="3">
        <f>(Table1[[#This Row],[Profit]]/Table1[[#This Row],[Sales]])*100</f>
        <v>1</v>
      </c>
    </row>
    <row r="1156" spans="1:12" x14ac:dyDescent="0.3">
      <c r="A1156" t="s">
        <v>849</v>
      </c>
      <c r="B1156" s="1">
        <v>43556</v>
      </c>
      <c r="C1156" t="s">
        <v>679</v>
      </c>
      <c r="D1156" t="s">
        <v>680</v>
      </c>
      <c r="E1156" t="s">
        <v>14</v>
      </c>
      <c r="F1156" t="s">
        <v>29</v>
      </c>
      <c r="G1156" t="s">
        <v>18</v>
      </c>
      <c r="H1156" t="s">
        <v>97</v>
      </c>
      <c r="I1156" s="2">
        <v>12.99</v>
      </c>
      <c r="J1156">
        <v>1</v>
      </c>
      <c r="K1156" s="2">
        <v>0.25979999999999998</v>
      </c>
      <c r="L1156" s="3">
        <f>(Table1[[#This Row],[Profit]]/Table1[[#This Row],[Sales]])*100</f>
        <v>1.9999999999999998</v>
      </c>
    </row>
    <row r="1157" spans="1:12" x14ac:dyDescent="0.3">
      <c r="A1157" t="s">
        <v>3307</v>
      </c>
      <c r="B1157" s="1">
        <v>43776</v>
      </c>
      <c r="C1157" t="s">
        <v>1203</v>
      </c>
      <c r="D1157" t="s">
        <v>1204</v>
      </c>
      <c r="E1157" t="s">
        <v>14</v>
      </c>
      <c r="F1157" t="s">
        <v>15</v>
      </c>
      <c r="G1157" t="s">
        <v>24</v>
      </c>
      <c r="H1157" t="s">
        <v>536</v>
      </c>
      <c r="I1157" s="2">
        <v>14.96</v>
      </c>
      <c r="J1157">
        <v>4</v>
      </c>
      <c r="K1157" s="2">
        <v>0.29920000000000002</v>
      </c>
      <c r="L1157" s="3">
        <f>(Table1[[#This Row],[Profit]]/Table1[[#This Row],[Sales]])*100</f>
        <v>2</v>
      </c>
    </row>
    <row r="1158" spans="1:12" x14ac:dyDescent="0.3">
      <c r="A1158" t="s">
        <v>2733</v>
      </c>
      <c r="B1158" s="1">
        <v>43721</v>
      </c>
      <c r="C1158" t="s">
        <v>2734</v>
      </c>
      <c r="D1158" t="s">
        <v>2735</v>
      </c>
      <c r="E1158" t="s">
        <v>14</v>
      </c>
      <c r="F1158" t="s">
        <v>29</v>
      </c>
      <c r="G1158" t="s">
        <v>18</v>
      </c>
      <c r="H1158" t="s">
        <v>334</v>
      </c>
      <c r="I1158" s="2">
        <v>29.97</v>
      </c>
      <c r="J1158">
        <v>3</v>
      </c>
      <c r="K1158" s="2">
        <v>0.29970000000000002</v>
      </c>
      <c r="L1158" s="3">
        <f>(Table1[[#This Row],[Profit]]/Table1[[#This Row],[Sales]])*100</f>
        <v>1.0000000000000002</v>
      </c>
    </row>
    <row r="1159" spans="1:12" x14ac:dyDescent="0.3">
      <c r="A1159" t="s">
        <v>147</v>
      </c>
      <c r="B1159" s="1">
        <v>43487</v>
      </c>
      <c r="C1159" t="s">
        <v>148</v>
      </c>
      <c r="D1159" t="s">
        <v>149</v>
      </c>
      <c r="E1159" t="s">
        <v>14</v>
      </c>
      <c r="F1159" t="s">
        <v>15</v>
      </c>
      <c r="G1159" t="s">
        <v>24</v>
      </c>
      <c r="H1159" t="s">
        <v>150</v>
      </c>
      <c r="I1159" s="2">
        <v>7.56</v>
      </c>
      <c r="J1159">
        <v>6</v>
      </c>
      <c r="K1159" s="2">
        <v>0.3024</v>
      </c>
      <c r="L1159" s="3">
        <f>(Table1[[#This Row],[Profit]]/Table1[[#This Row],[Sales]])*100</f>
        <v>4</v>
      </c>
    </row>
    <row r="1160" spans="1:12" x14ac:dyDescent="0.3">
      <c r="A1160" t="s">
        <v>2868</v>
      </c>
      <c r="B1160" s="1">
        <v>43731</v>
      </c>
      <c r="C1160" t="s">
        <v>2869</v>
      </c>
      <c r="D1160" t="s">
        <v>2870</v>
      </c>
      <c r="E1160" t="s">
        <v>14</v>
      </c>
      <c r="F1160" t="s">
        <v>15</v>
      </c>
      <c r="G1160" t="s">
        <v>24</v>
      </c>
      <c r="H1160" t="s">
        <v>194</v>
      </c>
      <c r="I1160" s="2">
        <v>4.9119999999999999</v>
      </c>
      <c r="J1160">
        <v>2</v>
      </c>
      <c r="K1160" s="2">
        <v>0.307</v>
      </c>
      <c r="L1160" s="3">
        <f>(Table1[[#This Row],[Profit]]/Table1[[#This Row],[Sales]])*100</f>
        <v>6.25</v>
      </c>
    </row>
    <row r="1161" spans="1:12" x14ac:dyDescent="0.3">
      <c r="A1161" t="s">
        <v>3713</v>
      </c>
      <c r="B1161" s="1">
        <v>43804</v>
      </c>
      <c r="C1161" t="s">
        <v>3714</v>
      </c>
      <c r="D1161" t="s">
        <v>3715</v>
      </c>
      <c r="E1161" t="s">
        <v>14</v>
      </c>
      <c r="F1161" t="s">
        <v>29</v>
      </c>
      <c r="G1161" t="s">
        <v>24</v>
      </c>
      <c r="H1161" t="s">
        <v>1877</v>
      </c>
      <c r="I1161" s="2">
        <v>3.536</v>
      </c>
      <c r="J1161">
        <v>2</v>
      </c>
      <c r="K1161" s="2">
        <v>0.30940000000000001</v>
      </c>
      <c r="L1161" s="3">
        <f>(Table1[[#This Row],[Profit]]/Table1[[#This Row],[Sales]])*100</f>
        <v>8.75</v>
      </c>
    </row>
    <row r="1162" spans="1:12" x14ac:dyDescent="0.3">
      <c r="A1162" t="s">
        <v>2181</v>
      </c>
      <c r="B1162" s="1">
        <v>43671</v>
      </c>
      <c r="C1162" t="s">
        <v>2182</v>
      </c>
      <c r="D1162" t="s">
        <v>2183</v>
      </c>
      <c r="E1162" t="s">
        <v>14</v>
      </c>
      <c r="F1162" t="s">
        <v>41</v>
      </c>
      <c r="G1162" t="s">
        <v>24</v>
      </c>
      <c r="H1162" t="s">
        <v>1210</v>
      </c>
      <c r="I1162" s="2">
        <v>7.89</v>
      </c>
      <c r="J1162">
        <v>1</v>
      </c>
      <c r="K1162" s="2">
        <v>0.31559999999999999</v>
      </c>
      <c r="L1162" s="3">
        <f>(Table1[[#This Row],[Profit]]/Table1[[#This Row],[Sales]])*100</f>
        <v>4</v>
      </c>
    </row>
    <row r="1163" spans="1:12" x14ac:dyDescent="0.3">
      <c r="A1163" t="s">
        <v>1550</v>
      </c>
      <c r="B1163" s="1">
        <v>43614</v>
      </c>
      <c r="C1163" t="s">
        <v>824</v>
      </c>
      <c r="D1163" t="s">
        <v>825</v>
      </c>
      <c r="E1163" t="s">
        <v>14</v>
      </c>
      <c r="F1163" t="s">
        <v>41</v>
      </c>
      <c r="G1163" t="s">
        <v>24</v>
      </c>
      <c r="H1163" t="s">
        <v>1551</v>
      </c>
      <c r="I1163" s="2">
        <v>4.4480000000000004</v>
      </c>
      <c r="J1163">
        <v>2</v>
      </c>
      <c r="K1163" s="2">
        <v>0.33360000000000001</v>
      </c>
      <c r="L1163" s="3">
        <f>(Table1[[#This Row],[Profit]]/Table1[[#This Row],[Sales]])*100</f>
        <v>7.5</v>
      </c>
    </row>
    <row r="1164" spans="1:12" x14ac:dyDescent="0.3">
      <c r="A1164" t="s">
        <v>2154</v>
      </c>
      <c r="B1164" s="1">
        <v>43669</v>
      </c>
      <c r="C1164" t="s">
        <v>1631</v>
      </c>
      <c r="D1164" t="s">
        <v>1632</v>
      </c>
      <c r="E1164" t="s">
        <v>14</v>
      </c>
      <c r="F1164" t="s">
        <v>29</v>
      </c>
      <c r="G1164" t="s">
        <v>24</v>
      </c>
      <c r="H1164" t="s">
        <v>2155</v>
      </c>
      <c r="I1164" s="2">
        <v>4.4480000000000004</v>
      </c>
      <c r="J1164">
        <v>2</v>
      </c>
      <c r="K1164" s="2">
        <v>0.33360000000000001</v>
      </c>
      <c r="L1164" s="3">
        <f>(Table1[[#This Row],[Profit]]/Table1[[#This Row],[Sales]])*100</f>
        <v>7.5</v>
      </c>
    </row>
    <row r="1165" spans="1:12" x14ac:dyDescent="0.3">
      <c r="A1165" t="s">
        <v>4873</v>
      </c>
      <c r="B1165" s="1">
        <v>44002</v>
      </c>
      <c r="C1165" t="s">
        <v>2118</v>
      </c>
      <c r="D1165" t="s">
        <v>2119</v>
      </c>
      <c r="E1165" t="s">
        <v>14</v>
      </c>
      <c r="F1165" t="s">
        <v>41</v>
      </c>
      <c r="G1165" t="s">
        <v>24</v>
      </c>
      <c r="H1165" t="s">
        <v>4666</v>
      </c>
      <c r="I1165" s="2">
        <v>89.463999999999999</v>
      </c>
      <c r="J1165">
        <v>1</v>
      </c>
      <c r="K1165" s="2">
        <v>0.33479999999999999</v>
      </c>
      <c r="L1165" s="3">
        <f>(Table1[[#This Row],[Profit]]/Table1[[#This Row],[Sales]])*100</f>
        <v>0.37422874005186441</v>
      </c>
    </row>
    <row r="1166" spans="1:12" x14ac:dyDescent="0.3">
      <c r="A1166" t="s">
        <v>4171</v>
      </c>
      <c r="B1166" s="1">
        <v>43884</v>
      </c>
      <c r="C1166" t="s">
        <v>4172</v>
      </c>
      <c r="D1166" t="s">
        <v>4173</v>
      </c>
      <c r="E1166" t="s">
        <v>14</v>
      </c>
      <c r="F1166" t="s">
        <v>23</v>
      </c>
      <c r="G1166" t="s">
        <v>24</v>
      </c>
      <c r="H1166" t="s">
        <v>4174</v>
      </c>
      <c r="I1166" s="2">
        <v>619.4</v>
      </c>
      <c r="J1166">
        <v>5</v>
      </c>
      <c r="K1166" s="2">
        <v>0.33600000000000002</v>
      </c>
      <c r="L1166" s="3">
        <f>(Table1[[#This Row],[Profit]]/Table1[[#This Row],[Sales]])*100</f>
        <v>5.4246044559250889E-2</v>
      </c>
    </row>
    <row r="1167" spans="1:12" x14ac:dyDescent="0.3">
      <c r="A1167" t="s">
        <v>4720</v>
      </c>
      <c r="B1167" s="1">
        <v>43978</v>
      </c>
      <c r="C1167" t="s">
        <v>3037</v>
      </c>
      <c r="D1167" t="s">
        <v>3038</v>
      </c>
      <c r="E1167" t="s">
        <v>14</v>
      </c>
      <c r="F1167" t="s">
        <v>41</v>
      </c>
      <c r="G1167" t="s">
        <v>18</v>
      </c>
      <c r="H1167" t="s">
        <v>4721</v>
      </c>
      <c r="I1167" s="2">
        <v>103.19199999999999</v>
      </c>
      <c r="J1167">
        <v>3</v>
      </c>
      <c r="K1167" s="2">
        <v>0.33989999999999998</v>
      </c>
      <c r="L1167" s="3">
        <f>(Table1[[#This Row],[Profit]]/Table1[[#This Row],[Sales]])*100</f>
        <v>0.32938599891464454</v>
      </c>
    </row>
    <row r="1168" spans="1:12" x14ac:dyDescent="0.3">
      <c r="A1168" t="s">
        <v>2132</v>
      </c>
      <c r="B1168" s="1">
        <v>43668</v>
      </c>
      <c r="C1168" t="s">
        <v>565</v>
      </c>
      <c r="D1168" t="s">
        <v>566</v>
      </c>
      <c r="E1168" t="s">
        <v>14</v>
      </c>
      <c r="F1168" t="s">
        <v>15</v>
      </c>
      <c r="G1168" t="s">
        <v>24</v>
      </c>
      <c r="H1168" t="s">
        <v>2133</v>
      </c>
      <c r="I1168" s="2">
        <v>4.16</v>
      </c>
      <c r="J1168">
        <v>2</v>
      </c>
      <c r="K1168" s="2">
        <v>0.36399999999999999</v>
      </c>
      <c r="L1168" s="3">
        <f>(Table1[[#This Row],[Profit]]/Table1[[#This Row],[Sales]])*100</f>
        <v>8.75</v>
      </c>
    </row>
    <row r="1169" spans="1:12" x14ac:dyDescent="0.3">
      <c r="A1169" t="s">
        <v>2799</v>
      </c>
      <c r="B1169" s="1">
        <v>43726</v>
      </c>
      <c r="C1169" t="s">
        <v>1698</v>
      </c>
      <c r="D1169" t="s">
        <v>1699</v>
      </c>
      <c r="E1169" t="s">
        <v>14</v>
      </c>
      <c r="F1169" t="s">
        <v>15</v>
      </c>
      <c r="G1169" t="s">
        <v>24</v>
      </c>
      <c r="H1169" t="s">
        <v>2800</v>
      </c>
      <c r="I1169" s="2">
        <v>2.6720000000000002</v>
      </c>
      <c r="J1169">
        <v>1</v>
      </c>
      <c r="K1169" s="2">
        <v>0.3674</v>
      </c>
      <c r="L1169" s="3">
        <f>(Table1[[#This Row],[Profit]]/Table1[[#This Row],[Sales]])*100</f>
        <v>13.749999999999998</v>
      </c>
    </row>
    <row r="1170" spans="1:12" x14ac:dyDescent="0.3">
      <c r="A1170" t="s">
        <v>5219</v>
      </c>
      <c r="B1170" s="1">
        <v>44070</v>
      </c>
      <c r="C1170" t="s">
        <v>261</v>
      </c>
      <c r="D1170" t="s">
        <v>262</v>
      </c>
      <c r="E1170" t="s">
        <v>14</v>
      </c>
      <c r="F1170" t="s">
        <v>29</v>
      </c>
      <c r="G1170" t="s">
        <v>24</v>
      </c>
      <c r="H1170" t="s">
        <v>2062</v>
      </c>
      <c r="I1170" s="2">
        <v>109.952</v>
      </c>
      <c r="J1170">
        <v>1</v>
      </c>
      <c r="K1170" s="2">
        <v>0.372</v>
      </c>
      <c r="L1170" s="3">
        <f>(Table1[[#This Row],[Profit]]/Table1[[#This Row],[Sales]])*100</f>
        <v>0.33832945285215366</v>
      </c>
    </row>
    <row r="1171" spans="1:12" x14ac:dyDescent="0.3">
      <c r="A1171" t="s">
        <v>5078</v>
      </c>
      <c r="B1171" s="1">
        <v>44041</v>
      </c>
      <c r="C1171" t="s">
        <v>103</v>
      </c>
      <c r="D1171" t="s">
        <v>104</v>
      </c>
      <c r="E1171" t="s">
        <v>14</v>
      </c>
      <c r="F1171" t="s">
        <v>41</v>
      </c>
      <c r="G1171" t="s">
        <v>24</v>
      </c>
      <c r="H1171" t="s">
        <v>897</v>
      </c>
      <c r="I1171" s="2">
        <v>114.36799999999999</v>
      </c>
      <c r="J1171">
        <v>3</v>
      </c>
      <c r="K1171" s="2">
        <v>0.38219999999999998</v>
      </c>
      <c r="L1171" s="3">
        <f>(Table1[[#This Row],[Profit]]/Table1[[#This Row],[Sales]])*100</f>
        <v>0.33418438724118632</v>
      </c>
    </row>
    <row r="1172" spans="1:12" x14ac:dyDescent="0.3">
      <c r="A1172" t="s">
        <v>4314</v>
      </c>
      <c r="B1172" s="1">
        <v>43911</v>
      </c>
      <c r="C1172" t="s">
        <v>1310</v>
      </c>
      <c r="D1172" t="s">
        <v>1311</v>
      </c>
      <c r="E1172" t="s">
        <v>14</v>
      </c>
      <c r="F1172" t="s">
        <v>23</v>
      </c>
      <c r="G1172" t="s">
        <v>24</v>
      </c>
      <c r="H1172" t="s">
        <v>4317</v>
      </c>
      <c r="I1172" s="2">
        <v>106.02</v>
      </c>
      <c r="J1172">
        <v>7</v>
      </c>
      <c r="K1172" s="2">
        <v>0.3906</v>
      </c>
      <c r="L1172" s="3">
        <f>(Table1[[#This Row],[Profit]]/Table1[[#This Row],[Sales]])*100</f>
        <v>0.36842105263157898</v>
      </c>
    </row>
    <row r="1173" spans="1:12" x14ac:dyDescent="0.3">
      <c r="A1173" t="s">
        <v>5591</v>
      </c>
      <c r="B1173" s="1">
        <v>44112</v>
      </c>
      <c r="C1173" t="s">
        <v>1907</v>
      </c>
      <c r="D1173" t="s">
        <v>1908</v>
      </c>
      <c r="E1173" t="s">
        <v>14</v>
      </c>
      <c r="F1173" t="s">
        <v>23</v>
      </c>
      <c r="G1173" t="s">
        <v>24</v>
      </c>
      <c r="H1173" t="s">
        <v>3623</v>
      </c>
      <c r="I1173" s="2">
        <v>163.68</v>
      </c>
      <c r="J1173">
        <v>2</v>
      </c>
      <c r="K1173" s="2">
        <v>0.40679999999999999</v>
      </c>
      <c r="L1173" s="3">
        <f>(Table1[[#This Row],[Profit]]/Table1[[#This Row],[Sales]])*100</f>
        <v>0.24853372434017595</v>
      </c>
    </row>
    <row r="1174" spans="1:12" x14ac:dyDescent="0.3">
      <c r="A1174" t="s">
        <v>1779</v>
      </c>
      <c r="B1174" s="1">
        <v>43633</v>
      </c>
      <c r="C1174" t="s">
        <v>352</v>
      </c>
      <c r="D1174" t="s">
        <v>353</v>
      </c>
      <c r="E1174" t="s">
        <v>14</v>
      </c>
      <c r="F1174" t="s">
        <v>15</v>
      </c>
      <c r="G1174" t="s">
        <v>24</v>
      </c>
      <c r="H1174" t="s">
        <v>1780</v>
      </c>
      <c r="I1174" s="2">
        <v>40.74</v>
      </c>
      <c r="J1174">
        <v>3</v>
      </c>
      <c r="K1174" s="2">
        <v>0.40739999999999998</v>
      </c>
      <c r="L1174" s="3">
        <f>(Table1[[#This Row],[Profit]]/Table1[[#This Row],[Sales]])*100</f>
        <v>0.99999999999999989</v>
      </c>
    </row>
    <row r="1175" spans="1:12" x14ac:dyDescent="0.3">
      <c r="A1175" t="s">
        <v>2733</v>
      </c>
      <c r="B1175" s="1">
        <v>43721</v>
      </c>
      <c r="C1175" t="s">
        <v>2734</v>
      </c>
      <c r="D1175" t="s">
        <v>2735</v>
      </c>
      <c r="E1175" t="s">
        <v>14</v>
      </c>
      <c r="F1175" t="s">
        <v>29</v>
      </c>
      <c r="G1175" t="s">
        <v>24</v>
      </c>
      <c r="H1175" t="s">
        <v>1780</v>
      </c>
      <c r="I1175" s="2">
        <v>40.74</v>
      </c>
      <c r="J1175">
        <v>3</v>
      </c>
      <c r="K1175" s="2">
        <v>0.40739999999999998</v>
      </c>
      <c r="L1175" s="3">
        <f>(Table1[[#This Row],[Profit]]/Table1[[#This Row],[Sales]])*100</f>
        <v>0.99999999999999989</v>
      </c>
    </row>
    <row r="1176" spans="1:12" x14ac:dyDescent="0.3">
      <c r="A1176" t="s">
        <v>3208</v>
      </c>
      <c r="B1176" s="1">
        <v>43767</v>
      </c>
      <c r="C1176" t="s">
        <v>3209</v>
      </c>
      <c r="D1176" t="s">
        <v>3210</v>
      </c>
      <c r="E1176" t="s">
        <v>14</v>
      </c>
      <c r="F1176" t="s">
        <v>15</v>
      </c>
      <c r="G1176" t="s">
        <v>24</v>
      </c>
      <c r="H1176" t="s">
        <v>1780</v>
      </c>
      <c r="I1176" s="2">
        <v>40.74</v>
      </c>
      <c r="J1176">
        <v>3</v>
      </c>
      <c r="K1176" s="2">
        <v>0.40739999999999998</v>
      </c>
      <c r="L1176" s="3">
        <f>(Table1[[#This Row],[Profit]]/Table1[[#This Row],[Sales]])*100</f>
        <v>0.99999999999999989</v>
      </c>
    </row>
    <row r="1177" spans="1:12" x14ac:dyDescent="0.3">
      <c r="A1177" t="s">
        <v>3656</v>
      </c>
      <c r="B1177" s="1">
        <v>43800</v>
      </c>
      <c r="C1177" t="s">
        <v>3484</v>
      </c>
      <c r="D1177" t="s">
        <v>3485</v>
      </c>
      <c r="E1177" t="s">
        <v>14</v>
      </c>
      <c r="F1177" t="s">
        <v>41</v>
      </c>
      <c r="G1177" t="s">
        <v>24</v>
      </c>
      <c r="H1177" t="s">
        <v>1581</v>
      </c>
      <c r="I1177" s="2">
        <v>4.7039999999999997</v>
      </c>
      <c r="J1177">
        <v>2</v>
      </c>
      <c r="K1177" s="2">
        <v>0.41160000000000002</v>
      </c>
      <c r="L1177" s="3">
        <f>(Table1[[#This Row],[Profit]]/Table1[[#This Row],[Sales]])*100</f>
        <v>8.75</v>
      </c>
    </row>
    <row r="1178" spans="1:12" x14ac:dyDescent="0.3">
      <c r="A1178" t="s">
        <v>4566</v>
      </c>
      <c r="B1178" s="1">
        <v>43952</v>
      </c>
      <c r="C1178" t="s">
        <v>565</v>
      </c>
      <c r="D1178" t="s">
        <v>566</v>
      </c>
      <c r="E1178" t="s">
        <v>14</v>
      </c>
      <c r="F1178" t="s">
        <v>41</v>
      </c>
      <c r="G1178" t="s">
        <v>24</v>
      </c>
      <c r="H1178" t="s">
        <v>2824</v>
      </c>
      <c r="I1178" s="2">
        <v>92.328000000000003</v>
      </c>
      <c r="J1178">
        <v>2</v>
      </c>
      <c r="K1178" s="2">
        <v>0.41599999999999998</v>
      </c>
      <c r="L1178" s="3">
        <f>(Table1[[#This Row],[Profit]]/Table1[[#This Row],[Sales]])*100</f>
        <v>0.450567541807469</v>
      </c>
    </row>
    <row r="1179" spans="1:12" x14ac:dyDescent="0.3">
      <c r="A1179" t="s">
        <v>1358</v>
      </c>
      <c r="B1179" s="1">
        <v>43599</v>
      </c>
      <c r="C1179" t="s">
        <v>1359</v>
      </c>
      <c r="D1179" t="s">
        <v>1360</v>
      </c>
      <c r="E1179" t="s">
        <v>14</v>
      </c>
      <c r="F1179" t="s">
        <v>41</v>
      </c>
      <c r="G1179" t="s">
        <v>24</v>
      </c>
      <c r="H1179" t="s">
        <v>1365</v>
      </c>
      <c r="I1179" s="2">
        <v>4.7679999999999998</v>
      </c>
      <c r="J1179">
        <v>2</v>
      </c>
      <c r="K1179" s="2">
        <v>0.41720000000000002</v>
      </c>
      <c r="L1179" s="3">
        <f>(Table1[[#This Row],[Profit]]/Table1[[#This Row],[Sales]])*100</f>
        <v>8.75</v>
      </c>
    </row>
    <row r="1180" spans="1:12" x14ac:dyDescent="0.3">
      <c r="A1180" t="s">
        <v>5203</v>
      </c>
      <c r="B1180" s="1">
        <v>44066</v>
      </c>
      <c r="C1180" t="s">
        <v>2500</v>
      </c>
      <c r="D1180" t="s">
        <v>2501</v>
      </c>
      <c r="E1180" t="s">
        <v>14</v>
      </c>
      <c r="F1180" t="s">
        <v>41</v>
      </c>
      <c r="G1180" t="s">
        <v>16</v>
      </c>
      <c r="H1180" t="s">
        <v>3380</v>
      </c>
      <c r="I1180" s="2">
        <v>101.78400000000001</v>
      </c>
      <c r="J1180">
        <v>2</v>
      </c>
      <c r="K1180" s="2">
        <v>0.41760000000000003</v>
      </c>
      <c r="L1180" s="3">
        <f>(Table1[[#This Row],[Profit]]/Table1[[#This Row],[Sales]])*100</f>
        <v>0.41028059419948121</v>
      </c>
    </row>
    <row r="1181" spans="1:12" x14ac:dyDescent="0.3">
      <c r="A1181" t="s">
        <v>6147</v>
      </c>
      <c r="B1181" s="1">
        <v>44174</v>
      </c>
      <c r="C1181" t="s">
        <v>3348</v>
      </c>
      <c r="D1181" t="s">
        <v>3349</v>
      </c>
      <c r="E1181" t="s">
        <v>14</v>
      </c>
      <c r="F1181" t="s">
        <v>15</v>
      </c>
      <c r="G1181" t="s">
        <v>24</v>
      </c>
      <c r="H1181" t="s">
        <v>3805</v>
      </c>
      <c r="I1181" s="2">
        <v>110.624</v>
      </c>
      <c r="J1181">
        <v>1</v>
      </c>
      <c r="K1181" s="2">
        <v>0.4264</v>
      </c>
      <c r="L1181" s="3">
        <f>(Table1[[#This Row],[Profit]]/Table1[[#This Row],[Sales]])*100</f>
        <v>0.3854498119757015</v>
      </c>
    </row>
    <row r="1182" spans="1:12" x14ac:dyDescent="0.3">
      <c r="A1182" t="s">
        <v>5604</v>
      </c>
      <c r="B1182" s="1">
        <v>44116</v>
      </c>
      <c r="C1182" t="s">
        <v>2104</v>
      </c>
      <c r="D1182" t="s">
        <v>2105</v>
      </c>
      <c r="E1182" t="s">
        <v>14</v>
      </c>
      <c r="F1182" t="s">
        <v>23</v>
      </c>
      <c r="G1182" t="s">
        <v>18</v>
      </c>
      <c r="H1182" t="s">
        <v>5145</v>
      </c>
      <c r="I1182" s="2">
        <v>110.99</v>
      </c>
      <c r="J1182">
        <v>1</v>
      </c>
      <c r="K1182" s="2">
        <v>0.43559999999999999</v>
      </c>
      <c r="L1182" s="3">
        <f>(Table1[[#This Row],[Profit]]/Table1[[#This Row],[Sales]])*100</f>
        <v>0.39246778989098119</v>
      </c>
    </row>
    <row r="1183" spans="1:12" x14ac:dyDescent="0.3">
      <c r="A1183" t="s">
        <v>1874</v>
      </c>
      <c r="B1183" s="1">
        <v>43642</v>
      </c>
      <c r="C1183" t="s">
        <v>1875</v>
      </c>
      <c r="D1183" t="s">
        <v>1876</v>
      </c>
      <c r="E1183" t="s">
        <v>14</v>
      </c>
      <c r="F1183" t="s">
        <v>29</v>
      </c>
      <c r="G1183" t="s">
        <v>24</v>
      </c>
      <c r="H1183" t="s">
        <v>1877</v>
      </c>
      <c r="I1183" s="2">
        <v>5.3040000000000003</v>
      </c>
      <c r="J1183">
        <v>3</v>
      </c>
      <c r="K1183" s="2">
        <v>0.46410000000000001</v>
      </c>
      <c r="L1183" s="3">
        <f>(Table1[[#This Row],[Profit]]/Table1[[#This Row],[Sales]])*100</f>
        <v>8.75</v>
      </c>
    </row>
    <row r="1184" spans="1:12" x14ac:dyDescent="0.3">
      <c r="A1184" t="s">
        <v>5076</v>
      </c>
      <c r="B1184" s="1">
        <v>44041</v>
      </c>
      <c r="C1184" t="s">
        <v>75</v>
      </c>
      <c r="D1184" t="s">
        <v>76</v>
      </c>
      <c r="E1184" t="s">
        <v>14</v>
      </c>
      <c r="F1184" t="s">
        <v>29</v>
      </c>
      <c r="G1184" t="s">
        <v>24</v>
      </c>
      <c r="H1184" t="s">
        <v>3218</v>
      </c>
      <c r="I1184" s="2">
        <v>86.896000000000001</v>
      </c>
      <c r="J1184">
        <v>2</v>
      </c>
      <c r="K1184" s="2">
        <v>0.47060000000000002</v>
      </c>
      <c r="L1184" s="3">
        <f>(Table1[[#This Row],[Profit]]/Table1[[#This Row],[Sales]])*100</f>
        <v>0.54156693058368621</v>
      </c>
    </row>
    <row r="1185" spans="1:12" x14ac:dyDescent="0.3">
      <c r="A1185" t="s">
        <v>5144</v>
      </c>
      <c r="B1185" s="1">
        <v>44056</v>
      </c>
      <c r="C1185" t="s">
        <v>762</v>
      </c>
      <c r="D1185" t="s">
        <v>763</v>
      </c>
      <c r="E1185" t="s">
        <v>14</v>
      </c>
      <c r="F1185" t="s">
        <v>41</v>
      </c>
      <c r="G1185" t="s">
        <v>18</v>
      </c>
      <c r="H1185" t="s">
        <v>5145</v>
      </c>
      <c r="I1185" s="2">
        <v>125.584</v>
      </c>
      <c r="J1185">
        <v>2</v>
      </c>
      <c r="K1185" s="2">
        <v>0.47520000000000001</v>
      </c>
      <c r="L1185" s="3">
        <f>(Table1[[#This Row],[Profit]]/Table1[[#This Row],[Sales]])*100</f>
        <v>0.37839215186647984</v>
      </c>
    </row>
    <row r="1186" spans="1:12" x14ac:dyDescent="0.3">
      <c r="A1186" t="s">
        <v>4085</v>
      </c>
      <c r="B1186" s="1">
        <v>43859</v>
      </c>
      <c r="C1186" t="s">
        <v>569</v>
      </c>
      <c r="D1186" t="s">
        <v>570</v>
      </c>
      <c r="E1186" t="s">
        <v>14</v>
      </c>
      <c r="F1186" t="s">
        <v>15</v>
      </c>
      <c r="G1186" t="s">
        <v>24</v>
      </c>
      <c r="H1186" t="s">
        <v>3118</v>
      </c>
      <c r="I1186" s="2">
        <v>102.768</v>
      </c>
      <c r="J1186">
        <v>2</v>
      </c>
      <c r="K1186" s="2">
        <v>0.4768</v>
      </c>
      <c r="L1186" s="3">
        <f>(Table1[[#This Row],[Profit]]/Table1[[#This Row],[Sales]])*100</f>
        <v>0.46395765218745133</v>
      </c>
    </row>
    <row r="1187" spans="1:12" x14ac:dyDescent="0.3">
      <c r="A1187" t="s">
        <v>3928</v>
      </c>
      <c r="B1187" s="1">
        <v>43826</v>
      </c>
      <c r="C1187" t="s">
        <v>3929</v>
      </c>
      <c r="D1187" t="s">
        <v>3930</v>
      </c>
      <c r="E1187" t="s">
        <v>14</v>
      </c>
      <c r="F1187" t="s">
        <v>15</v>
      </c>
      <c r="G1187" t="s">
        <v>18</v>
      </c>
      <c r="H1187" t="s">
        <v>311</v>
      </c>
      <c r="I1187" s="2">
        <v>40</v>
      </c>
      <c r="J1187">
        <v>2</v>
      </c>
      <c r="K1187" s="2">
        <v>0.5</v>
      </c>
      <c r="L1187" s="3">
        <f>(Table1[[#This Row],[Profit]]/Table1[[#This Row],[Sales]])*100</f>
        <v>1.25</v>
      </c>
    </row>
    <row r="1188" spans="1:12" x14ac:dyDescent="0.3">
      <c r="A1188" t="s">
        <v>5547</v>
      </c>
      <c r="B1188" s="1">
        <v>44105</v>
      </c>
      <c r="C1188" t="s">
        <v>2179</v>
      </c>
      <c r="D1188" t="s">
        <v>2180</v>
      </c>
      <c r="E1188" t="s">
        <v>14</v>
      </c>
      <c r="F1188" t="s">
        <v>29</v>
      </c>
      <c r="G1188" t="s">
        <v>24</v>
      </c>
      <c r="H1188" t="s">
        <v>5548</v>
      </c>
      <c r="I1188" s="2">
        <v>117.672</v>
      </c>
      <c r="J1188">
        <v>6</v>
      </c>
      <c r="K1188" s="2">
        <v>0.50039999999999996</v>
      </c>
      <c r="L1188" s="3">
        <f>(Table1[[#This Row],[Profit]]/Table1[[#This Row],[Sales]])*100</f>
        <v>0.42524984703242913</v>
      </c>
    </row>
    <row r="1189" spans="1:12" x14ac:dyDescent="0.3">
      <c r="A1189" t="s">
        <v>5942</v>
      </c>
      <c r="B1189" s="1">
        <v>44154</v>
      </c>
      <c r="C1189" t="s">
        <v>236</v>
      </c>
      <c r="D1189" t="s">
        <v>237</v>
      </c>
      <c r="E1189" t="s">
        <v>14</v>
      </c>
      <c r="F1189" t="s">
        <v>29</v>
      </c>
      <c r="G1189" t="s">
        <v>24</v>
      </c>
      <c r="H1189" t="s">
        <v>2157</v>
      </c>
      <c r="I1189" s="2">
        <v>124.672</v>
      </c>
      <c r="J1189">
        <v>1</v>
      </c>
      <c r="K1189" s="2">
        <v>0.50039999999999996</v>
      </c>
      <c r="L1189" s="3">
        <f>(Table1[[#This Row],[Profit]]/Table1[[#This Row],[Sales]])*100</f>
        <v>0.40137320328542087</v>
      </c>
    </row>
    <row r="1190" spans="1:12" x14ac:dyDescent="0.3">
      <c r="A1190" t="s">
        <v>4241</v>
      </c>
      <c r="B1190" s="1">
        <v>43900</v>
      </c>
      <c r="C1190" t="s">
        <v>2414</v>
      </c>
      <c r="D1190" t="s">
        <v>2415</v>
      </c>
      <c r="E1190" t="s">
        <v>14</v>
      </c>
      <c r="F1190" t="s">
        <v>15</v>
      </c>
      <c r="G1190" t="s">
        <v>16</v>
      </c>
      <c r="H1190" t="s">
        <v>666</v>
      </c>
      <c r="I1190" s="2">
        <v>81.695999999999998</v>
      </c>
      <c r="J1190">
        <v>1</v>
      </c>
      <c r="K1190" s="2">
        <v>0.50219999999999998</v>
      </c>
      <c r="L1190" s="3">
        <f>(Table1[[#This Row],[Profit]]/Table1[[#This Row],[Sales]])*100</f>
        <v>0.61471797884841362</v>
      </c>
    </row>
    <row r="1191" spans="1:12" x14ac:dyDescent="0.3">
      <c r="A1191" t="s">
        <v>743</v>
      </c>
      <c r="B1191" s="1">
        <v>43545</v>
      </c>
      <c r="C1191" t="s">
        <v>744</v>
      </c>
      <c r="D1191" t="s">
        <v>745</v>
      </c>
      <c r="E1191" t="s">
        <v>14</v>
      </c>
      <c r="F1191" t="s">
        <v>29</v>
      </c>
      <c r="G1191" t="s">
        <v>24</v>
      </c>
      <c r="H1191" t="s">
        <v>747</v>
      </c>
      <c r="I1191" s="2">
        <v>1.3440000000000001</v>
      </c>
      <c r="J1191">
        <v>1</v>
      </c>
      <c r="K1191" s="2">
        <v>0.504</v>
      </c>
      <c r="L1191" s="3">
        <f>(Table1[[#This Row],[Profit]]/Table1[[#This Row],[Sales]])*100</f>
        <v>37.5</v>
      </c>
    </row>
    <row r="1192" spans="1:12" x14ac:dyDescent="0.3">
      <c r="A1192" t="s">
        <v>5543</v>
      </c>
      <c r="B1192" s="1">
        <v>44105</v>
      </c>
      <c r="C1192" t="s">
        <v>3546</v>
      </c>
      <c r="D1192" t="s">
        <v>3547</v>
      </c>
      <c r="E1192" t="s">
        <v>14</v>
      </c>
      <c r="F1192" t="s">
        <v>23</v>
      </c>
      <c r="G1192" t="s">
        <v>24</v>
      </c>
      <c r="H1192" t="s">
        <v>2146</v>
      </c>
      <c r="I1192" s="2">
        <v>73.44</v>
      </c>
      <c r="J1192">
        <v>1</v>
      </c>
      <c r="K1192" s="2">
        <v>0.504</v>
      </c>
      <c r="L1192" s="3">
        <f>(Table1[[#This Row],[Profit]]/Table1[[#This Row],[Sales]])*100</f>
        <v>0.68627450980392157</v>
      </c>
    </row>
    <row r="1193" spans="1:12" x14ac:dyDescent="0.3">
      <c r="A1193" t="s">
        <v>5770</v>
      </c>
      <c r="B1193" s="1">
        <v>44138</v>
      </c>
      <c r="C1193" t="s">
        <v>727</v>
      </c>
      <c r="D1193" t="s">
        <v>728</v>
      </c>
      <c r="E1193" t="s">
        <v>14</v>
      </c>
      <c r="F1193" t="s">
        <v>15</v>
      </c>
      <c r="G1193" t="s">
        <v>18</v>
      </c>
      <c r="H1193" t="s">
        <v>3026</v>
      </c>
      <c r="I1193" s="2">
        <v>140.77600000000001</v>
      </c>
      <c r="J1193">
        <v>3</v>
      </c>
      <c r="K1193" s="2">
        <v>0.50970000000000004</v>
      </c>
      <c r="L1193" s="3">
        <f>(Table1[[#This Row],[Profit]]/Table1[[#This Row],[Sales]])*100</f>
        <v>0.36206455645848723</v>
      </c>
    </row>
    <row r="1194" spans="1:12" x14ac:dyDescent="0.3">
      <c r="A1194" t="s">
        <v>5688</v>
      </c>
      <c r="B1194" s="1">
        <v>44126</v>
      </c>
      <c r="C1194" t="s">
        <v>2533</v>
      </c>
      <c r="D1194" t="s">
        <v>2534</v>
      </c>
      <c r="E1194" t="s">
        <v>14</v>
      </c>
      <c r="F1194" t="s">
        <v>15</v>
      </c>
      <c r="G1194" t="s">
        <v>18</v>
      </c>
      <c r="H1194" t="s">
        <v>700</v>
      </c>
      <c r="I1194" s="2">
        <v>134.99</v>
      </c>
      <c r="J1194">
        <v>1</v>
      </c>
      <c r="K1194" s="2">
        <v>0.52990000000000004</v>
      </c>
      <c r="L1194" s="3">
        <f>(Table1[[#This Row],[Profit]]/Table1[[#This Row],[Sales]])*100</f>
        <v>0.39254759611823092</v>
      </c>
    </row>
    <row r="1195" spans="1:12" x14ac:dyDescent="0.3">
      <c r="A1195" t="s">
        <v>5294</v>
      </c>
      <c r="B1195" s="1">
        <v>44078</v>
      </c>
      <c r="C1195" t="s">
        <v>1368</v>
      </c>
      <c r="D1195" t="s">
        <v>1369</v>
      </c>
      <c r="E1195" t="s">
        <v>14</v>
      </c>
      <c r="F1195" t="s">
        <v>23</v>
      </c>
      <c r="G1195" t="s">
        <v>24</v>
      </c>
      <c r="H1195" t="s">
        <v>1780</v>
      </c>
      <c r="I1195" s="2">
        <v>151.32</v>
      </c>
      <c r="J1195">
        <v>4</v>
      </c>
      <c r="K1195" s="2">
        <v>0.54320000000000002</v>
      </c>
      <c r="L1195" s="3">
        <f>(Table1[[#This Row],[Profit]]/Table1[[#This Row],[Sales]])*100</f>
        <v>0.35897435897435903</v>
      </c>
    </row>
    <row r="1196" spans="1:12" x14ac:dyDescent="0.3">
      <c r="A1196" t="s">
        <v>1821</v>
      </c>
      <c r="B1196" s="1">
        <v>43636</v>
      </c>
      <c r="C1196" t="s">
        <v>1028</v>
      </c>
      <c r="D1196" t="s">
        <v>1029</v>
      </c>
      <c r="E1196" t="s">
        <v>14</v>
      </c>
      <c r="F1196" t="s">
        <v>29</v>
      </c>
      <c r="G1196" t="s">
        <v>18</v>
      </c>
      <c r="H1196" t="s">
        <v>1822</v>
      </c>
      <c r="I1196" s="2">
        <v>6.9</v>
      </c>
      <c r="J1196">
        <v>1</v>
      </c>
      <c r="K1196" s="2">
        <v>0.55200000000000005</v>
      </c>
      <c r="L1196" s="3">
        <f>(Table1[[#This Row],[Profit]]/Table1[[#This Row],[Sales]])*100</f>
        <v>8</v>
      </c>
    </row>
    <row r="1197" spans="1:12" x14ac:dyDescent="0.3">
      <c r="A1197" t="s">
        <v>5516</v>
      </c>
      <c r="B1197" s="1">
        <v>44100</v>
      </c>
      <c r="C1197" t="s">
        <v>3770</v>
      </c>
      <c r="D1197" t="s">
        <v>3771</v>
      </c>
      <c r="E1197" t="s">
        <v>14</v>
      </c>
      <c r="F1197" t="s">
        <v>23</v>
      </c>
      <c r="G1197" t="s">
        <v>24</v>
      </c>
      <c r="H1197" t="s">
        <v>552</v>
      </c>
      <c r="I1197" s="2">
        <v>88.224000000000004</v>
      </c>
      <c r="J1197">
        <v>1</v>
      </c>
      <c r="K1197" s="2">
        <v>0.55600000000000005</v>
      </c>
      <c r="L1197" s="3">
        <f>(Table1[[#This Row],[Profit]]/Table1[[#This Row],[Sales]])*100</f>
        <v>0.63021400072542622</v>
      </c>
    </row>
    <row r="1198" spans="1:12" x14ac:dyDescent="0.3">
      <c r="A1198" t="s">
        <v>5439</v>
      </c>
      <c r="B1198" s="1">
        <v>44092</v>
      </c>
      <c r="C1198" t="s">
        <v>762</v>
      </c>
      <c r="D1198" t="s">
        <v>763</v>
      </c>
      <c r="E1198" t="s">
        <v>14</v>
      </c>
      <c r="F1198" t="s">
        <v>29</v>
      </c>
      <c r="G1198" t="s">
        <v>24</v>
      </c>
      <c r="H1198" t="s">
        <v>1628</v>
      </c>
      <c r="I1198" s="2">
        <v>99.927999999999997</v>
      </c>
      <c r="J1198">
        <v>2</v>
      </c>
      <c r="K1198" s="2">
        <v>0.55800000000000005</v>
      </c>
      <c r="L1198" s="3">
        <f>(Table1[[#This Row],[Profit]]/Table1[[#This Row],[Sales]])*100</f>
        <v>0.55840204947562255</v>
      </c>
    </row>
    <row r="1199" spans="1:12" x14ac:dyDescent="0.3">
      <c r="A1199" t="s">
        <v>1961</v>
      </c>
      <c r="B1199" s="1">
        <v>43650</v>
      </c>
      <c r="C1199" t="s">
        <v>1962</v>
      </c>
      <c r="D1199" t="s">
        <v>1963</v>
      </c>
      <c r="E1199" t="s">
        <v>14</v>
      </c>
      <c r="F1199" t="s">
        <v>23</v>
      </c>
      <c r="G1199" t="s">
        <v>24</v>
      </c>
      <c r="H1199" t="s">
        <v>1966</v>
      </c>
      <c r="I1199" s="2">
        <v>27.92</v>
      </c>
      <c r="J1199">
        <v>4</v>
      </c>
      <c r="K1199" s="2">
        <v>0.55840000000000001</v>
      </c>
      <c r="L1199" s="3">
        <f>(Table1[[#This Row],[Profit]]/Table1[[#This Row],[Sales]])*100</f>
        <v>2</v>
      </c>
    </row>
    <row r="1200" spans="1:12" x14ac:dyDescent="0.3">
      <c r="A1200" t="s">
        <v>5714</v>
      </c>
      <c r="B1200" s="1">
        <v>44131</v>
      </c>
      <c r="C1200" t="s">
        <v>1168</v>
      </c>
      <c r="D1200" t="s">
        <v>1169</v>
      </c>
      <c r="E1200" t="s">
        <v>14</v>
      </c>
      <c r="F1200" t="s">
        <v>41</v>
      </c>
      <c r="G1200" t="s">
        <v>24</v>
      </c>
      <c r="H1200" t="s">
        <v>1342</v>
      </c>
      <c r="I1200" s="2">
        <v>87.575999999999993</v>
      </c>
      <c r="J1200">
        <v>3</v>
      </c>
      <c r="K1200" s="2">
        <v>0.57540000000000002</v>
      </c>
      <c r="L1200" s="3">
        <f>(Table1[[#This Row],[Profit]]/Table1[[#This Row],[Sales]])*100</f>
        <v>0.65702932310221984</v>
      </c>
    </row>
    <row r="1201" spans="1:12" x14ac:dyDescent="0.3">
      <c r="A1201" t="s">
        <v>43</v>
      </c>
      <c r="B1201" s="1">
        <v>43469</v>
      </c>
      <c r="C1201" t="s">
        <v>44</v>
      </c>
      <c r="D1201" t="s">
        <v>45</v>
      </c>
      <c r="E1201" t="s">
        <v>14</v>
      </c>
      <c r="F1201" t="s">
        <v>15</v>
      </c>
      <c r="G1201" t="s">
        <v>24</v>
      </c>
      <c r="H1201" t="s">
        <v>46</v>
      </c>
      <c r="I1201" s="2">
        <v>4.6719999999999997</v>
      </c>
      <c r="J1201">
        <v>1</v>
      </c>
      <c r="K1201" s="2">
        <v>0.58399999999999996</v>
      </c>
      <c r="L1201" s="3">
        <f>(Table1[[#This Row],[Profit]]/Table1[[#This Row],[Sales]])*100</f>
        <v>12.5</v>
      </c>
    </row>
    <row r="1202" spans="1:12" x14ac:dyDescent="0.3">
      <c r="A1202" t="s">
        <v>4766</v>
      </c>
      <c r="B1202" s="1">
        <v>43985</v>
      </c>
      <c r="C1202" t="s">
        <v>1214</v>
      </c>
      <c r="D1202" t="s">
        <v>1215</v>
      </c>
      <c r="E1202" t="s">
        <v>14</v>
      </c>
      <c r="F1202" t="s">
        <v>41</v>
      </c>
      <c r="G1202" t="s">
        <v>24</v>
      </c>
      <c r="H1202" t="s">
        <v>3500</v>
      </c>
      <c r="I1202" s="2">
        <v>111.2</v>
      </c>
      <c r="J1202">
        <v>2</v>
      </c>
      <c r="K1202" s="2">
        <v>0.58499999999999996</v>
      </c>
      <c r="L1202" s="3">
        <f>(Table1[[#This Row],[Profit]]/Table1[[#This Row],[Sales]])*100</f>
        <v>0.52607913669064743</v>
      </c>
    </row>
    <row r="1203" spans="1:12" x14ac:dyDescent="0.3">
      <c r="A1203" t="s">
        <v>48</v>
      </c>
      <c r="B1203" s="1">
        <v>43470</v>
      </c>
      <c r="C1203" t="s">
        <v>49</v>
      </c>
      <c r="D1203" t="s">
        <v>50</v>
      </c>
      <c r="E1203" t="s">
        <v>14</v>
      </c>
      <c r="F1203" t="s">
        <v>41</v>
      </c>
      <c r="G1203" t="s">
        <v>24</v>
      </c>
      <c r="H1203" t="s">
        <v>52</v>
      </c>
      <c r="I1203" s="2">
        <v>5.2480000000000002</v>
      </c>
      <c r="J1203">
        <v>2</v>
      </c>
      <c r="K1203" s="2">
        <v>0.59040000000000004</v>
      </c>
      <c r="L1203" s="3">
        <f>(Table1[[#This Row],[Profit]]/Table1[[#This Row],[Sales]])*100</f>
        <v>11.25</v>
      </c>
    </row>
    <row r="1204" spans="1:12" x14ac:dyDescent="0.3">
      <c r="A1204" t="s">
        <v>2638</v>
      </c>
      <c r="B1204" s="1">
        <v>43713</v>
      </c>
      <c r="C1204" t="s">
        <v>774</v>
      </c>
      <c r="D1204" t="s">
        <v>775</v>
      </c>
      <c r="E1204" t="s">
        <v>14</v>
      </c>
      <c r="F1204" t="s">
        <v>15</v>
      </c>
      <c r="G1204" t="s">
        <v>24</v>
      </c>
      <c r="H1204" t="s">
        <v>2640</v>
      </c>
      <c r="I1204" s="2">
        <v>7.8719999999999999</v>
      </c>
      <c r="J1204">
        <v>3</v>
      </c>
      <c r="K1204" s="2">
        <v>0.59040000000000004</v>
      </c>
      <c r="L1204" s="3">
        <f>(Table1[[#This Row],[Profit]]/Table1[[#This Row],[Sales]])*100</f>
        <v>7.5000000000000009</v>
      </c>
    </row>
    <row r="1205" spans="1:12" x14ac:dyDescent="0.3">
      <c r="A1205" t="s">
        <v>4241</v>
      </c>
      <c r="B1205" s="1">
        <v>43900</v>
      </c>
      <c r="C1205" t="s">
        <v>2414</v>
      </c>
      <c r="D1205" t="s">
        <v>2415</v>
      </c>
      <c r="E1205" t="s">
        <v>14</v>
      </c>
      <c r="F1205" t="s">
        <v>15</v>
      </c>
      <c r="G1205" t="s">
        <v>24</v>
      </c>
      <c r="H1205" t="s">
        <v>52</v>
      </c>
      <c r="I1205" s="2">
        <v>128.24799999999999</v>
      </c>
      <c r="J1205">
        <v>2</v>
      </c>
      <c r="K1205" s="2">
        <v>0.59040000000000004</v>
      </c>
      <c r="L1205" s="3">
        <f>(Table1[[#This Row],[Profit]]/Table1[[#This Row],[Sales]])*100</f>
        <v>0.46035805626598469</v>
      </c>
    </row>
    <row r="1206" spans="1:12" x14ac:dyDescent="0.3">
      <c r="A1206" t="s">
        <v>4618</v>
      </c>
      <c r="B1206" s="1">
        <v>43962</v>
      </c>
      <c r="C1206" t="s">
        <v>1020</v>
      </c>
      <c r="D1206" t="s">
        <v>1021</v>
      </c>
      <c r="E1206" t="s">
        <v>14</v>
      </c>
      <c r="F1206" t="s">
        <v>29</v>
      </c>
      <c r="G1206" t="s">
        <v>24</v>
      </c>
      <c r="H1206" t="s">
        <v>2847</v>
      </c>
      <c r="I1206" s="2">
        <v>89.248000000000005</v>
      </c>
      <c r="J1206">
        <v>2</v>
      </c>
      <c r="K1206" s="2">
        <v>0.59040000000000004</v>
      </c>
      <c r="L1206" s="3">
        <f>(Table1[[#This Row],[Profit]]/Table1[[#This Row],[Sales]])*100</f>
        <v>0.6615274291860882</v>
      </c>
    </row>
    <row r="1207" spans="1:12" x14ac:dyDescent="0.3">
      <c r="A1207" t="s">
        <v>4874</v>
      </c>
      <c r="B1207" s="1">
        <v>44002</v>
      </c>
      <c r="C1207" t="s">
        <v>4875</v>
      </c>
      <c r="D1207" t="s">
        <v>4876</v>
      </c>
      <c r="E1207" t="s">
        <v>14</v>
      </c>
      <c r="F1207" t="s">
        <v>15</v>
      </c>
      <c r="G1207" t="s">
        <v>24</v>
      </c>
      <c r="H1207" t="s">
        <v>1792</v>
      </c>
      <c r="I1207" s="2">
        <v>98.248000000000005</v>
      </c>
      <c r="J1207">
        <v>2</v>
      </c>
      <c r="K1207" s="2">
        <v>0.59040000000000004</v>
      </c>
      <c r="L1207" s="3">
        <f>(Table1[[#This Row],[Profit]]/Table1[[#This Row],[Sales]])*100</f>
        <v>0.60092826317075154</v>
      </c>
    </row>
    <row r="1208" spans="1:12" x14ac:dyDescent="0.3">
      <c r="A1208" t="s">
        <v>5737</v>
      </c>
      <c r="B1208" s="1">
        <v>44135</v>
      </c>
      <c r="C1208" t="s">
        <v>1926</v>
      </c>
      <c r="D1208" t="s">
        <v>1927</v>
      </c>
      <c r="E1208" t="s">
        <v>14</v>
      </c>
      <c r="F1208" t="s">
        <v>29</v>
      </c>
      <c r="G1208" t="s">
        <v>24</v>
      </c>
      <c r="H1208" t="s">
        <v>4577</v>
      </c>
      <c r="I1208" s="2">
        <v>95.248000000000005</v>
      </c>
      <c r="J1208">
        <v>2</v>
      </c>
      <c r="K1208" s="2">
        <v>0.59040000000000004</v>
      </c>
      <c r="L1208" s="3">
        <f>(Table1[[#This Row],[Profit]]/Table1[[#This Row],[Sales]])*100</f>
        <v>0.61985553502435753</v>
      </c>
    </row>
    <row r="1209" spans="1:12" x14ac:dyDescent="0.3">
      <c r="A1209" t="s">
        <v>5483</v>
      </c>
      <c r="B1209" s="1">
        <v>44097</v>
      </c>
      <c r="C1209" t="s">
        <v>1024</v>
      </c>
      <c r="D1209" t="s">
        <v>1025</v>
      </c>
      <c r="E1209" t="s">
        <v>14</v>
      </c>
      <c r="F1209" t="s">
        <v>23</v>
      </c>
      <c r="G1209" t="s">
        <v>18</v>
      </c>
      <c r="H1209" t="s">
        <v>3375</v>
      </c>
      <c r="I1209" s="2">
        <v>132.98400000000001</v>
      </c>
      <c r="J1209">
        <v>2</v>
      </c>
      <c r="K1209" s="2">
        <v>0.5998</v>
      </c>
      <c r="L1209" s="3">
        <f>(Table1[[#This Row],[Profit]]/Table1[[#This Row],[Sales]])*100</f>
        <v>0.4510317030620225</v>
      </c>
    </row>
    <row r="1210" spans="1:12" x14ac:dyDescent="0.3">
      <c r="A1210" t="s">
        <v>3694</v>
      </c>
      <c r="B1210" s="1">
        <v>43803</v>
      </c>
      <c r="C1210" t="s">
        <v>2548</v>
      </c>
      <c r="D1210" t="s">
        <v>2549</v>
      </c>
      <c r="E1210" t="s">
        <v>14</v>
      </c>
      <c r="F1210" t="s">
        <v>15</v>
      </c>
      <c r="G1210" t="s">
        <v>24</v>
      </c>
      <c r="H1210" t="s">
        <v>521</v>
      </c>
      <c r="I1210" s="2">
        <v>1.728</v>
      </c>
      <c r="J1210">
        <v>1</v>
      </c>
      <c r="K1210" s="2">
        <v>0.6048</v>
      </c>
      <c r="L1210" s="3">
        <f>(Table1[[#This Row],[Profit]]/Table1[[#This Row],[Sales]])*100</f>
        <v>35</v>
      </c>
    </row>
    <row r="1211" spans="1:12" x14ac:dyDescent="0.3">
      <c r="A1211" t="s">
        <v>6141</v>
      </c>
      <c r="B1211" s="1">
        <v>44174</v>
      </c>
      <c r="C1211" t="s">
        <v>1183</v>
      </c>
      <c r="D1211" t="s">
        <v>1184</v>
      </c>
      <c r="E1211" t="s">
        <v>14</v>
      </c>
      <c r="F1211" t="s">
        <v>41</v>
      </c>
      <c r="G1211" t="s">
        <v>24</v>
      </c>
      <c r="H1211" t="s">
        <v>2917</v>
      </c>
      <c r="I1211" s="2">
        <v>129.13999999999999</v>
      </c>
      <c r="J1211">
        <v>1</v>
      </c>
      <c r="K1211" s="2">
        <v>0.60560000000000003</v>
      </c>
      <c r="L1211" s="3">
        <f>(Table1[[#This Row],[Profit]]/Table1[[#This Row],[Sales]])*100</f>
        <v>0.46894842806256781</v>
      </c>
    </row>
    <row r="1212" spans="1:12" x14ac:dyDescent="0.3">
      <c r="A1212" t="s">
        <v>3990</v>
      </c>
      <c r="B1212" s="1">
        <v>43837</v>
      </c>
      <c r="C1212" t="s">
        <v>3662</v>
      </c>
      <c r="D1212" t="s">
        <v>3663</v>
      </c>
      <c r="E1212" t="s">
        <v>14</v>
      </c>
      <c r="F1212" t="s">
        <v>23</v>
      </c>
      <c r="G1212" t="s">
        <v>24</v>
      </c>
      <c r="H1212" t="s">
        <v>3623</v>
      </c>
      <c r="I1212" s="2">
        <v>101.02</v>
      </c>
      <c r="J1212">
        <v>3</v>
      </c>
      <c r="K1212" s="2">
        <v>0.61019999999999996</v>
      </c>
      <c r="L1212" s="3">
        <f>(Table1[[#This Row],[Profit]]/Table1[[#This Row],[Sales]])*100</f>
        <v>0.60403880419718869</v>
      </c>
    </row>
    <row r="1213" spans="1:12" x14ac:dyDescent="0.3">
      <c r="A1213" t="s">
        <v>4706</v>
      </c>
      <c r="B1213" s="1">
        <v>43974</v>
      </c>
      <c r="C1213" t="s">
        <v>1472</v>
      </c>
      <c r="D1213" t="s">
        <v>1473</v>
      </c>
      <c r="E1213" t="s">
        <v>14</v>
      </c>
      <c r="F1213" t="s">
        <v>29</v>
      </c>
      <c r="G1213" t="s">
        <v>24</v>
      </c>
      <c r="H1213" t="s">
        <v>4707</v>
      </c>
      <c r="I1213" s="2">
        <v>71.823999999999998</v>
      </c>
      <c r="J1213">
        <v>2</v>
      </c>
      <c r="K1213" s="2">
        <v>0.61560000000000004</v>
      </c>
      <c r="L1213" s="3">
        <f>(Table1[[#This Row],[Profit]]/Table1[[#This Row],[Sales]])*100</f>
        <v>0.85709512140788613</v>
      </c>
    </row>
    <row r="1214" spans="1:12" x14ac:dyDescent="0.3">
      <c r="A1214" t="s">
        <v>5285</v>
      </c>
      <c r="B1214" s="1">
        <v>44078</v>
      </c>
      <c r="C1214" t="s">
        <v>2633</v>
      </c>
      <c r="D1214" t="s">
        <v>2634</v>
      </c>
      <c r="E1214" t="s">
        <v>14</v>
      </c>
      <c r="F1214" t="s">
        <v>15</v>
      </c>
      <c r="G1214" t="s">
        <v>24</v>
      </c>
      <c r="H1214" t="s">
        <v>1810</v>
      </c>
      <c r="I1214" s="2">
        <v>125.256</v>
      </c>
      <c r="J1214">
        <v>4</v>
      </c>
      <c r="K1214" s="2">
        <v>0.61919999999999997</v>
      </c>
      <c r="L1214" s="3">
        <f>(Table1[[#This Row],[Profit]]/Table1[[#This Row],[Sales]])*100</f>
        <v>0.49434757616401609</v>
      </c>
    </row>
    <row r="1215" spans="1:12" x14ac:dyDescent="0.3">
      <c r="A1215" t="s">
        <v>4595</v>
      </c>
      <c r="B1215" s="1">
        <v>43957</v>
      </c>
      <c r="C1215" t="s">
        <v>2249</v>
      </c>
      <c r="D1215" t="s">
        <v>2250</v>
      </c>
      <c r="E1215" t="s">
        <v>14</v>
      </c>
      <c r="F1215" t="s">
        <v>29</v>
      </c>
      <c r="G1215" t="s">
        <v>24</v>
      </c>
      <c r="H1215" t="s">
        <v>2551</v>
      </c>
      <c r="I1215" s="2">
        <v>94.408000000000001</v>
      </c>
      <c r="J1215">
        <v>3</v>
      </c>
      <c r="K1215" s="2">
        <v>0.64080000000000004</v>
      </c>
      <c r="L1215" s="3">
        <f>(Table1[[#This Row],[Profit]]/Table1[[#This Row],[Sales]])*100</f>
        <v>0.67875603762393011</v>
      </c>
    </row>
    <row r="1216" spans="1:12" x14ac:dyDescent="0.3">
      <c r="A1216" t="s">
        <v>2524</v>
      </c>
      <c r="B1216" s="1">
        <v>43710</v>
      </c>
      <c r="C1216" t="s">
        <v>1303</v>
      </c>
      <c r="D1216" t="s">
        <v>1304</v>
      </c>
      <c r="E1216" t="s">
        <v>14</v>
      </c>
      <c r="F1216" t="s">
        <v>29</v>
      </c>
      <c r="G1216" t="s">
        <v>24</v>
      </c>
      <c r="H1216" t="s">
        <v>2525</v>
      </c>
      <c r="I1216" s="2">
        <v>1.81</v>
      </c>
      <c r="J1216">
        <v>1</v>
      </c>
      <c r="K1216" s="2">
        <v>0.65159999999999996</v>
      </c>
      <c r="L1216" s="3">
        <f>(Table1[[#This Row],[Profit]]/Table1[[#This Row],[Sales]])*100</f>
        <v>36</v>
      </c>
    </row>
    <row r="1217" spans="1:12" x14ac:dyDescent="0.3">
      <c r="A1217" t="s">
        <v>4528</v>
      </c>
      <c r="B1217" s="1">
        <v>43945</v>
      </c>
      <c r="C1217" t="s">
        <v>493</v>
      </c>
      <c r="D1217" t="s">
        <v>494</v>
      </c>
      <c r="E1217" t="s">
        <v>14</v>
      </c>
      <c r="F1217" t="s">
        <v>23</v>
      </c>
      <c r="G1217" t="s">
        <v>24</v>
      </c>
      <c r="H1217" t="s">
        <v>2525</v>
      </c>
      <c r="I1217" s="2">
        <v>81.81</v>
      </c>
      <c r="J1217">
        <v>1</v>
      </c>
      <c r="K1217" s="2">
        <v>0.65159999999999996</v>
      </c>
      <c r="L1217" s="3">
        <f>(Table1[[#This Row],[Profit]]/Table1[[#This Row],[Sales]])*100</f>
        <v>0.79647964796479631</v>
      </c>
    </row>
    <row r="1218" spans="1:12" x14ac:dyDescent="0.3">
      <c r="A1218" t="s">
        <v>4209</v>
      </c>
      <c r="B1218" s="1">
        <v>43894</v>
      </c>
      <c r="C1218" t="s">
        <v>1119</v>
      </c>
      <c r="D1218" t="s">
        <v>1120</v>
      </c>
      <c r="E1218" t="s">
        <v>14</v>
      </c>
      <c r="F1218" t="s">
        <v>29</v>
      </c>
      <c r="G1218" t="s">
        <v>24</v>
      </c>
      <c r="H1218" t="s">
        <v>2562</v>
      </c>
      <c r="I1218" s="2">
        <v>123.72</v>
      </c>
      <c r="J1218">
        <v>1</v>
      </c>
      <c r="K1218" s="2">
        <v>0.65400000000000003</v>
      </c>
      <c r="L1218" s="3">
        <f>(Table1[[#This Row],[Profit]]/Table1[[#This Row],[Sales]])*100</f>
        <v>0.52861299709020371</v>
      </c>
    </row>
    <row r="1219" spans="1:12" x14ac:dyDescent="0.3">
      <c r="A1219" t="s">
        <v>5747</v>
      </c>
      <c r="B1219" s="1">
        <v>44137</v>
      </c>
      <c r="C1219" t="s">
        <v>1066</v>
      </c>
      <c r="D1219" t="s">
        <v>1067</v>
      </c>
      <c r="E1219" t="s">
        <v>14</v>
      </c>
      <c r="F1219" t="s">
        <v>15</v>
      </c>
      <c r="G1219" t="s">
        <v>16</v>
      </c>
      <c r="H1219" t="s">
        <v>2080</v>
      </c>
      <c r="I1219" s="2">
        <v>122.312</v>
      </c>
      <c r="J1219">
        <v>1</v>
      </c>
      <c r="K1219" s="2">
        <v>0.66239999999999999</v>
      </c>
      <c r="L1219" s="3">
        <f>(Table1[[#This Row],[Profit]]/Table1[[#This Row],[Sales]])*100</f>
        <v>0.54156583164366545</v>
      </c>
    </row>
    <row r="1220" spans="1:12" x14ac:dyDescent="0.3">
      <c r="A1220" t="s">
        <v>5692</v>
      </c>
      <c r="B1220" s="1">
        <v>44127</v>
      </c>
      <c r="C1220" t="s">
        <v>1883</v>
      </c>
      <c r="D1220" t="s">
        <v>1884</v>
      </c>
      <c r="E1220" t="s">
        <v>14</v>
      </c>
      <c r="F1220" t="s">
        <v>15</v>
      </c>
      <c r="G1220" t="s">
        <v>24</v>
      </c>
      <c r="H1220" t="s">
        <v>4869</v>
      </c>
      <c r="I1220" s="2">
        <v>97.22</v>
      </c>
      <c r="J1220">
        <v>1</v>
      </c>
      <c r="K1220" s="2">
        <v>0.66600000000000004</v>
      </c>
      <c r="L1220" s="3">
        <f>(Table1[[#This Row],[Profit]]/Table1[[#This Row],[Sales]])*100</f>
        <v>0.68504422958239053</v>
      </c>
    </row>
    <row r="1221" spans="1:12" x14ac:dyDescent="0.3">
      <c r="A1221" t="s">
        <v>4533</v>
      </c>
      <c r="B1221" s="1">
        <v>43946</v>
      </c>
      <c r="C1221" t="s">
        <v>4534</v>
      </c>
      <c r="D1221" t="s">
        <v>4535</v>
      </c>
      <c r="E1221" t="s">
        <v>14</v>
      </c>
      <c r="F1221" t="s">
        <v>23</v>
      </c>
      <c r="G1221" t="s">
        <v>24</v>
      </c>
      <c r="H1221" t="s">
        <v>3753</v>
      </c>
      <c r="I1221" s="2">
        <v>85.896000000000001</v>
      </c>
      <c r="J1221">
        <v>4</v>
      </c>
      <c r="K1221" s="2">
        <v>0.66720000000000002</v>
      </c>
      <c r="L1221" s="3">
        <f>(Table1[[#This Row],[Profit]]/Table1[[#This Row],[Sales]])*100</f>
        <v>0.77675328303995528</v>
      </c>
    </row>
    <row r="1222" spans="1:12" x14ac:dyDescent="0.3">
      <c r="A1222" t="s">
        <v>3063</v>
      </c>
      <c r="B1222" s="1">
        <v>43749</v>
      </c>
      <c r="C1222" t="s">
        <v>3064</v>
      </c>
      <c r="D1222" t="s">
        <v>3065</v>
      </c>
      <c r="E1222" t="s">
        <v>14</v>
      </c>
      <c r="F1222" t="s">
        <v>29</v>
      </c>
      <c r="G1222" t="s">
        <v>24</v>
      </c>
      <c r="H1222" t="s">
        <v>3066</v>
      </c>
      <c r="I1222" s="2">
        <v>5.3440000000000003</v>
      </c>
      <c r="J1222">
        <v>2</v>
      </c>
      <c r="K1222" s="2">
        <v>0.66800000000000004</v>
      </c>
      <c r="L1222" s="3">
        <f>(Table1[[#This Row],[Profit]]/Table1[[#This Row],[Sales]])*100</f>
        <v>12.5</v>
      </c>
    </row>
    <row r="1223" spans="1:12" x14ac:dyDescent="0.3">
      <c r="A1223" t="s">
        <v>4665</v>
      </c>
      <c r="B1223" s="1">
        <v>43969</v>
      </c>
      <c r="C1223" t="s">
        <v>2234</v>
      </c>
      <c r="D1223" t="s">
        <v>2235</v>
      </c>
      <c r="E1223" t="s">
        <v>14</v>
      </c>
      <c r="F1223" t="s">
        <v>29</v>
      </c>
      <c r="G1223" t="s">
        <v>24</v>
      </c>
      <c r="H1223" t="s">
        <v>4666</v>
      </c>
      <c r="I1223" s="2">
        <v>89.927999999999997</v>
      </c>
      <c r="J1223">
        <v>2</v>
      </c>
      <c r="K1223" s="2">
        <v>0.66959999999999997</v>
      </c>
      <c r="L1223" s="3">
        <f>(Table1[[#This Row],[Profit]]/Table1[[#This Row],[Sales]])*100</f>
        <v>0.74459567654123304</v>
      </c>
    </row>
    <row r="1224" spans="1:12" x14ac:dyDescent="0.3">
      <c r="A1224" t="s">
        <v>4881</v>
      </c>
      <c r="B1224" s="1">
        <v>44004</v>
      </c>
      <c r="C1224" t="s">
        <v>668</v>
      </c>
      <c r="D1224" t="s">
        <v>669</v>
      </c>
      <c r="E1224" t="s">
        <v>14</v>
      </c>
      <c r="F1224" t="s">
        <v>15</v>
      </c>
      <c r="G1224" t="s">
        <v>24</v>
      </c>
      <c r="H1224" t="s">
        <v>4666</v>
      </c>
      <c r="I1224" s="2">
        <v>108.928</v>
      </c>
      <c r="J1224">
        <v>2</v>
      </c>
      <c r="K1224" s="2">
        <v>0.66959999999999997</v>
      </c>
      <c r="L1224" s="3">
        <f>(Table1[[#This Row],[Profit]]/Table1[[#This Row],[Sales]])*100</f>
        <v>0.61471797884841362</v>
      </c>
    </row>
    <row r="1225" spans="1:12" x14ac:dyDescent="0.3">
      <c r="A1225" t="s">
        <v>3527</v>
      </c>
      <c r="B1225" s="1">
        <v>43791</v>
      </c>
      <c r="C1225" t="s">
        <v>3175</v>
      </c>
      <c r="D1225" t="s">
        <v>3176</v>
      </c>
      <c r="E1225" t="s">
        <v>14</v>
      </c>
      <c r="F1225" t="s">
        <v>29</v>
      </c>
      <c r="G1225" t="s">
        <v>24</v>
      </c>
      <c r="H1225" t="s">
        <v>2127</v>
      </c>
      <c r="I1225" s="2">
        <v>2.0880000000000001</v>
      </c>
      <c r="J1225">
        <v>1</v>
      </c>
      <c r="K1225" s="2">
        <v>0.67859999999999998</v>
      </c>
      <c r="L1225" s="3">
        <f>(Table1[[#This Row],[Profit]]/Table1[[#This Row],[Sales]])*100</f>
        <v>32.499999999999993</v>
      </c>
    </row>
    <row r="1226" spans="1:12" x14ac:dyDescent="0.3">
      <c r="A1226" t="s">
        <v>2726</v>
      </c>
      <c r="B1226" s="1">
        <v>43720</v>
      </c>
      <c r="C1226" t="s">
        <v>49</v>
      </c>
      <c r="D1226" t="s">
        <v>50</v>
      </c>
      <c r="E1226" t="s">
        <v>14</v>
      </c>
      <c r="F1226" t="s">
        <v>41</v>
      </c>
      <c r="G1226" t="s">
        <v>24</v>
      </c>
      <c r="H1226" t="s">
        <v>1780</v>
      </c>
      <c r="I1226" s="2">
        <v>67.900000000000006</v>
      </c>
      <c r="J1226">
        <v>5</v>
      </c>
      <c r="K1226" s="2">
        <v>0.67900000000000005</v>
      </c>
      <c r="L1226" s="3">
        <f>(Table1[[#This Row],[Profit]]/Table1[[#This Row],[Sales]])*100</f>
        <v>1</v>
      </c>
    </row>
    <row r="1227" spans="1:12" x14ac:dyDescent="0.3">
      <c r="A1227" t="s">
        <v>4017</v>
      </c>
      <c r="B1227" s="1">
        <v>43844</v>
      </c>
      <c r="C1227" t="s">
        <v>1179</v>
      </c>
      <c r="D1227" t="s">
        <v>1180</v>
      </c>
      <c r="E1227" t="s">
        <v>14</v>
      </c>
      <c r="F1227" t="s">
        <v>41</v>
      </c>
      <c r="G1227" t="s">
        <v>18</v>
      </c>
      <c r="H1227" t="s">
        <v>4018</v>
      </c>
      <c r="I1227" s="2">
        <v>89.92</v>
      </c>
      <c r="J1227">
        <v>5</v>
      </c>
      <c r="K1227" s="2">
        <v>0.69299999999999995</v>
      </c>
      <c r="L1227" s="3">
        <f>(Table1[[#This Row],[Profit]]/Table1[[#This Row],[Sales]])*100</f>
        <v>0.77068505338078286</v>
      </c>
    </row>
    <row r="1228" spans="1:12" x14ac:dyDescent="0.3">
      <c r="A1228" t="s">
        <v>5863</v>
      </c>
      <c r="B1228" s="1">
        <v>44147</v>
      </c>
      <c r="C1228" t="s">
        <v>1577</v>
      </c>
      <c r="D1228" t="s">
        <v>1578</v>
      </c>
      <c r="E1228" t="s">
        <v>14</v>
      </c>
      <c r="F1228" t="s">
        <v>23</v>
      </c>
      <c r="G1228" t="s">
        <v>18</v>
      </c>
      <c r="H1228" t="s">
        <v>4758</v>
      </c>
      <c r="I1228" s="2">
        <v>112.92</v>
      </c>
      <c r="J1228">
        <v>2</v>
      </c>
      <c r="K1228" s="2">
        <v>0.69299999999999995</v>
      </c>
      <c r="L1228" s="3">
        <f>(Table1[[#This Row],[Profit]]/Table1[[#This Row],[Sales]])*100</f>
        <v>0.61370882040382568</v>
      </c>
    </row>
    <row r="1229" spans="1:12" x14ac:dyDescent="0.3">
      <c r="A1229" t="s">
        <v>5238</v>
      </c>
      <c r="B1229" s="1">
        <v>44074</v>
      </c>
      <c r="C1229" t="s">
        <v>493</v>
      </c>
      <c r="D1229" t="s">
        <v>494</v>
      </c>
      <c r="E1229" t="s">
        <v>14</v>
      </c>
      <c r="F1229" t="s">
        <v>23</v>
      </c>
      <c r="G1229" t="s">
        <v>24</v>
      </c>
      <c r="H1229" t="s">
        <v>1092</v>
      </c>
      <c r="I1229" s="2">
        <v>93.207999999999998</v>
      </c>
      <c r="J1229">
        <v>2</v>
      </c>
      <c r="K1229" s="2">
        <v>0.69840000000000002</v>
      </c>
      <c r="L1229" s="3">
        <f>(Table1[[#This Row],[Profit]]/Table1[[#This Row],[Sales]])*100</f>
        <v>0.74929190627413966</v>
      </c>
    </row>
    <row r="1230" spans="1:12" x14ac:dyDescent="0.3">
      <c r="A1230" t="s">
        <v>331</v>
      </c>
      <c r="B1230" s="1">
        <v>43507</v>
      </c>
      <c r="C1230" t="s">
        <v>332</v>
      </c>
      <c r="D1230" t="s">
        <v>333</v>
      </c>
      <c r="E1230" t="s">
        <v>14</v>
      </c>
      <c r="F1230" t="s">
        <v>29</v>
      </c>
      <c r="G1230" t="s">
        <v>18</v>
      </c>
      <c r="H1230" t="s">
        <v>334</v>
      </c>
      <c r="I1230" s="2">
        <v>69.930000000000007</v>
      </c>
      <c r="J1230">
        <v>7</v>
      </c>
      <c r="K1230" s="2">
        <v>0.69930000000000003</v>
      </c>
      <c r="L1230" s="3">
        <f>(Table1[[#This Row],[Profit]]/Table1[[#This Row],[Sales]])*100</f>
        <v>1</v>
      </c>
    </row>
    <row r="1231" spans="1:12" x14ac:dyDescent="0.3">
      <c r="A1231" t="s">
        <v>4643</v>
      </c>
      <c r="B1231" s="1">
        <v>43965</v>
      </c>
      <c r="C1231" t="s">
        <v>380</v>
      </c>
      <c r="D1231" t="s">
        <v>381</v>
      </c>
      <c r="E1231" t="s">
        <v>14</v>
      </c>
      <c r="F1231" t="s">
        <v>29</v>
      </c>
      <c r="G1231" t="s">
        <v>18</v>
      </c>
      <c r="H1231" t="s">
        <v>2845</v>
      </c>
      <c r="I1231" s="2">
        <v>128.99199999999999</v>
      </c>
      <c r="J1231">
        <v>1</v>
      </c>
      <c r="K1231" s="2">
        <v>0.69930000000000003</v>
      </c>
      <c r="L1231" s="3">
        <f>(Table1[[#This Row],[Profit]]/Table1[[#This Row],[Sales]])*100</f>
        <v>0.54212664351277606</v>
      </c>
    </row>
    <row r="1232" spans="1:12" x14ac:dyDescent="0.3">
      <c r="A1232" t="s">
        <v>5229</v>
      </c>
      <c r="B1232" s="1">
        <v>44072</v>
      </c>
      <c r="C1232" t="s">
        <v>4725</v>
      </c>
      <c r="D1232" t="s">
        <v>4726</v>
      </c>
      <c r="E1232" t="s">
        <v>14</v>
      </c>
      <c r="F1232" t="s">
        <v>15</v>
      </c>
      <c r="G1232" t="s">
        <v>24</v>
      </c>
      <c r="H1232" t="s">
        <v>4235</v>
      </c>
      <c r="I1232" s="2">
        <v>89.408000000000001</v>
      </c>
      <c r="J1232">
        <v>7</v>
      </c>
      <c r="K1232" s="2">
        <v>0.7056</v>
      </c>
      <c r="L1232" s="3">
        <f>(Table1[[#This Row],[Profit]]/Table1[[#This Row],[Sales]])*100</f>
        <v>0.78919112383679313</v>
      </c>
    </row>
    <row r="1233" spans="1:12" x14ac:dyDescent="0.3">
      <c r="A1233" t="s">
        <v>4803</v>
      </c>
      <c r="B1233" s="1">
        <v>43992</v>
      </c>
      <c r="C1233" t="s">
        <v>659</v>
      </c>
      <c r="D1233" t="s">
        <v>660</v>
      </c>
      <c r="E1233" t="s">
        <v>14</v>
      </c>
      <c r="F1233" t="s">
        <v>15</v>
      </c>
      <c r="G1233" t="s">
        <v>24</v>
      </c>
      <c r="H1233" t="s">
        <v>4739</v>
      </c>
      <c r="I1233" s="2">
        <v>117.13</v>
      </c>
      <c r="J1233">
        <v>3</v>
      </c>
      <c r="K1233" s="2">
        <v>0.70650000000000002</v>
      </c>
      <c r="L1233" s="3">
        <f>(Table1[[#This Row],[Profit]]/Table1[[#This Row],[Sales]])*100</f>
        <v>0.60317595833689064</v>
      </c>
    </row>
    <row r="1234" spans="1:12" x14ac:dyDescent="0.3">
      <c r="A1234" t="s">
        <v>2204</v>
      </c>
      <c r="B1234" s="1">
        <v>43674</v>
      </c>
      <c r="C1234" t="s">
        <v>1681</v>
      </c>
      <c r="D1234" t="s">
        <v>1682</v>
      </c>
      <c r="E1234" t="s">
        <v>14</v>
      </c>
      <c r="F1234" t="s">
        <v>15</v>
      </c>
      <c r="G1234" t="s">
        <v>24</v>
      </c>
      <c r="H1234" t="s">
        <v>2206</v>
      </c>
      <c r="I1234" s="2">
        <v>9.48</v>
      </c>
      <c r="J1234">
        <v>3</v>
      </c>
      <c r="K1234" s="2">
        <v>0.71099999999999997</v>
      </c>
      <c r="L1234" s="3">
        <f>(Table1[[#This Row],[Profit]]/Table1[[#This Row],[Sales]])*100</f>
        <v>7.5</v>
      </c>
    </row>
    <row r="1235" spans="1:12" x14ac:dyDescent="0.3">
      <c r="A1235" t="s">
        <v>4109</v>
      </c>
      <c r="B1235" s="1">
        <v>43866</v>
      </c>
      <c r="C1235" t="s">
        <v>3607</v>
      </c>
      <c r="D1235" t="s">
        <v>3608</v>
      </c>
      <c r="E1235" t="s">
        <v>14</v>
      </c>
      <c r="F1235" t="s">
        <v>29</v>
      </c>
      <c r="G1235" t="s">
        <v>24</v>
      </c>
      <c r="H1235" t="s">
        <v>2987</v>
      </c>
      <c r="I1235" s="2">
        <v>221.12</v>
      </c>
      <c r="J1235">
        <v>5</v>
      </c>
      <c r="K1235" s="2">
        <v>0.71199999999999997</v>
      </c>
      <c r="L1235" s="3">
        <f>(Table1[[#This Row],[Profit]]/Table1[[#This Row],[Sales]])*100</f>
        <v>0.3219971056439942</v>
      </c>
    </row>
    <row r="1236" spans="1:12" x14ac:dyDescent="0.3">
      <c r="A1236" t="s">
        <v>3115</v>
      </c>
      <c r="B1236" s="1">
        <v>43758</v>
      </c>
      <c r="C1236" t="s">
        <v>3116</v>
      </c>
      <c r="D1236" t="s">
        <v>3117</v>
      </c>
      <c r="E1236" t="s">
        <v>14</v>
      </c>
      <c r="F1236" t="s">
        <v>15</v>
      </c>
      <c r="G1236" t="s">
        <v>24</v>
      </c>
      <c r="H1236" t="s">
        <v>3118</v>
      </c>
      <c r="I1236" s="2">
        <v>7.1520000000000001</v>
      </c>
      <c r="J1236">
        <v>3</v>
      </c>
      <c r="K1236" s="2">
        <v>0.71519999999999995</v>
      </c>
      <c r="L1236" s="3">
        <f>(Table1[[#This Row],[Profit]]/Table1[[#This Row],[Sales]])*100</f>
        <v>10</v>
      </c>
    </row>
    <row r="1237" spans="1:12" x14ac:dyDescent="0.3">
      <c r="A1237" t="s">
        <v>2658</v>
      </c>
      <c r="B1237" s="1">
        <v>43716</v>
      </c>
      <c r="C1237" t="s">
        <v>103</v>
      </c>
      <c r="D1237" t="s">
        <v>104</v>
      </c>
      <c r="E1237" t="s">
        <v>14</v>
      </c>
      <c r="F1237" t="s">
        <v>29</v>
      </c>
      <c r="G1237" t="s">
        <v>18</v>
      </c>
      <c r="H1237" t="s">
        <v>2317</v>
      </c>
      <c r="I1237" s="2">
        <v>57.584000000000003</v>
      </c>
      <c r="J1237">
        <v>2</v>
      </c>
      <c r="K1237" s="2">
        <v>0.7198</v>
      </c>
      <c r="L1237" s="3">
        <f>(Table1[[#This Row],[Profit]]/Table1[[#This Row],[Sales]])*100</f>
        <v>1.25</v>
      </c>
    </row>
    <row r="1238" spans="1:12" x14ac:dyDescent="0.3">
      <c r="A1238" t="s">
        <v>4701</v>
      </c>
      <c r="B1238" s="1">
        <v>43973</v>
      </c>
      <c r="C1238" t="s">
        <v>4702</v>
      </c>
      <c r="D1238" t="s">
        <v>4703</v>
      </c>
      <c r="E1238" t="s">
        <v>14</v>
      </c>
      <c r="F1238" t="s">
        <v>23</v>
      </c>
      <c r="G1238" t="s">
        <v>24</v>
      </c>
      <c r="H1238" t="s">
        <v>1551</v>
      </c>
      <c r="I1238" s="2">
        <v>116.78</v>
      </c>
      <c r="J1238">
        <v>1</v>
      </c>
      <c r="K1238" s="2">
        <v>0.7228</v>
      </c>
      <c r="L1238" s="3">
        <f>(Table1[[#This Row],[Profit]]/Table1[[#This Row],[Sales]])*100</f>
        <v>0.61894159958897066</v>
      </c>
    </row>
    <row r="1239" spans="1:12" x14ac:dyDescent="0.3">
      <c r="A1239" t="s">
        <v>5297</v>
      </c>
      <c r="B1239" s="1">
        <v>44079</v>
      </c>
      <c r="C1239" t="s">
        <v>1333</v>
      </c>
      <c r="D1239" t="s">
        <v>1334</v>
      </c>
      <c r="E1239" t="s">
        <v>14</v>
      </c>
      <c r="F1239" t="s">
        <v>23</v>
      </c>
      <c r="G1239" t="s">
        <v>24</v>
      </c>
      <c r="H1239" t="s">
        <v>1551</v>
      </c>
      <c r="I1239" s="2">
        <v>89.78</v>
      </c>
      <c r="J1239">
        <v>1</v>
      </c>
      <c r="K1239" s="2">
        <v>0.7228</v>
      </c>
      <c r="L1239" s="3">
        <f>(Table1[[#This Row],[Profit]]/Table1[[#This Row],[Sales]])*100</f>
        <v>0.80507908220093571</v>
      </c>
    </row>
    <row r="1240" spans="1:12" x14ac:dyDescent="0.3">
      <c r="A1240" t="s">
        <v>2057</v>
      </c>
      <c r="B1240" s="1">
        <v>43662</v>
      </c>
      <c r="C1240" t="s">
        <v>1631</v>
      </c>
      <c r="D1240" t="s">
        <v>1632</v>
      </c>
      <c r="E1240" t="s">
        <v>14</v>
      </c>
      <c r="F1240" t="s">
        <v>15</v>
      </c>
      <c r="G1240" t="s">
        <v>24</v>
      </c>
      <c r="H1240" t="s">
        <v>840</v>
      </c>
      <c r="I1240" s="2">
        <v>5.84</v>
      </c>
      <c r="J1240">
        <v>2</v>
      </c>
      <c r="K1240" s="2">
        <v>0.73</v>
      </c>
      <c r="L1240" s="3">
        <f>(Table1[[#This Row],[Profit]]/Table1[[#This Row],[Sales]])*100</f>
        <v>12.5</v>
      </c>
    </row>
    <row r="1241" spans="1:12" x14ac:dyDescent="0.3">
      <c r="A1241" t="s">
        <v>4545</v>
      </c>
      <c r="B1241" s="1">
        <v>43949</v>
      </c>
      <c r="C1241" t="s">
        <v>3498</v>
      </c>
      <c r="D1241" t="s">
        <v>3499</v>
      </c>
      <c r="E1241" t="s">
        <v>14</v>
      </c>
      <c r="F1241" t="s">
        <v>15</v>
      </c>
      <c r="G1241" t="s">
        <v>24</v>
      </c>
      <c r="H1241" t="s">
        <v>2007</v>
      </c>
      <c r="I1241" s="2">
        <v>117.384</v>
      </c>
      <c r="J1241">
        <v>1</v>
      </c>
      <c r="K1241" s="2">
        <v>0.73360000000000003</v>
      </c>
      <c r="L1241" s="3">
        <f>(Table1[[#This Row],[Profit]]/Table1[[#This Row],[Sales]])*100</f>
        <v>0.62495740475703676</v>
      </c>
    </row>
    <row r="1242" spans="1:12" x14ac:dyDescent="0.3">
      <c r="A1242" t="s">
        <v>4893</v>
      </c>
      <c r="B1242" s="1">
        <v>44007</v>
      </c>
      <c r="C1242" t="s">
        <v>2249</v>
      </c>
      <c r="D1242" t="s">
        <v>2250</v>
      </c>
      <c r="E1242" t="s">
        <v>14</v>
      </c>
      <c r="F1242" t="s">
        <v>23</v>
      </c>
      <c r="G1242" t="s">
        <v>24</v>
      </c>
      <c r="H1242" t="s">
        <v>2800</v>
      </c>
      <c r="I1242" s="2">
        <v>103.34399999999999</v>
      </c>
      <c r="J1242">
        <v>2</v>
      </c>
      <c r="K1242" s="2">
        <v>0.73480000000000001</v>
      </c>
      <c r="L1242" s="3">
        <f>(Table1[[#This Row],[Profit]]/Table1[[#This Row],[Sales]])*100</f>
        <v>0.71102337823192441</v>
      </c>
    </row>
    <row r="1243" spans="1:12" x14ac:dyDescent="0.3">
      <c r="A1243" t="s">
        <v>6037</v>
      </c>
      <c r="B1243" s="1">
        <v>44163</v>
      </c>
      <c r="C1243" t="s">
        <v>2220</v>
      </c>
      <c r="D1243" t="s">
        <v>2221</v>
      </c>
      <c r="E1243" t="s">
        <v>14</v>
      </c>
      <c r="F1243" t="s">
        <v>15</v>
      </c>
      <c r="G1243" t="s">
        <v>24</v>
      </c>
      <c r="H1243" t="s">
        <v>1090</v>
      </c>
      <c r="I1243" s="2">
        <v>117.64</v>
      </c>
      <c r="J1243">
        <v>1</v>
      </c>
      <c r="K1243" s="2">
        <v>0.73799999999999999</v>
      </c>
      <c r="L1243" s="3">
        <f>(Table1[[#This Row],[Profit]]/Table1[[#This Row],[Sales]])*100</f>
        <v>0.62733764025841554</v>
      </c>
    </row>
    <row r="1244" spans="1:12" x14ac:dyDescent="0.3">
      <c r="A1244" t="s">
        <v>4560</v>
      </c>
      <c r="B1244" s="1">
        <v>43951</v>
      </c>
      <c r="C1244" t="s">
        <v>3913</v>
      </c>
      <c r="D1244" t="s">
        <v>3914</v>
      </c>
      <c r="E1244" t="s">
        <v>14</v>
      </c>
      <c r="F1244" t="s">
        <v>41</v>
      </c>
      <c r="G1244" t="s">
        <v>18</v>
      </c>
      <c r="H1244" t="s">
        <v>2427</v>
      </c>
      <c r="I1244" s="2">
        <v>124.376</v>
      </c>
      <c r="J1244">
        <v>3</v>
      </c>
      <c r="K1244" s="2">
        <v>0.74250000000000005</v>
      </c>
      <c r="L1244" s="3">
        <f>(Table1[[#This Row],[Profit]]/Table1[[#This Row],[Sales]])*100</f>
        <v>0.5969801247829164</v>
      </c>
    </row>
    <row r="1245" spans="1:12" x14ac:dyDescent="0.3">
      <c r="A1245" t="s">
        <v>6031</v>
      </c>
      <c r="B1245" s="1">
        <v>44162</v>
      </c>
      <c r="C1245" t="s">
        <v>3047</v>
      </c>
      <c r="D1245" t="s">
        <v>3048</v>
      </c>
      <c r="E1245" t="s">
        <v>14</v>
      </c>
      <c r="F1245" t="s">
        <v>41</v>
      </c>
      <c r="G1245" t="s">
        <v>24</v>
      </c>
      <c r="H1245" t="s">
        <v>4451</v>
      </c>
      <c r="I1245" s="2">
        <v>120.76</v>
      </c>
      <c r="J1245">
        <v>5</v>
      </c>
      <c r="K1245" s="2">
        <v>0.76649999999999996</v>
      </c>
      <c r="L1245" s="3">
        <f>(Table1[[#This Row],[Profit]]/Table1[[#This Row],[Sales]])*100</f>
        <v>0.63473004306061598</v>
      </c>
    </row>
    <row r="1246" spans="1:12" x14ac:dyDescent="0.3">
      <c r="A1246" t="s">
        <v>4545</v>
      </c>
      <c r="B1246" s="1">
        <v>43949</v>
      </c>
      <c r="C1246" t="s">
        <v>3498</v>
      </c>
      <c r="D1246" t="s">
        <v>3499</v>
      </c>
      <c r="E1246" t="s">
        <v>14</v>
      </c>
      <c r="F1246" t="s">
        <v>15</v>
      </c>
      <c r="G1246" t="s">
        <v>24</v>
      </c>
      <c r="H1246" t="s">
        <v>1026</v>
      </c>
      <c r="I1246" s="2">
        <v>133.84800000000001</v>
      </c>
      <c r="J1246">
        <v>2</v>
      </c>
      <c r="K1246" s="2">
        <v>0.77039999999999997</v>
      </c>
      <c r="L1246" s="3">
        <f>(Table1[[#This Row],[Profit]]/Table1[[#This Row],[Sales]])*100</f>
        <v>0.57557826788596012</v>
      </c>
    </row>
    <row r="1247" spans="1:12" x14ac:dyDescent="0.3">
      <c r="A1247" t="s">
        <v>4712</v>
      </c>
      <c r="B1247" s="1">
        <v>43977</v>
      </c>
      <c r="C1247" t="s">
        <v>1535</v>
      </c>
      <c r="D1247" t="s">
        <v>1536</v>
      </c>
      <c r="E1247" t="s">
        <v>14</v>
      </c>
      <c r="F1247" t="s">
        <v>41</v>
      </c>
      <c r="G1247" t="s">
        <v>24</v>
      </c>
      <c r="H1247" t="s">
        <v>2468</v>
      </c>
      <c r="I1247" s="2">
        <v>126.76</v>
      </c>
      <c r="J1247">
        <v>2</v>
      </c>
      <c r="K1247" s="2">
        <v>0.77280000000000004</v>
      </c>
      <c r="L1247" s="3">
        <f>(Table1[[#This Row],[Profit]]/Table1[[#This Row],[Sales]])*100</f>
        <v>0.60965604291574627</v>
      </c>
    </row>
    <row r="1248" spans="1:12" x14ac:dyDescent="0.3">
      <c r="A1248" t="s">
        <v>485</v>
      </c>
      <c r="B1248" s="1">
        <v>43527</v>
      </c>
      <c r="C1248" t="s">
        <v>486</v>
      </c>
      <c r="D1248" t="s">
        <v>487</v>
      </c>
      <c r="E1248" t="s">
        <v>14</v>
      </c>
      <c r="F1248" t="s">
        <v>29</v>
      </c>
      <c r="G1248" t="s">
        <v>24</v>
      </c>
      <c r="H1248" t="s">
        <v>489</v>
      </c>
      <c r="I1248" s="2">
        <v>2.3039999999999998</v>
      </c>
      <c r="J1248">
        <v>1</v>
      </c>
      <c r="K1248" s="2">
        <v>0.77759999999999996</v>
      </c>
      <c r="L1248" s="3">
        <f>(Table1[[#This Row],[Profit]]/Table1[[#This Row],[Sales]])*100</f>
        <v>33.75</v>
      </c>
    </row>
    <row r="1249" spans="1:12" x14ac:dyDescent="0.3">
      <c r="A1249" t="s">
        <v>393</v>
      </c>
      <c r="B1249" s="1">
        <v>43517</v>
      </c>
      <c r="C1249" t="s">
        <v>394</v>
      </c>
      <c r="D1249" t="s">
        <v>395</v>
      </c>
      <c r="E1249" t="s">
        <v>14</v>
      </c>
      <c r="F1249" t="s">
        <v>23</v>
      </c>
      <c r="G1249" t="s">
        <v>18</v>
      </c>
      <c r="H1249" t="s">
        <v>396</v>
      </c>
      <c r="I1249" s="2">
        <v>12.99</v>
      </c>
      <c r="J1249">
        <v>1</v>
      </c>
      <c r="K1249" s="2">
        <v>0.77939999999999998</v>
      </c>
      <c r="L1249" s="3">
        <f>(Table1[[#This Row],[Profit]]/Table1[[#This Row],[Sales]])*100</f>
        <v>6</v>
      </c>
    </row>
    <row r="1250" spans="1:12" x14ac:dyDescent="0.3">
      <c r="A1250" t="s">
        <v>1086</v>
      </c>
      <c r="B1250" s="1">
        <v>43574</v>
      </c>
      <c r="C1250" t="s">
        <v>1087</v>
      </c>
      <c r="D1250" t="s">
        <v>1088</v>
      </c>
      <c r="E1250" t="s">
        <v>14</v>
      </c>
      <c r="F1250" t="s">
        <v>15</v>
      </c>
      <c r="G1250" t="s">
        <v>18</v>
      </c>
      <c r="H1250" t="s">
        <v>1089</v>
      </c>
      <c r="I1250" s="2">
        <v>25.98</v>
      </c>
      <c r="J1250">
        <v>2</v>
      </c>
      <c r="K1250" s="2">
        <v>0.77939999999999998</v>
      </c>
      <c r="L1250" s="3">
        <f>(Table1[[#This Row],[Profit]]/Table1[[#This Row],[Sales]])*100</f>
        <v>3</v>
      </c>
    </row>
    <row r="1251" spans="1:12" x14ac:dyDescent="0.3">
      <c r="A1251" t="s">
        <v>6159</v>
      </c>
      <c r="B1251" s="1">
        <v>44175</v>
      </c>
      <c r="C1251" t="s">
        <v>1935</v>
      </c>
      <c r="D1251" t="s">
        <v>1936</v>
      </c>
      <c r="E1251" t="s">
        <v>14</v>
      </c>
      <c r="F1251" t="s">
        <v>41</v>
      </c>
      <c r="G1251" t="s">
        <v>18</v>
      </c>
      <c r="H1251" t="s">
        <v>97</v>
      </c>
      <c r="I1251" s="2">
        <v>161.97</v>
      </c>
      <c r="J1251">
        <v>3</v>
      </c>
      <c r="K1251" s="2">
        <v>0.77939999999999998</v>
      </c>
      <c r="L1251" s="3">
        <f>(Table1[[#This Row],[Profit]]/Table1[[#This Row],[Sales]])*100</f>
        <v>0.4812002222633821</v>
      </c>
    </row>
    <row r="1252" spans="1:12" x14ac:dyDescent="0.3">
      <c r="A1252" t="s">
        <v>5237</v>
      </c>
      <c r="B1252" s="1">
        <v>44074</v>
      </c>
      <c r="C1252" t="s">
        <v>206</v>
      </c>
      <c r="D1252" t="s">
        <v>207</v>
      </c>
      <c r="E1252" t="s">
        <v>14</v>
      </c>
      <c r="F1252" t="s">
        <v>23</v>
      </c>
      <c r="G1252" t="s">
        <v>24</v>
      </c>
      <c r="H1252" t="s">
        <v>4282</v>
      </c>
      <c r="I1252" s="2">
        <v>140.744</v>
      </c>
      <c r="J1252">
        <v>1</v>
      </c>
      <c r="K1252" s="2">
        <v>0.80579999999999996</v>
      </c>
      <c r="L1252" s="3">
        <f>(Table1[[#This Row],[Profit]]/Table1[[#This Row],[Sales]])*100</f>
        <v>0.57252884670039217</v>
      </c>
    </row>
    <row r="1253" spans="1:12" x14ac:dyDescent="0.3">
      <c r="A1253" t="s">
        <v>1124</v>
      </c>
      <c r="B1253" s="1">
        <v>43577</v>
      </c>
      <c r="C1253" t="s">
        <v>1125</v>
      </c>
      <c r="D1253" t="s">
        <v>1126</v>
      </c>
      <c r="E1253" t="s">
        <v>14</v>
      </c>
      <c r="F1253" t="s">
        <v>15</v>
      </c>
      <c r="G1253" t="s">
        <v>24</v>
      </c>
      <c r="H1253" t="s">
        <v>1128</v>
      </c>
      <c r="I1253" s="2">
        <v>2.88</v>
      </c>
      <c r="J1253">
        <v>1</v>
      </c>
      <c r="K1253" s="2">
        <v>0.80640000000000001</v>
      </c>
      <c r="L1253" s="3">
        <f>(Table1[[#This Row],[Profit]]/Table1[[#This Row],[Sales]])*100</f>
        <v>28.000000000000004</v>
      </c>
    </row>
    <row r="1254" spans="1:12" x14ac:dyDescent="0.3">
      <c r="A1254" t="s">
        <v>2654</v>
      </c>
      <c r="B1254" s="1">
        <v>43714</v>
      </c>
      <c r="C1254" t="s">
        <v>2504</v>
      </c>
      <c r="D1254" t="s">
        <v>2505</v>
      </c>
      <c r="E1254" t="s">
        <v>14</v>
      </c>
      <c r="F1254" t="s">
        <v>29</v>
      </c>
      <c r="G1254" t="s">
        <v>24</v>
      </c>
      <c r="H1254" t="s">
        <v>2655</v>
      </c>
      <c r="I1254" s="2">
        <v>10.784000000000001</v>
      </c>
      <c r="J1254">
        <v>1</v>
      </c>
      <c r="K1254" s="2">
        <v>0.80879999999999996</v>
      </c>
      <c r="L1254" s="3">
        <f>(Table1[[#This Row],[Profit]]/Table1[[#This Row],[Sales]])*100</f>
        <v>7.5</v>
      </c>
    </row>
    <row r="1255" spans="1:12" x14ac:dyDescent="0.3">
      <c r="A1255" t="s">
        <v>3755</v>
      </c>
      <c r="B1255" s="1">
        <v>43808</v>
      </c>
      <c r="C1255" t="s">
        <v>1288</v>
      </c>
      <c r="D1255" t="s">
        <v>1289</v>
      </c>
      <c r="E1255" t="s">
        <v>14</v>
      </c>
      <c r="F1255" t="s">
        <v>29</v>
      </c>
      <c r="G1255" t="s">
        <v>24</v>
      </c>
      <c r="H1255" t="s">
        <v>765</v>
      </c>
      <c r="I1255" s="2">
        <v>9.3279999999999994</v>
      </c>
      <c r="J1255">
        <v>1</v>
      </c>
      <c r="K1255" s="2">
        <v>0.81620000000000004</v>
      </c>
      <c r="L1255" s="3">
        <f>(Table1[[#This Row],[Profit]]/Table1[[#This Row],[Sales]])*100</f>
        <v>8.75</v>
      </c>
    </row>
    <row r="1256" spans="1:12" x14ac:dyDescent="0.3">
      <c r="A1256" t="s">
        <v>1975</v>
      </c>
      <c r="B1256" s="1">
        <v>43653</v>
      </c>
      <c r="C1256" t="s">
        <v>1976</v>
      </c>
      <c r="D1256" t="s">
        <v>1977</v>
      </c>
      <c r="E1256" t="s">
        <v>14</v>
      </c>
      <c r="F1256" t="s">
        <v>29</v>
      </c>
      <c r="G1256" t="s">
        <v>24</v>
      </c>
      <c r="H1256" t="s">
        <v>1411</v>
      </c>
      <c r="I1256" s="2">
        <v>2.6320000000000001</v>
      </c>
      <c r="J1256">
        <v>1</v>
      </c>
      <c r="K1256" s="2">
        <v>0.82250000000000001</v>
      </c>
      <c r="L1256" s="3">
        <f>(Table1[[#This Row],[Profit]]/Table1[[#This Row],[Sales]])*100</f>
        <v>31.25</v>
      </c>
    </row>
    <row r="1257" spans="1:12" x14ac:dyDescent="0.3">
      <c r="A1257" t="s">
        <v>6049</v>
      </c>
      <c r="B1257" s="1">
        <v>44165</v>
      </c>
      <c r="C1257" t="s">
        <v>3859</v>
      </c>
      <c r="D1257" t="s">
        <v>3860</v>
      </c>
      <c r="E1257" t="s">
        <v>14</v>
      </c>
      <c r="F1257" t="s">
        <v>29</v>
      </c>
      <c r="G1257" t="s">
        <v>24</v>
      </c>
      <c r="H1257" t="s">
        <v>4070</v>
      </c>
      <c r="I1257" s="2">
        <v>128.36799999999999</v>
      </c>
      <c r="J1257">
        <v>2</v>
      </c>
      <c r="K1257" s="2">
        <v>0.82879999999999998</v>
      </c>
      <c r="L1257" s="3">
        <f>(Table1[[#This Row],[Profit]]/Table1[[#This Row],[Sales]])*100</f>
        <v>0.64564377414932073</v>
      </c>
    </row>
    <row r="1258" spans="1:12" x14ac:dyDescent="0.3">
      <c r="A1258" t="s">
        <v>5345</v>
      </c>
      <c r="B1258" s="1">
        <v>44083</v>
      </c>
      <c r="C1258" t="s">
        <v>769</v>
      </c>
      <c r="D1258" t="s">
        <v>770</v>
      </c>
      <c r="E1258" t="s">
        <v>14</v>
      </c>
      <c r="F1258" t="s">
        <v>23</v>
      </c>
      <c r="G1258" t="s">
        <v>24</v>
      </c>
      <c r="H1258" t="s">
        <v>905</v>
      </c>
      <c r="I1258" s="2">
        <v>135.17599999999999</v>
      </c>
      <c r="J1258">
        <v>1</v>
      </c>
      <c r="K1258" s="2">
        <v>0.83819999999999995</v>
      </c>
      <c r="L1258" s="3">
        <f>(Table1[[#This Row],[Profit]]/Table1[[#This Row],[Sales]])*100</f>
        <v>0.62008048766053148</v>
      </c>
    </row>
    <row r="1259" spans="1:12" x14ac:dyDescent="0.3">
      <c r="A1259" t="s">
        <v>4865</v>
      </c>
      <c r="B1259" s="1">
        <v>44001</v>
      </c>
      <c r="C1259" t="s">
        <v>3223</v>
      </c>
      <c r="D1259" t="s">
        <v>3224</v>
      </c>
      <c r="E1259" t="s">
        <v>14</v>
      </c>
      <c r="F1259" t="s">
        <v>29</v>
      </c>
      <c r="G1259" t="s">
        <v>24</v>
      </c>
      <c r="H1259" t="s">
        <v>3951</v>
      </c>
      <c r="I1259" s="2">
        <v>102.184</v>
      </c>
      <c r="J1259">
        <v>1</v>
      </c>
      <c r="K1259" s="2">
        <v>0.83879999999999999</v>
      </c>
      <c r="L1259" s="3">
        <f>(Table1[[#This Row],[Profit]]/Table1[[#This Row],[Sales]])*100</f>
        <v>0.82087215219603848</v>
      </c>
    </row>
    <row r="1260" spans="1:12" x14ac:dyDescent="0.3">
      <c r="A1260" t="s">
        <v>1768</v>
      </c>
      <c r="B1260" s="1">
        <v>43633</v>
      </c>
      <c r="C1260" t="s">
        <v>1769</v>
      </c>
      <c r="D1260" t="s">
        <v>1770</v>
      </c>
      <c r="E1260" t="s">
        <v>14</v>
      </c>
      <c r="F1260" t="s">
        <v>15</v>
      </c>
      <c r="G1260" t="s">
        <v>24</v>
      </c>
      <c r="H1260" t="s">
        <v>747</v>
      </c>
      <c r="I1260" s="2">
        <v>1.68</v>
      </c>
      <c r="J1260">
        <v>1</v>
      </c>
      <c r="K1260" s="2">
        <v>0.84</v>
      </c>
      <c r="L1260" s="3">
        <f>(Table1[[#This Row],[Profit]]/Table1[[#This Row],[Sales]])*100</f>
        <v>50</v>
      </c>
    </row>
    <row r="1261" spans="1:12" x14ac:dyDescent="0.3">
      <c r="A1261" t="s">
        <v>5397</v>
      </c>
      <c r="B1261" s="1">
        <v>44089</v>
      </c>
      <c r="C1261" t="s">
        <v>501</v>
      </c>
      <c r="D1261" t="s">
        <v>502</v>
      </c>
      <c r="E1261" t="s">
        <v>14</v>
      </c>
      <c r="F1261" t="s">
        <v>23</v>
      </c>
      <c r="G1261" t="s">
        <v>24</v>
      </c>
      <c r="H1261" t="s">
        <v>5406</v>
      </c>
      <c r="I1261" s="2">
        <v>118.688</v>
      </c>
      <c r="J1261">
        <v>1</v>
      </c>
      <c r="K1261" s="2">
        <v>0.84</v>
      </c>
      <c r="L1261" s="3">
        <f>(Table1[[#This Row],[Profit]]/Table1[[#This Row],[Sales]])*100</f>
        <v>0.70773793475330271</v>
      </c>
    </row>
    <row r="1262" spans="1:12" x14ac:dyDescent="0.3">
      <c r="A1262" t="s">
        <v>3023</v>
      </c>
      <c r="B1262" s="1">
        <v>43744</v>
      </c>
      <c r="C1262" t="s">
        <v>2520</v>
      </c>
      <c r="D1262" t="s">
        <v>2521</v>
      </c>
      <c r="E1262" t="s">
        <v>14</v>
      </c>
      <c r="F1262" t="s">
        <v>23</v>
      </c>
      <c r="G1262" t="s">
        <v>18</v>
      </c>
      <c r="H1262" t="s">
        <v>3026</v>
      </c>
      <c r="I1262" s="2">
        <v>67.959999999999994</v>
      </c>
      <c r="J1262">
        <v>5</v>
      </c>
      <c r="K1262" s="2">
        <v>0.84950000000000003</v>
      </c>
      <c r="L1262" s="3">
        <f>(Table1[[#This Row],[Profit]]/Table1[[#This Row],[Sales]])*100</f>
        <v>1.2500000000000002</v>
      </c>
    </row>
    <row r="1263" spans="1:12" x14ac:dyDescent="0.3">
      <c r="A1263" t="s">
        <v>4209</v>
      </c>
      <c r="B1263" s="1">
        <v>43894</v>
      </c>
      <c r="C1263" t="s">
        <v>1119</v>
      </c>
      <c r="D1263" t="s">
        <v>1120</v>
      </c>
      <c r="E1263" t="s">
        <v>14</v>
      </c>
      <c r="F1263" t="s">
        <v>29</v>
      </c>
      <c r="G1263" t="s">
        <v>24</v>
      </c>
      <c r="H1263" t="s">
        <v>4212</v>
      </c>
      <c r="I1263" s="2">
        <v>124.464</v>
      </c>
      <c r="J1263">
        <v>1</v>
      </c>
      <c r="K1263" s="2">
        <v>0.86240000000000006</v>
      </c>
      <c r="L1263" s="3">
        <f>(Table1[[#This Row],[Profit]]/Table1[[#This Row],[Sales]])*100</f>
        <v>0.69289111711016838</v>
      </c>
    </row>
    <row r="1264" spans="1:12" x14ac:dyDescent="0.3">
      <c r="A1264" t="s">
        <v>1033</v>
      </c>
      <c r="B1264" s="1">
        <v>43571</v>
      </c>
      <c r="C1264" t="s">
        <v>1034</v>
      </c>
      <c r="D1264" t="s">
        <v>1035</v>
      </c>
      <c r="E1264" t="s">
        <v>14</v>
      </c>
      <c r="F1264" t="s">
        <v>23</v>
      </c>
      <c r="G1264" t="s">
        <v>24</v>
      </c>
      <c r="H1264" t="s">
        <v>1036</v>
      </c>
      <c r="I1264" s="2">
        <v>28.8</v>
      </c>
      <c r="J1264">
        <v>3</v>
      </c>
      <c r="K1264" s="2">
        <v>0.86399999999999999</v>
      </c>
      <c r="L1264" s="3">
        <f>(Table1[[#This Row],[Profit]]/Table1[[#This Row],[Sales]])*100</f>
        <v>3</v>
      </c>
    </row>
    <row r="1265" spans="1:12" x14ac:dyDescent="0.3">
      <c r="A1265" t="s">
        <v>5281</v>
      </c>
      <c r="B1265" s="1">
        <v>44078</v>
      </c>
      <c r="C1265" t="s">
        <v>2359</v>
      </c>
      <c r="D1265" t="s">
        <v>2360</v>
      </c>
      <c r="E1265" t="s">
        <v>14</v>
      </c>
      <c r="F1265" t="s">
        <v>29</v>
      </c>
      <c r="G1265" t="s">
        <v>24</v>
      </c>
      <c r="H1265" t="s">
        <v>2965</v>
      </c>
      <c r="I1265" s="2">
        <v>88.912000000000006</v>
      </c>
      <c r="J1265">
        <v>3</v>
      </c>
      <c r="K1265" s="2">
        <v>0.86399999999999999</v>
      </c>
      <c r="L1265" s="3">
        <f>(Table1[[#This Row],[Profit]]/Table1[[#This Row],[Sales]])*100</f>
        <v>0.97174734569012056</v>
      </c>
    </row>
    <row r="1266" spans="1:12" x14ac:dyDescent="0.3">
      <c r="A1266" t="s">
        <v>6293</v>
      </c>
      <c r="B1266" s="1">
        <v>44193</v>
      </c>
      <c r="C1266" t="s">
        <v>1333</v>
      </c>
      <c r="D1266" t="s">
        <v>1334</v>
      </c>
      <c r="E1266" t="s">
        <v>14</v>
      </c>
      <c r="F1266" t="s">
        <v>29</v>
      </c>
      <c r="G1266" t="s">
        <v>24</v>
      </c>
      <c r="H1266" t="s">
        <v>2987</v>
      </c>
      <c r="I1266" s="2">
        <v>373.48</v>
      </c>
      <c r="J1266">
        <v>1</v>
      </c>
      <c r="K1266" s="2">
        <v>0.86799999999999999</v>
      </c>
      <c r="L1266" s="3">
        <f>(Table1[[#This Row],[Profit]]/Table1[[#This Row],[Sales]])*100</f>
        <v>0.23240869658348504</v>
      </c>
    </row>
    <row r="1267" spans="1:12" x14ac:dyDescent="0.3">
      <c r="A1267" t="s">
        <v>3545</v>
      </c>
      <c r="B1267" s="1">
        <v>43793</v>
      </c>
      <c r="C1267" t="s">
        <v>3546</v>
      </c>
      <c r="D1267" t="s">
        <v>3547</v>
      </c>
      <c r="E1267" t="s">
        <v>14</v>
      </c>
      <c r="F1267" t="s">
        <v>29</v>
      </c>
      <c r="G1267" t="s">
        <v>24</v>
      </c>
      <c r="H1267" t="s">
        <v>2525</v>
      </c>
      <c r="I1267" s="2">
        <v>4.3440000000000003</v>
      </c>
      <c r="J1267">
        <v>3</v>
      </c>
      <c r="K1267" s="2">
        <v>0.86880000000000002</v>
      </c>
      <c r="L1267" s="3">
        <f>(Table1[[#This Row],[Profit]]/Table1[[#This Row],[Sales]])*100</f>
        <v>20</v>
      </c>
    </row>
    <row r="1268" spans="1:12" x14ac:dyDescent="0.3">
      <c r="A1268" t="s">
        <v>4232</v>
      </c>
      <c r="B1268" s="1">
        <v>43898</v>
      </c>
      <c r="C1268" t="s">
        <v>390</v>
      </c>
      <c r="D1268" t="s">
        <v>391</v>
      </c>
      <c r="E1268" t="s">
        <v>14</v>
      </c>
      <c r="F1268" t="s">
        <v>23</v>
      </c>
      <c r="G1268" t="s">
        <v>24</v>
      </c>
      <c r="H1268" t="s">
        <v>4235</v>
      </c>
      <c r="I1268" s="2">
        <v>77.36</v>
      </c>
      <c r="J1268">
        <v>2</v>
      </c>
      <c r="K1268" s="2">
        <v>0.87360000000000004</v>
      </c>
      <c r="L1268" s="3">
        <f>(Table1[[#This Row],[Profit]]/Table1[[#This Row],[Sales]])*100</f>
        <v>1.1292657704239917</v>
      </c>
    </row>
    <row r="1269" spans="1:12" x14ac:dyDescent="0.3">
      <c r="A1269" t="s">
        <v>791</v>
      </c>
      <c r="B1269" s="1">
        <v>43552</v>
      </c>
      <c r="C1269" t="s">
        <v>475</v>
      </c>
      <c r="D1269" t="s">
        <v>476</v>
      </c>
      <c r="E1269" t="s">
        <v>14</v>
      </c>
      <c r="F1269" t="s">
        <v>23</v>
      </c>
      <c r="G1269" t="s">
        <v>24</v>
      </c>
      <c r="H1269" t="s">
        <v>792</v>
      </c>
      <c r="I1269" s="2">
        <v>87.92</v>
      </c>
      <c r="J1269">
        <v>4</v>
      </c>
      <c r="K1269" s="2">
        <v>0.87919999999999998</v>
      </c>
      <c r="L1269" s="3">
        <f>(Table1[[#This Row],[Profit]]/Table1[[#This Row],[Sales]])*100</f>
        <v>1</v>
      </c>
    </row>
    <row r="1270" spans="1:12" x14ac:dyDescent="0.3">
      <c r="A1270" t="s">
        <v>2107</v>
      </c>
      <c r="B1270" s="1">
        <v>43665</v>
      </c>
      <c r="C1270" t="s">
        <v>2108</v>
      </c>
      <c r="D1270" t="s">
        <v>2109</v>
      </c>
      <c r="E1270" t="s">
        <v>14</v>
      </c>
      <c r="F1270" t="s">
        <v>41</v>
      </c>
      <c r="G1270" t="s">
        <v>24</v>
      </c>
      <c r="H1270" t="s">
        <v>792</v>
      </c>
      <c r="I1270" s="2">
        <v>87.92</v>
      </c>
      <c r="J1270">
        <v>4</v>
      </c>
      <c r="K1270" s="2">
        <v>0.87919999999999998</v>
      </c>
      <c r="L1270" s="3">
        <f>(Table1[[#This Row],[Profit]]/Table1[[#This Row],[Sales]])*100</f>
        <v>1</v>
      </c>
    </row>
    <row r="1271" spans="1:12" x14ac:dyDescent="0.3">
      <c r="A1271" t="s">
        <v>4935</v>
      </c>
      <c r="B1271" s="1">
        <v>44015</v>
      </c>
      <c r="C1271" t="s">
        <v>3525</v>
      </c>
      <c r="D1271" t="s">
        <v>3526</v>
      </c>
      <c r="E1271" t="s">
        <v>14</v>
      </c>
      <c r="F1271" t="s">
        <v>23</v>
      </c>
      <c r="G1271" t="s">
        <v>24</v>
      </c>
      <c r="H1271" t="s">
        <v>792</v>
      </c>
      <c r="I1271" s="2">
        <v>100.92</v>
      </c>
      <c r="J1271">
        <v>4</v>
      </c>
      <c r="K1271" s="2">
        <v>0.87919999999999998</v>
      </c>
      <c r="L1271" s="3">
        <f>(Table1[[#This Row],[Profit]]/Table1[[#This Row],[Sales]])*100</f>
        <v>0.87118509710661907</v>
      </c>
    </row>
    <row r="1272" spans="1:12" x14ac:dyDescent="0.3">
      <c r="A1272" t="s">
        <v>2846</v>
      </c>
      <c r="B1272" s="1">
        <v>43730</v>
      </c>
      <c r="C1272" t="s">
        <v>2211</v>
      </c>
      <c r="D1272" t="s">
        <v>2212</v>
      </c>
      <c r="E1272" t="s">
        <v>14</v>
      </c>
      <c r="F1272" t="s">
        <v>15</v>
      </c>
      <c r="G1272" t="s">
        <v>24</v>
      </c>
      <c r="H1272" t="s">
        <v>2847</v>
      </c>
      <c r="I1272" s="2">
        <v>7.8719999999999999</v>
      </c>
      <c r="J1272">
        <v>3</v>
      </c>
      <c r="K1272" s="2">
        <v>0.88560000000000005</v>
      </c>
      <c r="L1272" s="3">
        <f>(Table1[[#This Row],[Profit]]/Table1[[#This Row],[Sales]])*100</f>
        <v>11.25</v>
      </c>
    </row>
    <row r="1273" spans="1:12" x14ac:dyDescent="0.3">
      <c r="A1273" t="s">
        <v>4056</v>
      </c>
      <c r="B1273" s="1">
        <v>43852</v>
      </c>
      <c r="C1273" t="s">
        <v>633</v>
      </c>
      <c r="D1273" t="s">
        <v>634</v>
      </c>
      <c r="E1273" t="s">
        <v>14</v>
      </c>
      <c r="F1273" t="s">
        <v>29</v>
      </c>
      <c r="G1273" t="s">
        <v>24</v>
      </c>
      <c r="H1273" t="s">
        <v>2847</v>
      </c>
      <c r="I1273" s="2">
        <v>85.872</v>
      </c>
      <c r="J1273">
        <v>3</v>
      </c>
      <c r="K1273" s="2">
        <v>0.88560000000000005</v>
      </c>
      <c r="L1273" s="3">
        <f>(Table1[[#This Row],[Profit]]/Table1[[#This Row],[Sales]])*100</f>
        <v>1.0313024035774176</v>
      </c>
    </row>
    <row r="1274" spans="1:12" x14ac:dyDescent="0.3">
      <c r="A1274" t="s">
        <v>2425</v>
      </c>
      <c r="B1274" s="1">
        <v>43700</v>
      </c>
      <c r="C1274" t="s">
        <v>2370</v>
      </c>
      <c r="D1274" t="s">
        <v>2371</v>
      </c>
      <c r="E1274" t="s">
        <v>14</v>
      </c>
      <c r="F1274" t="s">
        <v>29</v>
      </c>
      <c r="G1274" t="s">
        <v>18</v>
      </c>
      <c r="H1274" t="s">
        <v>2427</v>
      </c>
      <c r="I1274" s="2">
        <v>1.98</v>
      </c>
      <c r="J1274">
        <v>2</v>
      </c>
      <c r="K1274" s="2">
        <v>0.89100000000000001</v>
      </c>
      <c r="L1274" s="3">
        <f>(Table1[[#This Row],[Profit]]/Table1[[#This Row],[Sales]])*100</f>
        <v>45</v>
      </c>
    </row>
    <row r="1275" spans="1:12" x14ac:dyDescent="0.3">
      <c r="A1275" t="s">
        <v>5221</v>
      </c>
      <c r="B1275" s="1">
        <v>44070</v>
      </c>
      <c r="C1275" t="s">
        <v>4875</v>
      </c>
      <c r="D1275" t="s">
        <v>4876</v>
      </c>
      <c r="E1275" t="s">
        <v>14</v>
      </c>
      <c r="F1275" t="s">
        <v>41</v>
      </c>
      <c r="G1275" t="s">
        <v>24</v>
      </c>
      <c r="H1275" t="s">
        <v>4290</v>
      </c>
      <c r="I1275" s="2">
        <v>125.336</v>
      </c>
      <c r="J1275">
        <v>4</v>
      </c>
      <c r="K1275" s="2">
        <v>0.89600000000000002</v>
      </c>
      <c r="L1275" s="3">
        <f>(Table1[[#This Row],[Profit]]/Table1[[#This Row],[Sales]])*100</f>
        <v>0.71487840684240767</v>
      </c>
    </row>
    <row r="1276" spans="1:12" x14ac:dyDescent="0.3">
      <c r="A1276" t="s">
        <v>5696</v>
      </c>
      <c r="B1276" s="1">
        <v>44127</v>
      </c>
      <c r="C1276" t="s">
        <v>1248</v>
      </c>
      <c r="D1276" t="s">
        <v>1249</v>
      </c>
      <c r="E1276" t="s">
        <v>14</v>
      </c>
      <c r="F1276" t="s">
        <v>29</v>
      </c>
      <c r="G1276" t="s">
        <v>24</v>
      </c>
      <c r="H1276" t="s">
        <v>4160</v>
      </c>
      <c r="I1276" s="2">
        <v>106.27200000000001</v>
      </c>
      <c r="J1276">
        <v>3</v>
      </c>
      <c r="K1276" s="2">
        <v>0.89880000000000004</v>
      </c>
      <c r="L1276" s="3">
        <f>(Table1[[#This Row],[Profit]]/Table1[[#This Row],[Sales]])*100</f>
        <v>0.8457542908762421</v>
      </c>
    </row>
    <row r="1277" spans="1:12" x14ac:dyDescent="0.3">
      <c r="A1277" t="s">
        <v>726</v>
      </c>
      <c r="B1277" s="1">
        <v>43544</v>
      </c>
      <c r="C1277" t="s">
        <v>727</v>
      </c>
      <c r="D1277" t="s">
        <v>728</v>
      </c>
      <c r="E1277" t="s">
        <v>14</v>
      </c>
      <c r="F1277" t="s">
        <v>29</v>
      </c>
      <c r="G1277" t="s">
        <v>18</v>
      </c>
      <c r="H1277" t="s">
        <v>729</v>
      </c>
      <c r="I1277" s="2">
        <v>11.992000000000001</v>
      </c>
      <c r="J1277">
        <v>1</v>
      </c>
      <c r="K1277" s="2">
        <v>0.89939999999999998</v>
      </c>
      <c r="L1277" s="3">
        <f>(Table1[[#This Row],[Profit]]/Table1[[#This Row],[Sales]])*100</f>
        <v>7.5</v>
      </c>
    </row>
    <row r="1278" spans="1:12" x14ac:dyDescent="0.3">
      <c r="A1278" t="s">
        <v>1940</v>
      </c>
      <c r="B1278" s="1">
        <v>43647</v>
      </c>
      <c r="C1278" t="s">
        <v>1941</v>
      </c>
      <c r="D1278" t="s">
        <v>1942</v>
      </c>
      <c r="E1278" t="s">
        <v>14</v>
      </c>
      <c r="F1278" t="s">
        <v>23</v>
      </c>
      <c r="G1278" t="s">
        <v>24</v>
      </c>
      <c r="H1278" t="s">
        <v>1943</v>
      </c>
      <c r="I1278" s="2">
        <v>2.496</v>
      </c>
      <c r="J1278">
        <v>1</v>
      </c>
      <c r="K1278" s="2">
        <v>0.90480000000000005</v>
      </c>
      <c r="L1278" s="3">
        <f>(Table1[[#This Row],[Profit]]/Table1[[#This Row],[Sales]])*100</f>
        <v>36.250000000000007</v>
      </c>
    </row>
    <row r="1279" spans="1:12" x14ac:dyDescent="0.3">
      <c r="A1279" t="s">
        <v>2716</v>
      </c>
      <c r="B1279" s="1">
        <v>43719</v>
      </c>
      <c r="C1279" t="s">
        <v>1444</v>
      </c>
      <c r="D1279" t="s">
        <v>1445</v>
      </c>
      <c r="E1279" t="s">
        <v>14</v>
      </c>
      <c r="F1279" t="s">
        <v>23</v>
      </c>
      <c r="G1279" t="s">
        <v>24</v>
      </c>
      <c r="H1279" t="s">
        <v>2717</v>
      </c>
      <c r="I1279" s="2">
        <v>2.9119999999999999</v>
      </c>
      <c r="J1279">
        <v>2</v>
      </c>
      <c r="K1279" s="2">
        <v>0.91</v>
      </c>
      <c r="L1279" s="3">
        <f>(Table1[[#This Row],[Profit]]/Table1[[#This Row],[Sales]])*100</f>
        <v>31.25</v>
      </c>
    </row>
    <row r="1280" spans="1:12" x14ac:dyDescent="0.3">
      <c r="A1280" t="s">
        <v>5023</v>
      </c>
      <c r="B1280" s="1">
        <v>44028</v>
      </c>
      <c r="C1280" t="s">
        <v>884</v>
      </c>
      <c r="D1280" t="s">
        <v>885</v>
      </c>
      <c r="E1280" t="s">
        <v>14</v>
      </c>
      <c r="F1280" t="s">
        <v>29</v>
      </c>
      <c r="G1280" t="s">
        <v>24</v>
      </c>
      <c r="H1280" t="s">
        <v>2717</v>
      </c>
      <c r="I1280" s="2">
        <v>103.91200000000001</v>
      </c>
      <c r="J1280">
        <v>2</v>
      </c>
      <c r="K1280" s="2">
        <v>0.91</v>
      </c>
      <c r="L1280" s="3">
        <f>(Table1[[#This Row],[Profit]]/Table1[[#This Row],[Sales]])*100</f>
        <v>0.87574101162522133</v>
      </c>
    </row>
    <row r="1281" spans="1:12" x14ac:dyDescent="0.3">
      <c r="A1281" t="s">
        <v>5507</v>
      </c>
      <c r="B1281" s="1">
        <v>44099</v>
      </c>
      <c r="C1281" t="s">
        <v>824</v>
      </c>
      <c r="D1281" t="s">
        <v>825</v>
      </c>
      <c r="E1281" t="s">
        <v>14</v>
      </c>
      <c r="F1281" t="s">
        <v>15</v>
      </c>
      <c r="G1281" t="s">
        <v>24</v>
      </c>
      <c r="H1281" t="s">
        <v>1877</v>
      </c>
      <c r="I1281" s="2">
        <v>131.608</v>
      </c>
      <c r="J1281">
        <v>6</v>
      </c>
      <c r="K1281" s="2">
        <v>0.92820000000000003</v>
      </c>
      <c r="L1281" s="3">
        <f>(Table1[[#This Row],[Profit]]/Table1[[#This Row],[Sales]])*100</f>
        <v>0.70527627499848033</v>
      </c>
    </row>
    <row r="1282" spans="1:12" x14ac:dyDescent="0.3">
      <c r="A1282" t="s">
        <v>3033</v>
      </c>
      <c r="B1282" s="1">
        <v>43745</v>
      </c>
      <c r="C1282" t="s">
        <v>3034</v>
      </c>
      <c r="D1282" t="s">
        <v>3035</v>
      </c>
      <c r="E1282" t="s">
        <v>14</v>
      </c>
      <c r="F1282" t="s">
        <v>23</v>
      </c>
      <c r="G1282" t="s">
        <v>24</v>
      </c>
      <c r="H1282" t="s">
        <v>2278</v>
      </c>
      <c r="I1282" s="2">
        <v>93.36</v>
      </c>
      <c r="J1282">
        <v>12</v>
      </c>
      <c r="K1282" s="2">
        <v>0.93359999999999999</v>
      </c>
      <c r="L1282" s="3">
        <f>(Table1[[#This Row],[Profit]]/Table1[[#This Row],[Sales]])*100</f>
        <v>1</v>
      </c>
    </row>
    <row r="1283" spans="1:12" x14ac:dyDescent="0.3">
      <c r="A1283" t="s">
        <v>2550</v>
      </c>
      <c r="B1283" s="1">
        <v>43710</v>
      </c>
      <c r="C1283" t="s">
        <v>21</v>
      </c>
      <c r="D1283" t="s">
        <v>22</v>
      </c>
      <c r="E1283" t="s">
        <v>14</v>
      </c>
      <c r="F1283" t="s">
        <v>23</v>
      </c>
      <c r="G1283" t="s">
        <v>24</v>
      </c>
      <c r="H1283" t="s">
        <v>1210</v>
      </c>
      <c r="I1283" s="2">
        <v>23.67</v>
      </c>
      <c r="J1283">
        <v>3</v>
      </c>
      <c r="K1283" s="2">
        <v>0.94679999999999997</v>
      </c>
      <c r="L1283" s="3">
        <f>(Table1[[#This Row],[Profit]]/Table1[[#This Row],[Sales]])*100</f>
        <v>3.9999999999999996</v>
      </c>
    </row>
    <row r="1284" spans="1:12" x14ac:dyDescent="0.3">
      <c r="A1284" t="s">
        <v>4333</v>
      </c>
      <c r="B1284" s="1">
        <v>43914</v>
      </c>
      <c r="C1284" t="s">
        <v>4172</v>
      </c>
      <c r="D1284" t="s">
        <v>4173</v>
      </c>
      <c r="E1284" t="s">
        <v>14</v>
      </c>
      <c r="F1284" t="s">
        <v>29</v>
      </c>
      <c r="G1284" t="s">
        <v>24</v>
      </c>
      <c r="H1284" t="s">
        <v>4334</v>
      </c>
      <c r="I1284" s="2">
        <v>113.768</v>
      </c>
      <c r="J1284">
        <v>2</v>
      </c>
      <c r="K1284" s="2">
        <v>0.95760000000000001</v>
      </c>
      <c r="L1284" s="3">
        <f>(Table1[[#This Row],[Profit]]/Table1[[#This Row],[Sales]])*100</f>
        <v>0.84171295970747484</v>
      </c>
    </row>
    <row r="1285" spans="1:12" x14ac:dyDescent="0.3">
      <c r="A1285" t="s">
        <v>4030</v>
      </c>
      <c r="B1285" s="1">
        <v>43849</v>
      </c>
      <c r="C1285" t="s">
        <v>933</v>
      </c>
      <c r="D1285" t="s">
        <v>934</v>
      </c>
      <c r="E1285" t="s">
        <v>14</v>
      </c>
      <c r="F1285" t="s">
        <v>15</v>
      </c>
      <c r="G1285" t="s">
        <v>24</v>
      </c>
      <c r="H1285" t="s">
        <v>991</v>
      </c>
      <c r="I1285" s="2">
        <v>109.04</v>
      </c>
      <c r="J1285">
        <v>1</v>
      </c>
      <c r="K1285" s="2">
        <v>0.95879999999999999</v>
      </c>
      <c r="L1285" s="3">
        <f>(Table1[[#This Row],[Profit]]/Table1[[#This Row],[Sales]])*100</f>
        <v>0.87931034482758608</v>
      </c>
    </row>
    <row r="1286" spans="1:12" x14ac:dyDescent="0.3">
      <c r="A1286" t="s">
        <v>5917</v>
      </c>
      <c r="B1286" s="1">
        <v>44151</v>
      </c>
      <c r="C1286" t="s">
        <v>2390</v>
      </c>
      <c r="D1286" t="s">
        <v>2391</v>
      </c>
      <c r="E1286" t="s">
        <v>14</v>
      </c>
      <c r="F1286" t="s">
        <v>23</v>
      </c>
      <c r="G1286" t="s">
        <v>24</v>
      </c>
      <c r="H1286" t="s">
        <v>1966</v>
      </c>
      <c r="I1286" s="2">
        <v>148.86000000000001</v>
      </c>
      <c r="J1286">
        <v>7</v>
      </c>
      <c r="K1286" s="2">
        <v>0.97719999999999996</v>
      </c>
      <c r="L1286" s="3">
        <f>(Table1[[#This Row],[Profit]]/Table1[[#This Row],[Sales]])*100</f>
        <v>0.65645573021631054</v>
      </c>
    </row>
    <row r="1287" spans="1:12" x14ac:dyDescent="0.3">
      <c r="A1287" t="s">
        <v>5222</v>
      </c>
      <c r="B1287" s="1">
        <v>44070</v>
      </c>
      <c r="C1287" t="s">
        <v>3726</v>
      </c>
      <c r="D1287" t="s">
        <v>3727</v>
      </c>
      <c r="E1287" t="s">
        <v>14</v>
      </c>
      <c r="F1287" t="s">
        <v>41</v>
      </c>
      <c r="G1287" t="s">
        <v>24</v>
      </c>
      <c r="H1287" t="s">
        <v>2349</v>
      </c>
      <c r="I1287" s="2">
        <v>138.89599999999999</v>
      </c>
      <c r="J1287">
        <v>1</v>
      </c>
      <c r="K1287" s="2">
        <v>0.97740000000000005</v>
      </c>
      <c r="L1287" s="3">
        <f>(Table1[[#This Row],[Profit]]/Table1[[#This Row],[Sales]])*100</f>
        <v>0.70369197097108638</v>
      </c>
    </row>
    <row r="1288" spans="1:12" x14ac:dyDescent="0.3">
      <c r="A1288" t="s">
        <v>894</v>
      </c>
      <c r="B1288" s="1">
        <v>43562</v>
      </c>
      <c r="C1288" t="s">
        <v>895</v>
      </c>
      <c r="D1288" t="s">
        <v>896</v>
      </c>
      <c r="E1288" t="s">
        <v>14</v>
      </c>
      <c r="F1288" t="s">
        <v>15</v>
      </c>
      <c r="G1288" t="s">
        <v>24</v>
      </c>
      <c r="H1288" t="s">
        <v>897</v>
      </c>
      <c r="I1288" s="2">
        <v>3.64</v>
      </c>
      <c r="J1288">
        <v>2</v>
      </c>
      <c r="K1288" s="2">
        <v>0.98280000000000001</v>
      </c>
      <c r="L1288" s="3">
        <f>(Table1[[#This Row],[Profit]]/Table1[[#This Row],[Sales]])*100</f>
        <v>27</v>
      </c>
    </row>
    <row r="1289" spans="1:12" x14ac:dyDescent="0.3">
      <c r="A1289" t="s">
        <v>5733</v>
      </c>
      <c r="B1289" s="1">
        <v>44134</v>
      </c>
      <c r="C1289" t="s">
        <v>3034</v>
      </c>
      <c r="D1289" t="s">
        <v>3035</v>
      </c>
      <c r="E1289" t="s">
        <v>14</v>
      </c>
      <c r="F1289" t="s">
        <v>15</v>
      </c>
      <c r="G1289" t="s">
        <v>16</v>
      </c>
      <c r="H1289" t="s">
        <v>1689</v>
      </c>
      <c r="I1289" s="2">
        <v>110.16800000000001</v>
      </c>
      <c r="J1289">
        <v>2</v>
      </c>
      <c r="K1289" s="2">
        <v>0.98560000000000003</v>
      </c>
      <c r="L1289" s="3">
        <f>(Table1[[#This Row],[Profit]]/Table1[[#This Row],[Sales]])*100</f>
        <v>0.89463365042480569</v>
      </c>
    </row>
    <row r="1290" spans="1:12" x14ac:dyDescent="0.3">
      <c r="A1290" t="s">
        <v>5763</v>
      </c>
      <c r="B1290" s="1">
        <v>44138</v>
      </c>
      <c r="C1290" t="s">
        <v>2435</v>
      </c>
      <c r="D1290" t="s">
        <v>2436</v>
      </c>
      <c r="E1290" t="s">
        <v>14</v>
      </c>
      <c r="F1290" t="s">
        <v>41</v>
      </c>
      <c r="G1290" t="s">
        <v>16</v>
      </c>
      <c r="H1290" t="s">
        <v>2523</v>
      </c>
      <c r="I1290" s="2">
        <v>93.992000000000004</v>
      </c>
      <c r="J1290">
        <v>1</v>
      </c>
      <c r="K1290" s="2">
        <v>0.99950000000000006</v>
      </c>
      <c r="L1290" s="3">
        <f>(Table1[[#This Row],[Profit]]/Table1[[#This Row],[Sales]])*100</f>
        <v>1.0633883734785938</v>
      </c>
    </row>
    <row r="1291" spans="1:12" x14ac:dyDescent="0.3">
      <c r="A1291" t="s">
        <v>2154</v>
      </c>
      <c r="B1291" s="1">
        <v>43669</v>
      </c>
      <c r="C1291" t="s">
        <v>1631</v>
      </c>
      <c r="D1291" t="s">
        <v>1632</v>
      </c>
      <c r="E1291" t="s">
        <v>14</v>
      </c>
      <c r="F1291" t="s">
        <v>29</v>
      </c>
      <c r="G1291" t="s">
        <v>24</v>
      </c>
      <c r="H1291" t="s">
        <v>2157</v>
      </c>
      <c r="I1291" s="2">
        <v>13.343999999999999</v>
      </c>
      <c r="J1291">
        <v>2</v>
      </c>
      <c r="K1291" s="2">
        <v>1.0007999999999999</v>
      </c>
      <c r="L1291" s="3">
        <f>(Table1[[#This Row],[Profit]]/Table1[[#This Row],[Sales]])*100</f>
        <v>7.5</v>
      </c>
    </row>
    <row r="1292" spans="1:12" x14ac:dyDescent="0.3">
      <c r="A1292" t="s">
        <v>6086</v>
      </c>
      <c r="B1292" s="1">
        <v>44168</v>
      </c>
      <c r="C1292" t="s">
        <v>443</v>
      </c>
      <c r="D1292" t="s">
        <v>444</v>
      </c>
      <c r="E1292" t="s">
        <v>14</v>
      </c>
      <c r="F1292" t="s">
        <v>23</v>
      </c>
      <c r="G1292" t="s">
        <v>24</v>
      </c>
      <c r="H1292" t="s">
        <v>1374</v>
      </c>
      <c r="I1292" s="2">
        <v>75.343999999999994</v>
      </c>
      <c r="J1292">
        <v>6</v>
      </c>
      <c r="K1292" s="2">
        <v>1.0007999999999999</v>
      </c>
      <c r="L1292" s="3">
        <f>(Table1[[#This Row],[Profit]]/Table1[[#This Row],[Sales]])*100</f>
        <v>1.328307496283712</v>
      </c>
    </row>
    <row r="1293" spans="1:12" x14ac:dyDescent="0.3">
      <c r="A1293" t="s">
        <v>5160</v>
      </c>
      <c r="B1293" s="1">
        <v>44060</v>
      </c>
      <c r="C1293" t="s">
        <v>3168</v>
      </c>
      <c r="D1293" t="s">
        <v>3169</v>
      </c>
      <c r="E1293" t="s">
        <v>14</v>
      </c>
      <c r="F1293" t="s">
        <v>29</v>
      </c>
      <c r="G1293" t="s">
        <v>24</v>
      </c>
      <c r="H1293" t="s">
        <v>3066</v>
      </c>
      <c r="I1293" s="2">
        <v>92.016000000000005</v>
      </c>
      <c r="J1293">
        <v>3</v>
      </c>
      <c r="K1293" s="2">
        <v>1.002</v>
      </c>
      <c r="L1293" s="3">
        <f>(Table1[[#This Row],[Profit]]/Table1[[#This Row],[Sales]])*100</f>
        <v>1.0889410537297861</v>
      </c>
    </row>
    <row r="1294" spans="1:12" x14ac:dyDescent="0.3">
      <c r="A1294" t="s">
        <v>4965</v>
      </c>
      <c r="B1294" s="1">
        <v>44019</v>
      </c>
      <c r="C1294" t="s">
        <v>1547</v>
      </c>
      <c r="D1294" t="s">
        <v>1548</v>
      </c>
      <c r="E1294" t="s">
        <v>14</v>
      </c>
      <c r="F1294" t="s">
        <v>15</v>
      </c>
      <c r="G1294" t="s">
        <v>24</v>
      </c>
      <c r="H1294" t="s">
        <v>4666</v>
      </c>
      <c r="I1294" s="2">
        <v>85.391999999999996</v>
      </c>
      <c r="J1294">
        <v>3</v>
      </c>
      <c r="K1294" s="2">
        <v>1.0044</v>
      </c>
      <c r="L1294" s="3">
        <f>(Table1[[#This Row],[Profit]]/Table1[[#This Row],[Sales]])*100</f>
        <v>1.1762225969645868</v>
      </c>
    </row>
    <row r="1295" spans="1:12" x14ac:dyDescent="0.3">
      <c r="A1295" t="s">
        <v>5536</v>
      </c>
      <c r="B1295" s="1">
        <v>44104</v>
      </c>
      <c r="C1295" t="s">
        <v>4124</v>
      </c>
      <c r="D1295" t="s">
        <v>4125</v>
      </c>
      <c r="E1295" t="s">
        <v>14</v>
      </c>
      <c r="F1295" t="s">
        <v>23</v>
      </c>
      <c r="G1295" t="s">
        <v>24</v>
      </c>
      <c r="H1295" t="s">
        <v>520</v>
      </c>
      <c r="I1295" s="2">
        <v>108.89</v>
      </c>
      <c r="J1295">
        <v>1</v>
      </c>
      <c r="K1295" s="2">
        <v>1.0114000000000001</v>
      </c>
      <c r="L1295" s="3">
        <f>(Table1[[#This Row],[Profit]]/Table1[[#This Row],[Sales]])*100</f>
        <v>0.928827256864726</v>
      </c>
    </row>
    <row r="1296" spans="1:12" x14ac:dyDescent="0.3">
      <c r="A1296" t="s">
        <v>1242</v>
      </c>
      <c r="B1296" s="1">
        <v>43590</v>
      </c>
      <c r="C1296" t="s">
        <v>1243</v>
      </c>
      <c r="D1296" t="s">
        <v>1244</v>
      </c>
      <c r="E1296" t="s">
        <v>14</v>
      </c>
      <c r="F1296" t="s">
        <v>23</v>
      </c>
      <c r="G1296" t="s">
        <v>24</v>
      </c>
      <c r="H1296" t="s">
        <v>1245</v>
      </c>
      <c r="I1296" s="2">
        <v>5.98</v>
      </c>
      <c r="J1296">
        <v>1</v>
      </c>
      <c r="K1296" s="2">
        <v>1.0165999999999999</v>
      </c>
      <c r="L1296" s="3">
        <f>(Table1[[#This Row],[Profit]]/Table1[[#This Row],[Sales]])*100</f>
        <v>17</v>
      </c>
    </row>
    <row r="1297" spans="1:12" x14ac:dyDescent="0.3">
      <c r="A1297" t="s">
        <v>5805</v>
      </c>
      <c r="B1297" s="1">
        <v>44141</v>
      </c>
      <c r="C1297" t="s">
        <v>1661</v>
      </c>
      <c r="D1297" t="s">
        <v>1662</v>
      </c>
      <c r="E1297" t="s">
        <v>14</v>
      </c>
      <c r="F1297" t="s">
        <v>23</v>
      </c>
      <c r="G1297" t="s">
        <v>18</v>
      </c>
      <c r="H1297" t="s">
        <v>3619</v>
      </c>
      <c r="I1297" s="2">
        <v>140.94999999999999</v>
      </c>
      <c r="J1297">
        <v>1</v>
      </c>
      <c r="K1297" s="2">
        <v>1.0169999999999999</v>
      </c>
      <c r="L1297" s="3">
        <f>(Table1[[#This Row],[Profit]]/Table1[[#This Row],[Sales]])*100</f>
        <v>0.72153245831855262</v>
      </c>
    </row>
    <row r="1298" spans="1:12" x14ac:dyDescent="0.3">
      <c r="A1298" t="s">
        <v>2019</v>
      </c>
      <c r="B1298" s="1">
        <v>43660</v>
      </c>
      <c r="C1298" t="s">
        <v>2020</v>
      </c>
      <c r="D1298" t="s">
        <v>2021</v>
      </c>
      <c r="E1298" t="s">
        <v>14</v>
      </c>
      <c r="F1298" t="s">
        <v>15</v>
      </c>
      <c r="G1298" t="s">
        <v>24</v>
      </c>
      <c r="H1298" t="s">
        <v>2022</v>
      </c>
      <c r="I1298" s="2">
        <v>11.632</v>
      </c>
      <c r="J1298">
        <v>2</v>
      </c>
      <c r="K1298" s="2">
        <v>1.0178</v>
      </c>
      <c r="L1298" s="3">
        <f>(Table1[[#This Row],[Profit]]/Table1[[#This Row],[Sales]])*100</f>
        <v>8.75</v>
      </c>
    </row>
    <row r="1299" spans="1:12" x14ac:dyDescent="0.3">
      <c r="A1299" t="s">
        <v>6189</v>
      </c>
      <c r="B1299" s="1">
        <v>44180</v>
      </c>
      <c r="C1299" t="s">
        <v>3913</v>
      </c>
      <c r="D1299" t="s">
        <v>3914</v>
      </c>
      <c r="E1299" t="s">
        <v>14</v>
      </c>
      <c r="F1299" t="s">
        <v>29</v>
      </c>
      <c r="G1299" t="s">
        <v>24</v>
      </c>
      <c r="H1299" t="s">
        <v>1081</v>
      </c>
      <c r="I1299" s="2">
        <v>416.19200000000001</v>
      </c>
      <c r="J1299">
        <v>7</v>
      </c>
      <c r="K1299" s="2">
        <v>1.0192000000000001</v>
      </c>
      <c r="L1299" s="3">
        <f>(Table1[[#This Row],[Profit]]/Table1[[#This Row],[Sales]])*100</f>
        <v>0.24488697524219591</v>
      </c>
    </row>
    <row r="1300" spans="1:12" x14ac:dyDescent="0.3">
      <c r="A1300" t="s">
        <v>3856</v>
      </c>
      <c r="B1300" s="1">
        <v>43818</v>
      </c>
      <c r="C1300" t="s">
        <v>324</v>
      </c>
      <c r="D1300" t="s">
        <v>325</v>
      </c>
      <c r="E1300" t="s">
        <v>14</v>
      </c>
      <c r="F1300" t="s">
        <v>15</v>
      </c>
      <c r="G1300" t="s">
        <v>24</v>
      </c>
      <c r="H1300" t="s">
        <v>1742</v>
      </c>
      <c r="I1300" s="2">
        <v>3.52</v>
      </c>
      <c r="J1300">
        <v>2</v>
      </c>
      <c r="K1300" s="2">
        <v>1.0207999999999999</v>
      </c>
      <c r="L1300" s="3">
        <f>(Table1[[#This Row],[Profit]]/Table1[[#This Row],[Sales]])*100</f>
        <v>28.999999999999996</v>
      </c>
    </row>
    <row r="1301" spans="1:12" x14ac:dyDescent="0.3">
      <c r="A1301" t="s">
        <v>4041</v>
      </c>
      <c r="B1301" s="1">
        <v>43850</v>
      </c>
      <c r="C1301" t="s">
        <v>206</v>
      </c>
      <c r="D1301" t="s">
        <v>207</v>
      </c>
      <c r="E1301" t="s">
        <v>14</v>
      </c>
      <c r="F1301" t="s">
        <v>15</v>
      </c>
      <c r="G1301" t="s">
        <v>24</v>
      </c>
      <c r="H1301" t="s">
        <v>1742</v>
      </c>
      <c r="I1301" s="2">
        <v>111.52</v>
      </c>
      <c r="J1301">
        <v>2</v>
      </c>
      <c r="K1301" s="2">
        <v>1.0207999999999999</v>
      </c>
      <c r="L1301" s="3">
        <f>(Table1[[#This Row],[Profit]]/Table1[[#This Row],[Sales]])*100</f>
        <v>0.91535150645624097</v>
      </c>
    </row>
    <row r="1302" spans="1:12" x14ac:dyDescent="0.3">
      <c r="A1302" t="s">
        <v>4681</v>
      </c>
      <c r="B1302" s="1">
        <v>43970</v>
      </c>
      <c r="C1302" t="s">
        <v>871</v>
      </c>
      <c r="D1302" t="s">
        <v>872</v>
      </c>
      <c r="E1302" t="s">
        <v>14</v>
      </c>
      <c r="F1302" t="s">
        <v>23</v>
      </c>
      <c r="G1302" t="s">
        <v>24</v>
      </c>
      <c r="H1302" t="s">
        <v>3058</v>
      </c>
      <c r="I1302" s="2">
        <v>102.52</v>
      </c>
      <c r="J1302">
        <v>2</v>
      </c>
      <c r="K1302" s="2">
        <v>1.0207999999999999</v>
      </c>
      <c r="L1302" s="3">
        <f>(Table1[[#This Row],[Profit]]/Table1[[#This Row],[Sales]])*100</f>
        <v>0.99570815450643768</v>
      </c>
    </row>
    <row r="1303" spans="1:12" x14ac:dyDescent="0.3">
      <c r="A1303" t="s">
        <v>2571</v>
      </c>
      <c r="B1303" s="1">
        <v>43712</v>
      </c>
      <c r="C1303" t="s">
        <v>2159</v>
      </c>
      <c r="D1303" t="s">
        <v>2160</v>
      </c>
      <c r="E1303" t="s">
        <v>14</v>
      </c>
      <c r="F1303" t="s">
        <v>29</v>
      </c>
      <c r="G1303" t="s">
        <v>24</v>
      </c>
      <c r="H1303" t="s">
        <v>2572</v>
      </c>
      <c r="I1303" s="2">
        <v>3.9119999999999999</v>
      </c>
      <c r="J1303">
        <v>1</v>
      </c>
      <c r="K1303" s="2">
        <v>1.0268999999999999</v>
      </c>
      <c r="L1303" s="3">
        <f>(Table1[[#This Row],[Profit]]/Table1[[#This Row],[Sales]])*100</f>
        <v>26.25</v>
      </c>
    </row>
    <row r="1304" spans="1:12" x14ac:dyDescent="0.3">
      <c r="A1304" t="s">
        <v>3962</v>
      </c>
      <c r="B1304" s="1">
        <v>43829</v>
      </c>
      <c r="C1304" t="s">
        <v>1034</v>
      </c>
      <c r="D1304" t="s">
        <v>1035</v>
      </c>
      <c r="E1304" t="s">
        <v>14</v>
      </c>
      <c r="F1304" t="s">
        <v>15</v>
      </c>
      <c r="G1304" t="s">
        <v>24</v>
      </c>
      <c r="H1304" t="s">
        <v>386</v>
      </c>
      <c r="I1304" s="2">
        <v>13.712</v>
      </c>
      <c r="J1304">
        <v>2</v>
      </c>
      <c r="K1304" s="2">
        <v>1.0284</v>
      </c>
      <c r="L1304" s="3">
        <f>(Table1[[#This Row],[Profit]]/Table1[[#This Row],[Sales]])*100</f>
        <v>7.5</v>
      </c>
    </row>
    <row r="1305" spans="1:12" x14ac:dyDescent="0.3">
      <c r="A1305" t="s">
        <v>4667</v>
      </c>
      <c r="B1305" s="1">
        <v>43969</v>
      </c>
      <c r="C1305" t="s">
        <v>4668</v>
      </c>
      <c r="D1305" t="s">
        <v>4669</v>
      </c>
      <c r="E1305" t="s">
        <v>14</v>
      </c>
      <c r="F1305" t="s">
        <v>15</v>
      </c>
      <c r="G1305" t="s">
        <v>24</v>
      </c>
      <c r="H1305" t="s">
        <v>3523</v>
      </c>
      <c r="I1305" s="2">
        <v>102.048</v>
      </c>
      <c r="J1305">
        <v>1</v>
      </c>
      <c r="K1305" s="2">
        <v>1.0286999999999999</v>
      </c>
      <c r="L1305" s="3">
        <f>(Table1[[#This Row],[Profit]]/Table1[[#This Row],[Sales]])*100</f>
        <v>1.0080550329256821</v>
      </c>
    </row>
    <row r="1306" spans="1:12" x14ac:dyDescent="0.3">
      <c r="A1306" t="s">
        <v>4806</v>
      </c>
      <c r="B1306" s="1">
        <v>43993</v>
      </c>
      <c r="C1306" t="s">
        <v>1000</v>
      </c>
      <c r="D1306" t="s">
        <v>1001</v>
      </c>
      <c r="E1306" t="s">
        <v>14</v>
      </c>
      <c r="F1306" t="s">
        <v>23</v>
      </c>
      <c r="G1306" t="s">
        <v>24</v>
      </c>
      <c r="H1306" t="s">
        <v>297</v>
      </c>
      <c r="I1306" s="2">
        <v>115.96</v>
      </c>
      <c r="J1306">
        <v>2</v>
      </c>
      <c r="K1306" s="2">
        <v>1.0296000000000001</v>
      </c>
      <c r="L1306" s="3">
        <f>(Table1[[#This Row],[Profit]]/Table1[[#This Row],[Sales]])*100</f>
        <v>0.88789237668161436</v>
      </c>
    </row>
    <row r="1307" spans="1:12" x14ac:dyDescent="0.3">
      <c r="A1307" t="s">
        <v>2911</v>
      </c>
      <c r="B1307" s="1">
        <v>43733</v>
      </c>
      <c r="C1307" t="s">
        <v>1970</v>
      </c>
      <c r="D1307" t="s">
        <v>1971</v>
      </c>
      <c r="E1307" t="s">
        <v>14</v>
      </c>
      <c r="F1307" t="s">
        <v>29</v>
      </c>
      <c r="G1307" t="s">
        <v>24</v>
      </c>
      <c r="H1307" t="s">
        <v>2912</v>
      </c>
      <c r="I1307" s="2">
        <v>3.04</v>
      </c>
      <c r="J1307">
        <v>1</v>
      </c>
      <c r="K1307" s="2">
        <v>1.0336000000000001</v>
      </c>
      <c r="L1307" s="3">
        <f>(Table1[[#This Row],[Profit]]/Table1[[#This Row],[Sales]])*100</f>
        <v>34</v>
      </c>
    </row>
    <row r="1308" spans="1:12" x14ac:dyDescent="0.3">
      <c r="A1308" t="s">
        <v>3449</v>
      </c>
      <c r="B1308" s="1">
        <v>43787</v>
      </c>
      <c r="C1308" t="s">
        <v>1371</v>
      </c>
      <c r="D1308" t="s">
        <v>1372</v>
      </c>
      <c r="E1308" t="s">
        <v>14</v>
      </c>
      <c r="F1308" t="s">
        <v>29</v>
      </c>
      <c r="G1308" t="s">
        <v>24</v>
      </c>
      <c r="H1308" t="s">
        <v>1322</v>
      </c>
      <c r="I1308" s="2">
        <v>6.3680000000000003</v>
      </c>
      <c r="J1308">
        <v>2</v>
      </c>
      <c r="K1308" s="2">
        <v>1.0347999999999999</v>
      </c>
      <c r="L1308" s="3">
        <f>(Table1[[#This Row],[Profit]]/Table1[[#This Row],[Sales]])*100</f>
        <v>16.249999999999996</v>
      </c>
    </row>
    <row r="1309" spans="1:12" x14ac:dyDescent="0.3">
      <c r="A1309" t="s">
        <v>1867</v>
      </c>
      <c r="B1309" s="1">
        <v>43642</v>
      </c>
      <c r="C1309" t="s">
        <v>1277</v>
      </c>
      <c r="D1309" t="s">
        <v>1278</v>
      </c>
      <c r="E1309" t="s">
        <v>14</v>
      </c>
      <c r="F1309" t="s">
        <v>15</v>
      </c>
      <c r="G1309" t="s">
        <v>24</v>
      </c>
      <c r="H1309" t="s">
        <v>1011</v>
      </c>
      <c r="I1309" s="2">
        <v>14.9</v>
      </c>
      <c r="J1309">
        <v>5</v>
      </c>
      <c r="K1309" s="2">
        <v>1.0429999999999999</v>
      </c>
      <c r="L1309" s="3">
        <f>(Table1[[#This Row],[Profit]]/Table1[[#This Row],[Sales]])*100</f>
        <v>6.9999999999999991</v>
      </c>
    </row>
    <row r="1310" spans="1:12" x14ac:dyDescent="0.3">
      <c r="A1310" t="s">
        <v>2805</v>
      </c>
      <c r="B1310" s="1">
        <v>43726</v>
      </c>
      <c r="C1310" t="s">
        <v>2500</v>
      </c>
      <c r="D1310" t="s">
        <v>2501</v>
      </c>
      <c r="E1310" t="s">
        <v>14</v>
      </c>
      <c r="F1310" t="s">
        <v>41</v>
      </c>
      <c r="G1310" t="s">
        <v>24</v>
      </c>
      <c r="H1310" t="s">
        <v>2806</v>
      </c>
      <c r="I1310" s="2">
        <v>3</v>
      </c>
      <c r="J1310">
        <v>1</v>
      </c>
      <c r="K1310" s="2">
        <v>1.05</v>
      </c>
      <c r="L1310" s="3">
        <f>(Table1[[#This Row],[Profit]]/Table1[[#This Row],[Sales]])*100</f>
        <v>35</v>
      </c>
    </row>
    <row r="1311" spans="1:12" x14ac:dyDescent="0.3">
      <c r="A1311" t="s">
        <v>4511</v>
      </c>
      <c r="B1311" s="1">
        <v>43944</v>
      </c>
      <c r="C1311" t="s">
        <v>2685</v>
      </c>
      <c r="D1311" t="s">
        <v>2686</v>
      </c>
      <c r="E1311" t="s">
        <v>14</v>
      </c>
      <c r="F1311" t="s">
        <v>41</v>
      </c>
      <c r="G1311" t="s">
        <v>24</v>
      </c>
      <c r="H1311" t="s">
        <v>1233</v>
      </c>
      <c r="I1311" s="2">
        <v>97</v>
      </c>
      <c r="J1311">
        <v>1</v>
      </c>
      <c r="K1311" s="2">
        <v>1.05</v>
      </c>
      <c r="L1311" s="3">
        <f>(Table1[[#This Row],[Profit]]/Table1[[#This Row],[Sales]])*100</f>
        <v>1.0824742268041236</v>
      </c>
    </row>
    <row r="1312" spans="1:12" x14ac:dyDescent="0.3">
      <c r="A1312" t="s">
        <v>2473</v>
      </c>
      <c r="B1312" s="1">
        <v>43704</v>
      </c>
      <c r="C1312" t="s">
        <v>192</v>
      </c>
      <c r="D1312" t="s">
        <v>193</v>
      </c>
      <c r="E1312" t="s">
        <v>14</v>
      </c>
      <c r="F1312" t="s">
        <v>29</v>
      </c>
      <c r="G1312" t="s">
        <v>24</v>
      </c>
      <c r="H1312" t="s">
        <v>2474</v>
      </c>
      <c r="I1312" s="2">
        <v>14.16</v>
      </c>
      <c r="J1312">
        <v>1</v>
      </c>
      <c r="K1312" s="2">
        <v>1.0620000000000001</v>
      </c>
      <c r="L1312" s="3">
        <f>(Table1[[#This Row],[Profit]]/Table1[[#This Row],[Sales]])*100</f>
        <v>7.5</v>
      </c>
    </row>
    <row r="1313" spans="1:12" x14ac:dyDescent="0.3">
      <c r="A1313" t="s">
        <v>2508</v>
      </c>
      <c r="B1313" s="1">
        <v>43709</v>
      </c>
      <c r="C1313" t="s">
        <v>627</v>
      </c>
      <c r="D1313" t="s">
        <v>628</v>
      </c>
      <c r="E1313" t="s">
        <v>14</v>
      </c>
      <c r="F1313" t="s">
        <v>15</v>
      </c>
      <c r="G1313" t="s">
        <v>24</v>
      </c>
      <c r="H1313" t="s">
        <v>2026</v>
      </c>
      <c r="I1313" s="2">
        <v>3.048</v>
      </c>
      <c r="J1313">
        <v>1</v>
      </c>
      <c r="K1313" s="2">
        <v>1.0668</v>
      </c>
      <c r="L1313" s="3">
        <f>(Table1[[#This Row],[Profit]]/Table1[[#This Row],[Sales]])*100</f>
        <v>35</v>
      </c>
    </row>
    <row r="1314" spans="1:12" x14ac:dyDescent="0.3">
      <c r="A1314" t="s">
        <v>2834</v>
      </c>
      <c r="B1314" s="1">
        <v>43728</v>
      </c>
      <c r="C1314" t="s">
        <v>956</v>
      </c>
      <c r="D1314" t="s">
        <v>957</v>
      </c>
      <c r="E1314" t="s">
        <v>14</v>
      </c>
      <c r="F1314" t="s">
        <v>41</v>
      </c>
      <c r="G1314" t="s">
        <v>16</v>
      </c>
      <c r="H1314" t="s">
        <v>2835</v>
      </c>
      <c r="I1314" s="2">
        <v>17.088000000000001</v>
      </c>
      <c r="J1314">
        <v>2</v>
      </c>
      <c r="K1314" s="2">
        <v>1.0680000000000001</v>
      </c>
      <c r="L1314" s="3">
        <f>(Table1[[#This Row],[Profit]]/Table1[[#This Row],[Sales]])*100</f>
        <v>6.25</v>
      </c>
    </row>
    <row r="1315" spans="1:12" x14ac:dyDescent="0.3">
      <c r="A1315" t="s">
        <v>4819</v>
      </c>
      <c r="B1315" s="1">
        <v>43994</v>
      </c>
      <c r="C1315" t="s">
        <v>1785</v>
      </c>
      <c r="D1315" t="s">
        <v>1786</v>
      </c>
      <c r="E1315" t="s">
        <v>14</v>
      </c>
      <c r="F1315" t="s">
        <v>41</v>
      </c>
      <c r="G1315" t="s">
        <v>16</v>
      </c>
      <c r="H1315" t="s">
        <v>2835</v>
      </c>
      <c r="I1315" s="2">
        <v>100.08799999999999</v>
      </c>
      <c r="J1315">
        <v>2</v>
      </c>
      <c r="K1315" s="2">
        <v>1.0680000000000001</v>
      </c>
      <c r="L1315" s="3">
        <f>(Table1[[#This Row],[Profit]]/Table1[[#This Row],[Sales]])*100</f>
        <v>1.0670609863320279</v>
      </c>
    </row>
    <row r="1316" spans="1:12" x14ac:dyDescent="0.3">
      <c r="A1316" t="s">
        <v>5208</v>
      </c>
      <c r="B1316" s="1">
        <v>44068</v>
      </c>
      <c r="C1316" t="s">
        <v>439</v>
      </c>
      <c r="D1316" t="s">
        <v>440</v>
      </c>
      <c r="E1316" t="s">
        <v>14</v>
      </c>
      <c r="F1316" t="s">
        <v>41</v>
      </c>
      <c r="G1316" t="s">
        <v>24</v>
      </c>
      <c r="H1316" t="s">
        <v>2288</v>
      </c>
      <c r="I1316" s="2">
        <v>129.42400000000001</v>
      </c>
      <c r="J1316">
        <v>1</v>
      </c>
      <c r="K1316" s="2">
        <v>1.07</v>
      </c>
      <c r="L1316" s="3">
        <f>(Table1[[#This Row],[Profit]]/Table1[[#This Row],[Sales]])*100</f>
        <v>0.8267400173074545</v>
      </c>
    </row>
    <row r="1317" spans="1:12" x14ac:dyDescent="0.3">
      <c r="A1317" t="s">
        <v>6251</v>
      </c>
      <c r="B1317" s="1">
        <v>44188</v>
      </c>
      <c r="C1317" t="s">
        <v>4586</v>
      </c>
      <c r="D1317" t="s">
        <v>4587</v>
      </c>
      <c r="E1317" t="s">
        <v>14</v>
      </c>
      <c r="F1317" t="s">
        <v>41</v>
      </c>
      <c r="G1317" t="s">
        <v>24</v>
      </c>
      <c r="H1317" t="s">
        <v>4451</v>
      </c>
      <c r="I1317" s="2">
        <v>402.26400000000001</v>
      </c>
      <c r="J1317">
        <v>7</v>
      </c>
      <c r="K1317" s="2">
        <v>1.0730999999999999</v>
      </c>
      <c r="L1317" s="3">
        <f>(Table1[[#This Row],[Profit]]/Table1[[#This Row],[Sales]])*100</f>
        <v>0.26676510948034127</v>
      </c>
    </row>
    <row r="1318" spans="1:12" x14ac:dyDescent="0.3">
      <c r="A1318" t="s">
        <v>5063</v>
      </c>
      <c r="B1318" s="1">
        <v>44037</v>
      </c>
      <c r="C1318" t="s">
        <v>2397</v>
      </c>
      <c r="D1318" t="s">
        <v>2398</v>
      </c>
      <c r="E1318" t="s">
        <v>14</v>
      </c>
      <c r="F1318" t="s">
        <v>15</v>
      </c>
      <c r="G1318" t="s">
        <v>24</v>
      </c>
      <c r="H1318" t="s">
        <v>4682</v>
      </c>
      <c r="I1318" s="2">
        <v>119.304</v>
      </c>
      <c r="J1318">
        <v>1</v>
      </c>
      <c r="K1318" s="2">
        <v>1.0738000000000001</v>
      </c>
      <c r="L1318" s="3">
        <f>(Table1[[#This Row],[Profit]]/Table1[[#This Row],[Sales]])*100</f>
        <v>0.90005364447126679</v>
      </c>
    </row>
    <row r="1319" spans="1:12" x14ac:dyDescent="0.3">
      <c r="A1319" t="s">
        <v>5986</v>
      </c>
      <c r="B1319" s="1">
        <v>44158</v>
      </c>
      <c r="C1319" t="s">
        <v>800</v>
      </c>
      <c r="D1319" t="s">
        <v>801</v>
      </c>
      <c r="E1319" t="s">
        <v>14</v>
      </c>
      <c r="F1319" t="s">
        <v>41</v>
      </c>
      <c r="G1319" t="s">
        <v>24</v>
      </c>
      <c r="H1319" t="s">
        <v>2442</v>
      </c>
      <c r="I1319" s="2">
        <v>107.304</v>
      </c>
      <c r="J1319">
        <v>1</v>
      </c>
      <c r="K1319" s="2">
        <v>1.0738000000000001</v>
      </c>
      <c r="L1319" s="3">
        <f>(Table1[[#This Row],[Profit]]/Table1[[#This Row],[Sales]])*100</f>
        <v>1.0007082680981139</v>
      </c>
    </row>
    <row r="1320" spans="1:12" x14ac:dyDescent="0.3">
      <c r="A1320" t="s">
        <v>6244</v>
      </c>
      <c r="B1320" s="1">
        <v>44187</v>
      </c>
      <c r="C1320" t="s">
        <v>3209</v>
      </c>
      <c r="D1320" t="s">
        <v>3210</v>
      </c>
      <c r="E1320" t="s">
        <v>14</v>
      </c>
      <c r="F1320" t="s">
        <v>23</v>
      </c>
      <c r="G1320" t="s">
        <v>24</v>
      </c>
      <c r="H1320" t="s">
        <v>5548</v>
      </c>
      <c r="I1320" s="2">
        <v>389.17</v>
      </c>
      <c r="J1320">
        <v>3</v>
      </c>
      <c r="K1320" s="2">
        <v>1.0842000000000001</v>
      </c>
      <c r="L1320" s="3">
        <f>(Table1[[#This Row],[Profit]]/Table1[[#This Row],[Sales]])*100</f>
        <v>0.27859290284451527</v>
      </c>
    </row>
    <row r="1321" spans="1:12" x14ac:dyDescent="0.3">
      <c r="A1321" t="s">
        <v>4644</v>
      </c>
      <c r="B1321" s="1">
        <v>43965</v>
      </c>
      <c r="C1321" t="s">
        <v>3615</v>
      </c>
      <c r="D1321" t="s">
        <v>3616</v>
      </c>
      <c r="E1321" t="s">
        <v>14</v>
      </c>
      <c r="F1321" t="s">
        <v>15</v>
      </c>
      <c r="G1321" t="s">
        <v>24</v>
      </c>
      <c r="H1321" t="s">
        <v>1504</v>
      </c>
      <c r="I1321" s="2">
        <v>83.76</v>
      </c>
      <c r="J1321">
        <v>2</v>
      </c>
      <c r="K1321" s="2">
        <v>1.0904</v>
      </c>
      <c r="L1321" s="3">
        <f>(Table1[[#This Row],[Profit]]/Table1[[#This Row],[Sales]])*100</f>
        <v>1.3018147086914995</v>
      </c>
    </row>
    <row r="1322" spans="1:12" x14ac:dyDescent="0.3">
      <c r="A1322" t="s">
        <v>4811</v>
      </c>
      <c r="B1322" s="1">
        <v>43993</v>
      </c>
      <c r="C1322" t="s">
        <v>2140</v>
      </c>
      <c r="D1322" t="s">
        <v>2141</v>
      </c>
      <c r="E1322" t="s">
        <v>14</v>
      </c>
      <c r="F1322" t="s">
        <v>41</v>
      </c>
      <c r="G1322" t="s">
        <v>24</v>
      </c>
      <c r="H1322" t="s">
        <v>1504</v>
      </c>
      <c r="I1322" s="2">
        <v>118.76</v>
      </c>
      <c r="J1322">
        <v>2</v>
      </c>
      <c r="K1322" s="2">
        <v>1.0904</v>
      </c>
      <c r="L1322" s="3">
        <f>(Table1[[#This Row],[Profit]]/Table1[[#This Row],[Sales]])*100</f>
        <v>0.91815426069383632</v>
      </c>
    </row>
    <row r="1323" spans="1:12" x14ac:dyDescent="0.3">
      <c r="A1323" t="s">
        <v>5665</v>
      </c>
      <c r="B1323" s="1">
        <v>44124</v>
      </c>
      <c r="C1323" t="s">
        <v>2626</v>
      </c>
      <c r="D1323" t="s">
        <v>2627</v>
      </c>
      <c r="E1323" t="s">
        <v>14</v>
      </c>
      <c r="F1323" t="s">
        <v>41</v>
      </c>
      <c r="G1323" t="s">
        <v>24</v>
      </c>
      <c r="H1323" t="s">
        <v>552</v>
      </c>
      <c r="I1323" s="2">
        <v>135.44800000000001</v>
      </c>
      <c r="J1323">
        <v>2</v>
      </c>
      <c r="K1323" s="2">
        <v>1.1120000000000001</v>
      </c>
      <c r="L1323" s="3">
        <f>(Table1[[#This Row],[Profit]]/Table1[[#This Row],[Sales]])*100</f>
        <v>0.82097926879688143</v>
      </c>
    </row>
    <row r="1324" spans="1:12" x14ac:dyDescent="0.3">
      <c r="A1324" t="s">
        <v>5565</v>
      </c>
      <c r="B1324" s="1">
        <v>44107</v>
      </c>
      <c r="C1324" t="s">
        <v>2500</v>
      </c>
      <c r="D1324" t="s">
        <v>2501</v>
      </c>
      <c r="E1324" t="s">
        <v>14</v>
      </c>
      <c r="F1324" t="s">
        <v>41</v>
      </c>
      <c r="G1324" t="s">
        <v>24</v>
      </c>
      <c r="H1324" t="s">
        <v>4290</v>
      </c>
      <c r="I1324" s="2">
        <v>146.91999999999999</v>
      </c>
      <c r="J1324">
        <v>5</v>
      </c>
      <c r="K1324" s="2">
        <v>1.1200000000000001</v>
      </c>
      <c r="L1324" s="3">
        <f>(Table1[[#This Row],[Profit]]/Table1[[#This Row],[Sales]])*100</f>
        <v>0.76231962973046574</v>
      </c>
    </row>
    <row r="1325" spans="1:12" x14ac:dyDescent="0.3">
      <c r="A1325" t="s">
        <v>842</v>
      </c>
      <c r="B1325" s="1">
        <v>43556</v>
      </c>
      <c r="C1325" t="s">
        <v>164</v>
      </c>
      <c r="D1325" t="s">
        <v>165</v>
      </c>
      <c r="E1325" t="s">
        <v>14</v>
      </c>
      <c r="F1325" t="s">
        <v>15</v>
      </c>
      <c r="G1325" t="s">
        <v>24</v>
      </c>
      <c r="H1325" t="s">
        <v>845</v>
      </c>
      <c r="I1325" s="2">
        <v>3.5920000000000001</v>
      </c>
      <c r="J1325">
        <v>1</v>
      </c>
      <c r="K1325" s="2">
        <v>1.1225000000000001</v>
      </c>
      <c r="L1325" s="3">
        <f>(Table1[[#This Row],[Profit]]/Table1[[#This Row],[Sales]])*100</f>
        <v>31.25</v>
      </c>
    </row>
    <row r="1326" spans="1:12" x14ac:dyDescent="0.3">
      <c r="A1326" t="s">
        <v>2465</v>
      </c>
      <c r="B1326" s="1">
        <v>43704</v>
      </c>
      <c r="C1326" t="s">
        <v>2466</v>
      </c>
      <c r="D1326" t="s">
        <v>2467</v>
      </c>
      <c r="E1326" t="s">
        <v>14</v>
      </c>
      <c r="F1326" t="s">
        <v>29</v>
      </c>
      <c r="G1326" t="s">
        <v>24</v>
      </c>
      <c r="H1326" t="s">
        <v>2469</v>
      </c>
      <c r="I1326" s="2">
        <v>3.528</v>
      </c>
      <c r="J1326">
        <v>1</v>
      </c>
      <c r="K1326" s="2">
        <v>1.1466000000000001</v>
      </c>
      <c r="L1326" s="3">
        <f>(Table1[[#This Row],[Profit]]/Table1[[#This Row],[Sales]])*100</f>
        <v>32.5</v>
      </c>
    </row>
    <row r="1327" spans="1:12" x14ac:dyDescent="0.3">
      <c r="A1327" t="s">
        <v>5029</v>
      </c>
      <c r="B1327" s="1">
        <v>44030</v>
      </c>
      <c r="C1327" t="s">
        <v>1698</v>
      </c>
      <c r="D1327" t="s">
        <v>1699</v>
      </c>
      <c r="E1327" t="s">
        <v>14</v>
      </c>
      <c r="F1327" t="s">
        <v>15</v>
      </c>
      <c r="G1327" t="s">
        <v>24</v>
      </c>
      <c r="H1327" t="s">
        <v>5030</v>
      </c>
      <c r="I1327" s="2">
        <v>113.184</v>
      </c>
      <c r="J1327">
        <v>2</v>
      </c>
      <c r="K1327" s="2">
        <v>1.1479999999999999</v>
      </c>
      <c r="L1327" s="3">
        <f>(Table1[[#This Row],[Profit]]/Table1[[#This Row],[Sales]])*100</f>
        <v>1.0142776364150408</v>
      </c>
    </row>
    <row r="1328" spans="1:12" x14ac:dyDescent="0.3">
      <c r="A1328" t="s">
        <v>4630</v>
      </c>
      <c r="B1328" s="1">
        <v>43963</v>
      </c>
      <c r="C1328" t="s">
        <v>592</v>
      </c>
      <c r="D1328" t="s">
        <v>593</v>
      </c>
      <c r="E1328" t="s">
        <v>14</v>
      </c>
      <c r="F1328" t="s">
        <v>15</v>
      </c>
      <c r="G1328" t="s">
        <v>24</v>
      </c>
      <c r="H1328" t="s">
        <v>4024</v>
      </c>
      <c r="I1328" s="2">
        <v>96.272000000000006</v>
      </c>
      <c r="J1328">
        <v>3</v>
      </c>
      <c r="K1328" s="2">
        <v>1.1556</v>
      </c>
      <c r="L1328" s="3">
        <f>(Table1[[#This Row],[Profit]]/Table1[[#This Row],[Sales]])*100</f>
        <v>1.2003490111351169</v>
      </c>
    </row>
    <row r="1329" spans="1:12" x14ac:dyDescent="0.3">
      <c r="A1329" t="s">
        <v>3877</v>
      </c>
      <c r="B1329" s="1">
        <v>43822</v>
      </c>
      <c r="C1329" t="s">
        <v>633</v>
      </c>
      <c r="D1329" t="s">
        <v>634</v>
      </c>
      <c r="E1329" t="s">
        <v>14</v>
      </c>
      <c r="F1329" t="s">
        <v>23</v>
      </c>
      <c r="G1329" t="s">
        <v>24</v>
      </c>
      <c r="H1329" t="s">
        <v>3886</v>
      </c>
      <c r="I1329" s="2">
        <v>4.2</v>
      </c>
      <c r="J1329">
        <v>2</v>
      </c>
      <c r="K1329" s="2">
        <v>1.1759999999999999</v>
      </c>
      <c r="L1329" s="3">
        <f>(Table1[[#This Row],[Profit]]/Table1[[#This Row],[Sales]])*100</f>
        <v>27.999999999999996</v>
      </c>
    </row>
    <row r="1330" spans="1:12" x14ac:dyDescent="0.3">
      <c r="A1330" t="s">
        <v>4738</v>
      </c>
      <c r="B1330" s="1">
        <v>43980</v>
      </c>
      <c r="C1330" t="s">
        <v>4483</v>
      </c>
      <c r="D1330" t="s">
        <v>4484</v>
      </c>
      <c r="E1330" t="s">
        <v>14</v>
      </c>
      <c r="F1330" t="s">
        <v>29</v>
      </c>
      <c r="G1330" t="s">
        <v>24</v>
      </c>
      <c r="H1330" t="s">
        <v>4739</v>
      </c>
      <c r="I1330" s="2">
        <v>122.55</v>
      </c>
      <c r="J1330">
        <v>5</v>
      </c>
      <c r="K1330" s="2">
        <v>1.1775</v>
      </c>
      <c r="L1330" s="3">
        <f>(Table1[[#This Row],[Profit]]/Table1[[#This Row],[Sales]])*100</f>
        <v>0.96083231334149322</v>
      </c>
    </row>
    <row r="1331" spans="1:12" x14ac:dyDescent="0.3">
      <c r="A1331" t="s">
        <v>2969</v>
      </c>
      <c r="B1331" s="1">
        <v>43737</v>
      </c>
      <c r="C1331" t="s">
        <v>744</v>
      </c>
      <c r="D1331" t="s">
        <v>745</v>
      </c>
      <c r="E1331" t="s">
        <v>14</v>
      </c>
      <c r="F1331" t="s">
        <v>23</v>
      </c>
      <c r="G1331" t="s">
        <v>24</v>
      </c>
      <c r="H1331" t="s">
        <v>2970</v>
      </c>
      <c r="I1331" s="2">
        <v>10.496</v>
      </c>
      <c r="J1331">
        <v>4</v>
      </c>
      <c r="K1331" s="2">
        <v>1.1808000000000001</v>
      </c>
      <c r="L1331" s="3">
        <f>(Table1[[#This Row],[Profit]]/Table1[[#This Row],[Sales]])*100</f>
        <v>11.25</v>
      </c>
    </row>
    <row r="1332" spans="1:12" x14ac:dyDescent="0.3">
      <c r="A1332" t="s">
        <v>3075</v>
      </c>
      <c r="B1332" s="1">
        <v>43751</v>
      </c>
      <c r="C1332" t="s">
        <v>2286</v>
      </c>
      <c r="D1332" t="s">
        <v>2287</v>
      </c>
      <c r="E1332" t="s">
        <v>14</v>
      </c>
      <c r="F1332" t="s">
        <v>29</v>
      </c>
      <c r="G1332" t="s">
        <v>24</v>
      </c>
      <c r="H1332" t="s">
        <v>3076</v>
      </c>
      <c r="I1332" s="2">
        <v>15.872</v>
      </c>
      <c r="J1332">
        <v>1</v>
      </c>
      <c r="K1332" s="2">
        <v>1.1903999999999999</v>
      </c>
      <c r="L1332" s="3">
        <f>(Table1[[#This Row],[Profit]]/Table1[[#This Row],[Sales]])*100</f>
        <v>7.5</v>
      </c>
    </row>
    <row r="1333" spans="1:12" x14ac:dyDescent="0.3">
      <c r="A1333" t="s">
        <v>5006</v>
      </c>
      <c r="B1333" s="1">
        <v>44024</v>
      </c>
      <c r="C1333" t="s">
        <v>4760</v>
      </c>
      <c r="D1333" t="s">
        <v>4761</v>
      </c>
      <c r="E1333" t="s">
        <v>14</v>
      </c>
      <c r="F1333" t="s">
        <v>15</v>
      </c>
      <c r="G1333" t="s">
        <v>24</v>
      </c>
      <c r="H1333" t="s">
        <v>347</v>
      </c>
      <c r="I1333" s="2">
        <v>89.816000000000003</v>
      </c>
      <c r="J1333">
        <v>1</v>
      </c>
      <c r="K1333" s="2">
        <v>1.1924999999999999</v>
      </c>
      <c r="L1333" s="3">
        <f>(Table1[[#This Row],[Profit]]/Table1[[#This Row],[Sales]])*100</f>
        <v>1.3277144384074104</v>
      </c>
    </row>
    <row r="1334" spans="1:12" x14ac:dyDescent="0.3">
      <c r="A1334" t="s">
        <v>3217</v>
      </c>
      <c r="B1334" s="1">
        <v>43768</v>
      </c>
      <c r="C1334" t="s">
        <v>989</v>
      </c>
      <c r="D1334" t="s">
        <v>990</v>
      </c>
      <c r="E1334" t="s">
        <v>14</v>
      </c>
      <c r="F1334" t="s">
        <v>23</v>
      </c>
      <c r="G1334" t="s">
        <v>24</v>
      </c>
      <c r="H1334" t="s">
        <v>3218</v>
      </c>
      <c r="I1334" s="2">
        <v>3.62</v>
      </c>
      <c r="J1334">
        <v>2</v>
      </c>
      <c r="K1334" s="2">
        <v>1.1946000000000001</v>
      </c>
      <c r="L1334" s="3">
        <f>(Table1[[#This Row],[Profit]]/Table1[[#This Row],[Sales]])*100</f>
        <v>33</v>
      </c>
    </row>
    <row r="1335" spans="1:12" x14ac:dyDescent="0.3">
      <c r="A1335" t="s">
        <v>6270</v>
      </c>
      <c r="B1335" s="1">
        <v>44190</v>
      </c>
      <c r="C1335" t="s">
        <v>2414</v>
      </c>
      <c r="D1335" t="s">
        <v>2415</v>
      </c>
      <c r="E1335" t="s">
        <v>14</v>
      </c>
      <c r="F1335" t="s">
        <v>41</v>
      </c>
      <c r="G1335" t="s">
        <v>24</v>
      </c>
      <c r="H1335" t="s">
        <v>3218</v>
      </c>
      <c r="I1335" s="2">
        <v>435.62</v>
      </c>
      <c r="J1335">
        <v>2</v>
      </c>
      <c r="K1335" s="2">
        <v>1.1946000000000001</v>
      </c>
      <c r="L1335" s="3">
        <f>(Table1[[#This Row],[Profit]]/Table1[[#This Row],[Sales]])*100</f>
        <v>0.27422983334098527</v>
      </c>
    </row>
    <row r="1336" spans="1:12" x14ac:dyDescent="0.3">
      <c r="A1336" t="s">
        <v>5580</v>
      </c>
      <c r="B1336" s="1">
        <v>44110</v>
      </c>
      <c r="C1336" t="s">
        <v>3581</v>
      </c>
      <c r="D1336" t="s">
        <v>3582</v>
      </c>
      <c r="E1336" t="s">
        <v>14</v>
      </c>
      <c r="F1336" t="s">
        <v>29</v>
      </c>
      <c r="G1336" t="s">
        <v>24</v>
      </c>
      <c r="H1336" t="s">
        <v>2987</v>
      </c>
      <c r="I1336" s="2">
        <v>144.15199999999999</v>
      </c>
      <c r="J1336">
        <v>2</v>
      </c>
      <c r="K1336" s="2">
        <v>1.1970000000000001</v>
      </c>
      <c r="L1336" s="3">
        <f>(Table1[[#This Row],[Profit]]/Table1[[#This Row],[Sales]])*100</f>
        <v>0.83037349464454202</v>
      </c>
    </row>
    <row r="1337" spans="1:12" x14ac:dyDescent="0.3">
      <c r="A1337" t="s">
        <v>814</v>
      </c>
      <c r="B1337" s="1">
        <v>43555</v>
      </c>
      <c r="C1337" t="s">
        <v>815</v>
      </c>
      <c r="D1337" t="s">
        <v>816</v>
      </c>
      <c r="E1337" t="s">
        <v>14</v>
      </c>
      <c r="F1337" t="s">
        <v>15</v>
      </c>
      <c r="G1337" t="s">
        <v>18</v>
      </c>
      <c r="H1337" t="s">
        <v>818</v>
      </c>
      <c r="I1337" s="2">
        <v>31.984000000000002</v>
      </c>
      <c r="J1337">
        <v>2</v>
      </c>
      <c r="K1337" s="2">
        <v>1.1994</v>
      </c>
      <c r="L1337" s="3">
        <f>(Table1[[#This Row],[Profit]]/Table1[[#This Row],[Sales]])*100</f>
        <v>3.75</v>
      </c>
    </row>
    <row r="1338" spans="1:12" x14ac:dyDescent="0.3">
      <c r="A1338" t="s">
        <v>3372</v>
      </c>
      <c r="B1338" s="1">
        <v>43780</v>
      </c>
      <c r="C1338" t="s">
        <v>3373</v>
      </c>
      <c r="D1338" t="s">
        <v>3374</v>
      </c>
      <c r="E1338" t="s">
        <v>14</v>
      </c>
      <c r="F1338" t="s">
        <v>29</v>
      </c>
      <c r="G1338" t="s">
        <v>18</v>
      </c>
      <c r="H1338" t="s">
        <v>3375</v>
      </c>
      <c r="I1338" s="2">
        <v>95.968000000000004</v>
      </c>
      <c r="J1338">
        <v>4</v>
      </c>
      <c r="K1338" s="2">
        <v>1.1996</v>
      </c>
      <c r="L1338" s="3">
        <f>(Table1[[#This Row],[Profit]]/Table1[[#This Row],[Sales]])*100</f>
        <v>1.25</v>
      </c>
    </row>
    <row r="1339" spans="1:12" x14ac:dyDescent="0.3">
      <c r="A1339" t="s">
        <v>5693</v>
      </c>
      <c r="B1339" s="1">
        <v>44127</v>
      </c>
      <c r="C1339" t="s">
        <v>5694</v>
      </c>
      <c r="D1339" t="s">
        <v>5695</v>
      </c>
      <c r="E1339" t="s">
        <v>14</v>
      </c>
      <c r="F1339" t="s">
        <v>29</v>
      </c>
      <c r="G1339" t="s">
        <v>24</v>
      </c>
      <c r="H1339" t="s">
        <v>2932</v>
      </c>
      <c r="I1339" s="2">
        <v>109.72</v>
      </c>
      <c r="J1339">
        <v>1</v>
      </c>
      <c r="K1339" s="2">
        <v>1.2004999999999999</v>
      </c>
      <c r="L1339" s="3">
        <f>(Table1[[#This Row],[Profit]]/Table1[[#This Row],[Sales]])*100</f>
        <v>1.0941487422530074</v>
      </c>
    </row>
    <row r="1340" spans="1:12" x14ac:dyDescent="0.3">
      <c r="A1340" t="s">
        <v>3935</v>
      </c>
      <c r="B1340" s="1">
        <v>43826</v>
      </c>
      <c r="C1340" t="s">
        <v>3936</v>
      </c>
      <c r="D1340" t="s">
        <v>3937</v>
      </c>
      <c r="E1340" t="s">
        <v>14</v>
      </c>
      <c r="F1340" t="s">
        <v>41</v>
      </c>
      <c r="G1340" t="s">
        <v>24</v>
      </c>
      <c r="H1340" t="s">
        <v>3938</v>
      </c>
      <c r="I1340" s="2">
        <v>2.61</v>
      </c>
      <c r="J1340">
        <v>1</v>
      </c>
      <c r="K1340" s="2">
        <v>1.2005999999999999</v>
      </c>
      <c r="L1340" s="3">
        <f>(Table1[[#This Row],[Profit]]/Table1[[#This Row],[Sales]])*100</f>
        <v>46</v>
      </c>
    </row>
    <row r="1341" spans="1:12" x14ac:dyDescent="0.3">
      <c r="A1341" t="s">
        <v>1609</v>
      </c>
      <c r="B1341" s="1">
        <v>43620</v>
      </c>
      <c r="C1341" t="s">
        <v>1472</v>
      </c>
      <c r="D1341" t="s">
        <v>1473</v>
      </c>
      <c r="E1341" t="s">
        <v>14</v>
      </c>
      <c r="F1341" t="s">
        <v>29</v>
      </c>
      <c r="G1341" t="s">
        <v>24</v>
      </c>
      <c r="H1341" t="s">
        <v>1614</v>
      </c>
      <c r="I1341" s="2">
        <v>7.4080000000000004</v>
      </c>
      <c r="J1341">
        <v>2</v>
      </c>
      <c r="K1341" s="2">
        <v>1.2038</v>
      </c>
      <c r="L1341" s="3">
        <f>(Table1[[#This Row],[Profit]]/Table1[[#This Row],[Sales]])*100</f>
        <v>16.249999999999996</v>
      </c>
    </row>
    <row r="1342" spans="1:12" x14ac:dyDescent="0.3">
      <c r="A1342" t="s">
        <v>4417</v>
      </c>
      <c r="B1342" s="1">
        <v>43928</v>
      </c>
      <c r="C1342" t="s">
        <v>4014</v>
      </c>
      <c r="D1342" t="s">
        <v>4015</v>
      </c>
      <c r="E1342" t="s">
        <v>14</v>
      </c>
      <c r="F1342" t="s">
        <v>41</v>
      </c>
      <c r="G1342" t="s">
        <v>24</v>
      </c>
      <c r="H1342" t="s">
        <v>828</v>
      </c>
      <c r="I1342" s="2">
        <v>90.256</v>
      </c>
      <c r="J1342">
        <v>2</v>
      </c>
      <c r="K1342" s="2">
        <v>1.2192000000000001</v>
      </c>
      <c r="L1342" s="3">
        <f>(Table1[[#This Row],[Profit]]/Table1[[#This Row],[Sales]])*100</f>
        <v>1.3508243219287361</v>
      </c>
    </row>
    <row r="1343" spans="1:12" x14ac:dyDescent="0.3">
      <c r="A1343" t="s">
        <v>3391</v>
      </c>
      <c r="B1343" s="1">
        <v>43780</v>
      </c>
      <c r="C1343" t="s">
        <v>3392</v>
      </c>
      <c r="D1343" t="s">
        <v>3393</v>
      </c>
      <c r="E1343" t="s">
        <v>14</v>
      </c>
      <c r="F1343" t="s">
        <v>29</v>
      </c>
      <c r="G1343" t="s">
        <v>24</v>
      </c>
      <c r="H1343" t="s">
        <v>3237</v>
      </c>
      <c r="I1343" s="2">
        <v>14.112</v>
      </c>
      <c r="J1343">
        <v>6</v>
      </c>
      <c r="K1343" s="2">
        <v>1.2347999999999999</v>
      </c>
      <c r="L1343" s="3">
        <f>(Table1[[#This Row],[Profit]]/Table1[[#This Row],[Sales]])*100</f>
        <v>8.75</v>
      </c>
    </row>
    <row r="1344" spans="1:12" x14ac:dyDescent="0.3">
      <c r="A1344" t="s">
        <v>5174</v>
      </c>
      <c r="B1344" s="1">
        <v>44061</v>
      </c>
      <c r="C1344" t="s">
        <v>2118</v>
      </c>
      <c r="D1344" t="s">
        <v>2119</v>
      </c>
      <c r="E1344" t="s">
        <v>14</v>
      </c>
      <c r="F1344" t="s">
        <v>15</v>
      </c>
      <c r="G1344" t="s">
        <v>24</v>
      </c>
      <c r="H1344" t="s">
        <v>2191</v>
      </c>
      <c r="I1344" s="2">
        <v>125.91200000000001</v>
      </c>
      <c r="J1344">
        <v>3</v>
      </c>
      <c r="K1344" s="2">
        <v>1.2390000000000001</v>
      </c>
      <c r="L1344" s="3">
        <f>(Table1[[#This Row],[Profit]]/Table1[[#This Row],[Sales]])*100</f>
        <v>0.98402058580595964</v>
      </c>
    </row>
    <row r="1345" spans="1:12" x14ac:dyDescent="0.3">
      <c r="A1345" t="s">
        <v>6126</v>
      </c>
      <c r="B1345" s="1">
        <v>44172</v>
      </c>
      <c r="C1345" t="s">
        <v>784</v>
      </c>
      <c r="D1345" t="s">
        <v>785</v>
      </c>
      <c r="E1345" t="s">
        <v>14</v>
      </c>
      <c r="F1345" t="s">
        <v>29</v>
      </c>
      <c r="G1345" t="s">
        <v>24</v>
      </c>
      <c r="H1345" t="s">
        <v>4070</v>
      </c>
      <c r="I1345" s="2">
        <v>1015.552</v>
      </c>
      <c r="J1345">
        <v>3</v>
      </c>
      <c r="K1345" s="2">
        <v>1.2432000000000001</v>
      </c>
      <c r="L1345" s="3">
        <f>(Table1[[#This Row],[Profit]]/Table1[[#This Row],[Sales]])*100</f>
        <v>0.12241618351399043</v>
      </c>
    </row>
    <row r="1346" spans="1:12" x14ac:dyDescent="0.3">
      <c r="A1346" t="s">
        <v>5747</v>
      </c>
      <c r="B1346" s="1">
        <v>44137</v>
      </c>
      <c r="C1346" t="s">
        <v>1066</v>
      </c>
      <c r="D1346" t="s">
        <v>1067</v>
      </c>
      <c r="E1346" t="s">
        <v>14</v>
      </c>
      <c r="F1346" t="s">
        <v>15</v>
      </c>
      <c r="G1346" t="s">
        <v>24</v>
      </c>
      <c r="H1346" t="s">
        <v>4426</v>
      </c>
      <c r="I1346" s="2">
        <v>143.136</v>
      </c>
      <c r="J1346">
        <v>3</v>
      </c>
      <c r="K1346" s="2">
        <v>1.2585</v>
      </c>
      <c r="L1346" s="3">
        <f>(Table1[[#This Row],[Profit]]/Table1[[#This Row],[Sales]])*100</f>
        <v>0.87923373574782027</v>
      </c>
    </row>
    <row r="1347" spans="1:12" x14ac:dyDescent="0.3">
      <c r="A1347" t="s">
        <v>2103</v>
      </c>
      <c r="B1347" s="1">
        <v>43664</v>
      </c>
      <c r="C1347" t="s">
        <v>2104</v>
      </c>
      <c r="D1347" t="s">
        <v>2105</v>
      </c>
      <c r="E1347" t="s">
        <v>14</v>
      </c>
      <c r="F1347" t="s">
        <v>15</v>
      </c>
      <c r="G1347" t="s">
        <v>24</v>
      </c>
      <c r="H1347" t="s">
        <v>1742</v>
      </c>
      <c r="I1347" s="2">
        <v>11.263999999999999</v>
      </c>
      <c r="J1347">
        <v>8</v>
      </c>
      <c r="K1347" s="2">
        <v>1.2672000000000001</v>
      </c>
      <c r="L1347" s="3">
        <f>(Table1[[#This Row],[Profit]]/Table1[[#This Row],[Sales]])*100</f>
        <v>11.250000000000002</v>
      </c>
    </row>
    <row r="1348" spans="1:12" x14ac:dyDescent="0.3">
      <c r="A1348" t="s">
        <v>4768</v>
      </c>
      <c r="B1348" s="1">
        <v>43985</v>
      </c>
      <c r="C1348" t="s">
        <v>3913</v>
      </c>
      <c r="D1348" t="s">
        <v>3914</v>
      </c>
      <c r="E1348" t="s">
        <v>14</v>
      </c>
      <c r="F1348" t="s">
        <v>23</v>
      </c>
      <c r="G1348" t="s">
        <v>24</v>
      </c>
      <c r="H1348" t="s">
        <v>4506</v>
      </c>
      <c r="I1348" s="2">
        <v>94.912000000000006</v>
      </c>
      <c r="J1348">
        <v>1</v>
      </c>
      <c r="K1348" s="2">
        <v>1.2714000000000001</v>
      </c>
      <c r="L1348" s="3">
        <f>(Table1[[#This Row],[Profit]]/Table1[[#This Row],[Sales]])*100</f>
        <v>1.3395566419420095</v>
      </c>
    </row>
    <row r="1349" spans="1:12" x14ac:dyDescent="0.3">
      <c r="A1349" t="s">
        <v>1192</v>
      </c>
      <c r="B1349" s="1">
        <v>43586</v>
      </c>
      <c r="C1349" t="s">
        <v>950</v>
      </c>
      <c r="D1349" t="s">
        <v>951</v>
      </c>
      <c r="E1349" t="s">
        <v>14</v>
      </c>
      <c r="F1349" t="s">
        <v>41</v>
      </c>
      <c r="G1349" t="s">
        <v>24</v>
      </c>
      <c r="H1349" t="s">
        <v>1193</v>
      </c>
      <c r="I1349" s="2">
        <v>3.984</v>
      </c>
      <c r="J1349">
        <v>1</v>
      </c>
      <c r="K1349" s="2">
        <v>1.2948</v>
      </c>
      <c r="L1349" s="3">
        <f>(Table1[[#This Row],[Profit]]/Table1[[#This Row],[Sales]])*100</f>
        <v>32.5</v>
      </c>
    </row>
    <row r="1350" spans="1:12" x14ac:dyDescent="0.3">
      <c r="A1350" t="s">
        <v>3264</v>
      </c>
      <c r="B1350" s="1">
        <v>43773</v>
      </c>
      <c r="C1350" t="s">
        <v>3265</v>
      </c>
      <c r="D1350" t="s">
        <v>3266</v>
      </c>
      <c r="E1350" t="s">
        <v>14</v>
      </c>
      <c r="F1350" t="s">
        <v>23</v>
      </c>
      <c r="G1350" t="s">
        <v>24</v>
      </c>
      <c r="H1350" t="s">
        <v>3267</v>
      </c>
      <c r="I1350" s="2">
        <v>4.1760000000000002</v>
      </c>
      <c r="J1350">
        <v>1</v>
      </c>
      <c r="K1350" s="2">
        <v>1.3049999999999999</v>
      </c>
      <c r="L1350" s="3">
        <f>(Table1[[#This Row],[Profit]]/Table1[[#This Row],[Sales]])*100</f>
        <v>31.25</v>
      </c>
    </row>
    <row r="1351" spans="1:12" x14ac:dyDescent="0.3">
      <c r="A1351" t="s">
        <v>5205</v>
      </c>
      <c r="B1351" s="1">
        <v>44067</v>
      </c>
      <c r="C1351" t="s">
        <v>3838</v>
      </c>
      <c r="D1351" t="s">
        <v>3839</v>
      </c>
      <c r="E1351" t="s">
        <v>14</v>
      </c>
      <c r="F1351" t="s">
        <v>15</v>
      </c>
      <c r="G1351" t="s">
        <v>24</v>
      </c>
      <c r="H1351" t="s">
        <v>1605</v>
      </c>
      <c r="I1351" s="2">
        <v>141.744</v>
      </c>
      <c r="J1351">
        <v>1</v>
      </c>
      <c r="K1351" s="2">
        <v>1.3104</v>
      </c>
      <c r="L1351" s="3">
        <f>(Table1[[#This Row],[Profit]]/Table1[[#This Row],[Sales]])*100</f>
        <v>0.92448357602438191</v>
      </c>
    </row>
    <row r="1352" spans="1:12" x14ac:dyDescent="0.3">
      <c r="A1352" t="s">
        <v>4754</v>
      </c>
      <c r="B1352" s="1">
        <v>43983</v>
      </c>
      <c r="C1352" t="s">
        <v>831</v>
      </c>
      <c r="D1352" t="s">
        <v>832</v>
      </c>
      <c r="E1352" t="s">
        <v>14</v>
      </c>
      <c r="F1352" t="s">
        <v>15</v>
      </c>
      <c r="G1352" t="s">
        <v>24</v>
      </c>
      <c r="H1352" t="s">
        <v>2763</v>
      </c>
      <c r="I1352" s="2">
        <v>105.48</v>
      </c>
      <c r="J1352">
        <v>5</v>
      </c>
      <c r="K1352" s="2">
        <v>1.3109999999999999</v>
      </c>
      <c r="L1352" s="3">
        <f>(Table1[[#This Row],[Profit]]/Table1[[#This Row],[Sales]])*100</f>
        <v>1.2428896473265072</v>
      </c>
    </row>
    <row r="1353" spans="1:12" x14ac:dyDescent="0.3">
      <c r="A1353" t="s">
        <v>4351</v>
      </c>
      <c r="B1353" s="1">
        <v>43916</v>
      </c>
      <c r="C1353" t="s">
        <v>4352</v>
      </c>
      <c r="D1353" t="s">
        <v>4353</v>
      </c>
      <c r="E1353" t="s">
        <v>14</v>
      </c>
      <c r="F1353" t="s">
        <v>41</v>
      </c>
      <c r="G1353" t="s">
        <v>24</v>
      </c>
      <c r="H1353" t="s">
        <v>449</v>
      </c>
      <c r="I1353" s="2">
        <v>106.76</v>
      </c>
      <c r="J1353">
        <v>2</v>
      </c>
      <c r="K1353" s="2">
        <v>1.3160000000000001</v>
      </c>
      <c r="L1353" s="3">
        <f>(Table1[[#This Row],[Profit]]/Table1[[#This Row],[Sales]])*100</f>
        <v>1.2326714125140501</v>
      </c>
    </row>
    <row r="1354" spans="1:12" x14ac:dyDescent="0.3">
      <c r="A1354" t="s">
        <v>5558</v>
      </c>
      <c r="B1354" s="1">
        <v>44106</v>
      </c>
      <c r="C1354" t="s">
        <v>108</v>
      </c>
      <c r="D1354" t="s">
        <v>109</v>
      </c>
      <c r="E1354" t="s">
        <v>14</v>
      </c>
      <c r="F1354" t="s">
        <v>41</v>
      </c>
      <c r="G1354" t="s">
        <v>16</v>
      </c>
      <c r="H1354" t="s">
        <v>1873</v>
      </c>
      <c r="I1354" s="2">
        <v>127.80800000000001</v>
      </c>
      <c r="J1354">
        <v>2</v>
      </c>
      <c r="K1354" s="2">
        <v>1.3284</v>
      </c>
      <c r="L1354" s="3">
        <f>(Table1[[#This Row],[Profit]]/Table1[[#This Row],[Sales]])*100</f>
        <v>1.0393715573360041</v>
      </c>
    </row>
    <row r="1355" spans="1:12" x14ac:dyDescent="0.3">
      <c r="A1355" t="s">
        <v>5970</v>
      </c>
      <c r="B1355" s="1">
        <v>44155</v>
      </c>
      <c r="C1355" t="s">
        <v>1898</v>
      </c>
      <c r="D1355" t="s">
        <v>1899</v>
      </c>
      <c r="E1355" t="s">
        <v>14</v>
      </c>
      <c r="F1355" t="s">
        <v>15</v>
      </c>
      <c r="G1355" t="s">
        <v>18</v>
      </c>
      <c r="H1355" t="s">
        <v>2427</v>
      </c>
      <c r="I1355" s="2">
        <v>85.97</v>
      </c>
      <c r="J1355">
        <v>3</v>
      </c>
      <c r="K1355" s="2">
        <v>1.3365</v>
      </c>
      <c r="L1355" s="3">
        <f>(Table1[[#This Row],[Profit]]/Table1[[#This Row],[Sales]])*100</f>
        <v>1.554612073979295</v>
      </c>
    </row>
    <row r="1356" spans="1:12" x14ac:dyDescent="0.3">
      <c r="A1356" t="s">
        <v>3186</v>
      </c>
      <c r="B1356" s="1">
        <v>43765</v>
      </c>
      <c r="C1356" t="s">
        <v>3181</v>
      </c>
      <c r="D1356" t="s">
        <v>3182</v>
      </c>
      <c r="E1356" t="s">
        <v>14</v>
      </c>
      <c r="F1356" t="s">
        <v>15</v>
      </c>
      <c r="G1356" t="s">
        <v>24</v>
      </c>
      <c r="H1356" t="s">
        <v>964</v>
      </c>
      <c r="I1356" s="2">
        <v>33.479999999999997</v>
      </c>
      <c r="J1356">
        <v>2</v>
      </c>
      <c r="K1356" s="2">
        <v>1.3391999999999999</v>
      </c>
      <c r="L1356" s="3">
        <f>(Table1[[#This Row],[Profit]]/Table1[[#This Row],[Sales]])*100</f>
        <v>4</v>
      </c>
    </row>
    <row r="1357" spans="1:12" x14ac:dyDescent="0.3">
      <c r="A1357" t="s">
        <v>1807</v>
      </c>
      <c r="B1357" s="1">
        <v>43636</v>
      </c>
      <c r="C1357" t="s">
        <v>1808</v>
      </c>
      <c r="D1357" t="s">
        <v>1809</v>
      </c>
      <c r="E1357" t="s">
        <v>14</v>
      </c>
      <c r="F1357" t="s">
        <v>23</v>
      </c>
      <c r="G1357" t="s">
        <v>24</v>
      </c>
      <c r="H1357" t="s">
        <v>1810</v>
      </c>
      <c r="I1357" s="2">
        <v>5.16</v>
      </c>
      <c r="J1357">
        <v>2</v>
      </c>
      <c r="K1357" s="2">
        <v>1.3415999999999999</v>
      </c>
      <c r="L1357" s="3">
        <f>(Table1[[#This Row],[Profit]]/Table1[[#This Row],[Sales]])*100</f>
        <v>25.999999999999996</v>
      </c>
    </row>
    <row r="1358" spans="1:12" x14ac:dyDescent="0.3">
      <c r="A1358" t="s">
        <v>6015</v>
      </c>
      <c r="B1358" s="1">
        <v>44160</v>
      </c>
      <c r="C1358" t="s">
        <v>418</v>
      </c>
      <c r="D1358" t="s">
        <v>419</v>
      </c>
      <c r="E1358" t="s">
        <v>14</v>
      </c>
      <c r="F1358" t="s">
        <v>23</v>
      </c>
      <c r="G1358" t="s">
        <v>24</v>
      </c>
      <c r="H1358" t="s">
        <v>1810</v>
      </c>
      <c r="I1358" s="2">
        <v>100.16</v>
      </c>
      <c r="J1358">
        <v>2</v>
      </c>
      <c r="K1358" s="2">
        <v>1.3415999999999999</v>
      </c>
      <c r="L1358" s="3">
        <f>(Table1[[#This Row],[Profit]]/Table1[[#This Row],[Sales]])*100</f>
        <v>1.3394568690095845</v>
      </c>
    </row>
    <row r="1359" spans="1:12" x14ac:dyDescent="0.3">
      <c r="A1359" t="s">
        <v>107</v>
      </c>
      <c r="B1359" s="1">
        <v>43480</v>
      </c>
      <c r="C1359" t="s">
        <v>108</v>
      </c>
      <c r="D1359" t="s">
        <v>109</v>
      </c>
      <c r="E1359" t="s">
        <v>14</v>
      </c>
      <c r="F1359" t="s">
        <v>15</v>
      </c>
      <c r="G1359" t="s">
        <v>24</v>
      </c>
      <c r="H1359" t="s">
        <v>111</v>
      </c>
      <c r="I1359" s="2">
        <v>4.66</v>
      </c>
      <c r="J1359">
        <v>2</v>
      </c>
      <c r="K1359" s="2">
        <v>1.3513999999999999</v>
      </c>
      <c r="L1359" s="3">
        <f>(Table1[[#This Row],[Profit]]/Table1[[#This Row],[Sales]])*100</f>
        <v>28.999999999999996</v>
      </c>
    </row>
    <row r="1360" spans="1:12" x14ac:dyDescent="0.3">
      <c r="A1360" t="s">
        <v>4892</v>
      </c>
      <c r="B1360" s="1">
        <v>44006</v>
      </c>
      <c r="C1360" t="s">
        <v>2690</v>
      </c>
      <c r="D1360" t="s">
        <v>2691</v>
      </c>
      <c r="E1360" t="s">
        <v>14</v>
      </c>
      <c r="F1360" t="s">
        <v>23</v>
      </c>
      <c r="G1360" t="s">
        <v>24</v>
      </c>
      <c r="H1360" t="s">
        <v>489</v>
      </c>
      <c r="I1360" s="2">
        <v>111.88</v>
      </c>
      <c r="J1360">
        <v>1</v>
      </c>
      <c r="K1360" s="2">
        <v>1.3535999999999999</v>
      </c>
      <c r="L1360" s="3">
        <f>(Table1[[#This Row],[Profit]]/Table1[[#This Row],[Sales]])*100</f>
        <v>1.2098677154093673</v>
      </c>
    </row>
    <row r="1361" spans="1:12" x14ac:dyDescent="0.3">
      <c r="A1361" t="s">
        <v>4013</v>
      </c>
      <c r="B1361" s="1">
        <v>43844</v>
      </c>
      <c r="C1361" t="s">
        <v>4014</v>
      </c>
      <c r="D1361" t="s">
        <v>4015</v>
      </c>
      <c r="E1361" t="s">
        <v>14</v>
      </c>
      <c r="F1361" t="s">
        <v>29</v>
      </c>
      <c r="G1361" t="s">
        <v>18</v>
      </c>
      <c r="H1361" t="s">
        <v>3751</v>
      </c>
      <c r="I1361" s="2">
        <v>168.8</v>
      </c>
      <c r="J1361">
        <v>4</v>
      </c>
      <c r="K1361" s="2">
        <v>1.3560000000000001</v>
      </c>
      <c r="L1361" s="3">
        <f>(Table1[[#This Row],[Profit]]/Table1[[#This Row],[Sales]])*100</f>
        <v>0.80331753554502372</v>
      </c>
    </row>
    <row r="1362" spans="1:12" x14ac:dyDescent="0.3">
      <c r="A1362" t="s">
        <v>6166</v>
      </c>
      <c r="B1362" s="1">
        <v>44176</v>
      </c>
      <c r="C1362" t="s">
        <v>1702</v>
      </c>
      <c r="D1362" t="s">
        <v>1703</v>
      </c>
      <c r="E1362" t="s">
        <v>14</v>
      </c>
      <c r="F1362" t="s">
        <v>41</v>
      </c>
      <c r="G1362" t="s">
        <v>24</v>
      </c>
      <c r="H1362" t="s">
        <v>2996</v>
      </c>
      <c r="I1362" s="2">
        <v>332.584</v>
      </c>
      <c r="J1362">
        <v>1</v>
      </c>
      <c r="K1362" s="2">
        <v>1.3584000000000001</v>
      </c>
      <c r="L1362" s="3">
        <f>(Table1[[#This Row],[Profit]]/Table1[[#This Row],[Sales]])*100</f>
        <v>0.40843816900392077</v>
      </c>
    </row>
    <row r="1363" spans="1:12" x14ac:dyDescent="0.3">
      <c r="A1363" t="s">
        <v>5517</v>
      </c>
      <c r="B1363" s="1">
        <v>44102</v>
      </c>
      <c r="C1363" t="s">
        <v>4044</v>
      </c>
      <c r="D1363" t="s">
        <v>4045</v>
      </c>
      <c r="E1363" t="s">
        <v>14</v>
      </c>
      <c r="F1363" t="s">
        <v>23</v>
      </c>
      <c r="G1363" t="s">
        <v>18</v>
      </c>
      <c r="H1363" t="s">
        <v>3516</v>
      </c>
      <c r="I1363" s="2">
        <v>142.38399999999999</v>
      </c>
      <c r="J1363">
        <v>2</v>
      </c>
      <c r="K1363" s="2">
        <v>1.3595999999999999</v>
      </c>
      <c r="L1363" s="3">
        <f>(Table1[[#This Row],[Profit]]/Table1[[#This Row],[Sales]])*100</f>
        <v>0.95488257107540186</v>
      </c>
    </row>
    <row r="1364" spans="1:12" x14ac:dyDescent="0.3">
      <c r="A1364" t="s">
        <v>5353</v>
      </c>
      <c r="B1364" s="1">
        <v>44084</v>
      </c>
      <c r="C1364" t="s">
        <v>5354</v>
      </c>
      <c r="D1364" t="s">
        <v>5355</v>
      </c>
      <c r="E1364" t="s">
        <v>14</v>
      </c>
      <c r="F1364" t="s">
        <v>41</v>
      </c>
      <c r="G1364" t="s">
        <v>24</v>
      </c>
      <c r="H1364" t="s">
        <v>5356</v>
      </c>
      <c r="I1364" s="2">
        <v>73.78</v>
      </c>
      <c r="J1364">
        <v>1</v>
      </c>
      <c r="K1364" s="2">
        <v>1.3622000000000001</v>
      </c>
      <c r="L1364" s="3">
        <f>(Table1[[#This Row],[Profit]]/Table1[[#This Row],[Sales]])*100</f>
        <v>1.8462998102466792</v>
      </c>
    </row>
    <row r="1365" spans="1:12" x14ac:dyDescent="0.3">
      <c r="A1365" t="s">
        <v>3367</v>
      </c>
      <c r="B1365" s="1">
        <v>43779</v>
      </c>
      <c r="C1365" t="s">
        <v>3368</v>
      </c>
      <c r="D1365" t="s">
        <v>3369</v>
      </c>
      <c r="E1365" t="s">
        <v>14</v>
      </c>
      <c r="F1365" t="s">
        <v>15</v>
      </c>
      <c r="G1365" t="s">
        <v>24</v>
      </c>
      <c r="H1365" t="s">
        <v>264</v>
      </c>
      <c r="I1365" s="2">
        <v>3.64</v>
      </c>
      <c r="J1365">
        <v>1</v>
      </c>
      <c r="K1365" s="2">
        <v>1.365</v>
      </c>
      <c r="L1365" s="3">
        <f>(Table1[[#This Row],[Profit]]/Table1[[#This Row],[Sales]])*100</f>
        <v>37.5</v>
      </c>
    </row>
    <row r="1366" spans="1:12" x14ac:dyDescent="0.3">
      <c r="A1366" t="s">
        <v>4311</v>
      </c>
      <c r="B1366" s="1">
        <v>43910</v>
      </c>
      <c r="C1366" t="s">
        <v>807</v>
      </c>
      <c r="D1366" t="s">
        <v>808</v>
      </c>
      <c r="E1366" t="s">
        <v>14</v>
      </c>
      <c r="F1366" t="s">
        <v>29</v>
      </c>
      <c r="G1366" t="s">
        <v>16</v>
      </c>
      <c r="H1366" t="s">
        <v>1044</v>
      </c>
      <c r="I1366" s="2">
        <v>134.91</v>
      </c>
      <c r="J1366">
        <v>1</v>
      </c>
      <c r="K1366" s="2">
        <v>1.3676999999999999</v>
      </c>
      <c r="L1366" s="3">
        <f>(Table1[[#This Row],[Profit]]/Table1[[#This Row],[Sales]])*100</f>
        <v>1.0137869690905048</v>
      </c>
    </row>
    <row r="1367" spans="1:12" x14ac:dyDescent="0.3">
      <c r="A1367" t="s">
        <v>5671</v>
      </c>
      <c r="B1367" s="1">
        <v>44125</v>
      </c>
      <c r="C1367" t="s">
        <v>3109</v>
      </c>
      <c r="D1367" t="s">
        <v>3110</v>
      </c>
      <c r="E1367" t="s">
        <v>14</v>
      </c>
      <c r="F1367" t="s">
        <v>15</v>
      </c>
      <c r="G1367" t="s">
        <v>24</v>
      </c>
      <c r="H1367" t="s">
        <v>2580</v>
      </c>
      <c r="I1367" s="2">
        <v>136.06399999999999</v>
      </c>
      <c r="J1367">
        <v>1</v>
      </c>
      <c r="K1367" s="2">
        <v>1.3715999999999999</v>
      </c>
      <c r="L1367" s="3">
        <f>(Table1[[#This Row],[Profit]]/Table1[[#This Row],[Sales]])*100</f>
        <v>1.0080550329256821</v>
      </c>
    </row>
    <row r="1368" spans="1:12" x14ac:dyDescent="0.3">
      <c r="A1368" t="s">
        <v>3097</v>
      </c>
      <c r="B1368" s="1">
        <v>43753</v>
      </c>
      <c r="C1368" t="s">
        <v>3098</v>
      </c>
      <c r="D1368" t="s">
        <v>3099</v>
      </c>
      <c r="E1368" t="s">
        <v>14</v>
      </c>
      <c r="F1368" t="s">
        <v>29</v>
      </c>
      <c r="G1368" t="s">
        <v>18</v>
      </c>
      <c r="H1368" t="s">
        <v>2444</v>
      </c>
      <c r="I1368" s="2">
        <v>5.5</v>
      </c>
      <c r="J1368">
        <v>1</v>
      </c>
      <c r="K1368" s="2">
        <v>1.375</v>
      </c>
      <c r="L1368" s="3">
        <f>(Table1[[#This Row],[Profit]]/Table1[[#This Row],[Sales]])*100</f>
        <v>25</v>
      </c>
    </row>
    <row r="1369" spans="1:12" x14ac:dyDescent="0.3">
      <c r="A1369" t="s">
        <v>5078</v>
      </c>
      <c r="B1369" s="1">
        <v>44041</v>
      </c>
      <c r="C1369" t="s">
        <v>103</v>
      </c>
      <c r="D1369" t="s">
        <v>104</v>
      </c>
      <c r="E1369" t="s">
        <v>14</v>
      </c>
      <c r="F1369" t="s">
        <v>41</v>
      </c>
      <c r="G1369" t="s">
        <v>18</v>
      </c>
      <c r="H1369" t="s">
        <v>2444</v>
      </c>
      <c r="I1369" s="2">
        <v>93</v>
      </c>
      <c r="J1369">
        <v>5</v>
      </c>
      <c r="K1369" s="2">
        <v>1.375</v>
      </c>
      <c r="L1369" s="3">
        <f>(Table1[[#This Row],[Profit]]/Table1[[#This Row],[Sales]])*100</f>
        <v>1.478494623655914</v>
      </c>
    </row>
    <row r="1370" spans="1:12" x14ac:dyDescent="0.3">
      <c r="A1370" t="s">
        <v>5892</v>
      </c>
      <c r="B1370" s="1">
        <v>44148</v>
      </c>
      <c r="C1370" t="s">
        <v>1472</v>
      </c>
      <c r="D1370" t="s">
        <v>1473</v>
      </c>
      <c r="E1370" t="s">
        <v>14</v>
      </c>
      <c r="F1370" t="s">
        <v>23</v>
      </c>
      <c r="G1370" t="s">
        <v>18</v>
      </c>
      <c r="H1370" t="s">
        <v>2444</v>
      </c>
      <c r="I1370" s="2">
        <v>143</v>
      </c>
      <c r="J1370">
        <v>5</v>
      </c>
      <c r="K1370" s="2">
        <v>1.375</v>
      </c>
      <c r="L1370" s="3">
        <f>(Table1[[#This Row],[Profit]]/Table1[[#This Row],[Sales]])*100</f>
        <v>0.96153846153846156</v>
      </c>
    </row>
    <row r="1371" spans="1:12" x14ac:dyDescent="0.3">
      <c r="A1371" t="s">
        <v>6210</v>
      </c>
      <c r="B1371" s="1">
        <v>44183</v>
      </c>
      <c r="C1371" t="s">
        <v>3465</v>
      </c>
      <c r="D1371" t="s">
        <v>3466</v>
      </c>
      <c r="E1371" t="s">
        <v>14</v>
      </c>
      <c r="F1371" t="s">
        <v>15</v>
      </c>
      <c r="G1371" t="s">
        <v>24</v>
      </c>
      <c r="H1371" t="s">
        <v>1312</v>
      </c>
      <c r="I1371" s="2">
        <v>266.2</v>
      </c>
      <c r="J1371">
        <v>2</v>
      </c>
      <c r="K1371" s="2">
        <v>1.3759999999999999</v>
      </c>
      <c r="L1371" s="3">
        <f>(Table1[[#This Row],[Profit]]/Table1[[#This Row],[Sales]])*100</f>
        <v>0.51690458302028552</v>
      </c>
    </row>
    <row r="1372" spans="1:12" x14ac:dyDescent="0.3">
      <c r="A1372" t="s">
        <v>1152</v>
      </c>
      <c r="B1372" s="1">
        <v>43579</v>
      </c>
      <c r="C1372" t="s">
        <v>1153</v>
      </c>
      <c r="D1372" t="s">
        <v>1154</v>
      </c>
      <c r="E1372" t="s">
        <v>14</v>
      </c>
      <c r="F1372" t="s">
        <v>23</v>
      </c>
      <c r="G1372" t="s">
        <v>24</v>
      </c>
      <c r="H1372" t="s">
        <v>1155</v>
      </c>
      <c r="I1372" s="2">
        <v>3.984</v>
      </c>
      <c r="J1372">
        <v>1</v>
      </c>
      <c r="K1372" s="2">
        <v>1.3944000000000001</v>
      </c>
      <c r="L1372" s="3">
        <f>(Table1[[#This Row],[Profit]]/Table1[[#This Row],[Sales]])*100</f>
        <v>35</v>
      </c>
    </row>
    <row r="1373" spans="1:12" x14ac:dyDescent="0.3">
      <c r="A1373" t="s">
        <v>4681</v>
      </c>
      <c r="B1373" s="1">
        <v>43970</v>
      </c>
      <c r="C1373" t="s">
        <v>871</v>
      </c>
      <c r="D1373" t="s">
        <v>872</v>
      </c>
      <c r="E1373" t="s">
        <v>14</v>
      </c>
      <c r="F1373" t="s">
        <v>23</v>
      </c>
      <c r="G1373" t="s">
        <v>24</v>
      </c>
      <c r="H1373" t="s">
        <v>1628</v>
      </c>
      <c r="I1373" s="2">
        <v>95.58</v>
      </c>
      <c r="J1373">
        <v>1</v>
      </c>
      <c r="K1373" s="2">
        <v>1.395</v>
      </c>
      <c r="L1373" s="3">
        <f>(Table1[[#This Row],[Profit]]/Table1[[#This Row],[Sales]])*100</f>
        <v>1.4595103578154425</v>
      </c>
    </row>
    <row r="1374" spans="1:12" x14ac:dyDescent="0.3">
      <c r="A1374" t="s">
        <v>6279</v>
      </c>
      <c r="B1374" s="1">
        <v>44190</v>
      </c>
      <c r="C1374" t="s">
        <v>2702</v>
      </c>
      <c r="D1374" t="s">
        <v>2703</v>
      </c>
      <c r="E1374" t="s">
        <v>14</v>
      </c>
      <c r="F1374" t="s">
        <v>23</v>
      </c>
      <c r="G1374" t="s">
        <v>24</v>
      </c>
      <c r="H1374" t="s">
        <v>1185</v>
      </c>
      <c r="I1374" s="2">
        <v>272.85599999999999</v>
      </c>
      <c r="J1374">
        <v>1</v>
      </c>
      <c r="K1374" s="2">
        <v>1.3977999999999999</v>
      </c>
      <c r="L1374" s="3">
        <f>(Table1[[#This Row],[Profit]]/Table1[[#This Row],[Sales]])*100</f>
        <v>0.51228486820887209</v>
      </c>
    </row>
    <row r="1375" spans="1:12" x14ac:dyDescent="0.3">
      <c r="A1375" t="s">
        <v>5667</v>
      </c>
      <c r="B1375" s="1">
        <v>44124</v>
      </c>
      <c r="C1375" t="s">
        <v>679</v>
      </c>
      <c r="D1375" t="s">
        <v>680</v>
      </c>
      <c r="E1375" t="s">
        <v>14</v>
      </c>
      <c r="F1375" t="s">
        <v>41</v>
      </c>
      <c r="G1375" t="s">
        <v>18</v>
      </c>
      <c r="H1375" t="s">
        <v>2845</v>
      </c>
      <c r="I1375" s="2">
        <v>100.98399999999999</v>
      </c>
      <c r="J1375">
        <v>2</v>
      </c>
      <c r="K1375" s="2">
        <v>1.3986000000000001</v>
      </c>
      <c r="L1375" s="3">
        <f>(Table1[[#This Row],[Profit]]/Table1[[#This Row],[Sales]])*100</f>
        <v>1.384971876732948</v>
      </c>
    </row>
    <row r="1376" spans="1:12" x14ac:dyDescent="0.3">
      <c r="A1376" t="s">
        <v>2122</v>
      </c>
      <c r="B1376" s="1">
        <v>43667</v>
      </c>
      <c r="C1376" t="s">
        <v>466</v>
      </c>
      <c r="D1376" t="s">
        <v>467</v>
      </c>
      <c r="E1376" t="s">
        <v>14</v>
      </c>
      <c r="F1376" t="s">
        <v>15</v>
      </c>
      <c r="G1376" t="s">
        <v>24</v>
      </c>
      <c r="H1376" t="s">
        <v>2123</v>
      </c>
      <c r="I1376" s="2">
        <v>18.655999999999999</v>
      </c>
      <c r="J1376">
        <v>2</v>
      </c>
      <c r="K1376" s="2">
        <v>1.3992</v>
      </c>
      <c r="L1376" s="3">
        <f>(Table1[[#This Row],[Profit]]/Table1[[#This Row],[Sales]])*100</f>
        <v>7.5000000000000009</v>
      </c>
    </row>
    <row r="1377" spans="1:12" x14ac:dyDescent="0.3">
      <c r="A1377" t="s">
        <v>5549</v>
      </c>
      <c r="B1377" s="1">
        <v>44106</v>
      </c>
      <c r="C1377" t="s">
        <v>1903</v>
      </c>
      <c r="D1377" t="s">
        <v>1904</v>
      </c>
      <c r="E1377" t="s">
        <v>14</v>
      </c>
      <c r="F1377" t="s">
        <v>29</v>
      </c>
      <c r="G1377" t="s">
        <v>24</v>
      </c>
      <c r="H1377" t="s">
        <v>228</v>
      </c>
      <c r="I1377" s="2">
        <v>98.88</v>
      </c>
      <c r="J1377">
        <v>1</v>
      </c>
      <c r="K1377" s="2">
        <v>1.4112</v>
      </c>
      <c r="L1377" s="3">
        <f>(Table1[[#This Row],[Profit]]/Table1[[#This Row],[Sales]])*100</f>
        <v>1.4271844660194175</v>
      </c>
    </row>
    <row r="1378" spans="1:12" x14ac:dyDescent="0.3">
      <c r="A1378" t="s">
        <v>6003</v>
      </c>
      <c r="B1378" s="1">
        <v>44159</v>
      </c>
      <c r="C1378" t="s">
        <v>1661</v>
      </c>
      <c r="D1378" t="s">
        <v>1662</v>
      </c>
      <c r="E1378" t="s">
        <v>14</v>
      </c>
      <c r="F1378" t="s">
        <v>41</v>
      </c>
      <c r="G1378" t="s">
        <v>24</v>
      </c>
      <c r="H1378" t="s">
        <v>228</v>
      </c>
      <c r="I1378" s="2">
        <v>117.88</v>
      </c>
      <c r="J1378">
        <v>1</v>
      </c>
      <c r="K1378" s="2">
        <v>1.4112</v>
      </c>
      <c r="L1378" s="3">
        <f>(Table1[[#This Row],[Profit]]/Table1[[#This Row],[Sales]])*100</f>
        <v>1.1971496437054632</v>
      </c>
    </row>
    <row r="1379" spans="1:12" x14ac:dyDescent="0.3">
      <c r="A1379" t="s">
        <v>5784</v>
      </c>
      <c r="B1379" s="1">
        <v>44139</v>
      </c>
      <c r="C1379" t="s">
        <v>2186</v>
      </c>
      <c r="D1379" t="s">
        <v>2187</v>
      </c>
      <c r="E1379" t="s">
        <v>14</v>
      </c>
      <c r="F1379" t="s">
        <v>41</v>
      </c>
      <c r="G1379" t="s">
        <v>24</v>
      </c>
      <c r="H1379" t="s">
        <v>4693</v>
      </c>
      <c r="I1379" s="2">
        <v>103.3</v>
      </c>
      <c r="J1379">
        <v>2</v>
      </c>
      <c r="K1379" s="2">
        <v>1.419</v>
      </c>
      <c r="L1379" s="3">
        <f>(Table1[[#This Row],[Profit]]/Table1[[#This Row],[Sales]])*100</f>
        <v>1.373668925459826</v>
      </c>
    </row>
    <row r="1380" spans="1:12" x14ac:dyDescent="0.3">
      <c r="A1380" t="s">
        <v>5934</v>
      </c>
      <c r="B1380" s="1">
        <v>44153</v>
      </c>
      <c r="C1380" t="s">
        <v>5787</v>
      </c>
      <c r="D1380" t="s">
        <v>5788</v>
      </c>
      <c r="E1380" t="s">
        <v>14</v>
      </c>
      <c r="F1380" t="s">
        <v>23</v>
      </c>
      <c r="G1380" t="s">
        <v>24</v>
      </c>
      <c r="H1380" t="s">
        <v>4070</v>
      </c>
      <c r="I1380" s="2">
        <v>111.96</v>
      </c>
      <c r="J1380">
        <v>2</v>
      </c>
      <c r="K1380" s="2">
        <v>1.4208000000000001</v>
      </c>
      <c r="L1380" s="3">
        <f>(Table1[[#This Row],[Profit]]/Table1[[#This Row],[Sales]])*100</f>
        <v>1.2690246516613077</v>
      </c>
    </row>
    <row r="1381" spans="1:12" x14ac:dyDescent="0.3">
      <c r="A1381" t="s">
        <v>6212</v>
      </c>
      <c r="B1381" s="1">
        <v>44183</v>
      </c>
      <c r="C1381" t="s">
        <v>2244</v>
      </c>
      <c r="D1381" t="s">
        <v>2245</v>
      </c>
      <c r="E1381" t="s">
        <v>14</v>
      </c>
      <c r="F1381" t="s">
        <v>41</v>
      </c>
      <c r="G1381" t="s">
        <v>24</v>
      </c>
      <c r="H1381" t="s">
        <v>3058</v>
      </c>
      <c r="I1381" s="2">
        <v>354.67200000000003</v>
      </c>
      <c r="J1381">
        <v>9</v>
      </c>
      <c r="K1381" s="2">
        <v>1.4256</v>
      </c>
      <c r="L1381" s="3">
        <f>(Table1[[#This Row],[Profit]]/Table1[[#This Row],[Sales]])*100</f>
        <v>0.40194884287454324</v>
      </c>
    </row>
    <row r="1382" spans="1:12" x14ac:dyDescent="0.3">
      <c r="A1382" t="s">
        <v>3082</v>
      </c>
      <c r="B1382" s="1">
        <v>43752</v>
      </c>
      <c r="C1382" t="s">
        <v>3083</v>
      </c>
      <c r="D1382" t="s">
        <v>3084</v>
      </c>
      <c r="E1382" t="s">
        <v>14</v>
      </c>
      <c r="F1382" t="s">
        <v>41</v>
      </c>
      <c r="G1382" t="s">
        <v>24</v>
      </c>
      <c r="H1382" t="s">
        <v>844</v>
      </c>
      <c r="I1382" s="2">
        <v>12.768000000000001</v>
      </c>
      <c r="J1382">
        <v>2</v>
      </c>
      <c r="K1382" s="2">
        <v>1.4363999999999999</v>
      </c>
      <c r="L1382" s="3">
        <f>(Table1[[#This Row],[Profit]]/Table1[[#This Row],[Sales]])*100</f>
        <v>11.249999999999998</v>
      </c>
    </row>
    <row r="1383" spans="1:12" x14ac:dyDescent="0.3">
      <c r="A1383" t="s">
        <v>1576</v>
      </c>
      <c r="B1383" s="1">
        <v>43615</v>
      </c>
      <c r="C1383" t="s">
        <v>1577</v>
      </c>
      <c r="D1383" t="s">
        <v>1578</v>
      </c>
      <c r="E1383" t="s">
        <v>14</v>
      </c>
      <c r="F1383" t="s">
        <v>29</v>
      </c>
      <c r="G1383" t="s">
        <v>24</v>
      </c>
      <c r="H1383" t="s">
        <v>1551</v>
      </c>
      <c r="I1383" s="2">
        <v>5.56</v>
      </c>
      <c r="J1383">
        <v>2</v>
      </c>
      <c r="K1383" s="2">
        <v>1.4456</v>
      </c>
      <c r="L1383" s="3">
        <f>(Table1[[#This Row],[Profit]]/Table1[[#This Row],[Sales]])*100</f>
        <v>26</v>
      </c>
    </row>
    <row r="1384" spans="1:12" x14ac:dyDescent="0.3">
      <c r="A1384" t="s">
        <v>5009</v>
      </c>
      <c r="B1384" s="1">
        <v>44026</v>
      </c>
      <c r="C1384" t="s">
        <v>1671</v>
      </c>
      <c r="D1384" t="s">
        <v>1672</v>
      </c>
      <c r="E1384" t="s">
        <v>14</v>
      </c>
      <c r="F1384" t="s">
        <v>23</v>
      </c>
      <c r="G1384" t="s">
        <v>24</v>
      </c>
      <c r="H1384" t="s">
        <v>2851</v>
      </c>
      <c r="I1384" s="2">
        <v>112.44799999999999</v>
      </c>
      <c r="J1384">
        <v>2</v>
      </c>
      <c r="K1384" s="2">
        <v>1.4456</v>
      </c>
      <c r="L1384" s="3">
        <f>(Table1[[#This Row],[Profit]]/Table1[[#This Row],[Sales]])*100</f>
        <v>1.2855719977233921</v>
      </c>
    </row>
    <row r="1385" spans="1:12" x14ac:dyDescent="0.3">
      <c r="A1385" t="s">
        <v>5225</v>
      </c>
      <c r="B1385" s="1">
        <v>44071</v>
      </c>
      <c r="C1385" t="s">
        <v>2140</v>
      </c>
      <c r="D1385" t="s">
        <v>2141</v>
      </c>
      <c r="E1385" t="s">
        <v>14</v>
      </c>
      <c r="F1385" t="s">
        <v>23</v>
      </c>
      <c r="G1385" t="s">
        <v>24</v>
      </c>
      <c r="H1385" t="s">
        <v>1374</v>
      </c>
      <c r="I1385" s="2">
        <v>77.56</v>
      </c>
      <c r="J1385">
        <v>2</v>
      </c>
      <c r="K1385" s="2">
        <v>1.4456</v>
      </c>
      <c r="L1385" s="3">
        <f>(Table1[[#This Row],[Profit]]/Table1[[#This Row],[Sales]])*100</f>
        <v>1.8638473439917485</v>
      </c>
    </row>
    <row r="1386" spans="1:12" x14ac:dyDescent="0.3">
      <c r="A1386" t="s">
        <v>5511</v>
      </c>
      <c r="B1386" s="1">
        <v>44099</v>
      </c>
      <c r="C1386" t="s">
        <v>3212</v>
      </c>
      <c r="D1386" t="s">
        <v>3213</v>
      </c>
      <c r="E1386" t="s">
        <v>14</v>
      </c>
      <c r="F1386" t="s">
        <v>15</v>
      </c>
      <c r="G1386" t="s">
        <v>24</v>
      </c>
      <c r="H1386" t="s">
        <v>1551</v>
      </c>
      <c r="I1386" s="2">
        <v>115.56</v>
      </c>
      <c r="J1386">
        <v>2</v>
      </c>
      <c r="K1386" s="2">
        <v>1.4456</v>
      </c>
      <c r="L1386" s="3">
        <f>(Table1[[#This Row],[Profit]]/Table1[[#This Row],[Sales]])*100</f>
        <v>1.2509518864659053</v>
      </c>
    </row>
    <row r="1387" spans="1:12" x14ac:dyDescent="0.3">
      <c r="A1387" t="s">
        <v>5748</v>
      </c>
      <c r="B1387" s="1">
        <v>44137</v>
      </c>
      <c r="C1387" t="s">
        <v>3443</v>
      </c>
      <c r="D1387" t="s">
        <v>3444</v>
      </c>
      <c r="E1387" t="s">
        <v>14</v>
      </c>
      <c r="F1387" t="s">
        <v>41</v>
      </c>
      <c r="G1387" t="s">
        <v>24</v>
      </c>
      <c r="H1387" t="s">
        <v>3753</v>
      </c>
      <c r="I1387" s="2">
        <v>107.56</v>
      </c>
      <c r="J1387">
        <v>2</v>
      </c>
      <c r="K1387" s="2">
        <v>1.4456</v>
      </c>
      <c r="L1387" s="3">
        <f>(Table1[[#This Row],[Profit]]/Table1[[#This Row],[Sales]])*100</f>
        <v>1.3439940498326515</v>
      </c>
    </row>
    <row r="1388" spans="1:12" x14ac:dyDescent="0.3">
      <c r="A1388" t="s">
        <v>5976</v>
      </c>
      <c r="B1388" s="1">
        <v>44156</v>
      </c>
      <c r="C1388" t="s">
        <v>1243</v>
      </c>
      <c r="D1388" t="s">
        <v>1244</v>
      </c>
      <c r="E1388" t="s">
        <v>14</v>
      </c>
      <c r="F1388" t="s">
        <v>23</v>
      </c>
      <c r="G1388" t="s">
        <v>24</v>
      </c>
      <c r="H1388" t="s">
        <v>1374</v>
      </c>
      <c r="I1388" s="2">
        <v>113.56</v>
      </c>
      <c r="J1388">
        <v>2</v>
      </c>
      <c r="K1388" s="2">
        <v>1.4456</v>
      </c>
      <c r="L1388" s="3">
        <f>(Table1[[#This Row],[Profit]]/Table1[[#This Row],[Sales]])*100</f>
        <v>1.272983444874956</v>
      </c>
    </row>
    <row r="1389" spans="1:12" x14ac:dyDescent="0.3">
      <c r="A1389" t="s">
        <v>3121</v>
      </c>
      <c r="B1389" s="1">
        <v>43758</v>
      </c>
      <c r="C1389" t="s">
        <v>2108</v>
      </c>
      <c r="D1389" t="s">
        <v>2109</v>
      </c>
      <c r="E1389" t="s">
        <v>14</v>
      </c>
      <c r="F1389" t="s">
        <v>29</v>
      </c>
      <c r="G1389" t="s">
        <v>24</v>
      </c>
      <c r="H1389" t="s">
        <v>1011</v>
      </c>
      <c r="I1389" s="2">
        <v>20.86</v>
      </c>
      <c r="J1389">
        <v>7</v>
      </c>
      <c r="K1389" s="2">
        <v>1.4601999999999999</v>
      </c>
      <c r="L1389" s="3">
        <f>(Table1[[#This Row],[Profit]]/Table1[[#This Row],[Sales]])*100</f>
        <v>6.9999999999999991</v>
      </c>
    </row>
    <row r="1390" spans="1:12" x14ac:dyDescent="0.3">
      <c r="A1390" t="s">
        <v>1827</v>
      </c>
      <c r="B1390" s="1">
        <v>43639</v>
      </c>
      <c r="C1390" t="s">
        <v>1828</v>
      </c>
      <c r="D1390" t="s">
        <v>1829</v>
      </c>
      <c r="E1390" t="s">
        <v>14</v>
      </c>
      <c r="F1390" t="s">
        <v>15</v>
      </c>
      <c r="G1390" t="s">
        <v>24</v>
      </c>
      <c r="H1390" t="s">
        <v>1833</v>
      </c>
      <c r="I1390" s="2">
        <v>3.96</v>
      </c>
      <c r="J1390">
        <v>2</v>
      </c>
      <c r="K1390" s="2">
        <v>1.4652000000000001</v>
      </c>
      <c r="L1390" s="3">
        <f>(Table1[[#This Row],[Profit]]/Table1[[#This Row],[Sales]])*100</f>
        <v>37</v>
      </c>
    </row>
    <row r="1391" spans="1:12" x14ac:dyDescent="0.3">
      <c r="A1391" t="s">
        <v>2004</v>
      </c>
      <c r="B1391" s="1">
        <v>43656</v>
      </c>
      <c r="C1391" t="s">
        <v>2005</v>
      </c>
      <c r="D1391" t="s">
        <v>2006</v>
      </c>
      <c r="E1391" t="s">
        <v>14</v>
      </c>
      <c r="F1391" t="s">
        <v>23</v>
      </c>
      <c r="G1391" t="s">
        <v>24</v>
      </c>
      <c r="H1391" t="s">
        <v>2007</v>
      </c>
      <c r="I1391" s="2">
        <v>16.768000000000001</v>
      </c>
      <c r="J1391">
        <v>2</v>
      </c>
      <c r="K1391" s="2">
        <v>1.4672000000000001</v>
      </c>
      <c r="L1391" s="3">
        <f>(Table1[[#This Row],[Profit]]/Table1[[#This Row],[Sales]])*100</f>
        <v>8.75</v>
      </c>
    </row>
    <row r="1392" spans="1:12" x14ac:dyDescent="0.3">
      <c r="A1392" t="s">
        <v>4452</v>
      </c>
      <c r="B1392" s="1">
        <v>43932</v>
      </c>
      <c r="C1392" t="s">
        <v>1153</v>
      </c>
      <c r="D1392" t="s">
        <v>1154</v>
      </c>
      <c r="E1392" t="s">
        <v>14</v>
      </c>
      <c r="F1392" t="s">
        <v>15</v>
      </c>
      <c r="G1392" t="s">
        <v>24</v>
      </c>
      <c r="H1392" t="s">
        <v>2007</v>
      </c>
      <c r="I1392" s="2">
        <v>92.768000000000001</v>
      </c>
      <c r="J1392">
        <v>2</v>
      </c>
      <c r="K1392" s="2">
        <v>1.4672000000000001</v>
      </c>
      <c r="L1392" s="3">
        <f>(Table1[[#This Row],[Profit]]/Table1[[#This Row],[Sales]])*100</f>
        <v>1.5815798551224562</v>
      </c>
    </row>
    <row r="1393" spans="1:12" x14ac:dyDescent="0.3">
      <c r="A1393" t="s">
        <v>1086</v>
      </c>
      <c r="B1393" s="1">
        <v>43574</v>
      </c>
      <c r="C1393" t="s">
        <v>1087</v>
      </c>
      <c r="D1393" t="s">
        <v>1088</v>
      </c>
      <c r="E1393" t="s">
        <v>14</v>
      </c>
      <c r="F1393" t="s">
        <v>15</v>
      </c>
      <c r="G1393" t="s">
        <v>24</v>
      </c>
      <c r="H1393" t="s">
        <v>1090</v>
      </c>
      <c r="I1393" s="2">
        <v>3.28</v>
      </c>
      <c r="J1393">
        <v>2</v>
      </c>
      <c r="K1393" s="2">
        <v>1.476</v>
      </c>
      <c r="L1393" s="3">
        <f>(Table1[[#This Row],[Profit]]/Table1[[#This Row],[Sales]])*100</f>
        <v>45</v>
      </c>
    </row>
    <row r="1394" spans="1:12" x14ac:dyDescent="0.3">
      <c r="A1394" t="s">
        <v>4708</v>
      </c>
      <c r="B1394" s="1">
        <v>43976</v>
      </c>
      <c r="C1394" t="s">
        <v>1299</v>
      </c>
      <c r="D1394" t="s">
        <v>1300</v>
      </c>
      <c r="E1394" t="s">
        <v>14</v>
      </c>
      <c r="F1394" t="s">
        <v>15</v>
      </c>
      <c r="G1394" t="s">
        <v>24</v>
      </c>
      <c r="H1394" t="s">
        <v>1411</v>
      </c>
      <c r="I1394" s="2">
        <v>103.29</v>
      </c>
      <c r="J1394">
        <v>1</v>
      </c>
      <c r="K1394" s="2">
        <v>1.4804999999999999</v>
      </c>
      <c r="L1394" s="3">
        <f>(Table1[[#This Row],[Profit]]/Table1[[#This Row],[Sales]])*100</f>
        <v>1.4333430148126631</v>
      </c>
    </row>
    <row r="1395" spans="1:12" x14ac:dyDescent="0.3">
      <c r="A1395" t="s">
        <v>4564</v>
      </c>
      <c r="B1395" s="1">
        <v>43952</v>
      </c>
      <c r="C1395" t="s">
        <v>1403</v>
      </c>
      <c r="D1395" t="s">
        <v>1404</v>
      </c>
      <c r="E1395" t="s">
        <v>14</v>
      </c>
      <c r="F1395" t="s">
        <v>41</v>
      </c>
      <c r="G1395" t="s">
        <v>24</v>
      </c>
      <c r="H1395" t="s">
        <v>4565</v>
      </c>
      <c r="I1395" s="2">
        <v>215.608</v>
      </c>
      <c r="J1395">
        <v>2</v>
      </c>
      <c r="K1395" s="2">
        <v>1.4976</v>
      </c>
      <c r="L1395" s="3">
        <f>(Table1[[#This Row],[Profit]]/Table1[[#This Row],[Sales]])*100</f>
        <v>0.69459389261993987</v>
      </c>
    </row>
    <row r="1396" spans="1:12" x14ac:dyDescent="0.3">
      <c r="A1396" t="s">
        <v>4361</v>
      </c>
      <c r="B1396" s="1">
        <v>43917</v>
      </c>
      <c r="C1396" t="s">
        <v>2734</v>
      </c>
      <c r="D1396" t="s">
        <v>2735</v>
      </c>
      <c r="E1396" t="s">
        <v>14</v>
      </c>
      <c r="F1396" t="s">
        <v>15</v>
      </c>
      <c r="G1396" t="s">
        <v>16</v>
      </c>
      <c r="H1396" t="s">
        <v>2683</v>
      </c>
      <c r="I1396" s="2">
        <v>117.008</v>
      </c>
      <c r="J1396">
        <v>2</v>
      </c>
      <c r="K1396" s="2">
        <v>1.5007999999999999</v>
      </c>
      <c r="L1396" s="3">
        <f>(Table1[[#This Row],[Profit]]/Table1[[#This Row],[Sales]])*100</f>
        <v>1.2826473403527965</v>
      </c>
    </row>
    <row r="1397" spans="1:12" x14ac:dyDescent="0.3">
      <c r="A1397" t="s">
        <v>3405</v>
      </c>
      <c r="B1397" s="1">
        <v>43782</v>
      </c>
      <c r="C1397" t="s">
        <v>3406</v>
      </c>
      <c r="D1397" t="s">
        <v>3407</v>
      </c>
      <c r="E1397" t="s">
        <v>14</v>
      </c>
      <c r="F1397" t="s">
        <v>23</v>
      </c>
      <c r="G1397" t="s">
        <v>16</v>
      </c>
      <c r="H1397" t="s">
        <v>1253</v>
      </c>
      <c r="I1397" s="2">
        <v>4.18</v>
      </c>
      <c r="J1397">
        <v>1</v>
      </c>
      <c r="K1397" s="2">
        <v>1.5047999999999999</v>
      </c>
      <c r="L1397" s="3">
        <f>(Table1[[#This Row],[Profit]]/Table1[[#This Row],[Sales]])*100</f>
        <v>36</v>
      </c>
    </row>
    <row r="1398" spans="1:12" x14ac:dyDescent="0.3">
      <c r="A1398" t="s">
        <v>737</v>
      </c>
      <c r="B1398" s="1">
        <v>43545</v>
      </c>
      <c r="C1398" t="s">
        <v>738</v>
      </c>
      <c r="D1398" t="s">
        <v>739</v>
      </c>
      <c r="E1398" t="s">
        <v>14</v>
      </c>
      <c r="F1398" t="s">
        <v>29</v>
      </c>
      <c r="G1398" t="s">
        <v>24</v>
      </c>
      <c r="H1398" t="s">
        <v>742</v>
      </c>
      <c r="I1398" s="2">
        <v>13.391999999999999</v>
      </c>
      <c r="J1398">
        <v>3</v>
      </c>
      <c r="K1398" s="2">
        <v>1.5065999999999999</v>
      </c>
      <c r="L1398" s="3">
        <f>(Table1[[#This Row],[Profit]]/Table1[[#This Row],[Sales]])*100</f>
        <v>11.25</v>
      </c>
    </row>
    <row r="1399" spans="1:12" x14ac:dyDescent="0.3">
      <c r="A1399" t="s">
        <v>2129</v>
      </c>
      <c r="B1399" s="1">
        <v>43667</v>
      </c>
      <c r="C1399" t="s">
        <v>769</v>
      </c>
      <c r="D1399" t="s">
        <v>770</v>
      </c>
      <c r="E1399" t="s">
        <v>14</v>
      </c>
      <c r="F1399" t="s">
        <v>23</v>
      </c>
      <c r="G1399" t="s">
        <v>24</v>
      </c>
      <c r="H1399" t="s">
        <v>2130</v>
      </c>
      <c r="I1399" s="2">
        <v>3.15</v>
      </c>
      <c r="J1399">
        <v>1</v>
      </c>
      <c r="K1399" s="2">
        <v>1.512</v>
      </c>
      <c r="L1399" s="3">
        <f>(Table1[[#This Row],[Profit]]/Table1[[#This Row],[Sales]])*100</f>
        <v>48.000000000000007</v>
      </c>
    </row>
    <row r="1400" spans="1:12" x14ac:dyDescent="0.3">
      <c r="A1400" t="s">
        <v>2336</v>
      </c>
      <c r="B1400" s="1">
        <v>43692</v>
      </c>
      <c r="C1400" t="s">
        <v>2337</v>
      </c>
      <c r="D1400" t="s">
        <v>2338</v>
      </c>
      <c r="E1400" t="s">
        <v>14</v>
      </c>
      <c r="F1400" t="s">
        <v>23</v>
      </c>
      <c r="G1400" t="s">
        <v>24</v>
      </c>
      <c r="H1400" t="s">
        <v>1649</v>
      </c>
      <c r="I1400" s="2">
        <v>3.15</v>
      </c>
      <c r="J1400">
        <v>1</v>
      </c>
      <c r="K1400" s="2">
        <v>1.512</v>
      </c>
      <c r="L1400" s="3">
        <f>(Table1[[#This Row],[Profit]]/Table1[[#This Row],[Sales]])*100</f>
        <v>48.000000000000007</v>
      </c>
    </row>
    <row r="1401" spans="1:12" x14ac:dyDescent="0.3">
      <c r="A1401" t="s">
        <v>6085</v>
      </c>
      <c r="B1401" s="1">
        <v>44168</v>
      </c>
      <c r="C1401" t="s">
        <v>4944</v>
      </c>
      <c r="D1401" t="s">
        <v>4945</v>
      </c>
      <c r="E1401" t="s">
        <v>14</v>
      </c>
      <c r="F1401" t="s">
        <v>15</v>
      </c>
      <c r="G1401" t="s">
        <v>24</v>
      </c>
      <c r="H1401" t="s">
        <v>2597</v>
      </c>
      <c r="I1401" s="2">
        <v>108.15</v>
      </c>
      <c r="J1401">
        <v>1</v>
      </c>
      <c r="K1401" s="2">
        <v>1.512</v>
      </c>
      <c r="L1401" s="3">
        <f>(Table1[[#This Row],[Profit]]/Table1[[#This Row],[Sales]])*100</f>
        <v>1.3980582524271845</v>
      </c>
    </row>
    <row r="1402" spans="1:12" x14ac:dyDescent="0.3">
      <c r="A1402" t="s">
        <v>1077</v>
      </c>
      <c r="B1402" s="1">
        <v>43574</v>
      </c>
      <c r="C1402" t="s">
        <v>1078</v>
      </c>
      <c r="D1402" t="s">
        <v>1079</v>
      </c>
      <c r="E1402" t="s">
        <v>14</v>
      </c>
      <c r="F1402" t="s">
        <v>23</v>
      </c>
      <c r="G1402" t="s">
        <v>24</v>
      </c>
      <c r="H1402" t="s">
        <v>1081</v>
      </c>
      <c r="I1402" s="2">
        <v>5.46</v>
      </c>
      <c r="J1402">
        <v>3</v>
      </c>
      <c r="K1402" s="2">
        <v>1.5287999999999999</v>
      </c>
      <c r="L1402" s="3">
        <f>(Table1[[#This Row],[Profit]]/Table1[[#This Row],[Sales]])*100</f>
        <v>27.999999999999996</v>
      </c>
    </row>
    <row r="1403" spans="1:12" x14ac:dyDescent="0.3">
      <c r="A1403" t="s">
        <v>4863</v>
      </c>
      <c r="B1403" s="1">
        <v>44001</v>
      </c>
      <c r="C1403" t="s">
        <v>1898</v>
      </c>
      <c r="D1403" t="s">
        <v>1899</v>
      </c>
      <c r="E1403" t="s">
        <v>14</v>
      </c>
      <c r="F1403" t="s">
        <v>15</v>
      </c>
      <c r="G1403" t="s">
        <v>18</v>
      </c>
      <c r="H1403" t="s">
        <v>3026</v>
      </c>
      <c r="I1403" s="2">
        <v>161.328</v>
      </c>
      <c r="J1403">
        <v>9</v>
      </c>
      <c r="K1403" s="2">
        <v>1.5290999999999999</v>
      </c>
      <c r="L1403" s="3">
        <f>(Table1[[#This Row],[Profit]]/Table1[[#This Row],[Sales]])*100</f>
        <v>0.94782058911038369</v>
      </c>
    </row>
    <row r="1404" spans="1:12" x14ac:dyDescent="0.3">
      <c r="A1404" t="s">
        <v>3752</v>
      </c>
      <c r="B1404" s="1">
        <v>43808</v>
      </c>
      <c r="C1404" t="s">
        <v>509</v>
      </c>
      <c r="D1404" t="s">
        <v>510</v>
      </c>
      <c r="E1404" t="s">
        <v>14</v>
      </c>
      <c r="F1404" t="s">
        <v>29</v>
      </c>
      <c r="G1404" t="s">
        <v>24</v>
      </c>
      <c r="H1404" t="s">
        <v>386</v>
      </c>
      <c r="I1404" s="2">
        <v>20.568000000000001</v>
      </c>
      <c r="J1404">
        <v>3</v>
      </c>
      <c r="K1404" s="2">
        <v>1.5426</v>
      </c>
      <c r="L1404" s="3">
        <f>(Table1[[#This Row],[Profit]]/Table1[[#This Row],[Sales]])*100</f>
        <v>7.5</v>
      </c>
    </row>
    <row r="1405" spans="1:12" x14ac:dyDescent="0.3">
      <c r="A1405" t="s">
        <v>285</v>
      </c>
      <c r="B1405" s="1">
        <v>43501</v>
      </c>
      <c r="C1405" t="s">
        <v>286</v>
      </c>
      <c r="D1405" t="s">
        <v>287</v>
      </c>
      <c r="E1405" t="s">
        <v>14</v>
      </c>
      <c r="F1405" t="s">
        <v>41</v>
      </c>
      <c r="G1405" t="s">
        <v>24</v>
      </c>
      <c r="H1405" t="s">
        <v>297</v>
      </c>
      <c r="I1405" s="2">
        <v>154.44</v>
      </c>
      <c r="J1405">
        <v>3</v>
      </c>
      <c r="K1405" s="2">
        <v>1.5444</v>
      </c>
      <c r="L1405" s="3">
        <f>(Table1[[#This Row],[Profit]]/Table1[[#This Row],[Sales]])*100</f>
        <v>1</v>
      </c>
    </row>
    <row r="1406" spans="1:12" x14ac:dyDescent="0.3">
      <c r="A1406" t="s">
        <v>3130</v>
      </c>
      <c r="B1406" s="1">
        <v>43759</v>
      </c>
      <c r="C1406" t="s">
        <v>3041</v>
      </c>
      <c r="D1406" t="s">
        <v>3042</v>
      </c>
      <c r="E1406" t="s">
        <v>14</v>
      </c>
      <c r="F1406" t="s">
        <v>23</v>
      </c>
      <c r="G1406" t="s">
        <v>24</v>
      </c>
      <c r="H1406" t="s">
        <v>297</v>
      </c>
      <c r="I1406" s="2">
        <v>154.44</v>
      </c>
      <c r="J1406">
        <v>3</v>
      </c>
      <c r="K1406" s="2">
        <v>1.5444</v>
      </c>
      <c r="L1406" s="3">
        <f>(Table1[[#This Row],[Profit]]/Table1[[#This Row],[Sales]])*100</f>
        <v>1</v>
      </c>
    </row>
    <row r="1407" spans="1:12" x14ac:dyDescent="0.3">
      <c r="A1407" t="s">
        <v>4952</v>
      </c>
      <c r="B1407" s="1">
        <v>44015</v>
      </c>
      <c r="C1407" t="s">
        <v>4457</v>
      </c>
      <c r="D1407" t="s">
        <v>4458</v>
      </c>
      <c r="E1407" t="s">
        <v>14</v>
      </c>
      <c r="F1407" t="s">
        <v>41</v>
      </c>
      <c r="G1407" t="s">
        <v>24</v>
      </c>
      <c r="H1407" t="s">
        <v>1322</v>
      </c>
      <c r="I1407" s="2">
        <v>78.552000000000007</v>
      </c>
      <c r="J1407">
        <v>3</v>
      </c>
      <c r="K1407" s="2">
        <v>1.5522</v>
      </c>
      <c r="L1407" s="3">
        <f>(Table1[[#This Row],[Profit]]/Table1[[#This Row],[Sales]])*100</f>
        <v>1.9760158875649252</v>
      </c>
    </row>
    <row r="1408" spans="1:12" x14ac:dyDescent="0.3">
      <c r="A1408" t="s">
        <v>1660</v>
      </c>
      <c r="B1408" s="1">
        <v>43623</v>
      </c>
      <c r="C1408" t="s">
        <v>1661</v>
      </c>
      <c r="D1408" t="s">
        <v>1662</v>
      </c>
      <c r="E1408" t="s">
        <v>14</v>
      </c>
      <c r="F1408" t="s">
        <v>23</v>
      </c>
      <c r="G1408" t="s">
        <v>24</v>
      </c>
      <c r="H1408" t="s">
        <v>841</v>
      </c>
      <c r="I1408" s="2">
        <v>4.7839999999999998</v>
      </c>
      <c r="J1408">
        <v>1</v>
      </c>
      <c r="K1408" s="2">
        <v>1.5548</v>
      </c>
      <c r="L1408" s="3">
        <f>(Table1[[#This Row],[Profit]]/Table1[[#This Row],[Sales]])*100</f>
        <v>32.5</v>
      </c>
    </row>
    <row r="1409" spans="1:12" x14ac:dyDescent="0.3">
      <c r="A1409" t="s">
        <v>5417</v>
      </c>
      <c r="B1409" s="1">
        <v>44090</v>
      </c>
      <c r="C1409" t="s">
        <v>831</v>
      </c>
      <c r="D1409" t="s">
        <v>832</v>
      </c>
      <c r="E1409" t="s">
        <v>14</v>
      </c>
      <c r="F1409" t="s">
        <v>23</v>
      </c>
      <c r="G1409" t="s">
        <v>24</v>
      </c>
      <c r="H1409" t="s">
        <v>4845</v>
      </c>
      <c r="I1409" s="2">
        <v>92.98</v>
      </c>
      <c r="J1409">
        <v>1</v>
      </c>
      <c r="K1409" s="2">
        <v>1.5548</v>
      </c>
      <c r="L1409" s="3">
        <f>(Table1[[#This Row],[Profit]]/Table1[[#This Row],[Sales]])*100</f>
        <v>1.6721875672187567</v>
      </c>
    </row>
    <row r="1410" spans="1:12" x14ac:dyDescent="0.3">
      <c r="A1410" t="s">
        <v>4478</v>
      </c>
      <c r="B1410" s="1">
        <v>43937</v>
      </c>
      <c r="C1410" t="s">
        <v>942</v>
      </c>
      <c r="D1410" t="s">
        <v>943</v>
      </c>
      <c r="E1410" t="s">
        <v>14</v>
      </c>
      <c r="F1410" t="s">
        <v>41</v>
      </c>
      <c r="G1410" t="s">
        <v>18</v>
      </c>
      <c r="H1410" t="s">
        <v>396</v>
      </c>
      <c r="I1410" s="2">
        <v>109.98</v>
      </c>
      <c r="J1410">
        <v>2</v>
      </c>
      <c r="K1410" s="2">
        <v>1.5588</v>
      </c>
      <c r="L1410" s="3">
        <f>(Table1[[#This Row],[Profit]]/Table1[[#This Row],[Sales]])*100</f>
        <v>1.4173486088379705</v>
      </c>
    </row>
    <row r="1411" spans="1:12" x14ac:dyDescent="0.3">
      <c r="A1411" t="s">
        <v>6096</v>
      </c>
      <c r="B1411" s="1">
        <v>44169</v>
      </c>
      <c r="C1411" t="s">
        <v>5181</v>
      </c>
      <c r="D1411" t="s">
        <v>5182</v>
      </c>
      <c r="E1411" t="s">
        <v>14</v>
      </c>
      <c r="F1411" t="s">
        <v>15</v>
      </c>
      <c r="G1411" t="s">
        <v>16</v>
      </c>
      <c r="H1411" t="s">
        <v>6103</v>
      </c>
      <c r="I1411" s="2">
        <v>106.99</v>
      </c>
      <c r="J1411">
        <v>1</v>
      </c>
      <c r="K1411" s="2">
        <v>1.5588</v>
      </c>
      <c r="L1411" s="3">
        <f>(Table1[[#This Row],[Profit]]/Table1[[#This Row],[Sales]])*100</f>
        <v>1.4569585942611458</v>
      </c>
    </row>
    <row r="1412" spans="1:12" x14ac:dyDescent="0.3">
      <c r="A1412" t="s">
        <v>5558</v>
      </c>
      <c r="B1412" s="1">
        <v>44106</v>
      </c>
      <c r="C1412" t="s">
        <v>108</v>
      </c>
      <c r="D1412" t="s">
        <v>109</v>
      </c>
      <c r="E1412" t="s">
        <v>14</v>
      </c>
      <c r="F1412" t="s">
        <v>41</v>
      </c>
      <c r="G1412" t="s">
        <v>16</v>
      </c>
      <c r="H1412" t="s">
        <v>2240</v>
      </c>
      <c r="I1412" s="2">
        <v>94.656000000000006</v>
      </c>
      <c r="J1412">
        <v>1</v>
      </c>
      <c r="K1412" s="2">
        <v>1.5690999999999999</v>
      </c>
      <c r="L1412" s="3">
        <f>(Table1[[#This Row],[Profit]]/Table1[[#This Row],[Sales]])*100</f>
        <v>1.6576867816091954</v>
      </c>
    </row>
    <row r="1413" spans="1:12" x14ac:dyDescent="0.3">
      <c r="A1413" t="s">
        <v>1291</v>
      </c>
      <c r="B1413" s="1">
        <v>43593</v>
      </c>
      <c r="C1413" t="s">
        <v>1292</v>
      </c>
      <c r="D1413" t="s">
        <v>1293</v>
      </c>
      <c r="E1413" t="s">
        <v>14</v>
      </c>
      <c r="F1413" t="s">
        <v>15</v>
      </c>
      <c r="G1413" t="s">
        <v>24</v>
      </c>
      <c r="H1413" t="s">
        <v>790</v>
      </c>
      <c r="I1413" s="2">
        <v>25.12</v>
      </c>
      <c r="J1413">
        <v>2</v>
      </c>
      <c r="K1413" s="2">
        <v>1.57</v>
      </c>
      <c r="L1413" s="3">
        <f>(Table1[[#This Row],[Profit]]/Table1[[#This Row],[Sales]])*100</f>
        <v>6.25</v>
      </c>
    </row>
    <row r="1414" spans="1:12" x14ac:dyDescent="0.3">
      <c r="A1414" t="s">
        <v>5966</v>
      </c>
      <c r="B1414" s="1">
        <v>44155</v>
      </c>
      <c r="C1414" t="s">
        <v>960</v>
      </c>
      <c r="D1414" t="s">
        <v>961</v>
      </c>
      <c r="E1414" t="s">
        <v>14</v>
      </c>
      <c r="F1414" t="s">
        <v>15</v>
      </c>
      <c r="G1414" t="s">
        <v>16</v>
      </c>
      <c r="H1414" t="s">
        <v>1044</v>
      </c>
      <c r="I1414" s="2">
        <v>123.65600000000001</v>
      </c>
      <c r="J1414">
        <v>2</v>
      </c>
      <c r="K1414" s="2">
        <v>1.5713999999999999</v>
      </c>
      <c r="L1414" s="3">
        <f>(Table1[[#This Row],[Profit]]/Table1[[#This Row],[Sales]])*100</f>
        <v>1.2707834638028075</v>
      </c>
    </row>
    <row r="1415" spans="1:12" x14ac:dyDescent="0.3">
      <c r="A1415" t="s">
        <v>5335</v>
      </c>
      <c r="B1415" s="1">
        <v>44083</v>
      </c>
      <c r="C1415" t="s">
        <v>3726</v>
      </c>
      <c r="D1415" t="s">
        <v>3727</v>
      </c>
      <c r="E1415" t="s">
        <v>14</v>
      </c>
      <c r="F1415" t="s">
        <v>15</v>
      </c>
      <c r="G1415" t="s">
        <v>24</v>
      </c>
      <c r="H1415" t="s">
        <v>4096</v>
      </c>
      <c r="I1415" s="2">
        <v>105.672</v>
      </c>
      <c r="J1415">
        <v>1</v>
      </c>
      <c r="K1415" s="2">
        <v>1.5768</v>
      </c>
      <c r="L1415" s="3">
        <f>(Table1[[#This Row],[Profit]]/Table1[[#This Row],[Sales]])*100</f>
        <v>1.4921644333409039</v>
      </c>
    </row>
    <row r="1416" spans="1:12" x14ac:dyDescent="0.3">
      <c r="A1416" t="s">
        <v>3545</v>
      </c>
      <c r="B1416" s="1">
        <v>43793</v>
      </c>
      <c r="C1416" t="s">
        <v>3546</v>
      </c>
      <c r="D1416" t="s">
        <v>3547</v>
      </c>
      <c r="E1416" t="s">
        <v>14</v>
      </c>
      <c r="F1416" t="s">
        <v>29</v>
      </c>
      <c r="G1416" t="s">
        <v>24</v>
      </c>
      <c r="H1416" t="s">
        <v>3549</v>
      </c>
      <c r="I1416" s="2">
        <v>14.04</v>
      </c>
      <c r="J1416">
        <v>3</v>
      </c>
      <c r="K1416" s="2">
        <v>1.5794999999999999</v>
      </c>
      <c r="L1416" s="3">
        <f>(Table1[[#This Row],[Profit]]/Table1[[#This Row],[Sales]])*100</f>
        <v>11.25</v>
      </c>
    </row>
    <row r="1417" spans="1:12" x14ac:dyDescent="0.3">
      <c r="A1417" t="s">
        <v>523</v>
      </c>
      <c r="B1417" s="1">
        <v>43531</v>
      </c>
      <c r="C1417" t="s">
        <v>524</v>
      </c>
      <c r="D1417" t="s">
        <v>525</v>
      </c>
      <c r="E1417" t="s">
        <v>14</v>
      </c>
      <c r="F1417" t="s">
        <v>29</v>
      </c>
      <c r="G1417" t="s">
        <v>18</v>
      </c>
      <c r="H1417" t="s">
        <v>526</v>
      </c>
      <c r="I1417" s="2">
        <v>21.071999999999999</v>
      </c>
      <c r="J1417">
        <v>3</v>
      </c>
      <c r="K1417" s="2">
        <v>1.5804</v>
      </c>
      <c r="L1417" s="3">
        <f>(Table1[[#This Row],[Profit]]/Table1[[#This Row],[Sales]])*100</f>
        <v>7.5000000000000009</v>
      </c>
    </row>
    <row r="1418" spans="1:12" x14ac:dyDescent="0.3">
      <c r="A1418" t="s">
        <v>5607</v>
      </c>
      <c r="B1418" s="1">
        <v>44116</v>
      </c>
      <c r="C1418" t="s">
        <v>1559</v>
      </c>
      <c r="D1418" t="s">
        <v>1560</v>
      </c>
      <c r="E1418" t="s">
        <v>14</v>
      </c>
      <c r="F1418" t="s">
        <v>23</v>
      </c>
      <c r="G1418" t="s">
        <v>24</v>
      </c>
      <c r="H1418" t="s">
        <v>1581</v>
      </c>
      <c r="I1418" s="2">
        <v>118.88</v>
      </c>
      <c r="J1418">
        <v>2</v>
      </c>
      <c r="K1418" s="2">
        <v>1.5875999999999999</v>
      </c>
      <c r="L1418" s="3">
        <f>(Table1[[#This Row],[Profit]]/Table1[[#This Row],[Sales]])*100</f>
        <v>1.3354643337819649</v>
      </c>
    </row>
    <row r="1419" spans="1:12" x14ac:dyDescent="0.3">
      <c r="A1419" t="s">
        <v>3476</v>
      </c>
      <c r="B1419" s="1">
        <v>43788</v>
      </c>
      <c r="C1419" t="s">
        <v>3477</v>
      </c>
      <c r="D1419" t="s">
        <v>3478</v>
      </c>
      <c r="E1419" t="s">
        <v>14</v>
      </c>
      <c r="F1419" t="s">
        <v>23</v>
      </c>
      <c r="G1419" t="s">
        <v>16</v>
      </c>
      <c r="H1419" t="s">
        <v>3479</v>
      </c>
      <c r="I1419" s="2">
        <v>31.96</v>
      </c>
      <c r="J1419">
        <v>2</v>
      </c>
      <c r="K1419" s="2">
        <v>1.5980000000000001</v>
      </c>
      <c r="L1419" s="3">
        <f>(Table1[[#This Row],[Profit]]/Table1[[#This Row],[Sales]])*100</f>
        <v>5</v>
      </c>
    </row>
    <row r="1420" spans="1:12" x14ac:dyDescent="0.3">
      <c r="A1420" t="s">
        <v>3634</v>
      </c>
      <c r="B1420" s="1">
        <v>43800</v>
      </c>
      <c r="C1420" t="s">
        <v>2520</v>
      </c>
      <c r="D1420" t="s">
        <v>2521</v>
      </c>
      <c r="E1420" t="s">
        <v>14</v>
      </c>
      <c r="F1420" t="s">
        <v>23</v>
      </c>
      <c r="G1420" t="s">
        <v>16</v>
      </c>
      <c r="H1420" t="s">
        <v>3479</v>
      </c>
      <c r="I1420" s="2">
        <v>31.96</v>
      </c>
      <c r="J1420">
        <v>2</v>
      </c>
      <c r="K1420" s="2">
        <v>1.5980000000000001</v>
      </c>
      <c r="L1420" s="3">
        <f>(Table1[[#This Row],[Profit]]/Table1[[#This Row],[Sales]])*100</f>
        <v>5</v>
      </c>
    </row>
    <row r="1421" spans="1:12" x14ac:dyDescent="0.3">
      <c r="A1421" t="s">
        <v>3534</v>
      </c>
      <c r="B1421" s="1">
        <v>43793</v>
      </c>
      <c r="C1421" t="s">
        <v>3535</v>
      </c>
      <c r="D1421" t="s">
        <v>3536</v>
      </c>
      <c r="E1421" t="s">
        <v>14</v>
      </c>
      <c r="F1421" t="s">
        <v>15</v>
      </c>
      <c r="G1421" t="s">
        <v>24</v>
      </c>
      <c r="H1421" t="s">
        <v>3537</v>
      </c>
      <c r="I1421" s="2">
        <v>4.4160000000000004</v>
      </c>
      <c r="J1421">
        <v>3</v>
      </c>
      <c r="K1421" s="2">
        <v>1.6008</v>
      </c>
      <c r="L1421" s="3">
        <f>(Table1[[#This Row],[Profit]]/Table1[[#This Row],[Sales]])*100</f>
        <v>36.25</v>
      </c>
    </row>
    <row r="1422" spans="1:12" x14ac:dyDescent="0.3">
      <c r="A1422" t="s">
        <v>2799</v>
      </c>
      <c r="B1422" s="1">
        <v>43726</v>
      </c>
      <c r="C1422" t="s">
        <v>1698</v>
      </c>
      <c r="D1422" t="s">
        <v>1699</v>
      </c>
      <c r="E1422" t="s">
        <v>14</v>
      </c>
      <c r="F1422" t="s">
        <v>15</v>
      </c>
      <c r="G1422" t="s">
        <v>16</v>
      </c>
      <c r="H1422" t="s">
        <v>154</v>
      </c>
      <c r="I1422" s="2">
        <v>5.3520000000000003</v>
      </c>
      <c r="J1422">
        <v>3</v>
      </c>
      <c r="K1422" s="2">
        <v>1.6055999999999999</v>
      </c>
      <c r="L1422" s="3">
        <f>(Table1[[#This Row],[Profit]]/Table1[[#This Row],[Sales]])*100</f>
        <v>30</v>
      </c>
    </row>
    <row r="1423" spans="1:12" x14ac:dyDescent="0.3">
      <c r="A1423" t="s">
        <v>3515</v>
      </c>
      <c r="B1423" s="1">
        <v>43790</v>
      </c>
      <c r="C1423" t="s">
        <v>1330</v>
      </c>
      <c r="D1423" t="s">
        <v>1331</v>
      </c>
      <c r="E1423" t="s">
        <v>14</v>
      </c>
      <c r="F1423" t="s">
        <v>29</v>
      </c>
      <c r="G1423" t="s">
        <v>24</v>
      </c>
      <c r="H1423" t="s">
        <v>2655</v>
      </c>
      <c r="I1423" s="2">
        <v>21.568000000000001</v>
      </c>
      <c r="J1423">
        <v>2</v>
      </c>
      <c r="K1423" s="2">
        <v>1.6175999999999999</v>
      </c>
      <c r="L1423" s="3">
        <f>(Table1[[#This Row],[Profit]]/Table1[[#This Row],[Sales]])*100</f>
        <v>7.5</v>
      </c>
    </row>
    <row r="1424" spans="1:12" x14ac:dyDescent="0.3">
      <c r="A1424" t="s">
        <v>285</v>
      </c>
      <c r="B1424" s="1">
        <v>43501</v>
      </c>
      <c r="C1424" t="s">
        <v>286</v>
      </c>
      <c r="D1424" t="s">
        <v>287</v>
      </c>
      <c r="E1424" t="s">
        <v>14</v>
      </c>
      <c r="F1424" t="s">
        <v>41</v>
      </c>
      <c r="G1424" t="s">
        <v>24</v>
      </c>
      <c r="H1424" t="s">
        <v>288</v>
      </c>
      <c r="I1424" s="2">
        <v>80.98</v>
      </c>
      <c r="J1424">
        <v>1</v>
      </c>
      <c r="K1424" s="2">
        <v>1.6195999999999999</v>
      </c>
      <c r="L1424" s="3">
        <f>(Table1[[#This Row],[Profit]]/Table1[[#This Row],[Sales]])*100</f>
        <v>1.9999999999999998</v>
      </c>
    </row>
    <row r="1425" spans="1:12" x14ac:dyDescent="0.3">
      <c r="A1425" t="s">
        <v>761</v>
      </c>
      <c r="B1425" s="1">
        <v>43548</v>
      </c>
      <c r="C1425" t="s">
        <v>762</v>
      </c>
      <c r="D1425" t="s">
        <v>763</v>
      </c>
      <c r="E1425" t="s">
        <v>14</v>
      </c>
      <c r="F1425" t="s">
        <v>15</v>
      </c>
      <c r="G1425" t="s">
        <v>24</v>
      </c>
      <c r="H1425" t="s">
        <v>765</v>
      </c>
      <c r="I1425" s="2">
        <v>18.655999999999999</v>
      </c>
      <c r="J1425">
        <v>2</v>
      </c>
      <c r="K1425" s="2">
        <v>1.6324000000000001</v>
      </c>
      <c r="L1425" s="3">
        <f>(Table1[[#This Row],[Profit]]/Table1[[#This Row],[Sales]])*100</f>
        <v>8.75</v>
      </c>
    </row>
    <row r="1426" spans="1:12" x14ac:dyDescent="0.3">
      <c r="A1426" t="s">
        <v>3965</v>
      </c>
      <c r="B1426" s="1">
        <v>43830</v>
      </c>
      <c r="C1426" t="s">
        <v>2869</v>
      </c>
      <c r="D1426" t="s">
        <v>2870</v>
      </c>
      <c r="E1426" t="s">
        <v>14</v>
      </c>
      <c r="F1426" t="s">
        <v>23</v>
      </c>
      <c r="G1426" t="s">
        <v>24</v>
      </c>
      <c r="H1426" t="s">
        <v>2717</v>
      </c>
      <c r="I1426" s="2">
        <v>3.64</v>
      </c>
      <c r="J1426">
        <v>2</v>
      </c>
      <c r="K1426" s="2">
        <v>1.6379999999999999</v>
      </c>
      <c r="L1426" s="3">
        <f>(Table1[[#This Row],[Profit]]/Table1[[#This Row],[Sales]])*100</f>
        <v>44.999999999999993</v>
      </c>
    </row>
    <row r="1427" spans="1:12" x14ac:dyDescent="0.3">
      <c r="A1427" t="s">
        <v>2437</v>
      </c>
      <c r="B1427" s="1">
        <v>43703</v>
      </c>
      <c r="C1427" t="s">
        <v>758</v>
      </c>
      <c r="D1427" t="s">
        <v>759</v>
      </c>
      <c r="E1427" t="s">
        <v>14</v>
      </c>
      <c r="F1427" t="s">
        <v>15</v>
      </c>
      <c r="G1427" t="s">
        <v>24</v>
      </c>
      <c r="H1427" t="s">
        <v>2438</v>
      </c>
      <c r="I1427" s="2">
        <v>5.4720000000000004</v>
      </c>
      <c r="J1427">
        <v>3</v>
      </c>
      <c r="K1427" s="2">
        <v>1.6415999999999999</v>
      </c>
      <c r="L1427" s="3">
        <f>(Table1[[#This Row],[Profit]]/Table1[[#This Row],[Sales]])*100</f>
        <v>30</v>
      </c>
    </row>
    <row r="1428" spans="1:12" x14ac:dyDescent="0.3">
      <c r="A1428" t="s">
        <v>671</v>
      </c>
      <c r="B1428" s="1">
        <v>43539</v>
      </c>
      <c r="C1428" t="s">
        <v>672</v>
      </c>
      <c r="D1428" t="s">
        <v>673</v>
      </c>
      <c r="E1428" t="s">
        <v>14</v>
      </c>
      <c r="F1428" t="s">
        <v>23</v>
      </c>
      <c r="G1428" t="s">
        <v>24</v>
      </c>
      <c r="H1428" t="s">
        <v>674</v>
      </c>
      <c r="I1428" s="2">
        <v>4.5439999999999996</v>
      </c>
      <c r="J1428">
        <v>2</v>
      </c>
      <c r="K1428" s="2">
        <v>1.6472</v>
      </c>
      <c r="L1428" s="3">
        <f>(Table1[[#This Row],[Profit]]/Table1[[#This Row],[Sales]])*100</f>
        <v>36.250000000000007</v>
      </c>
    </row>
    <row r="1429" spans="1:12" x14ac:dyDescent="0.3">
      <c r="A1429" t="s">
        <v>3569</v>
      </c>
      <c r="B1429" s="1">
        <v>43794</v>
      </c>
      <c r="C1429" t="s">
        <v>2842</v>
      </c>
      <c r="D1429" t="s">
        <v>2843</v>
      </c>
      <c r="E1429" t="s">
        <v>14</v>
      </c>
      <c r="F1429" t="s">
        <v>41</v>
      </c>
      <c r="G1429" t="s">
        <v>24</v>
      </c>
      <c r="H1429" t="s">
        <v>1502</v>
      </c>
      <c r="I1429" s="2">
        <v>5.08</v>
      </c>
      <c r="J1429">
        <v>1</v>
      </c>
      <c r="K1429" s="2">
        <v>1.651</v>
      </c>
      <c r="L1429" s="3">
        <f>(Table1[[#This Row],[Profit]]/Table1[[#This Row],[Sales]])*100</f>
        <v>32.5</v>
      </c>
    </row>
    <row r="1430" spans="1:12" x14ac:dyDescent="0.3">
      <c r="A1430" t="s">
        <v>3959</v>
      </c>
      <c r="B1430" s="1">
        <v>43829</v>
      </c>
      <c r="C1430" t="s">
        <v>3960</v>
      </c>
      <c r="D1430" t="s">
        <v>3961</v>
      </c>
      <c r="E1430" t="s">
        <v>14</v>
      </c>
      <c r="F1430" t="s">
        <v>15</v>
      </c>
      <c r="G1430" t="s">
        <v>24</v>
      </c>
      <c r="H1430" t="s">
        <v>3226</v>
      </c>
      <c r="I1430" s="2">
        <v>16.52</v>
      </c>
      <c r="J1430">
        <v>5</v>
      </c>
      <c r="K1430" s="2">
        <v>1.6519999999999999</v>
      </c>
      <c r="L1430" s="3">
        <f>(Table1[[#This Row],[Profit]]/Table1[[#This Row],[Sales]])*100</f>
        <v>10</v>
      </c>
    </row>
    <row r="1431" spans="1:12" x14ac:dyDescent="0.3">
      <c r="A1431" t="s">
        <v>5311</v>
      </c>
      <c r="B1431" s="1">
        <v>44081</v>
      </c>
      <c r="C1431" t="s">
        <v>3607</v>
      </c>
      <c r="D1431" t="s">
        <v>3608</v>
      </c>
      <c r="E1431" t="s">
        <v>14</v>
      </c>
      <c r="F1431" t="s">
        <v>15</v>
      </c>
      <c r="G1431" t="s">
        <v>24</v>
      </c>
      <c r="H1431" t="s">
        <v>991</v>
      </c>
      <c r="I1431" s="2">
        <v>92.896000000000001</v>
      </c>
      <c r="J1431">
        <v>3</v>
      </c>
      <c r="K1431" s="2">
        <v>1.6524000000000001</v>
      </c>
      <c r="L1431" s="3">
        <f>(Table1[[#This Row],[Profit]]/Table1[[#This Row],[Sales]])*100</f>
        <v>1.7787633482604204</v>
      </c>
    </row>
    <row r="1432" spans="1:12" x14ac:dyDescent="0.3">
      <c r="A1432" t="s">
        <v>2726</v>
      </c>
      <c r="B1432" s="1">
        <v>43720</v>
      </c>
      <c r="C1432" t="s">
        <v>49</v>
      </c>
      <c r="D1432" t="s">
        <v>50</v>
      </c>
      <c r="E1432" t="s">
        <v>14</v>
      </c>
      <c r="F1432" t="s">
        <v>41</v>
      </c>
      <c r="G1432" t="s">
        <v>18</v>
      </c>
      <c r="H1432" t="s">
        <v>1822</v>
      </c>
      <c r="I1432" s="2">
        <v>20.7</v>
      </c>
      <c r="J1432">
        <v>3</v>
      </c>
      <c r="K1432" s="2">
        <v>1.6559999999999999</v>
      </c>
      <c r="L1432" s="3">
        <f>(Table1[[#This Row],[Profit]]/Table1[[#This Row],[Sales]])*100</f>
        <v>8</v>
      </c>
    </row>
    <row r="1433" spans="1:12" x14ac:dyDescent="0.3">
      <c r="A1433" t="s">
        <v>3787</v>
      </c>
      <c r="B1433" s="1">
        <v>43810</v>
      </c>
      <c r="C1433" t="s">
        <v>3788</v>
      </c>
      <c r="D1433" t="s">
        <v>3789</v>
      </c>
      <c r="E1433" t="s">
        <v>14</v>
      </c>
      <c r="F1433" t="s">
        <v>41</v>
      </c>
      <c r="G1433" t="s">
        <v>24</v>
      </c>
      <c r="H1433" t="s">
        <v>552</v>
      </c>
      <c r="I1433" s="2">
        <v>6.6719999999999997</v>
      </c>
      <c r="J1433">
        <v>3</v>
      </c>
      <c r="K1433" s="2">
        <v>1.6679999999999999</v>
      </c>
      <c r="L1433" s="3">
        <f>(Table1[[#This Row],[Profit]]/Table1[[#This Row],[Sales]])*100</f>
        <v>25</v>
      </c>
    </row>
    <row r="1434" spans="1:12" x14ac:dyDescent="0.3">
      <c r="A1434" t="s">
        <v>5272</v>
      </c>
      <c r="B1434" s="1">
        <v>44077</v>
      </c>
      <c r="C1434" t="s">
        <v>3709</v>
      </c>
      <c r="D1434" t="s">
        <v>3710</v>
      </c>
      <c r="E1434" t="s">
        <v>14</v>
      </c>
      <c r="F1434" t="s">
        <v>23</v>
      </c>
      <c r="G1434" t="s">
        <v>24</v>
      </c>
      <c r="H1434" t="s">
        <v>3118</v>
      </c>
      <c r="I1434" s="2">
        <v>105.96</v>
      </c>
      <c r="J1434">
        <v>2</v>
      </c>
      <c r="K1434" s="2">
        <v>1.6688000000000001</v>
      </c>
      <c r="L1434" s="3">
        <f>(Table1[[#This Row],[Profit]]/Table1[[#This Row],[Sales]])*100</f>
        <v>1.5749339373348437</v>
      </c>
    </row>
    <row r="1435" spans="1:12" x14ac:dyDescent="0.3">
      <c r="A1435" t="s">
        <v>2410</v>
      </c>
      <c r="B1435" s="1">
        <v>43699</v>
      </c>
      <c r="C1435" t="s">
        <v>2411</v>
      </c>
      <c r="D1435" t="s">
        <v>2412</v>
      </c>
      <c r="E1435" t="s">
        <v>14</v>
      </c>
      <c r="F1435" t="s">
        <v>23</v>
      </c>
      <c r="G1435" t="s">
        <v>24</v>
      </c>
      <c r="H1435" t="s">
        <v>1743</v>
      </c>
      <c r="I1435" s="2">
        <v>5.76</v>
      </c>
      <c r="J1435">
        <v>2</v>
      </c>
      <c r="K1435" s="2">
        <v>1.6704000000000001</v>
      </c>
      <c r="L1435" s="3">
        <f>(Table1[[#This Row],[Profit]]/Table1[[#This Row],[Sales]])*100</f>
        <v>29.000000000000004</v>
      </c>
    </row>
    <row r="1436" spans="1:12" x14ac:dyDescent="0.3">
      <c r="A1436" t="s">
        <v>2920</v>
      </c>
      <c r="B1436" s="1">
        <v>43733</v>
      </c>
      <c r="C1436" t="s">
        <v>431</v>
      </c>
      <c r="D1436" t="s">
        <v>432</v>
      </c>
      <c r="E1436" t="s">
        <v>14</v>
      </c>
      <c r="F1436" t="s">
        <v>23</v>
      </c>
      <c r="G1436" t="s">
        <v>24</v>
      </c>
      <c r="H1436" t="s">
        <v>1743</v>
      </c>
      <c r="I1436" s="2">
        <v>5.76</v>
      </c>
      <c r="J1436">
        <v>2</v>
      </c>
      <c r="K1436" s="2">
        <v>1.6704000000000001</v>
      </c>
      <c r="L1436" s="3">
        <f>(Table1[[#This Row],[Profit]]/Table1[[#This Row],[Sales]])*100</f>
        <v>29.000000000000004</v>
      </c>
    </row>
    <row r="1437" spans="1:12" x14ac:dyDescent="0.3">
      <c r="A1437" t="s">
        <v>4285</v>
      </c>
      <c r="B1437" s="1">
        <v>43907</v>
      </c>
      <c r="C1437" t="s">
        <v>2854</v>
      </c>
      <c r="D1437" t="s">
        <v>2855</v>
      </c>
      <c r="E1437" t="s">
        <v>14</v>
      </c>
      <c r="F1437" t="s">
        <v>41</v>
      </c>
      <c r="G1437" t="s">
        <v>24</v>
      </c>
      <c r="H1437" t="s">
        <v>3810</v>
      </c>
      <c r="I1437" s="2">
        <v>127.608</v>
      </c>
      <c r="J1437">
        <v>2</v>
      </c>
      <c r="K1437" s="2">
        <v>1.6704000000000001</v>
      </c>
      <c r="L1437" s="3">
        <f>(Table1[[#This Row],[Profit]]/Table1[[#This Row],[Sales]])*100</f>
        <v>1.3090088395711867</v>
      </c>
    </row>
    <row r="1438" spans="1:12" x14ac:dyDescent="0.3">
      <c r="A1438" t="s">
        <v>4554</v>
      </c>
      <c r="B1438" s="1">
        <v>43951</v>
      </c>
      <c r="C1438" t="s">
        <v>2854</v>
      </c>
      <c r="D1438" t="s">
        <v>2855</v>
      </c>
      <c r="E1438" t="s">
        <v>14</v>
      </c>
      <c r="F1438" t="s">
        <v>41</v>
      </c>
      <c r="G1438" t="s">
        <v>24</v>
      </c>
      <c r="H1438" t="s">
        <v>3810</v>
      </c>
      <c r="I1438" s="2">
        <v>119.608</v>
      </c>
      <c r="J1438">
        <v>2</v>
      </c>
      <c r="K1438" s="2">
        <v>1.6704000000000001</v>
      </c>
      <c r="L1438" s="3">
        <f>(Table1[[#This Row],[Profit]]/Table1[[#This Row],[Sales]])*100</f>
        <v>1.3965621028693733</v>
      </c>
    </row>
    <row r="1439" spans="1:12" x14ac:dyDescent="0.3">
      <c r="A1439" t="s">
        <v>6211</v>
      </c>
      <c r="B1439" s="1">
        <v>44183</v>
      </c>
      <c r="C1439" t="s">
        <v>1119</v>
      </c>
      <c r="D1439" t="s">
        <v>1120</v>
      </c>
      <c r="E1439" t="s">
        <v>14</v>
      </c>
      <c r="F1439" t="s">
        <v>23</v>
      </c>
      <c r="G1439" t="s">
        <v>24</v>
      </c>
      <c r="H1439" t="s">
        <v>2454</v>
      </c>
      <c r="I1439" s="2">
        <v>293.76</v>
      </c>
      <c r="J1439">
        <v>2</v>
      </c>
      <c r="K1439" s="2">
        <v>1.6704000000000001</v>
      </c>
      <c r="L1439" s="3">
        <f>(Table1[[#This Row],[Profit]]/Table1[[#This Row],[Sales]])*100</f>
        <v>0.56862745098039225</v>
      </c>
    </row>
    <row r="1440" spans="1:12" x14ac:dyDescent="0.3">
      <c r="A1440" t="s">
        <v>6040</v>
      </c>
      <c r="B1440" s="1">
        <v>44165</v>
      </c>
      <c r="C1440" t="s">
        <v>4924</v>
      </c>
      <c r="D1440" t="s">
        <v>4925</v>
      </c>
      <c r="E1440" t="s">
        <v>14</v>
      </c>
      <c r="F1440" t="s">
        <v>15</v>
      </c>
      <c r="G1440" t="s">
        <v>24</v>
      </c>
      <c r="H1440" t="s">
        <v>4710</v>
      </c>
      <c r="I1440" s="2">
        <v>100.56</v>
      </c>
      <c r="J1440">
        <v>4</v>
      </c>
      <c r="K1440" s="2">
        <v>1.6712</v>
      </c>
      <c r="L1440" s="3">
        <f>(Table1[[#This Row],[Profit]]/Table1[[#This Row],[Sales]])*100</f>
        <v>1.6618933969769292</v>
      </c>
    </row>
    <row r="1441" spans="1:12" x14ac:dyDescent="0.3">
      <c r="A1441" t="s">
        <v>4898</v>
      </c>
      <c r="B1441" s="1">
        <v>44008</v>
      </c>
      <c r="C1441" t="s">
        <v>1681</v>
      </c>
      <c r="D1441" t="s">
        <v>1682</v>
      </c>
      <c r="E1441" t="s">
        <v>14</v>
      </c>
      <c r="F1441" t="s">
        <v>23</v>
      </c>
      <c r="G1441" t="s">
        <v>24</v>
      </c>
      <c r="H1441" t="s">
        <v>1966</v>
      </c>
      <c r="I1441" s="2">
        <v>126.76</v>
      </c>
      <c r="J1441">
        <v>12</v>
      </c>
      <c r="K1441" s="2">
        <v>1.6752</v>
      </c>
      <c r="L1441" s="3">
        <f>(Table1[[#This Row],[Profit]]/Table1[[#This Row],[Sales]])*100</f>
        <v>1.321552540233512</v>
      </c>
    </row>
    <row r="1442" spans="1:12" x14ac:dyDescent="0.3">
      <c r="A1442" t="s">
        <v>2465</v>
      </c>
      <c r="B1442" s="1">
        <v>43704</v>
      </c>
      <c r="C1442" t="s">
        <v>2466</v>
      </c>
      <c r="D1442" t="s">
        <v>2467</v>
      </c>
      <c r="E1442" t="s">
        <v>14</v>
      </c>
      <c r="F1442" t="s">
        <v>29</v>
      </c>
      <c r="G1442" t="s">
        <v>24</v>
      </c>
      <c r="H1442" t="s">
        <v>1393</v>
      </c>
      <c r="I1442" s="2">
        <v>4.6239999999999997</v>
      </c>
      <c r="J1442">
        <v>1</v>
      </c>
      <c r="K1442" s="2">
        <v>1.6761999999999999</v>
      </c>
      <c r="L1442" s="3">
        <f>(Table1[[#This Row],[Profit]]/Table1[[#This Row],[Sales]])*100</f>
        <v>36.25</v>
      </c>
    </row>
    <row r="1443" spans="1:12" x14ac:dyDescent="0.3">
      <c r="A1443" t="s">
        <v>3339</v>
      </c>
      <c r="B1443" s="1">
        <v>43779</v>
      </c>
      <c r="C1443" t="s">
        <v>286</v>
      </c>
      <c r="D1443" t="s">
        <v>287</v>
      </c>
      <c r="E1443" t="s">
        <v>14</v>
      </c>
      <c r="F1443" t="s">
        <v>15</v>
      </c>
      <c r="G1443" t="s">
        <v>24</v>
      </c>
      <c r="H1443" t="s">
        <v>3343</v>
      </c>
      <c r="I1443" s="2">
        <v>4.6239999999999997</v>
      </c>
      <c r="J1443">
        <v>1</v>
      </c>
      <c r="K1443" s="2">
        <v>1.6761999999999999</v>
      </c>
      <c r="L1443" s="3">
        <f>(Table1[[#This Row],[Profit]]/Table1[[#This Row],[Sales]])*100</f>
        <v>36.25</v>
      </c>
    </row>
    <row r="1444" spans="1:12" x14ac:dyDescent="0.3">
      <c r="A1444" t="s">
        <v>4460</v>
      </c>
      <c r="B1444" s="1">
        <v>43934</v>
      </c>
      <c r="C1444" t="s">
        <v>1808</v>
      </c>
      <c r="D1444" t="s">
        <v>1809</v>
      </c>
      <c r="E1444" t="s">
        <v>14</v>
      </c>
      <c r="F1444" t="s">
        <v>15</v>
      </c>
      <c r="G1444" t="s">
        <v>24</v>
      </c>
      <c r="H1444" t="s">
        <v>1833</v>
      </c>
      <c r="I1444" s="2">
        <v>99.92</v>
      </c>
      <c r="J1444">
        <v>5</v>
      </c>
      <c r="K1444" s="2">
        <v>1.6830000000000001</v>
      </c>
      <c r="L1444" s="3">
        <f>(Table1[[#This Row],[Profit]]/Table1[[#This Row],[Sales]])*100</f>
        <v>1.6843474779823859</v>
      </c>
    </row>
    <row r="1445" spans="1:12" x14ac:dyDescent="0.3">
      <c r="A1445" t="s">
        <v>3926</v>
      </c>
      <c r="B1445" s="1">
        <v>43825</v>
      </c>
      <c r="C1445" t="s">
        <v>49</v>
      </c>
      <c r="D1445" t="s">
        <v>50</v>
      </c>
      <c r="E1445" t="s">
        <v>14</v>
      </c>
      <c r="F1445" t="s">
        <v>15</v>
      </c>
      <c r="G1445" t="s">
        <v>24</v>
      </c>
      <c r="H1445" t="s">
        <v>1102</v>
      </c>
      <c r="I1445" s="2">
        <v>4.992</v>
      </c>
      <c r="J1445">
        <v>3</v>
      </c>
      <c r="K1445" s="2">
        <v>1.6848000000000001</v>
      </c>
      <c r="L1445" s="3">
        <f>(Table1[[#This Row],[Profit]]/Table1[[#This Row],[Sales]])*100</f>
        <v>33.75</v>
      </c>
    </row>
    <row r="1446" spans="1:12" x14ac:dyDescent="0.3">
      <c r="A1446" t="s">
        <v>5043</v>
      </c>
      <c r="B1446" s="1">
        <v>44033</v>
      </c>
      <c r="C1446" t="s">
        <v>1756</v>
      </c>
      <c r="D1446" t="s">
        <v>1757</v>
      </c>
      <c r="E1446" t="s">
        <v>14</v>
      </c>
      <c r="F1446" t="s">
        <v>23</v>
      </c>
      <c r="G1446" t="s">
        <v>24</v>
      </c>
      <c r="H1446" t="s">
        <v>1730</v>
      </c>
      <c r="I1446" s="2">
        <v>97.52</v>
      </c>
      <c r="J1446">
        <v>2</v>
      </c>
      <c r="K1446" s="2">
        <v>1.6896</v>
      </c>
      <c r="L1446" s="3">
        <f>(Table1[[#This Row],[Profit]]/Table1[[#This Row],[Sales]])*100</f>
        <v>1.7325676784249386</v>
      </c>
    </row>
    <row r="1447" spans="1:12" x14ac:dyDescent="0.3">
      <c r="A1447" t="s">
        <v>3775</v>
      </c>
      <c r="B1447" s="1">
        <v>43810</v>
      </c>
      <c r="C1447" t="s">
        <v>267</v>
      </c>
      <c r="D1447" t="s">
        <v>268</v>
      </c>
      <c r="E1447" t="s">
        <v>14</v>
      </c>
      <c r="F1447" t="s">
        <v>15</v>
      </c>
      <c r="G1447" t="s">
        <v>24</v>
      </c>
      <c r="H1447" t="s">
        <v>483</v>
      </c>
      <c r="I1447" s="2">
        <v>13.52</v>
      </c>
      <c r="J1447">
        <v>2</v>
      </c>
      <c r="K1447" s="2">
        <v>1.69</v>
      </c>
      <c r="L1447" s="3">
        <f>(Table1[[#This Row],[Profit]]/Table1[[#This Row],[Sales]])*100</f>
        <v>12.5</v>
      </c>
    </row>
    <row r="1448" spans="1:12" x14ac:dyDescent="0.3">
      <c r="A1448" t="s">
        <v>5208</v>
      </c>
      <c r="B1448" s="1">
        <v>44068</v>
      </c>
      <c r="C1448" t="s">
        <v>439</v>
      </c>
      <c r="D1448" t="s">
        <v>440</v>
      </c>
      <c r="E1448" t="s">
        <v>14</v>
      </c>
      <c r="F1448" t="s">
        <v>41</v>
      </c>
      <c r="G1448" t="s">
        <v>24</v>
      </c>
      <c r="H1448" t="s">
        <v>2538</v>
      </c>
      <c r="I1448" s="2">
        <v>143.72800000000001</v>
      </c>
      <c r="J1448">
        <v>2</v>
      </c>
      <c r="K1448" s="2">
        <v>1.7023999999999999</v>
      </c>
      <c r="L1448" s="3">
        <f>(Table1[[#This Row],[Profit]]/Table1[[#This Row],[Sales]])*100</f>
        <v>1.1844595346766111</v>
      </c>
    </row>
    <row r="1449" spans="1:12" x14ac:dyDescent="0.3">
      <c r="A1449" t="s">
        <v>5335</v>
      </c>
      <c r="B1449" s="1">
        <v>44083</v>
      </c>
      <c r="C1449" t="s">
        <v>3726</v>
      </c>
      <c r="D1449" t="s">
        <v>3727</v>
      </c>
      <c r="E1449" t="s">
        <v>14</v>
      </c>
      <c r="F1449" t="s">
        <v>15</v>
      </c>
      <c r="G1449" t="s">
        <v>16</v>
      </c>
      <c r="H1449" t="s">
        <v>5343</v>
      </c>
      <c r="I1449" s="2">
        <v>88.024000000000001</v>
      </c>
      <c r="J1449">
        <v>2</v>
      </c>
      <c r="K1449" s="2">
        <v>1.7023999999999999</v>
      </c>
      <c r="L1449" s="3">
        <f>(Table1[[#This Row],[Profit]]/Table1[[#This Row],[Sales]])*100</f>
        <v>1.9340179950922476</v>
      </c>
    </row>
    <row r="1450" spans="1:12" x14ac:dyDescent="0.3">
      <c r="A1450" t="s">
        <v>6226</v>
      </c>
      <c r="B1450" s="1">
        <v>44186</v>
      </c>
      <c r="C1450" t="s">
        <v>1419</v>
      </c>
      <c r="D1450" t="s">
        <v>1420</v>
      </c>
      <c r="E1450" t="s">
        <v>14</v>
      </c>
      <c r="F1450" t="s">
        <v>23</v>
      </c>
      <c r="G1450" t="s">
        <v>24</v>
      </c>
      <c r="H1450" t="s">
        <v>3883</v>
      </c>
      <c r="I1450" s="2">
        <v>302.88</v>
      </c>
      <c r="J1450">
        <v>2</v>
      </c>
      <c r="K1450" s="2">
        <v>1.7052</v>
      </c>
      <c r="L1450" s="3">
        <f>(Table1[[#This Row],[Profit]]/Table1[[#This Row],[Sales]])*100</f>
        <v>0.56299524564183834</v>
      </c>
    </row>
    <row r="1451" spans="1:12" x14ac:dyDescent="0.3">
      <c r="A1451" t="s">
        <v>5326</v>
      </c>
      <c r="B1451" s="1">
        <v>44082</v>
      </c>
      <c r="C1451" t="s">
        <v>4189</v>
      </c>
      <c r="D1451" t="s">
        <v>4190</v>
      </c>
      <c r="E1451" t="s">
        <v>14</v>
      </c>
      <c r="F1451" t="s">
        <v>15</v>
      </c>
      <c r="G1451" t="s">
        <v>18</v>
      </c>
      <c r="H1451" t="s">
        <v>5327</v>
      </c>
      <c r="I1451" s="2">
        <v>105.096</v>
      </c>
      <c r="J1451">
        <v>1</v>
      </c>
      <c r="K1451" s="2">
        <v>1.7055</v>
      </c>
      <c r="L1451" s="3">
        <f>(Table1[[#This Row],[Profit]]/Table1[[#This Row],[Sales]])*100</f>
        <v>1.6228020095912308</v>
      </c>
    </row>
    <row r="1452" spans="1:12" x14ac:dyDescent="0.3">
      <c r="A1452" t="s">
        <v>4835</v>
      </c>
      <c r="B1452" s="1">
        <v>43997</v>
      </c>
      <c r="C1452" t="s">
        <v>143</v>
      </c>
      <c r="D1452" t="s">
        <v>144</v>
      </c>
      <c r="E1452" t="s">
        <v>14</v>
      </c>
      <c r="F1452" t="s">
        <v>29</v>
      </c>
      <c r="G1452" t="s">
        <v>24</v>
      </c>
      <c r="H1452" t="s">
        <v>2424</v>
      </c>
      <c r="I1452" s="2">
        <v>132.56</v>
      </c>
      <c r="J1452">
        <v>5</v>
      </c>
      <c r="K1452" s="2">
        <v>1.7115</v>
      </c>
      <c r="L1452" s="3">
        <f>(Table1[[#This Row],[Profit]]/Table1[[#This Row],[Sales]])*100</f>
        <v>1.2911134580567289</v>
      </c>
    </row>
    <row r="1453" spans="1:12" x14ac:dyDescent="0.3">
      <c r="A1453" t="s">
        <v>2722</v>
      </c>
      <c r="B1453" s="1">
        <v>43720</v>
      </c>
      <c r="C1453" t="s">
        <v>44</v>
      </c>
      <c r="D1453" t="s">
        <v>45</v>
      </c>
      <c r="E1453" t="s">
        <v>14</v>
      </c>
      <c r="F1453" t="s">
        <v>23</v>
      </c>
      <c r="G1453" t="s">
        <v>16</v>
      </c>
      <c r="H1453" t="s">
        <v>2195</v>
      </c>
      <c r="I1453" s="2">
        <v>15.231999999999999</v>
      </c>
      <c r="J1453">
        <v>1</v>
      </c>
      <c r="K1453" s="2">
        <v>1.7136</v>
      </c>
      <c r="L1453" s="3">
        <f>(Table1[[#This Row],[Profit]]/Table1[[#This Row],[Sales]])*100</f>
        <v>11.25</v>
      </c>
    </row>
    <row r="1454" spans="1:12" x14ac:dyDescent="0.3">
      <c r="A1454" t="s">
        <v>1266</v>
      </c>
      <c r="B1454" s="1">
        <v>43591</v>
      </c>
      <c r="C1454" t="s">
        <v>1267</v>
      </c>
      <c r="D1454" t="s">
        <v>1268</v>
      </c>
      <c r="E1454" t="s">
        <v>14</v>
      </c>
      <c r="F1454" t="s">
        <v>15</v>
      </c>
      <c r="G1454" t="s">
        <v>24</v>
      </c>
      <c r="H1454" t="s">
        <v>1269</v>
      </c>
      <c r="I1454" s="2">
        <v>7.2160000000000002</v>
      </c>
      <c r="J1454">
        <v>2</v>
      </c>
      <c r="K1454" s="2">
        <v>1.7138</v>
      </c>
      <c r="L1454" s="3">
        <f>(Table1[[#This Row],[Profit]]/Table1[[#This Row],[Sales]])*100</f>
        <v>23.75</v>
      </c>
    </row>
    <row r="1455" spans="1:12" x14ac:dyDescent="0.3">
      <c r="A1455" t="s">
        <v>3031</v>
      </c>
      <c r="B1455" s="1">
        <v>43745</v>
      </c>
      <c r="C1455" t="s">
        <v>1726</v>
      </c>
      <c r="D1455" t="s">
        <v>1727</v>
      </c>
      <c r="E1455" t="s">
        <v>14</v>
      </c>
      <c r="F1455" t="s">
        <v>15</v>
      </c>
      <c r="G1455" t="s">
        <v>24</v>
      </c>
      <c r="H1455" t="s">
        <v>3032</v>
      </c>
      <c r="I1455" s="2">
        <v>4.9279999999999999</v>
      </c>
      <c r="J1455">
        <v>2</v>
      </c>
      <c r="K1455" s="2">
        <v>1.7248000000000001</v>
      </c>
      <c r="L1455" s="3">
        <f>(Table1[[#This Row],[Profit]]/Table1[[#This Row],[Sales]])*100</f>
        <v>35</v>
      </c>
    </row>
    <row r="1456" spans="1:12" x14ac:dyDescent="0.3">
      <c r="A1456" t="s">
        <v>4221</v>
      </c>
      <c r="B1456" s="1">
        <v>43896</v>
      </c>
      <c r="C1456" t="s">
        <v>439</v>
      </c>
      <c r="D1456" t="s">
        <v>440</v>
      </c>
      <c r="E1456" t="s">
        <v>14</v>
      </c>
      <c r="F1456" t="s">
        <v>29</v>
      </c>
      <c r="G1456" t="s">
        <v>24</v>
      </c>
      <c r="H1456" t="s">
        <v>3032</v>
      </c>
      <c r="I1456" s="2">
        <v>73.927999999999997</v>
      </c>
      <c r="J1456">
        <v>2</v>
      </c>
      <c r="K1456" s="2">
        <v>1.7248000000000001</v>
      </c>
      <c r="L1456" s="3">
        <f>(Table1[[#This Row],[Profit]]/Table1[[#This Row],[Sales]])*100</f>
        <v>2.3330808354074235</v>
      </c>
    </row>
    <row r="1457" spans="1:12" x14ac:dyDescent="0.3">
      <c r="A1457" t="s">
        <v>5773</v>
      </c>
      <c r="B1457" s="1">
        <v>44139</v>
      </c>
      <c r="C1457" t="s">
        <v>309</v>
      </c>
      <c r="D1457" t="s">
        <v>310</v>
      </c>
      <c r="E1457" t="s">
        <v>14</v>
      </c>
      <c r="F1457" t="s">
        <v>41</v>
      </c>
      <c r="G1457" t="s">
        <v>24</v>
      </c>
      <c r="H1457" t="s">
        <v>1398</v>
      </c>
      <c r="I1457" s="2">
        <v>83.927999999999997</v>
      </c>
      <c r="J1457">
        <v>2</v>
      </c>
      <c r="K1457" s="2">
        <v>1.7248000000000001</v>
      </c>
      <c r="L1457" s="3">
        <f>(Table1[[#This Row],[Profit]]/Table1[[#This Row],[Sales]])*100</f>
        <v>2.0550948431989324</v>
      </c>
    </row>
    <row r="1458" spans="1:12" x14ac:dyDescent="0.3">
      <c r="A1458" t="s">
        <v>6070</v>
      </c>
      <c r="B1458" s="1">
        <v>44167</v>
      </c>
      <c r="C1458" t="s">
        <v>899</v>
      </c>
      <c r="D1458" t="s">
        <v>900</v>
      </c>
      <c r="E1458" t="s">
        <v>14</v>
      </c>
      <c r="F1458" t="s">
        <v>15</v>
      </c>
      <c r="G1458" t="s">
        <v>24</v>
      </c>
      <c r="H1458" t="s">
        <v>1342</v>
      </c>
      <c r="I1458" s="2">
        <v>128.72800000000001</v>
      </c>
      <c r="J1458">
        <v>9</v>
      </c>
      <c r="K1458" s="2">
        <v>1.7262</v>
      </c>
      <c r="L1458" s="3">
        <f>(Table1[[#This Row],[Profit]]/Table1[[#This Row],[Sales]])*100</f>
        <v>1.3409670001864393</v>
      </c>
    </row>
    <row r="1459" spans="1:12" x14ac:dyDescent="0.3">
      <c r="A1459" t="s">
        <v>3976</v>
      </c>
      <c r="B1459" s="1">
        <v>43831</v>
      </c>
      <c r="C1459" t="s">
        <v>1488</v>
      </c>
      <c r="D1459" t="s">
        <v>1489</v>
      </c>
      <c r="E1459" t="s">
        <v>14</v>
      </c>
      <c r="F1459" t="s">
        <v>29</v>
      </c>
      <c r="G1459" t="s">
        <v>24</v>
      </c>
      <c r="H1459" t="s">
        <v>2146</v>
      </c>
      <c r="I1459" s="2">
        <v>107.6</v>
      </c>
      <c r="J1459">
        <v>2</v>
      </c>
      <c r="K1459" s="2">
        <v>1.728</v>
      </c>
      <c r="L1459" s="3">
        <f>(Table1[[#This Row],[Profit]]/Table1[[#This Row],[Sales]])*100</f>
        <v>1.6059479553903344</v>
      </c>
    </row>
    <row r="1460" spans="1:12" x14ac:dyDescent="0.3">
      <c r="A1460" t="s">
        <v>2790</v>
      </c>
      <c r="B1460" s="1">
        <v>43726</v>
      </c>
      <c r="C1460" t="s">
        <v>2791</v>
      </c>
      <c r="D1460" t="s">
        <v>2792</v>
      </c>
      <c r="E1460" t="s">
        <v>14</v>
      </c>
      <c r="F1460" t="s">
        <v>15</v>
      </c>
      <c r="G1460" t="s">
        <v>24</v>
      </c>
      <c r="H1460" t="s">
        <v>2793</v>
      </c>
      <c r="I1460" s="2">
        <v>4.6159999999999997</v>
      </c>
      <c r="J1460">
        <v>1</v>
      </c>
      <c r="K1460" s="2">
        <v>1.7310000000000001</v>
      </c>
      <c r="L1460" s="3">
        <f>(Table1[[#This Row],[Profit]]/Table1[[#This Row],[Sales]])*100</f>
        <v>37.500000000000007</v>
      </c>
    </row>
    <row r="1461" spans="1:12" x14ac:dyDescent="0.3">
      <c r="A1461" t="s">
        <v>3746</v>
      </c>
      <c r="B1461" s="1">
        <v>43808</v>
      </c>
      <c r="C1461" t="s">
        <v>352</v>
      </c>
      <c r="D1461" t="s">
        <v>353</v>
      </c>
      <c r="E1461" t="s">
        <v>14</v>
      </c>
      <c r="F1461" t="s">
        <v>15</v>
      </c>
      <c r="G1461" t="s">
        <v>24</v>
      </c>
      <c r="H1461" t="s">
        <v>3756</v>
      </c>
      <c r="I1461" s="2">
        <v>3.69</v>
      </c>
      <c r="J1461">
        <v>1</v>
      </c>
      <c r="K1461" s="2">
        <v>1.7343</v>
      </c>
      <c r="L1461" s="3">
        <f>(Table1[[#This Row],[Profit]]/Table1[[#This Row],[Sales]])*100</f>
        <v>47</v>
      </c>
    </row>
    <row r="1462" spans="1:12" x14ac:dyDescent="0.3">
      <c r="A1462" t="s">
        <v>6064</v>
      </c>
      <c r="B1462" s="1">
        <v>44166</v>
      </c>
      <c r="C1462" t="s">
        <v>3535</v>
      </c>
      <c r="D1462" t="s">
        <v>3536</v>
      </c>
      <c r="E1462" t="s">
        <v>14</v>
      </c>
      <c r="F1462" t="s">
        <v>15</v>
      </c>
      <c r="G1462" t="s">
        <v>16</v>
      </c>
      <c r="H1462" t="s">
        <v>3019</v>
      </c>
      <c r="I1462" s="2">
        <v>99.712000000000003</v>
      </c>
      <c r="J1462">
        <v>2</v>
      </c>
      <c r="K1462" s="2">
        <v>1.7352000000000001</v>
      </c>
      <c r="L1462" s="3">
        <f>(Table1[[#This Row],[Profit]]/Table1[[#This Row],[Sales]])*100</f>
        <v>1.7402118100128368</v>
      </c>
    </row>
    <row r="1463" spans="1:12" x14ac:dyDescent="0.3">
      <c r="A1463" t="s">
        <v>5279</v>
      </c>
      <c r="B1463" s="1">
        <v>44078</v>
      </c>
      <c r="C1463" t="s">
        <v>2255</v>
      </c>
      <c r="D1463" t="s">
        <v>2256</v>
      </c>
      <c r="E1463" t="s">
        <v>14</v>
      </c>
      <c r="F1463" t="s">
        <v>23</v>
      </c>
      <c r="G1463" t="s">
        <v>18</v>
      </c>
      <c r="H1463" t="s">
        <v>4659</v>
      </c>
      <c r="I1463" s="2">
        <v>139.56</v>
      </c>
      <c r="J1463">
        <v>1</v>
      </c>
      <c r="K1463" s="2">
        <v>1.7375</v>
      </c>
      <c r="L1463" s="3">
        <f>(Table1[[#This Row],[Profit]]/Table1[[#This Row],[Sales]])*100</f>
        <v>1.2449842361708228</v>
      </c>
    </row>
    <row r="1464" spans="1:12" x14ac:dyDescent="0.3">
      <c r="A1464" t="s">
        <v>4833</v>
      </c>
      <c r="B1464" s="1">
        <v>43997</v>
      </c>
      <c r="C1464" t="s">
        <v>3859</v>
      </c>
      <c r="D1464" t="s">
        <v>3860</v>
      </c>
      <c r="E1464" t="s">
        <v>14</v>
      </c>
      <c r="F1464" t="s">
        <v>23</v>
      </c>
      <c r="G1464" t="s">
        <v>24</v>
      </c>
      <c r="H1464" t="s">
        <v>911</v>
      </c>
      <c r="I1464" s="2">
        <v>97.26</v>
      </c>
      <c r="J1464">
        <v>1</v>
      </c>
      <c r="K1464" s="2">
        <v>1.7465999999999999</v>
      </c>
      <c r="L1464" s="3">
        <f>(Table1[[#This Row],[Profit]]/Table1[[#This Row],[Sales]])*100</f>
        <v>1.7958050586057988</v>
      </c>
    </row>
    <row r="1465" spans="1:12" x14ac:dyDescent="0.3">
      <c r="A1465" t="s">
        <v>6205</v>
      </c>
      <c r="B1465" s="1">
        <v>44183</v>
      </c>
      <c r="C1465" t="s">
        <v>977</v>
      </c>
      <c r="D1465" t="s">
        <v>978</v>
      </c>
      <c r="E1465" t="s">
        <v>14</v>
      </c>
      <c r="F1465" t="s">
        <v>15</v>
      </c>
      <c r="G1465" t="s">
        <v>24</v>
      </c>
      <c r="H1465" t="s">
        <v>1018</v>
      </c>
      <c r="I1465" s="2">
        <v>379.82400000000001</v>
      </c>
      <c r="J1465">
        <v>3</v>
      </c>
      <c r="K1465" s="2">
        <v>1.7486999999999999</v>
      </c>
      <c r="L1465" s="3">
        <f>(Table1[[#This Row],[Profit]]/Table1[[#This Row],[Sales]])*100</f>
        <v>0.46039744723872106</v>
      </c>
    </row>
    <row r="1466" spans="1:12" x14ac:dyDescent="0.3">
      <c r="A1466" t="s">
        <v>4072</v>
      </c>
      <c r="B1466" s="1">
        <v>43857</v>
      </c>
      <c r="C1466" t="s">
        <v>4073</v>
      </c>
      <c r="D1466" t="s">
        <v>4074</v>
      </c>
      <c r="E1466" t="s">
        <v>14</v>
      </c>
      <c r="F1466" t="s">
        <v>15</v>
      </c>
      <c r="G1466" t="s">
        <v>24</v>
      </c>
      <c r="H1466" t="s">
        <v>46</v>
      </c>
      <c r="I1466" s="2">
        <v>144.01599999999999</v>
      </c>
      <c r="J1466">
        <v>3</v>
      </c>
      <c r="K1466" s="2">
        <v>1.752</v>
      </c>
      <c r="L1466" s="3">
        <f>(Table1[[#This Row],[Profit]]/Table1[[#This Row],[Sales]])*100</f>
        <v>1.2165314965003888</v>
      </c>
    </row>
    <row r="1467" spans="1:12" x14ac:dyDescent="0.3">
      <c r="A1467" t="s">
        <v>5802</v>
      </c>
      <c r="B1467" s="1">
        <v>44141</v>
      </c>
      <c r="C1467" t="s">
        <v>528</v>
      </c>
      <c r="D1467" t="s">
        <v>529</v>
      </c>
      <c r="E1467" t="s">
        <v>14</v>
      </c>
      <c r="F1467" t="s">
        <v>23</v>
      </c>
      <c r="G1467" t="s">
        <v>24</v>
      </c>
      <c r="H1467" t="s">
        <v>5803</v>
      </c>
      <c r="I1467" s="2">
        <v>95.68</v>
      </c>
      <c r="J1467">
        <v>2</v>
      </c>
      <c r="K1467" s="2">
        <v>1.7607999999999999</v>
      </c>
      <c r="L1467" s="3">
        <f>(Table1[[#This Row],[Profit]]/Table1[[#This Row],[Sales]])*100</f>
        <v>1.8403010033444813</v>
      </c>
    </row>
    <row r="1468" spans="1:12" x14ac:dyDescent="0.3">
      <c r="A1468" t="s">
        <v>1207</v>
      </c>
      <c r="B1468" s="1">
        <v>43587</v>
      </c>
      <c r="C1468" t="s">
        <v>1208</v>
      </c>
      <c r="D1468" t="s">
        <v>1209</v>
      </c>
      <c r="E1468" t="s">
        <v>14</v>
      </c>
      <c r="F1468" t="s">
        <v>29</v>
      </c>
      <c r="G1468" t="s">
        <v>24</v>
      </c>
      <c r="H1468" t="s">
        <v>1212</v>
      </c>
      <c r="I1468" s="2">
        <v>5.04</v>
      </c>
      <c r="J1468">
        <v>2</v>
      </c>
      <c r="K1468" s="2">
        <v>1.764</v>
      </c>
      <c r="L1468" s="3">
        <f>(Table1[[#This Row],[Profit]]/Table1[[#This Row],[Sales]])*100</f>
        <v>35</v>
      </c>
    </row>
    <row r="1469" spans="1:12" x14ac:dyDescent="0.3">
      <c r="A1469" t="s">
        <v>4649</v>
      </c>
      <c r="B1469" s="1">
        <v>43965</v>
      </c>
      <c r="C1469" t="s">
        <v>1380</v>
      </c>
      <c r="D1469" t="s">
        <v>1381</v>
      </c>
      <c r="E1469" t="s">
        <v>14</v>
      </c>
      <c r="F1469" t="s">
        <v>15</v>
      </c>
      <c r="G1469" t="s">
        <v>24</v>
      </c>
      <c r="H1469" t="s">
        <v>1212</v>
      </c>
      <c r="I1469" s="2">
        <v>106.04</v>
      </c>
      <c r="J1469">
        <v>2</v>
      </c>
      <c r="K1469" s="2">
        <v>1.764</v>
      </c>
      <c r="L1469" s="3">
        <f>(Table1[[#This Row],[Profit]]/Table1[[#This Row],[Sales]])*100</f>
        <v>1.6635231987929082</v>
      </c>
    </row>
    <row r="1470" spans="1:12" x14ac:dyDescent="0.3">
      <c r="A1470" t="s">
        <v>5260</v>
      </c>
      <c r="B1470" s="1">
        <v>44076</v>
      </c>
      <c r="C1470" t="s">
        <v>1894</v>
      </c>
      <c r="D1470" t="s">
        <v>1895</v>
      </c>
      <c r="E1470" t="s">
        <v>14</v>
      </c>
      <c r="F1470" t="s">
        <v>23</v>
      </c>
      <c r="G1470" t="s">
        <v>24</v>
      </c>
      <c r="H1470" t="s">
        <v>4451</v>
      </c>
      <c r="I1470" s="2">
        <v>115.57</v>
      </c>
      <c r="J1470">
        <v>3</v>
      </c>
      <c r="K1470" s="2">
        <v>1.7739</v>
      </c>
      <c r="L1470" s="3">
        <f>(Table1[[#This Row],[Profit]]/Table1[[#This Row],[Sales]])*100</f>
        <v>1.5349139049926452</v>
      </c>
    </row>
    <row r="1471" spans="1:12" x14ac:dyDescent="0.3">
      <c r="A1471" t="s">
        <v>2615</v>
      </c>
      <c r="B1471" s="1">
        <v>43713</v>
      </c>
      <c r="C1471" t="s">
        <v>2616</v>
      </c>
      <c r="D1471" t="s">
        <v>2617</v>
      </c>
      <c r="E1471" t="s">
        <v>14</v>
      </c>
      <c r="F1471" t="s">
        <v>23</v>
      </c>
      <c r="G1471" t="s">
        <v>24</v>
      </c>
      <c r="H1471" t="s">
        <v>359</v>
      </c>
      <c r="I1471" s="2">
        <v>4.3600000000000003</v>
      </c>
      <c r="J1471">
        <v>2</v>
      </c>
      <c r="K1471" s="2">
        <v>1.7876000000000001</v>
      </c>
      <c r="L1471" s="3">
        <f>(Table1[[#This Row],[Profit]]/Table1[[#This Row],[Sales]])*100</f>
        <v>41</v>
      </c>
    </row>
    <row r="1472" spans="1:12" x14ac:dyDescent="0.3">
      <c r="A1472" t="s">
        <v>5450</v>
      </c>
      <c r="B1472" s="1">
        <v>44094</v>
      </c>
      <c r="C1472" t="s">
        <v>1698</v>
      </c>
      <c r="D1472" t="s">
        <v>1699</v>
      </c>
      <c r="E1472" t="s">
        <v>14</v>
      </c>
      <c r="F1472" t="s">
        <v>15</v>
      </c>
      <c r="G1472" t="s">
        <v>24</v>
      </c>
      <c r="H1472" t="s">
        <v>359</v>
      </c>
      <c r="I1472" s="2">
        <v>108.36</v>
      </c>
      <c r="J1472">
        <v>2</v>
      </c>
      <c r="K1472" s="2">
        <v>1.7876000000000001</v>
      </c>
      <c r="L1472" s="3">
        <f>(Table1[[#This Row],[Profit]]/Table1[[#This Row],[Sales]])*100</f>
        <v>1.6496862310815801</v>
      </c>
    </row>
    <row r="1473" spans="1:12" x14ac:dyDescent="0.3">
      <c r="A1473" t="s">
        <v>4131</v>
      </c>
      <c r="B1473" s="1">
        <v>43874</v>
      </c>
      <c r="C1473" t="s">
        <v>4132</v>
      </c>
      <c r="D1473" t="s">
        <v>4133</v>
      </c>
      <c r="E1473" t="s">
        <v>14</v>
      </c>
      <c r="F1473" t="s">
        <v>23</v>
      </c>
      <c r="G1473" t="s">
        <v>24</v>
      </c>
      <c r="H1473" t="s">
        <v>1877</v>
      </c>
      <c r="I1473" s="2">
        <v>919.63</v>
      </c>
      <c r="J1473">
        <v>3</v>
      </c>
      <c r="K1473" s="2">
        <v>1.7901</v>
      </c>
      <c r="L1473" s="3">
        <f>(Table1[[#This Row],[Profit]]/Table1[[#This Row],[Sales]])*100</f>
        <v>0.19465437186694648</v>
      </c>
    </row>
    <row r="1474" spans="1:12" x14ac:dyDescent="0.3">
      <c r="A1474" t="s">
        <v>6209</v>
      </c>
      <c r="B1474" s="1">
        <v>44183</v>
      </c>
      <c r="C1474" t="s">
        <v>3064</v>
      </c>
      <c r="D1474" t="s">
        <v>3065</v>
      </c>
      <c r="E1474" t="s">
        <v>14</v>
      </c>
      <c r="F1474" t="s">
        <v>23</v>
      </c>
      <c r="G1474" t="s">
        <v>24</v>
      </c>
      <c r="H1474" t="s">
        <v>3916</v>
      </c>
      <c r="I1474" s="2">
        <v>385.63</v>
      </c>
      <c r="J1474">
        <v>3</v>
      </c>
      <c r="K1474" s="2">
        <v>1.7901</v>
      </c>
      <c r="L1474" s="3">
        <f>(Table1[[#This Row],[Profit]]/Table1[[#This Row],[Sales]])*100</f>
        <v>0.46420143661022223</v>
      </c>
    </row>
    <row r="1475" spans="1:12" x14ac:dyDescent="0.3">
      <c r="A1475" t="s">
        <v>6226</v>
      </c>
      <c r="B1475" s="1">
        <v>44186</v>
      </c>
      <c r="C1475" t="s">
        <v>1419</v>
      </c>
      <c r="D1475" t="s">
        <v>1420</v>
      </c>
      <c r="E1475" t="s">
        <v>14</v>
      </c>
      <c r="F1475" t="s">
        <v>23</v>
      </c>
      <c r="G1475" t="s">
        <v>24</v>
      </c>
      <c r="H1475" t="s">
        <v>3916</v>
      </c>
      <c r="I1475" s="2">
        <v>420.63</v>
      </c>
      <c r="J1475">
        <v>3</v>
      </c>
      <c r="K1475" s="2">
        <v>1.7901</v>
      </c>
      <c r="L1475" s="3">
        <f>(Table1[[#This Row],[Profit]]/Table1[[#This Row],[Sales]])*100</f>
        <v>0.42557592183153847</v>
      </c>
    </row>
    <row r="1476" spans="1:12" x14ac:dyDescent="0.3">
      <c r="A1476" t="s">
        <v>4842</v>
      </c>
      <c r="B1476" s="1">
        <v>43998</v>
      </c>
      <c r="C1476" t="s">
        <v>684</v>
      </c>
      <c r="D1476" t="s">
        <v>685</v>
      </c>
      <c r="E1476" t="s">
        <v>14</v>
      </c>
      <c r="F1476" t="s">
        <v>15</v>
      </c>
      <c r="G1476" t="s">
        <v>24</v>
      </c>
      <c r="H1476" t="s">
        <v>4845</v>
      </c>
      <c r="I1476" s="2">
        <v>113.92</v>
      </c>
      <c r="J1476">
        <v>5</v>
      </c>
      <c r="K1476" s="2">
        <v>1.794</v>
      </c>
      <c r="L1476" s="3">
        <f>(Table1[[#This Row],[Profit]]/Table1[[#This Row],[Sales]])*100</f>
        <v>1.5747893258426966</v>
      </c>
    </row>
    <row r="1477" spans="1:12" x14ac:dyDescent="0.3">
      <c r="A1477" t="s">
        <v>5971</v>
      </c>
      <c r="B1477" s="1">
        <v>44155</v>
      </c>
      <c r="C1477" t="s">
        <v>5962</v>
      </c>
      <c r="D1477" t="s">
        <v>5963</v>
      </c>
      <c r="E1477" t="s">
        <v>14</v>
      </c>
      <c r="F1477" t="s">
        <v>41</v>
      </c>
      <c r="G1477" t="s">
        <v>24</v>
      </c>
      <c r="H1477" t="s">
        <v>2987</v>
      </c>
      <c r="I1477" s="2">
        <v>126.72799999999999</v>
      </c>
      <c r="J1477">
        <v>3</v>
      </c>
      <c r="K1477" s="2">
        <v>1.7955000000000001</v>
      </c>
      <c r="L1477" s="3">
        <f>(Table1[[#This Row],[Profit]]/Table1[[#This Row],[Sales]])*100</f>
        <v>1.416813963764914</v>
      </c>
    </row>
    <row r="1478" spans="1:12" x14ac:dyDescent="0.3">
      <c r="A1478" t="s">
        <v>4346</v>
      </c>
      <c r="B1478" s="1">
        <v>43916</v>
      </c>
      <c r="C1478" t="s">
        <v>1135</v>
      </c>
      <c r="D1478" t="s">
        <v>1136</v>
      </c>
      <c r="E1478" t="s">
        <v>14</v>
      </c>
      <c r="F1478" t="s">
        <v>29</v>
      </c>
      <c r="G1478" t="s">
        <v>18</v>
      </c>
      <c r="H1478" t="s">
        <v>2317</v>
      </c>
      <c r="I1478" s="2">
        <v>168.96</v>
      </c>
      <c r="J1478">
        <v>5</v>
      </c>
      <c r="K1478" s="2">
        <v>1.7995000000000001</v>
      </c>
      <c r="L1478" s="3">
        <f>(Table1[[#This Row],[Profit]]/Table1[[#This Row],[Sales]])*100</f>
        <v>1.065044981060606</v>
      </c>
    </row>
    <row r="1479" spans="1:12" x14ac:dyDescent="0.3">
      <c r="A1479" t="s">
        <v>5666</v>
      </c>
      <c r="B1479" s="1">
        <v>44124</v>
      </c>
      <c r="C1479" t="s">
        <v>3699</v>
      </c>
      <c r="D1479" t="s">
        <v>3700</v>
      </c>
      <c r="E1479" t="s">
        <v>14</v>
      </c>
      <c r="F1479" t="s">
        <v>23</v>
      </c>
      <c r="G1479" t="s">
        <v>24</v>
      </c>
      <c r="H1479" t="s">
        <v>4034</v>
      </c>
      <c r="I1479" s="2">
        <v>104.75</v>
      </c>
      <c r="J1479">
        <v>1</v>
      </c>
      <c r="K1479" s="2">
        <v>1.8</v>
      </c>
      <c r="L1479" s="3">
        <f>(Table1[[#This Row],[Profit]]/Table1[[#This Row],[Sales]])*100</f>
        <v>1.7183770883054894</v>
      </c>
    </row>
    <row r="1480" spans="1:12" x14ac:dyDescent="0.3">
      <c r="A1480" t="s">
        <v>3828</v>
      </c>
      <c r="B1480" s="1">
        <v>43815</v>
      </c>
      <c r="C1480" t="s">
        <v>2760</v>
      </c>
      <c r="D1480" t="s">
        <v>2761</v>
      </c>
      <c r="E1480" t="s">
        <v>14</v>
      </c>
      <c r="F1480" t="s">
        <v>15</v>
      </c>
      <c r="G1480" t="s">
        <v>24</v>
      </c>
      <c r="H1480" t="s">
        <v>3537</v>
      </c>
      <c r="I1480" s="2">
        <v>3.68</v>
      </c>
      <c r="J1480">
        <v>2</v>
      </c>
      <c r="K1480" s="2">
        <v>1.8031999999999999</v>
      </c>
      <c r="L1480" s="3">
        <f>(Table1[[#This Row],[Profit]]/Table1[[#This Row],[Sales]])*100</f>
        <v>48.999999999999993</v>
      </c>
    </row>
    <row r="1481" spans="1:12" x14ac:dyDescent="0.3">
      <c r="A1481" t="s">
        <v>360</v>
      </c>
      <c r="B1481" s="1">
        <v>43512</v>
      </c>
      <c r="C1481" t="s">
        <v>361</v>
      </c>
      <c r="D1481" t="s">
        <v>362</v>
      </c>
      <c r="E1481" t="s">
        <v>14</v>
      </c>
      <c r="F1481" t="s">
        <v>29</v>
      </c>
      <c r="G1481" t="s">
        <v>24</v>
      </c>
      <c r="H1481" t="s">
        <v>365</v>
      </c>
      <c r="I1481" s="2">
        <v>5.1840000000000002</v>
      </c>
      <c r="J1481">
        <v>1</v>
      </c>
      <c r="K1481" s="2">
        <v>1.8144</v>
      </c>
      <c r="L1481" s="3">
        <f>(Table1[[#This Row],[Profit]]/Table1[[#This Row],[Sales]])*100</f>
        <v>35</v>
      </c>
    </row>
    <row r="1482" spans="1:12" x14ac:dyDescent="0.3">
      <c r="A1482" t="s">
        <v>2154</v>
      </c>
      <c r="B1482" s="1">
        <v>43669</v>
      </c>
      <c r="C1482" t="s">
        <v>1631</v>
      </c>
      <c r="D1482" t="s">
        <v>1632</v>
      </c>
      <c r="E1482" t="s">
        <v>14</v>
      </c>
      <c r="F1482" t="s">
        <v>29</v>
      </c>
      <c r="G1482" t="s">
        <v>24</v>
      </c>
      <c r="H1482" t="s">
        <v>2156</v>
      </c>
      <c r="I1482" s="2">
        <v>5.1840000000000002</v>
      </c>
      <c r="J1482">
        <v>1</v>
      </c>
      <c r="K1482" s="2">
        <v>1.8144</v>
      </c>
      <c r="L1482" s="3">
        <f>(Table1[[#This Row],[Profit]]/Table1[[#This Row],[Sales]])*100</f>
        <v>35</v>
      </c>
    </row>
    <row r="1483" spans="1:12" x14ac:dyDescent="0.3">
      <c r="A1483" t="s">
        <v>3352</v>
      </c>
      <c r="B1483" s="1">
        <v>43779</v>
      </c>
      <c r="C1483" t="s">
        <v>3353</v>
      </c>
      <c r="D1483" t="s">
        <v>3354</v>
      </c>
      <c r="E1483" t="s">
        <v>14</v>
      </c>
      <c r="F1483" t="s">
        <v>23</v>
      </c>
      <c r="G1483" t="s">
        <v>24</v>
      </c>
      <c r="H1483" t="s">
        <v>521</v>
      </c>
      <c r="I1483" s="2">
        <v>5.1840000000000002</v>
      </c>
      <c r="J1483">
        <v>3</v>
      </c>
      <c r="K1483" s="2">
        <v>1.8144</v>
      </c>
      <c r="L1483" s="3">
        <f>(Table1[[#This Row],[Profit]]/Table1[[#This Row],[Sales]])*100</f>
        <v>35</v>
      </c>
    </row>
    <row r="1484" spans="1:12" x14ac:dyDescent="0.3">
      <c r="A1484" t="s">
        <v>4105</v>
      </c>
      <c r="B1484" s="1">
        <v>43864</v>
      </c>
      <c r="C1484" t="s">
        <v>341</v>
      </c>
      <c r="D1484" t="s">
        <v>342</v>
      </c>
      <c r="E1484" t="s">
        <v>14</v>
      </c>
      <c r="F1484" t="s">
        <v>29</v>
      </c>
      <c r="G1484" t="s">
        <v>24</v>
      </c>
      <c r="H1484" t="s">
        <v>95</v>
      </c>
      <c r="I1484" s="2">
        <v>119.184</v>
      </c>
      <c r="J1484">
        <v>1</v>
      </c>
      <c r="K1484" s="2">
        <v>1.8144</v>
      </c>
      <c r="L1484" s="3">
        <f>(Table1[[#This Row],[Profit]]/Table1[[#This Row],[Sales]])*100</f>
        <v>1.522351993556182</v>
      </c>
    </row>
    <row r="1485" spans="1:12" x14ac:dyDescent="0.3">
      <c r="A1485" t="s">
        <v>4921</v>
      </c>
      <c r="B1485" s="1">
        <v>44011</v>
      </c>
      <c r="C1485" t="s">
        <v>672</v>
      </c>
      <c r="D1485" t="s">
        <v>673</v>
      </c>
      <c r="E1485" t="s">
        <v>14</v>
      </c>
      <c r="F1485" t="s">
        <v>29</v>
      </c>
      <c r="G1485" t="s">
        <v>24</v>
      </c>
      <c r="H1485" t="s">
        <v>162</v>
      </c>
      <c r="I1485" s="2">
        <v>88.183999999999997</v>
      </c>
      <c r="J1485">
        <v>1</v>
      </c>
      <c r="K1485" s="2">
        <v>1.8144</v>
      </c>
      <c r="L1485" s="3">
        <f>(Table1[[#This Row],[Profit]]/Table1[[#This Row],[Sales]])*100</f>
        <v>2.0575161026943665</v>
      </c>
    </row>
    <row r="1486" spans="1:12" x14ac:dyDescent="0.3">
      <c r="A1486" t="s">
        <v>5220</v>
      </c>
      <c r="B1486" s="1">
        <v>44070</v>
      </c>
      <c r="C1486" t="s">
        <v>5135</v>
      </c>
      <c r="D1486" t="s">
        <v>5136</v>
      </c>
      <c r="E1486" t="s">
        <v>14</v>
      </c>
      <c r="F1486" t="s">
        <v>41</v>
      </c>
      <c r="G1486" t="s">
        <v>24</v>
      </c>
      <c r="H1486" t="s">
        <v>1582</v>
      </c>
      <c r="I1486" s="2">
        <v>109.184</v>
      </c>
      <c r="J1486">
        <v>1</v>
      </c>
      <c r="K1486" s="2">
        <v>1.8144</v>
      </c>
      <c r="L1486" s="3">
        <f>(Table1[[#This Row],[Profit]]/Table1[[#This Row],[Sales]])*100</f>
        <v>1.6617819460726848</v>
      </c>
    </row>
    <row r="1487" spans="1:12" x14ac:dyDescent="0.3">
      <c r="A1487" t="s">
        <v>5674</v>
      </c>
      <c r="B1487" s="1">
        <v>44125</v>
      </c>
      <c r="C1487" t="s">
        <v>769</v>
      </c>
      <c r="D1487" t="s">
        <v>770</v>
      </c>
      <c r="E1487" t="s">
        <v>14</v>
      </c>
      <c r="F1487" t="s">
        <v>23</v>
      </c>
      <c r="G1487" t="s">
        <v>24</v>
      </c>
      <c r="H1487" t="s">
        <v>162</v>
      </c>
      <c r="I1487" s="2">
        <v>125.184</v>
      </c>
      <c r="J1487">
        <v>1</v>
      </c>
      <c r="K1487" s="2">
        <v>1.8144</v>
      </c>
      <c r="L1487" s="3">
        <f>(Table1[[#This Row],[Profit]]/Table1[[#This Row],[Sales]])*100</f>
        <v>1.4493865030674846</v>
      </c>
    </row>
    <row r="1488" spans="1:12" x14ac:dyDescent="0.3">
      <c r="A1488" t="s">
        <v>4071</v>
      </c>
      <c r="B1488" s="1">
        <v>43856</v>
      </c>
      <c r="C1488" t="s">
        <v>3323</v>
      </c>
      <c r="D1488" t="s">
        <v>3324</v>
      </c>
      <c r="E1488" t="s">
        <v>14</v>
      </c>
      <c r="F1488" t="s">
        <v>29</v>
      </c>
      <c r="G1488" t="s">
        <v>24</v>
      </c>
      <c r="H1488" t="s">
        <v>3738</v>
      </c>
      <c r="I1488" s="2">
        <v>141.16</v>
      </c>
      <c r="J1488">
        <v>2</v>
      </c>
      <c r="K1488" s="2">
        <v>1.8160000000000001</v>
      </c>
      <c r="L1488" s="3">
        <f>(Table1[[#This Row],[Profit]]/Table1[[#This Row],[Sales]])*100</f>
        <v>1.2864834230660245</v>
      </c>
    </row>
    <row r="1489" spans="1:12" x14ac:dyDescent="0.3">
      <c r="A1489" t="s">
        <v>5806</v>
      </c>
      <c r="B1489" s="1">
        <v>44141</v>
      </c>
      <c r="C1489" t="s">
        <v>4308</v>
      </c>
      <c r="D1489" t="s">
        <v>4309</v>
      </c>
      <c r="E1489" t="s">
        <v>14</v>
      </c>
      <c r="F1489" t="s">
        <v>29</v>
      </c>
      <c r="G1489" t="s">
        <v>24</v>
      </c>
      <c r="H1489" t="s">
        <v>3738</v>
      </c>
      <c r="I1489" s="2">
        <v>130.16</v>
      </c>
      <c r="J1489">
        <v>2</v>
      </c>
      <c r="K1489" s="2">
        <v>1.8160000000000001</v>
      </c>
      <c r="L1489" s="3">
        <f>(Table1[[#This Row],[Profit]]/Table1[[#This Row],[Sales]])*100</f>
        <v>1.3952059004302397</v>
      </c>
    </row>
    <row r="1490" spans="1:12" x14ac:dyDescent="0.3">
      <c r="A1490" t="s">
        <v>4402</v>
      </c>
      <c r="B1490" s="1">
        <v>43922</v>
      </c>
      <c r="C1490" t="s">
        <v>1976</v>
      </c>
      <c r="D1490" t="s">
        <v>1977</v>
      </c>
      <c r="E1490" t="s">
        <v>14</v>
      </c>
      <c r="F1490" t="s">
        <v>41</v>
      </c>
      <c r="G1490" t="s">
        <v>24</v>
      </c>
      <c r="H1490" t="s">
        <v>1353</v>
      </c>
      <c r="I1490" s="2">
        <v>148.80799999999999</v>
      </c>
      <c r="J1490">
        <v>3</v>
      </c>
      <c r="K1490" s="2">
        <v>1.8207</v>
      </c>
      <c r="L1490" s="3">
        <f>(Table1[[#This Row],[Profit]]/Table1[[#This Row],[Sales]])*100</f>
        <v>1.2235229288747917</v>
      </c>
    </row>
    <row r="1491" spans="1:12" x14ac:dyDescent="0.3">
      <c r="A1491" t="s">
        <v>360</v>
      </c>
      <c r="B1491" s="1">
        <v>43512</v>
      </c>
      <c r="C1491" t="s">
        <v>361</v>
      </c>
      <c r="D1491" t="s">
        <v>362</v>
      </c>
      <c r="E1491" t="s">
        <v>14</v>
      </c>
      <c r="F1491" t="s">
        <v>29</v>
      </c>
      <c r="G1491" t="s">
        <v>24</v>
      </c>
      <c r="H1491" t="s">
        <v>359</v>
      </c>
      <c r="I1491" s="2">
        <v>6.976</v>
      </c>
      <c r="J1491">
        <v>4</v>
      </c>
      <c r="K1491" s="2">
        <v>1.8311999999999999</v>
      </c>
      <c r="L1491" s="3">
        <f>(Table1[[#This Row],[Profit]]/Table1[[#This Row],[Sales]])*100</f>
        <v>26.25</v>
      </c>
    </row>
    <row r="1492" spans="1:12" x14ac:dyDescent="0.3">
      <c r="A1492" t="s">
        <v>4766</v>
      </c>
      <c r="B1492" s="1">
        <v>43985</v>
      </c>
      <c r="C1492" t="s">
        <v>1214</v>
      </c>
      <c r="D1492" t="s">
        <v>1215</v>
      </c>
      <c r="E1492" t="s">
        <v>14</v>
      </c>
      <c r="F1492" t="s">
        <v>41</v>
      </c>
      <c r="G1492" t="s">
        <v>24</v>
      </c>
      <c r="H1492" t="s">
        <v>2763</v>
      </c>
      <c r="I1492" s="2">
        <v>125.47199999999999</v>
      </c>
      <c r="J1492">
        <v>7</v>
      </c>
      <c r="K1492" s="2">
        <v>1.8353999999999999</v>
      </c>
      <c r="L1492" s="3">
        <f>(Table1[[#This Row],[Profit]]/Table1[[#This Row],[Sales]])*100</f>
        <v>1.4627964804896709</v>
      </c>
    </row>
    <row r="1493" spans="1:12" x14ac:dyDescent="0.3">
      <c r="A1493" t="s">
        <v>1070</v>
      </c>
      <c r="B1493" s="1">
        <v>43573</v>
      </c>
      <c r="C1493" t="s">
        <v>1071</v>
      </c>
      <c r="D1493" t="s">
        <v>1072</v>
      </c>
      <c r="E1493" t="s">
        <v>14</v>
      </c>
      <c r="F1493" t="s">
        <v>15</v>
      </c>
      <c r="G1493" t="s">
        <v>24</v>
      </c>
      <c r="H1493" t="s">
        <v>1073</v>
      </c>
      <c r="I1493" s="2">
        <v>6.84</v>
      </c>
      <c r="J1493">
        <v>1</v>
      </c>
      <c r="K1493" s="2">
        <v>1.8468</v>
      </c>
      <c r="L1493" s="3">
        <f>(Table1[[#This Row],[Profit]]/Table1[[#This Row],[Sales]])*100</f>
        <v>27</v>
      </c>
    </row>
    <row r="1494" spans="1:12" x14ac:dyDescent="0.3">
      <c r="A1494" t="s">
        <v>4445</v>
      </c>
      <c r="B1494" s="1">
        <v>43931</v>
      </c>
      <c r="C1494" t="s">
        <v>4446</v>
      </c>
      <c r="D1494" t="s">
        <v>4447</v>
      </c>
      <c r="E1494" t="s">
        <v>14</v>
      </c>
      <c r="F1494" t="s">
        <v>41</v>
      </c>
      <c r="G1494" t="s">
        <v>16</v>
      </c>
      <c r="H1494" t="s">
        <v>4368</v>
      </c>
      <c r="I1494" s="2">
        <v>95.32</v>
      </c>
      <c r="J1494">
        <v>5</v>
      </c>
      <c r="K1494" s="2">
        <v>1.8480000000000001</v>
      </c>
      <c r="L1494" s="3">
        <f>(Table1[[#This Row],[Profit]]/Table1[[#This Row],[Sales]])*100</f>
        <v>1.9387326898866977</v>
      </c>
    </row>
    <row r="1495" spans="1:12" x14ac:dyDescent="0.3">
      <c r="A1495" t="s">
        <v>4258</v>
      </c>
      <c r="B1495" s="1">
        <v>43903</v>
      </c>
      <c r="C1495" t="s">
        <v>1935</v>
      </c>
      <c r="D1495" t="s">
        <v>1936</v>
      </c>
      <c r="E1495" t="s">
        <v>14</v>
      </c>
      <c r="F1495" t="s">
        <v>29</v>
      </c>
      <c r="G1495" t="s">
        <v>24</v>
      </c>
      <c r="H1495" t="s">
        <v>2062</v>
      </c>
      <c r="I1495" s="2">
        <v>144.76</v>
      </c>
      <c r="J1495">
        <v>5</v>
      </c>
      <c r="K1495" s="2">
        <v>1.86</v>
      </c>
      <c r="L1495" s="3">
        <f>(Table1[[#This Row],[Profit]]/Table1[[#This Row],[Sales]])*100</f>
        <v>1.284885327438519</v>
      </c>
    </row>
    <row r="1496" spans="1:12" x14ac:dyDescent="0.3">
      <c r="A1496" t="s">
        <v>4277</v>
      </c>
      <c r="B1496" s="1">
        <v>43906</v>
      </c>
      <c r="C1496" t="s">
        <v>884</v>
      </c>
      <c r="D1496" t="s">
        <v>885</v>
      </c>
      <c r="E1496" t="s">
        <v>14</v>
      </c>
      <c r="F1496" t="s">
        <v>23</v>
      </c>
      <c r="G1496" t="s">
        <v>24</v>
      </c>
      <c r="H1496" t="s">
        <v>284</v>
      </c>
      <c r="I1496" s="2">
        <v>141.51</v>
      </c>
      <c r="J1496">
        <v>1</v>
      </c>
      <c r="K1496" s="2">
        <v>1.8604000000000001</v>
      </c>
      <c r="L1496" s="3">
        <f>(Table1[[#This Row],[Profit]]/Table1[[#This Row],[Sales]])*100</f>
        <v>1.3146774079570349</v>
      </c>
    </row>
    <row r="1497" spans="1:12" x14ac:dyDescent="0.3">
      <c r="A1497" t="s">
        <v>4744</v>
      </c>
      <c r="B1497" s="1">
        <v>43981</v>
      </c>
      <c r="C1497" t="s">
        <v>428</v>
      </c>
      <c r="D1497" t="s">
        <v>429</v>
      </c>
      <c r="E1497" t="s">
        <v>14</v>
      </c>
      <c r="F1497" t="s">
        <v>41</v>
      </c>
      <c r="G1497" t="s">
        <v>24</v>
      </c>
      <c r="H1497" t="s">
        <v>1085</v>
      </c>
      <c r="I1497" s="2">
        <v>81.89</v>
      </c>
      <c r="J1497">
        <v>1</v>
      </c>
      <c r="K1497" s="2">
        <v>1.8672</v>
      </c>
      <c r="L1497" s="3">
        <f>(Table1[[#This Row],[Profit]]/Table1[[#This Row],[Sales]])*100</f>
        <v>2.2801318842349492</v>
      </c>
    </row>
    <row r="1498" spans="1:12" x14ac:dyDescent="0.3">
      <c r="A1498" t="s">
        <v>5583</v>
      </c>
      <c r="B1498" s="1">
        <v>44110</v>
      </c>
      <c r="C1498" t="s">
        <v>3457</v>
      </c>
      <c r="D1498" t="s">
        <v>3458</v>
      </c>
      <c r="E1498" t="s">
        <v>14</v>
      </c>
      <c r="F1498" t="s">
        <v>23</v>
      </c>
      <c r="G1498" t="s">
        <v>24</v>
      </c>
      <c r="H1498" t="s">
        <v>2137</v>
      </c>
      <c r="I1498" s="2">
        <v>88.343999999999994</v>
      </c>
      <c r="J1498">
        <v>2</v>
      </c>
      <c r="K1498" s="2">
        <v>1.8688</v>
      </c>
      <c r="L1498" s="3">
        <f>(Table1[[#This Row],[Profit]]/Table1[[#This Row],[Sales]])*100</f>
        <v>2.1153672009417734</v>
      </c>
    </row>
    <row r="1499" spans="1:12" x14ac:dyDescent="0.3">
      <c r="A1499" t="s">
        <v>2743</v>
      </c>
      <c r="B1499" s="1">
        <v>43723</v>
      </c>
      <c r="C1499" t="s">
        <v>774</v>
      </c>
      <c r="D1499" t="s">
        <v>775</v>
      </c>
      <c r="E1499" t="s">
        <v>14</v>
      </c>
      <c r="F1499" t="s">
        <v>15</v>
      </c>
      <c r="G1499" t="s">
        <v>24</v>
      </c>
      <c r="H1499" t="s">
        <v>2744</v>
      </c>
      <c r="I1499" s="2">
        <v>5.3440000000000003</v>
      </c>
      <c r="J1499">
        <v>1</v>
      </c>
      <c r="K1499" s="2">
        <v>1.8704000000000001</v>
      </c>
      <c r="L1499" s="3">
        <f>(Table1[[#This Row],[Profit]]/Table1[[#This Row],[Sales]])*100</f>
        <v>35</v>
      </c>
    </row>
    <row r="1500" spans="1:12" x14ac:dyDescent="0.3">
      <c r="A1500" t="s">
        <v>4518</v>
      </c>
      <c r="B1500" s="1">
        <v>43944</v>
      </c>
      <c r="C1500" t="s">
        <v>2363</v>
      </c>
      <c r="D1500" t="s">
        <v>2364</v>
      </c>
      <c r="E1500" t="s">
        <v>14</v>
      </c>
      <c r="F1500" t="s">
        <v>15</v>
      </c>
      <c r="G1500" t="s">
        <v>24</v>
      </c>
      <c r="H1500" t="s">
        <v>3069</v>
      </c>
      <c r="I1500" s="2">
        <v>112.34399999999999</v>
      </c>
      <c r="J1500">
        <v>1</v>
      </c>
      <c r="K1500" s="2">
        <v>1.8704000000000001</v>
      </c>
      <c r="L1500" s="3">
        <f>(Table1[[#This Row],[Profit]]/Table1[[#This Row],[Sales]])*100</f>
        <v>1.6648864202805671</v>
      </c>
    </row>
    <row r="1501" spans="1:12" x14ac:dyDescent="0.3">
      <c r="A1501" t="s">
        <v>2823</v>
      </c>
      <c r="B1501" s="1">
        <v>43727</v>
      </c>
      <c r="C1501" t="s">
        <v>133</v>
      </c>
      <c r="D1501" t="s">
        <v>134</v>
      </c>
      <c r="E1501" t="s">
        <v>14</v>
      </c>
      <c r="F1501" t="s">
        <v>23</v>
      </c>
      <c r="G1501" t="s">
        <v>24</v>
      </c>
      <c r="H1501" t="s">
        <v>2824</v>
      </c>
      <c r="I1501" s="2">
        <v>6.24</v>
      </c>
      <c r="J1501">
        <v>3</v>
      </c>
      <c r="K1501" s="2">
        <v>1.8720000000000001</v>
      </c>
      <c r="L1501" s="3">
        <f>(Table1[[#This Row],[Profit]]/Table1[[#This Row],[Sales]])*100</f>
        <v>30</v>
      </c>
    </row>
    <row r="1502" spans="1:12" x14ac:dyDescent="0.3">
      <c r="A1502" t="s">
        <v>655</v>
      </c>
      <c r="B1502" s="1">
        <v>43538</v>
      </c>
      <c r="C1502" t="s">
        <v>336</v>
      </c>
      <c r="D1502" t="s">
        <v>337</v>
      </c>
      <c r="E1502" t="s">
        <v>14</v>
      </c>
      <c r="F1502" t="s">
        <v>29</v>
      </c>
      <c r="G1502" t="s">
        <v>24</v>
      </c>
      <c r="H1502" t="s">
        <v>541</v>
      </c>
      <c r="I1502" s="2">
        <v>5.1840000000000002</v>
      </c>
      <c r="J1502">
        <v>1</v>
      </c>
      <c r="K1502" s="2">
        <v>1.8792</v>
      </c>
      <c r="L1502" s="3">
        <f>(Table1[[#This Row],[Profit]]/Table1[[#This Row],[Sales]])*100</f>
        <v>36.25</v>
      </c>
    </row>
    <row r="1503" spans="1:12" x14ac:dyDescent="0.3">
      <c r="A1503" t="s">
        <v>5313</v>
      </c>
      <c r="B1503" s="1">
        <v>44081</v>
      </c>
      <c r="C1503" t="s">
        <v>103</v>
      </c>
      <c r="D1503" t="s">
        <v>104</v>
      </c>
      <c r="E1503" t="s">
        <v>14</v>
      </c>
      <c r="F1503" t="s">
        <v>29</v>
      </c>
      <c r="G1503" t="s">
        <v>18</v>
      </c>
      <c r="H1503" t="s">
        <v>1653</v>
      </c>
      <c r="I1503" s="2">
        <v>81.48</v>
      </c>
      <c r="J1503">
        <v>1</v>
      </c>
      <c r="K1503" s="2">
        <v>1.8872</v>
      </c>
      <c r="L1503" s="3">
        <f>(Table1[[#This Row],[Profit]]/Table1[[#This Row],[Sales]])*100</f>
        <v>2.3161512027491407</v>
      </c>
    </row>
    <row r="1504" spans="1:12" x14ac:dyDescent="0.3">
      <c r="A1504" t="s">
        <v>2248</v>
      </c>
      <c r="B1504" s="1">
        <v>43681</v>
      </c>
      <c r="C1504" t="s">
        <v>2249</v>
      </c>
      <c r="D1504" t="s">
        <v>2250</v>
      </c>
      <c r="E1504" t="s">
        <v>14</v>
      </c>
      <c r="F1504" t="s">
        <v>41</v>
      </c>
      <c r="G1504" t="s">
        <v>24</v>
      </c>
      <c r="H1504" t="s">
        <v>167</v>
      </c>
      <c r="I1504" s="2">
        <v>4.13</v>
      </c>
      <c r="J1504">
        <v>1</v>
      </c>
      <c r="K1504" s="2">
        <v>1.8997999999999999</v>
      </c>
      <c r="L1504" s="3">
        <f>(Table1[[#This Row],[Profit]]/Table1[[#This Row],[Sales]])*100</f>
        <v>46</v>
      </c>
    </row>
    <row r="1505" spans="1:12" x14ac:dyDescent="0.3">
      <c r="A1505" t="s">
        <v>4166</v>
      </c>
      <c r="B1505" s="1">
        <v>43881</v>
      </c>
      <c r="C1505" t="s">
        <v>592</v>
      </c>
      <c r="D1505" t="s">
        <v>593</v>
      </c>
      <c r="E1505" t="s">
        <v>14</v>
      </c>
      <c r="F1505" t="s">
        <v>29</v>
      </c>
      <c r="G1505" t="s">
        <v>24</v>
      </c>
      <c r="H1505" t="s">
        <v>2970</v>
      </c>
      <c r="I1505" s="2">
        <v>1038.56</v>
      </c>
      <c r="J1505">
        <v>2</v>
      </c>
      <c r="K1505" s="2">
        <v>1.9024000000000001</v>
      </c>
      <c r="L1505" s="3">
        <f>(Table1[[#This Row],[Profit]]/Table1[[#This Row],[Sales]])*100</f>
        <v>0.18317670620859652</v>
      </c>
    </row>
    <row r="1506" spans="1:12" x14ac:dyDescent="0.3">
      <c r="A1506" t="s">
        <v>5017</v>
      </c>
      <c r="B1506" s="1">
        <v>44027</v>
      </c>
      <c r="C1506" t="s">
        <v>4608</v>
      </c>
      <c r="D1506" t="s">
        <v>4609</v>
      </c>
      <c r="E1506" t="s">
        <v>14</v>
      </c>
      <c r="F1506" t="s">
        <v>15</v>
      </c>
      <c r="G1506" t="s">
        <v>24</v>
      </c>
      <c r="H1506" t="s">
        <v>5019</v>
      </c>
      <c r="I1506" s="2">
        <v>90.56</v>
      </c>
      <c r="J1506">
        <v>2</v>
      </c>
      <c r="K1506" s="2">
        <v>1.9024000000000001</v>
      </c>
      <c r="L1506" s="3">
        <f>(Table1[[#This Row],[Profit]]/Table1[[#This Row],[Sales]])*100</f>
        <v>2.100706713780919</v>
      </c>
    </row>
    <row r="1507" spans="1:12" x14ac:dyDescent="0.3">
      <c r="A1507" t="s">
        <v>5338</v>
      </c>
      <c r="B1507" s="1">
        <v>44083</v>
      </c>
      <c r="C1507" t="s">
        <v>271</v>
      </c>
      <c r="D1507" t="s">
        <v>272</v>
      </c>
      <c r="E1507" t="s">
        <v>14</v>
      </c>
      <c r="F1507" t="s">
        <v>23</v>
      </c>
      <c r="G1507" t="s">
        <v>24</v>
      </c>
      <c r="H1507" t="s">
        <v>1792</v>
      </c>
      <c r="I1507" s="2">
        <v>132.56</v>
      </c>
      <c r="J1507">
        <v>2</v>
      </c>
      <c r="K1507" s="2">
        <v>1.9024000000000001</v>
      </c>
      <c r="L1507" s="3">
        <f>(Table1[[#This Row],[Profit]]/Table1[[#This Row],[Sales]])*100</f>
        <v>1.4351237175618587</v>
      </c>
    </row>
    <row r="1508" spans="1:12" x14ac:dyDescent="0.3">
      <c r="A1508" t="s">
        <v>1317</v>
      </c>
      <c r="B1508" s="1">
        <v>43594</v>
      </c>
      <c r="C1508" t="s">
        <v>589</v>
      </c>
      <c r="D1508" t="s">
        <v>590</v>
      </c>
      <c r="E1508" t="s">
        <v>14</v>
      </c>
      <c r="F1508" t="s">
        <v>29</v>
      </c>
      <c r="G1508" t="s">
        <v>18</v>
      </c>
      <c r="H1508" t="s">
        <v>1318</v>
      </c>
      <c r="I1508" s="2">
        <v>19.135999999999999</v>
      </c>
      <c r="J1508">
        <v>2</v>
      </c>
      <c r="K1508" s="2">
        <v>1.9136</v>
      </c>
      <c r="L1508" s="3">
        <f>(Table1[[#This Row],[Profit]]/Table1[[#This Row],[Sales]])*100</f>
        <v>10</v>
      </c>
    </row>
    <row r="1509" spans="1:12" x14ac:dyDescent="0.3">
      <c r="A1509" t="s">
        <v>2878</v>
      </c>
      <c r="B1509" s="1">
        <v>43731</v>
      </c>
      <c r="C1509" t="s">
        <v>1702</v>
      </c>
      <c r="D1509" t="s">
        <v>1703</v>
      </c>
      <c r="E1509" t="s">
        <v>14</v>
      </c>
      <c r="F1509" t="s">
        <v>23</v>
      </c>
      <c r="G1509" t="s">
        <v>24</v>
      </c>
      <c r="H1509" t="s">
        <v>991</v>
      </c>
      <c r="I1509" s="2">
        <v>4.08</v>
      </c>
      <c r="J1509">
        <v>2</v>
      </c>
      <c r="K1509" s="2">
        <v>1.9176</v>
      </c>
      <c r="L1509" s="3">
        <f>(Table1[[#This Row],[Profit]]/Table1[[#This Row],[Sales]])*100</f>
        <v>47</v>
      </c>
    </row>
    <row r="1510" spans="1:12" x14ac:dyDescent="0.3">
      <c r="A1510" t="s">
        <v>6264</v>
      </c>
      <c r="B1510" s="1">
        <v>44189</v>
      </c>
      <c r="C1510" t="s">
        <v>1762</v>
      </c>
      <c r="D1510" t="s">
        <v>1763</v>
      </c>
      <c r="E1510" t="s">
        <v>14</v>
      </c>
      <c r="F1510" t="s">
        <v>23</v>
      </c>
      <c r="G1510" t="s">
        <v>16</v>
      </c>
      <c r="H1510" t="s">
        <v>265</v>
      </c>
      <c r="I1510" s="2">
        <v>427.54399999999998</v>
      </c>
      <c r="J1510">
        <v>4</v>
      </c>
      <c r="K1510" s="2">
        <v>1.9224000000000001</v>
      </c>
      <c r="L1510" s="3">
        <f>(Table1[[#This Row],[Profit]]/Table1[[#This Row],[Sales]])*100</f>
        <v>0.44963793200232022</v>
      </c>
    </row>
    <row r="1511" spans="1:12" x14ac:dyDescent="0.3">
      <c r="A1511" t="s">
        <v>6288</v>
      </c>
      <c r="B1511" s="1">
        <v>44193</v>
      </c>
      <c r="C1511" t="s">
        <v>714</v>
      </c>
      <c r="D1511" t="s">
        <v>715</v>
      </c>
      <c r="E1511" t="s">
        <v>14</v>
      </c>
      <c r="F1511" t="s">
        <v>23</v>
      </c>
      <c r="G1511" t="s">
        <v>24</v>
      </c>
      <c r="H1511" t="s">
        <v>4339</v>
      </c>
      <c r="I1511" s="2">
        <v>131.28</v>
      </c>
      <c r="J1511">
        <v>1</v>
      </c>
      <c r="K1511" s="2">
        <v>1.9259999999999999</v>
      </c>
      <c r="L1511" s="3">
        <f>(Table1[[#This Row],[Profit]]/Table1[[#This Row],[Sales]])*100</f>
        <v>1.4670932358318098</v>
      </c>
    </row>
    <row r="1512" spans="1:12" x14ac:dyDescent="0.3">
      <c r="A1512" t="s">
        <v>5209</v>
      </c>
      <c r="B1512" s="1">
        <v>44068</v>
      </c>
      <c r="C1512" t="s">
        <v>1992</v>
      </c>
      <c r="D1512" t="s">
        <v>1993</v>
      </c>
      <c r="E1512" t="s">
        <v>14</v>
      </c>
      <c r="F1512" t="s">
        <v>15</v>
      </c>
      <c r="G1512" t="s">
        <v>24</v>
      </c>
      <c r="H1512" t="s">
        <v>5106</v>
      </c>
      <c r="I1512" s="2">
        <v>128.696</v>
      </c>
      <c r="J1512">
        <v>2</v>
      </c>
      <c r="K1512" s="2">
        <v>1.9272</v>
      </c>
      <c r="L1512" s="3">
        <f>(Table1[[#This Row],[Profit]]/Table1[[#This Row],[Sales]])*100</f>
        <v>1.4974824392366506</v>
      </c>
    </row>
    <row r="1513" spans="1:12" x14ac:dyDescent="0.3">
      <c r="A1513" t="s">
        <v>4645</v>
      </c>
      <c r="B1513" s="1">
        <v>43965</v>
      </c>
      <c r="C1513" t="s">
        <v>84</v>
      </c>
      <c r="D1513" t="s">
        <v>85</v>
      </c>
      <c r="E1513" t="s">
        <v>14</v>
      </c>
      <c r="F1513" t="s">
        <v>23</v>
      </c>
      <c r="G1513" t="s">
        <v>24</v>
      </c>
      <c r="H1513" t="s">
        <v>2468</v>
      </c>
      <c r="I1513" s="2">
        <v>151.4</v>
      </c>
      <c r="J1513">
        <v>5</v>
      </c>
      <c r="K1513" s="2">
        <v>1.9319999999999999</v>
      </c>
      <c r="L1513" s="3">
        <f>(Table1[[#This Row],[Profit]]/Table1[[#This Row],[Sales]])*100</f>
        <v>1.2760898282694846</v>
      </c>
    </row>
    <row r="1514" spans="1:12" x14ac:dyDescent="0.3">
      <c r="A1514" t="s">
        <v>6242</v>
      </c>
      <c r="B1514" s="1">
        <v>44187</v>
      </c>
      <c r="C1514" t="s">
        <v>1153</v>
      </c>
      <c r="D1514" t="s">
        <v>1154</v>
      </c>
      <c r="E1514" t="s">
        <v>14</v>
      </c>
      <c r="F1514" t="s">
        <v>41</v>
      </c>
      <c r="G1514" t="s">
        <v>24</v>
      </c>
      <c r="H1514" t="s">
        <v>2562</v>
      </c>
      <c r="I1514" s="2">
        <v>395.16</v>
      </c>
      <c r="J1514">
        <v>3</v>
      </c>
      <c r="K1514" s="2">
        <v>1.962</v>
      </c>
      <c r="L1514" s="3">
        <f>(Table1[[#This Row],[Profit]]/Table1[[#This Row],[Sales]])*100</f>
        <v>0.49650774369875483</v>
      </c>
    </row>
    <row r="1515" spans="1:12" x14ac:dyDescent="0.3">
      <c r="A1515" t="s">
        <v>3068</v>
      </c>
      <c r="B1515" s="1">
        <v>43751</v>
      </c>
      <c r="C1515" t="s">
        <v>1785</v>
      </c>
      <c r="D1515" t="s">
        <v>1786</v>
      </c>
      <c r="E1515" t="s">
        <v>14</v>
      </c>
      <c r="F1515" t="s">
        <v>23</v>
      </c>
      <c r="G1515" t="s">
        <v>24</v>
      </c>
      <c r="H1515" t="s">
        <v>1018</v>
      </c>
      <c r="I1515" s="2">
        <v>4.0199999999999996</v>
      </c>
      <c r="J1515">
        <v>2</v>
      </c>
      <c r="K1515" s="2">
        <v>1.9698</v>
      </c>
      <c r="L1515" s="3">
        <f>(Table1[[#This Row],[Profit]]/Table1[[#This Row],[Sales]])*100</f>
        <v>49.000000000000007</v>
      </c>
    </row>
    <row r="1516" spans="1:12" x14ac:dyDescent="0.3">
      <c r="A1516" t="s">
        <v>1077</v>
      </c>
      <c r="B1516" s="1">
        <v>43574</v>
      </c>
      <c r="C1516" t="s">
        <v>1078</v>
      </c>
      <c r="D1516" t="s">
        <v>1079</v>
      </c>
      <c r="E1516" t="s">
        <v>14</v>
      </c>
      <c r="F1516" t="s">
        <v>23</v>
      </c>
      <c r="G1516" t="s">
        <v>24</v>
      </c>
      <c r="H1516" t="s">
        <v>1083</v>
      </c>
      <c r="I1516" s="2">
        <v>5.84</v>
      </c>
      <c r="J1516">
        <v>1</v>
      </c>
      <c r="K1516" s="2">
        <v>1.9710000000000001</v>
      </c>
      <c r="L1516" s="3">
        <f>(Table1[[#This Row],[Profit]]/Table1[[#This Row],[Sales]])*100</f>
        <v>33.75</v>
      </c>
    </row>
    <row r="1517" spans="1:12" x14ac:dyDescent="0.3">
      <c r="A1517" t="s">
        <v>4805</v>
      </c>
      <c r="B1517" s="1">
        <v>43993</v>
      </c>
      <c r="C1517" t="s">
        <v>871</v>
      </c>
      <c r="D1517" t="s">
        <v>872</v>
      </c>
      <c r="E1517" t="s">
        <v>14</v>
      </c>
      <c r="F1517" t="s">
        <v>23</v>
      </c>
      <c r="G1517" t="s">
        <v>24</v>
      </c>
      <c r="H1517" t="s">
        <v>72</v>
      </c>
      <c r="I1517" s="2">
        <v>125.872</v>
      </c>
      <c r="J1517">
        <v>1</v>
      </c>
      <c r="K1517" s="2">
        <v>1.984</v>
      </c>
      <c r="L1517" s="3">
        <f>(Table1[[#This Row],[Profit]]/Table1[[#This Row],[Sales]])*100</f>
        <v>1.5762043981187239</v>
      </c>
    </row>
    <row r="1518" spans="1:12" x14ac:dyDescent="0.3">
      <c r="A1518" t="s">
        <v>3962</v>
      </c>
      <c r="B1518" s="1">
        <v>43829</v>
      </c>
      <c r="C1518" t="s">
        <v>1034</v>
      </c>
      <c r="D1518" t="s">
        <v>1035</v>
      </c>
      <c r="E1518" t="s">
        <v>14</v>
      </c>
      <c r="F1518" t="s">
        <v>15</v>
      </c>
      <c r="G1518" t="s">
        <v>24</v>
      </c>
      <c r="H1518" t="s">
        <v>1684</v>
      </c>
      <c r="I1518" s="2">
        <v>5.9039999999999999</v>
      </c>
      <c r="J1518">
        <v>2</v>
      </c>
      <c r="K1518" s="2">
        <v>1.9925999999999999</v>
      </c>
      <c r="L1518" s="3">
        <f>(Table1[[#This Row],[Profit]]/Table1[[#This Row],[Sales]])*100</f>
        <v>33.75</v>
      </c>
    </row>
    <row r="1519" spans="1:12" x14ac:dyDescent="0.3">
      <c r="A1519" t="s">
        <v>4632</v>
      </c>
      <c r="B1519" s="1">
        <v>43963</v>
      </c>
      <c r="C1519" t="s">
        <v>3021</v>
      </c>
      <c r="D1519" t="s">
        <v>3022</v>
      </c>
      <c r="E1519" t="s">
        <v>14</v>
      </c>
      <c r="F1519" t="s">
        <v>15</v>
      </c>
      <c r="G1519" t="s">
        <v>24</v>
      </c>
      <c r="H1519" t="s">
        <v>4633</v>
      </c>
      <c r="I1519" s="2">
        <v>90.903999999999996</v>
      </c>
      <c r="J1519">
        <v>2</v>
      </c>
      <c r="K1519" s="2">
        <v>1.9925999999999999</v>
      </c>
      <c r="L1519" s="3">
        <f>(Table1[[#This Row],[Profit]]/Table1[[#This Row],[Sales]])*100</f>
        <v>2.1919827510340579</v>
      </c>
    </row>
    <row r="1520" spans="1:12" x14ac:dyDescent="0.3">
      <c r="A1520" t="s">
        <v>400</v>
      </c>
      <c r="B1520" s="1">
        <v>43517</v>
      </c>
      <c r="C1520" t="s">
        <v>401</v>
      </c>
      <c r="D1520" t="s">
        <v>402</v>
      </c>
      <c r="E1520" t="s">
        <v>14</v>
      </c>
      <c r="F1520" t="s">
        <v>15</v>
      </c>
      <c r="G1520" t="s">
        <v>18</v>
      </c>
      <c r="H1520" t="s">
        <v>405</v>
      </c>
      <c r="I1520" s="2">
        <v>39.979999999999997</v>
      </c>
      <c r="J1520">
        <v>2</v>
      </c>
      <c r="K1520" s="2">
        <v>1.9990000000000001</v>
      </c>
      <c r="L1520" s="3">
        <f>(Table1[[#This Row],[Profit]]/Table1[[#This Row],[Sales]])*100</f>
        <v>5.0000000000000009</v>
      </c>
    </row>
    <row r="1521" spans="1:12" x14ac:dyDescent="0.3">
      <c r="A1521" t="s">
        <v>3394</v>
      </c>
      <c r="B1521" s="1">
        <v>43781</v>
      </c>
      <c r="C1521" t="s">
        <v>1496</v>
      </c>
      <c r="D1521" t="s">
        <v>1497</v>
      </c>
      <c r="E1521" t="s">
        <v>14</v>
      </c>
      <c r="F1521" t="s">
        <v>23</v>
      </c>
      <c r="G1521" t="s">
        <v>18</v>
      </c>
      <c r="H1521" t="s">
        <v>3371</v>
      </c>
      <c r="I1521" s="2">
        <v>31.984000000000002</v>
      </c>
      <c r="J1521">
        <v>2</v>
      </c>
      <c r="K1521" s="2">
        <v>1.9990000000000001</v>
      </c>
      <c r="L1521" s="3">
        <f>(Table1[[#This Row],[Profit]]/Table1[[#This Row],[Sales]])*100</f>
        <v>6.25</v>
      </c>
    </row>
    <row r="1522" spans="1:12" x14ac:dyDescent="0.3">
      <c r="A1522" t="s">
        <v>4775</v>
      </c>
      <c r="B1522" s="1">
        <v>43986</v>
      </c>
      <c r="C1522" t="s">
        <v>1259</v>
      </c>
      <c r="D1522" t="s">
        <v>1260</v>
      </c>
      <c r="E1522" t="s">
        <v>14</v>
      </c>
      <c r="F1522" t="s">
        <v>41</v>
      </c>
      <c r="G1522" t="s">
        <v>16</v>
      </c>
      <c r="H1522" t="s">
        <v>2523</v>
      </c>
      <c r="I1522" s="2">
        <v>123.98399999999999</v>
      </c>
      <c r="J1522">
        <v>2</v>
      </c>
      <c r="K1522" s="2">
        <v>1.9990000000000001</v>
      </c>
      <c r="L1522" s="3">
        <f>(Table1[[#This Row],[Profit]]/Table1[[#This Row],[Sales]])*100</f>
        <v>1.6123048135243259</v>
      </c>
    </row>
    <row r="1523" spans="1:12" x14ac:dyDescent="0.3">
      <c r="A1523" t="s">
        <v>1258</v>
      </c>
      <c r="B1523" s="1">
        <v>43590</v>
      </c>
      <c r="C1523" t="s">
        <v>1259</v>
      </c>
      <c r="D1523" t="s">
        <v>1260</v>
      </c>
      <c r="E1523" t="s">
        <v>14</v>
      </c>
      <c r="F1523" t="s">
        <v>23</v>
      </c>
      <c r="G1523" t="s">
        <v>24</v>
      </c>
      <c r="H1523" t="s">
        <v>1262</v>
      </c>
      <c r="I1523" s="2">
        <v>5.7279999999999998</v>
      </c>
      <c r="J1523">
        <v>2</v>
      </c>
      <c r="K1523" s="2">
        <v>2.0047999999999999</v>
      </c>
      <c r="L1523" s="3">
        <f>(Table1[[#This Row],[Profit]]/Table1[[#This Row],[Sales]])*100</f>
        <v>35</v>
      </c>
    </row>
    <row r="1524" spans="1:12" x14ac:dyDescent="0.3">
      <c r="A1524" t="s">
        <v>4471</v>
      </c>
      <c r="B1524" s="1">
        <v>43936</v>
      </c>
      <c r="C1524" t="s">
        <v>3818</v>
      </c>
      <c r="D1524" t="s">
        <v>3819</v>
      </c>
      <c r="E1524" t="s">
        <v>14</v>
      </c>
      <c r="F1524" t="s">
        <v>41</v>
      </c>
      <c r="G1524" t="s">
        <v>24</v>
      </c>
      <c r="H1524" t="s">
        <v>2572</v>
      </c>
      <c r="I1524" s="2">
        <v>98.89</v>
      </c>
      <c r="J1524">
        <v>1</v>
      </c>
      <c r="K1524" s="2">
        <v>2.0049000000000001</v>
      </c>
      <c r="L1524" s="3">
        <f>(Table1[[#This Row],[Profit]]/Table1[[#This Row],[Sales]])*100</f>
        <v>2.0274041864698149</v>
      </c>
    </row>
    <row r="1525" spans="1:12" x14ac:dyDescent="0.3">
      <c r="A1525" t="s">
        <v>3774</v>
      </c>
      <c r="B1525" s="1">
        <v>43810</v>
      </c>
      <c r="C1525" t="s">
        <v>118</v>
      </c>
      <c r="D1525" t="s">
        <v>119</v>
      </c>
      <c r="E1525" t="s">
        <v>14</v>
      </c>
      <c r="F1525" t="s">
        <v>23</v>
      </c>
      <c r="G1525" t="s">
        <v>24</v>
      </c>
      <c r="H1525" t="s">
        <v>964</v>
      </c>
      <c r="I1525" s="2">
        <v>50.22</v>
      </c>
      <c r="J1525">
        <v>3</v>
      </c>
      <c r="K1525" s="2">
        <v>2.0087999999999999</v>
      </c>
      <c r="L1525" s="3">
        <f>(Table1[[#This Row],[Profit]]/Table1[[#This Row],[Sales]])*100</f>
        <v>4</v>
      </c>
    </row>
    <row r="1526" spans="1:12" x14ac:dyDescent="0.3">
      <c r="A1526" t="s">
        <v>5682</v>
      </c>
      <c r="B1526" s="1">
        <v>44125</v>
      </c>
      <c r="C1526" t="s">
        <v>2104</v>
      </c>
      <c r="D1526" t="s">
        <v>2105</v>
      </c>
      <c r="E1526" t="s">
        <v>14</v>
      </c>
      <c r="F1526" t="s">
        <v>41</v>
      </c>
      <c r="G1526" t="s">
        <v>24</v>
      </c>
      <c r="H1526" t="s">
        <v>742</v>
      </c>
      <c r="I1526" s="2">
        <v>128.85599999999999</v>
      </c>
      <c r="J1526">
        <v>4</v>
      </c>
      <c r="K1526" s="2">
        <v>2.0087999999999999</v>
      </c>
      <c r="L1526" s="3">
        <f>(Table1[[#This Row],[Profit]]/Table1[[#This Row],[Sales]])*100</f>
        <v>1.55894952505122</v>
      </c>
    </row>
    <row r="1527" spans="1:12" x14ac:dyDescent="0.3">
      <c r="A1527" t="s">
        <v>1070</v>
      </c>
      <c r="B1527" s="1">
        <v>43573</v>
      </c>
      <c r="C1527" t="s">
        <v>1071</v>
      </c>
      <c r="D1527" t="s">
        <v>1072</v>
      </c>
      <c r="E1527" t="s">
        <v>14</v>
      </c>
      <c r="F1527" t="s">
        <v>15</v>
      </c>
      <c r="G1527" t="s">
        <v>24</v>
      </c>
      <c r="H1527" t="s">
        <v>111</v>
      </c>
      <c r="I1527" s="2">
        <v>6.99</v>
      </c>
      <c r="J1527">
        <v>3</v>
      </c>
      <c r="K1527" s="2">
        <v>2.0270999999999999</v>
      </c>
      <c r="L1527" s="3">
        <f>(Table1[[#This Row],[Profit]]/Table1[[#This Row],[Sales]])*100</f>
        <v>28.999999999999996</v>
      </c>
    </row>
    <row r="1528" spans="1:12" x14ac:dyDescent="0.3">
      <c r="A1528" t="s">
        <v>6027</v>
      </c>
      <c r="B1528" s="1">
        <v>44162</v>
      </c>
      <c r="C1528" t="s">
        <v>2373</v>
      </c>
      <c r="D1528" t="s">
        <v>2374</v>
      </c>
      <c r="E1528" t="s">
        <v>14</v>
      </c>
      <c r="F1528" t="s">
        <v>15</v>
      </c>
      <c r="G1528" t="s">
        <v>24</v>
      </c>
      <c r="H1528" t="s">
        <v>111</v>
      </c>
      <c r="I1528" s="2">
        <v>91.99</v>
      </c>
      <c r="J1528">
        <v>3</v>
      </c>
      <c r="K1528" s="2">
        <v>2.0270999999999999</v>
      </c>
      <c r="L1528" s="3">
        <f>(Table1[[#This Row],[Profit]]/Table1[[#This Row],[Sales]])*100</f>
        <v>2.2036090879443417</v>
      </c>
    </row>
    <row r="1529" spans="1:12" x14ac:dyDescent="0.3">
      <c r="A1529" t="s">
        <v>5785</v>
      </c>
      <c r="B1529" s="1">
        <v>44140</v>
      </c>
      <c r="C1529" t="s">
        <v>627</v>
      </c>
      <c r="D1529" t="s">
        <v>628</v>
      </c>
      <c r="E1529" t="s">
        <v>14</v>
      </c>
      <c r="F1529" t="s">
        <v>29</v>
      </c>
      <c r="G1529" t="s">
        <v>24</v>
      </c>
      <c r="H1529" t="s">
        <v>2469</v>
      </c>
      <c r="I1529" s="2">
        <v>98.41</v>
      </c>
      <c r="J1529">
        <v>1</v>
      </c>
      <c r="K1529" s="2">
        <v>2.0286</v>
      </c>
      <c r="L1529" s="3">
        <f>(Table1[[#This Row],[Profit]]/Table1[[#This Row],[Sales]])*100</f>
        <v>2.0613758764353216</v>
      </c>
    </row>
    <row r="1530" spans="1:12" x14ac:dyDescent="0.3">
      <c r="A1530" t="s">
        <v>2126</v>
      </c>
      <c r="B1530" s="1">
        <v>43667</v>
      </c>
      <c r="C1530" t="s">
        <v>977</v>
      </c>
      <c r="D1530" t="s">
        <v>978</v>
      </c>
      <c r="E1530" t="s">
        <v>14</v>
      </c>
      <c r="F1530" t="s">
        <v>41</v>
      </c>
      <c r="G1530" t="s">
        <v>24</v>
      </c>
      <c r="H1530" t="s">
        <v>2127</v>
      </c>
      <c r="I1530" s="2">
        <v>6.2640000000000002</v>
      </c>
      <c r="J1530">
        <v>3</v>
      </c>
      <c r="K1530" s="2">
        <v>2.0358000000000001</v>
      </c>
      <c r="L1530" s="3">
        <f>(Table1[[#This Row],[Profit]]/Table1[[#This Row],[Sales]])*100</f>
        <v>32.5</v>
      </c>
    </row>
    <row r="1531" spans="1:12" x14ac:dyDescent="0.3">
      <c r="A1531" t="s">
        <v>2722</v>
      </c>
      <c r="B1531" s="1">
        <v>43720</v>
      </c>
      <c r="C1531" t="s">
        <v>44</v>
      </c>
      <c r="D1531" t="s">
        <v>45</v>
      </c>
      <c r="E1531" t="s">
        <v>14</v>
      </c>
      <c r="F1531" t="s">
        <v>23</v>
      </c>
      <c r="G1531" t="s">
        <v>24</v>
      </c>
      <c r="H1531" t="s">
        <v>2724</v>
      </c>
      <c r="I1531" s="2">
        <v>6.2640000000000002</v>
      </c>
      <c r="J1531">
        <v>3</v>
      </c>
      <c r="K1531" s="2">
        <v>2.0358000000000001</v>
      </c>
      <c r="L1531" s="3">
        <f>(Table1[[#This Row],[Profit]]/Table1[[#This Row],[Sales]])*100</f>
        <v>32.5</v>
      </c>
    </row>
    <row r="1532" spans="1:12" x14ac:dyDescent="0.3">
      <c r="A1532" t="s">
        <v>4402</v>
      </c>
      <c r="B1532" s="1">
        <v>43922</v>
      </c>
      <c r="C1532" t="s">
        <v>1976</v>
      </c>
      <c r="D1532" t="s">
        <v>1977</v>
      </c>
      <c r="E1532" t="s">
        <v>14</v>
      </c>
      <c r="F1532" t="s">
        <v>41</v>
      </c>
      <c r="G1532" t="s">
        <v>24</v>
      </c>
      <c r="H1532" t="s">
        <v>2127</v>
      </c>
      <c r="I1532" s="2">
        <v>116.264</v>
      </c>
      <c r="J1532">
        <v>3</v>
      </c>
      <c r="K1532" s="2">
        <v>2.0358000000000001</v>
      </c>
      <c r="L1532" s="3">
        <f>(Table1[[#This Row],[Profit]]/Table1[[#This Row],[Sales]])*100</f>
        <v>1.7510149315351271</v>
      </c>
    </row>
    <row r="1533" spans="1:12" x14ac:dyDescent="0.3">
      <c r="A1533" t="s">
        <v>5716</v>
      </c>
      <c r="B1533" s="1">
        <v>44131</v>
      </c>
      <c r="C1533" t="s">
        <v>2370</v>
      </c>
      <c r="D1533" t="s">
        <v>2371</v>
      </c>
      <c r="E1533" t="s">
        <v>14</v>
      </c>
      <c r="F1533" t="s">
        <v>29</v>
      </c>
      <c r="G1533" t="s">
        <v>18</v>
      </c>
      <c r="H1533" t="s">
        <v>4385</v>
      </c>
      <c r="I1533" s="2">
        <v>107.184</v>
      </c>
      <c r="J1533">
        <v>2</v>
      </c>
      <c r="K1533" s="2">
        <v>2.0388000000000002</v>
      </c>
      <c r="L1533" s="3">
        <f>(Table1[[#This Row],[Profit]]/Table1[[#This Row],[Sales]])*100</f>
        <v>1.9021495745633679</v>
      </c>
    </row>
    <row r="1534" spans="1:12" x14ac:dyDescent="0.3">
      <c r="A1534" t="s">
        <v>3515</v>
      </c>
      <c r="B1534" s="1">
        <v>43790</v>
      </c>
      <c r="C1534" t="s">
        <v>1330</v>
      </c>
      <c r="D1534" t="s">
        <v>1331</v>
      </c>
      <c r="E1534" t="s">
        <v>14</v>
      </c>
      <c r="F1534" t="s">
        <v>29</v>
      </c>
      <c r="G1534" t="s">
        <v>18</v>
      </c>
      <c r="H1534" t="s">
        <v>3516</v>
      </c>
      <c r="I1534" s="2">
        <v>81.575999999999993</v>
      </c>
      <c r="J1534">
        <v>3</v>
      </c>
      <c r="K1534" s="2">
        <v>2.0394000000000001</v>
      </c>
      <c r="L1534" s="3">
        <f>(Table1[[#This Row],[Profit]]/Table1[[#This Row],[Sales]])*100</f>
        <v>2.5000000000000004</v>
      </c>
    </row>
    <row r="1535" spans="1:12" x14ac:dyDescent="0.3">
      <c r="A1535" t="s">
        <v>1741</v>
      </c>
      <c r="B1535" s="1">
        <v>43630</v>
      </c>
      <c r="C1535" t="s">
        <v>414</v>
      </c>
      <c r="D1535" t="s">
        <v>415</v>
      </c>
      <c r="E1535" t="s">
        <v>14</v>
      </c>
      <c r="F1535" t="s">
        <v>23</v>
      </c>
      <c r="G1535" t="s">
        <v>24</v>
      </c>
      <c r="H1535" t="s">
        <v>1742</v>
      </c>
      <c r="I1535" s="2">
        <v>7.04</v>
      </c>
      <c r="J1535">
        <v>4</v>
      </c>
      <c r="K1535" s="2">
        <v>2.0415999999999999</v>
      </c>
      <c r="L1535" s="3">
        <f>(Table1[[#This Row],[Profit]]/Table1[[#This Row],[Sales]])*100</f>
        <v>28.999999999999996</v>
      </c>
    </row>
    <row r="1536" spans="1:12" x14ac:dyDescent="0.3">
      <c r="A1536" t="s">
        <v>4414</v>
      </c>
      <c r="B1536" s="1">
        <v>43925</v>
      </c>
      <c r="C1536" t="s">
        <v>2533</v>
      </c>
      <c r="D1536" t="s">
        <v>2534</v>
      </c>
      <c r="E1536" t="s">
        <v>14</v>
      </c>
      <c r="F1536" t="s">
        <v>15</v>
      </c>
      <c r="G1536" t="s">
        <v>24</v>
      </c>
      <c r="H1536" t="s">
        <v>1742</v>
      </c>
      <c r="I1536" s="2">
        <v>105.04</v>
      </c>
      <c r="J1536">
        <v>4</v>
      </c>
      <c r="K1536" s="2">
        <v>2.0415999999999999</v>
      </c>
      <c r="L1536" s="3">
        <f>(Table1[[#This Row],[Profit]]/Table1[[#This Row],[Sales]])*100</f>
        <v>1.9436405178979432</v>
      </c>
    </row>
    <row r="1537" spans="1:12" x14ac:dyDescent="0.3">
      <c r="A1537" t="s">
        <v>4905</v>
      </c>
      <c r="B1537" s="1">
        <v>44008</v>
      </c>
      <c r="C1537" t="s">
        <v>4906</v>
      </c>
      <c r="D1537" t="s">
        <v>4907</v>
      </c>
      <c r="E1537" t="s">
        <v>14</v>
      </c>
      <c r="F1537" t="s">
        <v>29</v>
      </c>
      <c r="G1537" t="s">
        <v>24</v>
      </c>
      <c r="H1537" t="s">
        <v>3495</v>
      </c>
      <c r="I1537" s="2">
        <v>111.54</v>
      </c>
      <c r="J1537">
        <v>1</v>
      </c>
      <c r="K1537" s="2">
        <v>2.0430000000000001</v>
      </c>
      <c r="L1537" s="3">
        <f>(Table1[[#This Row],[Profit]]/Table1[[#This Row],[Sales]])*100</f>
        <v>1.8316299085529855</v>
      </c>
    </row>
    <row r="1538" spans="1:12" x14ac:dyDescent="0.3">
      <c r="A1538" t="s">
        <v>3917</v>
      </c>
      <c r="B1538" s="1">
        <v>43825</v>
      </c>
      <c r="C1538" t="s">
        <v>599</v>
      </c>
      <c r="D1538" t="s">
        <v>600</v>
      </c>
      <c r="E1538" t="s">
        <v>14</v>
      </c>
      <c r="F1538" t="s">
        <v>23</v>
      </c>
      <c r="G1538" t="s">
        <v>24</v>
      </c>
      <c r="H1538" t="s">
        <v>2206</v>
      </c>
      <c r="I1538" s="2">
        <v>7.9</v>
      </c>
      <c r="J1538">
        <v>2</v>
      </c>
      <c r="K1538" s="2">
        <v>2.0539999999999998</v>
      </c>
      <c r="L1538" s="3">
        <f>(Table1[[#This Row],[Profit]]/Table1[[#This Row],[Sales]])*100</f>
        <v>25.999999999999996</v>
      </c>
    </row>
    <row r="1539" spans="1:12" x14ac:dyDescent="0.3">
      <c r="A1539" t="s">
        <v>4477</v>
      </c>
      <c r="B1539" s="1">
        <v>43937</v>
      </c>
      <c r="C1539" t="s">
        <v>3041</v>
      </c>
      <c r="D1539" t="s">
        <v>3042</v>
      </c>
      <c r="E1539" t="s">
        <v>14</v>
      </c>
      <c r="F1539" t="s">
        <v>23</v>
      </c>
      <c r="G1539" t="s">
        <v>24</v>
      </c>
      <c r="H1539" t="s">
        <v>297</v>
      </c>
      <c r="I1539" s="2">
        <v>235.92</v>
      </c>
      <c r="J1539">
        <v>4</v>
      </c>
      <c r="K1539" s="2">
        <v>2.0592000000000001</v>
      </c>
      <c r="L1539" s="3">
        <f>(Table1[[#This Row],[Profit]]/Table1[[#This Row],[Sales]])*100</f>
        <v>0.8728382502543236</v>
      </c>
    </row>
    <row r="1540" spans="1:12" x14ac:dyDescent="0.3">
      <c r="A1540" t="s">
        <v>4479</v>
      </c>
      <c r="B1540" s="1">
        <v>43937</v>
      </c>
      <c r="C1540" t="s">
        <v>668</v>
      </c>
      <c r="D1540" t="s">
        <v>669</v>
      </c>
      <c r="E1540" t="s">
        <v>14</v>
      </c>
      <c r="F1540" t="s">
        <v>29</v>
      </c>
      <c r="G1540" t="s">
        <v>24</v>
      </c>
      <c r="H1540" t="s">
        <v>2191</v>
      </c>
      <c r="I1540" s="2">
        <v>80.52</v>
      </c>
      <c r="J1540">
        <v>5</v>
      </c>
      <c r="K1540" s="2">
        <v>2.0649999999999999</v>
      </c>
      <c r="L1540" s="3">
        <f>(Table1[[#This Row],[Profit]]/Table1[[#This Row],[Sales]])*100</f>
        <v>2.5645802285146546</v>
      </c>
    </row>
    <row r="1541" spans="1:12" x14ac:dyDescent="0.3">
      <c r="A1541" t="s">
        <v>4375</v>
      </c>
      <c r="B1541" s="1">
        <v>43920</v>
      </c>
      <c r="C1541" t="s">
        <v>1000</v>
      </c>
      <c r="D1541" t="s">
        <v>1001</v>
      </c>
      <c r="E1541" t="s">
        <v>14</v>
      </c>
      <c r="F1541" t="s">
        <v>23</v>
      </c>
      <c r="G1541" t="s">
        <v>24</v>
      </c>
      <c r="H1541" t="s">
        <v>2912</v>
      </c>
      <c r="I1541" s="2">
        <v>70.08</v>
      </c>
      <c r="J1541">
        <v>2</v>
      </c>
      <c r="K1541" s="2">
        <v>2.0672000000000001</v>
      </c>
      <c r="L1541" s="3">
        <f>(Table1[[#This Row],[Profit]]/Table1[[#This Row],[Sales]])*100</f>
        <v>2.9497716894977173</v>
      </c>
    </row>
    <row r="1542" spans="1:12" x14ac:dyDescent="0.3">
      <c r="A1542" t="s">
        <v>344</v>
      </c>
      <c r="B1542" s="1">
        <v>43510</v>
      </c>
      <c r="C1542" t="s">
        <v>345</v>
      </c>
      <c r="D1542" t="s">
        <v>346</v>
      </c>
      <c r="E1542" t="s">
        <v>14</v>
      </c>
      <c r="F1542" t="s">
        <v>15</v>
      </c>
      <c r="G1542" t="s">
        <v>24</v>
      </c>
      <c r="H1542" t="s">
        <v>348</v>
      </c>
      <c r="I1542" s="2">
        <v>7.98</v>
      </c>
      <c r="J1542">
        <v>3</v>
      </c>
      <c r="K1542" s="2">
        <v>2.0748000000000002</v>
      </c>
      <c r="L1542" s="3">
        <f>(Table1[[#This Row],[Profit]]/Table1[[#This Row],[Sales]])*100</f>
        <v>26</v>
      </c>
    </row>
    <row r="1543" spans="1:12" x14ac:dyDescent="0.3">
      <c r="A1543" t="s">
        <v>3240</v>
      </c>
      <c r="B1543" s="1">
        <v>43772</v>
      </c>
      <c r="C1543" t="s">
        <v>1024</v>
      </c>
      <c r="D1543" t="s">
        <v>1025</v>
      </c>
      <c r="E1543" t="s">
        <v>14</v>
      </c>
      <c r="F1543" t="s">
        <v>41</v>
      </c>
      <c r="G1543" t="s">
        <v>24</v>
      </c>
      <c r="H1543" t="s">
        <v>348</v>
      </c>
      <c r="I1543" s="2">
        <v>7.98</v>
      </c>
      <c r="J1543">
        <v>3</v>
      </c>
      <c r="K1543" s="2">
        <v>2.0748000000000002</v>
      </c>
      <c r="L1543" s="3">
        <f>(Table1[[#This Row],[Profit]]/Table1[[#This Row],[Sales]])*100</f>
        <v>26</v>
      </c>
    </row>
    <row r="1544" spans="1:12" x14ac:dyDescent="0.3">
      <c r="A1544" t="s">
        <v>4782</v>
      </c>
      <c r="B1544" s="1">
        <v>43990</v>
      </c>
      <c r="C1544" t="s">
        <v>1368</v>
      </c>
      <c r="D1544" t="s">
        <v>1369</v>
      </c>
      <c r="E1544" t="s">
        <v>14</v>
      </c>
      <c r="F1544" t="s">
        <v>29</v>
      </c>
      <c r="G1544" t="s">
        <v>24</v>
      </c>
      <c r="H1544" t="s">
        <v>3446</v>
      </c>
      <c r="I1544" s="2">
        <v>151.76</v>
      </c>
      <c r="J1544">
        <v>3</v>
      </c>
      <c r="K1544" s="2">
        <v>2.0790000000000002</v>
      </c>
      <c r="L1544" s="3">
        <f>(Table1[[#This Row],[Profit]]/Table1[[#This Row],[Sales]])*100</f>
        <v>1.3699261992619929</v>
      </c>
    </row>
    <row r="1545" spans="1:12" x14ac:dyDescent="0.3">
      <c r="A1545" t="s">
        <v>5194</v>
      </c>
      <c r="B1545" s="1">
        <v>44064</v>
      </c>
      <c r="C1545" t="s">
        <v>3392</v>
      </c>
      <c r="D1545" t="s">
        <v>3393</v>
      </c>
      <c r="E1545" t="s">
        <v>14</v>
      </c>
      <c r="F1545" t="s">
        <v>23</v>
      </c>
      <c r="G1545" t="s">
        <v>24</v>
      </c>
      <c r="H1545" t="s">
        <v>1939</v>
      </c>
      <c r="I1545" s="2">
        <v>112.672</v>
      </c>
      <c r="J1545">
        <v>1</v>
      </c>
      <c r="K1545" s="2">
        <v>2.085</v>
      </c>
      <c r="L1545" s="3">
        <f>(Table1[[#This Row],[Profit]]/Table1[[#This Row],[Sales]])*100</f>
        <v>1.8505041181482533</v>
      </c>
    </row>
    <row r="1546" spans="1:12" x14ac:dyDescent="0.3">
      <c r="A1546" t="s">
        <v>4629</v>
      </c>
      <c r="B1546" s="1">
        <v>43963</v>
      </c>
      <c r="C1546" t="s">
        <v>1052</v>
      </c>
      <c r="D1546" t="s">
        <v>1053</v>
      </c>
      <c r="E1546" t="s">
        <v>14</v>
      </c>
      <c r="F1546" t="s">
        <v>23</v>
      </c>
      <c r="G1546" t="s">
        <v>24</v>
      </c>
      <c r="H1546" t="s">
        <v>4631</v>
      </c>
      <c r="I1546" s="2">
        <v>101.77</v>
      </c>
      <c r="J1546">
        <v>1</v>
      </c>
      <c r="K1546" s="2">
        <v>2.0979000000000001</v>
      </c>
      <c r="L1546" s="3">
        <f>(Table1[[#This Row],[Profit]]/Table1[[#This Row],[Sales]])*100</f>
        <v>2.0614129900756608</v>
      </c>
    </row>
    <row r="1547" spans="1:12" x14ac:dyDescent="0.3">
      <c r="A1547" t="s">
        <v>5986</v>
      </c>
      <c r="B1547" s="1">
        <v>44158</v>
      </c>
      <c r="C1547" t="s">
        <v>800</v>
      </c>
      <c r="D1547" t="s">
        <v>801</v>
      </c>
      <c r="E1547" t="s">
        <v>14</v>
      </c>
      <c r="F1547" t="s">
        <v>41</v>
      </c>
      <c r="G1547" t="s">
        <v>18</v>
      </c>
      <c r="H1547" t="s">
        <v>5992</v>
      </c>
      <c r="I1547" s="2">
        <v>115.992</v>
      </c>
      <c r="J1547">
        <v>1</v>
      </c>
      <c r="K1547" s="2">
        <v>2.0994000000000002</v>
      </c>
      <c r="L1547" s="3">
        <f>(Table1[[#This Row],[Profit]]/Table1[[#This Row],[Sales]])*100</f>
        <v>1.8099524105110696</v>
      </c>
    </row>
    <row r="1548" spans="1:12" x14ac:dyDescent="0.3">
      <c r="A1548" t="s">
        <v>1225</v>
      </c>
      <c r="B1548" s="1">
        <v>43588</v>
      </c>
      <c r="C1548" t="s">
        <v>1226</v>
      </c>
      <c r="D1548" t="s">
        <v>1227</v>
      </c>
      <c r="E1548" t="s">
        <v>14</v>
      </c>
      <c r="F1548" t="s">
        <v>15</v>
      </c>
      <c r="G1548" t="s">
        <v>24</v>
      </c>
      <c r="H1548" t="s">
        <v>1233</v>
      </c>
      <c r="I1548" s="2">
        <v>6</v>
      </c>
      <c r="J1548">
        <v>2</v>
      </c>
      <c r="K1548" s="2">
        <v>2.1</v>
      </c>
      <c r="L1548" s="3">
        <f>(Table1[[#This Row],[Profit]]/Table1[[#This Row],[Sales]])*100</f>
        <v>35</v>
      </c>
    </row>
    <row r="1549" spans="1:12" x14ac:dyDescent="0.3">
      <c r="A1549" t="s">
        <v>2714</v>
      </c>
      <c r="B1549" s="1">
        <v>43719</v>
      </c>
      <c r="C1549" t="s">
        <v>1208</v>
      </c>
      <c r="D1549" t="s">
        <v>1209</v>
      </c>
      <c r="E1549" t="s">
        <v>14</v>
      </c>
      <c r="F1549" t="s">
        <v>29</v>
      </c>
      <c r="G1549" t="s">
        <v>24</v>
      </c>
      <c r="H1549" t="s">
        <v>2715</v>
      </c>
      <c r="I1549" s="2">
        <v>6</v>
      </c>
      <c r="J1549">
        <v>2</v>
      </c>
      <c r="K1549" s="2">
        <v>2.1</v>
      </c>
      <c r="L1549" s="3">
        <f>(Table1[[#This Row],[Profit]]/Table1[[#This Row],[Sales]])*100</f>
        <v>35</v>
      </c>
    </row>
    <row r="1550" spans="1:12" x14ac:dyDescent="0.3">
      <c r="A1550" t="s">
        <v>4033</v>
      </c>
      <c r="B1550" s="1">
        <v>43849</v>
      </c>
      <c r="C1550" t="s">
        <v>431</v>
      </c>
      <c r="D1550" t="s">
        <v>432</v>
      </c>
      <c r="E1550" t="s">
        <v>14</v>
      </c>
      <c r="F1550" t="s">
        <v>29</v>
      </c>
      <c r="G1550" t="s">
        <v>24</v>
      </c>
      <c r="H1550" t="s">
        <v>4034</v>
      </c>
      <c r="I1550" s="2">
        <v>103</v>
      </c>
      <c r="J1550">
        <v>2</v>
      </c>
      <c r="K1550" s="2">
        <v>2.1</v>
      </c>
      <c r="L1550" s="3">
        <f>(Table1[[#This Row],[Profit]]/Table1[[#This Row],[Sales]])*100</f>
        <v>2.0388349514563107</v>
      </c>
    </row>
    <row r="1551" spans="1:12" x14ac:dyDescent="0.3">
      <c r="A1551" t="s">
        <v>5843</v>
      </c>
      <c r="B1551" s="1">
        <v>44145</v>
      </c>
      <c r="C1551" t="s">
        <v>5844</v>
      </c>
      <c r="D1551" t="s">
        <v>5845</v>
      </c>
      <c r="E1551" t="s">
        <v>14</v>
      </c>
      <c r="F1551" t="s">
        <v>23</v>
      </c>
      <c r="G1551" t="s">
        <v>24</v>
      </c>
      <c r="H1551" t="s">
        <v>2133</v>
      </c>
      <c r="I1551" s="2">
        <v>115.8</v>
      </c>
      <c r="J1551">
        <v>3</v>
      </c>
      <c r="K1551" s="2">
        <v>2.1059999999999999</v>
      </c>
      <c r="L1551" s="3">
        <f>(Table1[[#This Row],[Profit]]/Table1[[#This Row],[Sales]])*100</f>
        <v>1.8186528497409327</v>
      </c>
    </row>
    <row r="1552" spans="1:12" x14ac:dyDescent="0.3">
      <c r="A1552" t="s">
        <v>6078</v>
      </c>
      <c r="B1552" s="1">
        <v>44167</v>
      </c>
      <c r="C1552" t="s">
        <v>1400</v>
      </c>
      <c r="D1552" t="s">
        <v>1401</v>
      </c>
      <c r="E1552" t="s">
        <v>14</v>
      </c>
      <c r="F1552" t="s">
        <v>29</v>
      </c>
      <c r="G1552" t="s">
        <v>24</v>
      </c>
      <c r="H1552" t="s">
        <v>2912</v>
      </c>
      <c r="I1552" s="2">
        <v>106.16</v>
      </c>
      <c r="J1552">
        <v>5</v>
      </c>
      <c r="K1552" s="2">
        <v>2.1280000000000001</v>
      </c>
      <c r="L1552" s="3">
        <f>(Table1[[#This Row],[Profit]]/Table1[[#This Row],[Sales]])*100</f>
        <v>2.0045214770158251</v>
      </c>
    </row>
    <row r="1553" spans="1:12" x14ac:dyDescent="0.3">
      <c r="A1553" t="s">
        <v>3774</v>
      </c>
      <c r="B1553" s="1">
        <v>43810</v>
      </c>
      <c r="C1553" t="s">
        <v>118</v>
      </c>
      <c r="D1553" t="s">
        <v>119</v>
      </c>
      <c r="E1553" t="s">
        <v>14</v>
      </c>
      <c r="F1553" t="s">
        <v>23</v>
      </c>
      <c r="G1553" t="s">
        <v>24</v>
      </c>
      <c r="H1553" t="s">
        <v>3790</v>
      </c>
      <c r="I1553" s="2">
        <v>5.8719999999999999</v>
      </c>
      <c r="J1553">
        <v>2</v>
      </c>
      <c r="K1553" s="2">
        <v>2.1286</v>
      </c>
      <c r="L1553" s="3">
        <f>(Table1[[#This Row],[Profit]]/Table1[[#This Row],[Sales]])*100</f>
        <v>36.25</v>
      </c>
    </row>
    <row r="1554" spans="1:12" x14ac:dyDescent="0.3">
      <c r="A1554" t="s">
        <v>5011</v>
      </c>
      <c r="B1554" s="1">
        <v>44026</v>
      </c>
      <c r="C1554" t="s">
        <v>1183</v>
      </c>
      <c r="D1554" t="s">
        <v>1184</v>
      </c>
      <c r="E1554" t="s">
        <v>14</v>
      </c>
      <c r="F1554" t="s">
        <v>15</v>
      </c>
      <c r="G1554" t="s">
        <v>24</v>
      </c>
      <c r="H1554" t="s">
        <v>3805</v>
      </c>
      <c r="I1554" s="2">
        <v>139.12</v>
      </c>
      <c r="J1554">
        <v>5</v>
      </c>
      <c r="K1554" s="2">
        <v>2.1320000000000001</v>
      </c>
      <c r="L1554" s="3">
        <f>(Table1[[#This Row],[Profit]]/Table1[[#This Row],[Sales]])*100</f>
        <v>1.532489936745256</v>
      </c>
    </row>
    <row r="1555" spans="1:12" x14ac:dyDescent="0.3">
      <c r="A1555" t="s">
        <v>1799</v>
      </c>
      <c r="B1555" s="1">
        <v>43634</v>
      </c>
      <c r="C1555" t="s">
        <v>637</v>
      </c>
      <c r="D1555" t="s">
        <v>638</v>
      </c>
      <c r="E1555" t="s">
        <v>14</v>
      </c>
      <c r="F1555" t="s">
        <v>15</v>
      </c>
      <c r="G1555" t="s">
        <v>24</v>
      </c>
      <c r="H1555" t="s">
        <v>1800</v>
      </c>
      <c r="I1555" s="2">
        <v>6.8479999999999999</v>
      </c>
      <c r="J1555">
        <v>2</v>
      </c>
      <c r="K1555" s="2">
        <v>2.14</v>
      </c>
      <c r="L1555" s="3">
        <f>(Table1[[#This Row],[Profit]]/Table1[[#This Row],[Sales]])*100</f>
        <v>31.25</v>
      </c>
    </row>
    <row r="1556" spans="1:12" x14ac:dyDescent="0.3">
      <c r="A1556" t="s">
        <v>4338</v>
      </c>
      <c r="B1556" s="1">
        <v>43915</v>
      </c>
      <c r="C1556" t="s">
        <v>3968</v>
      </c>
      <c r="D1556" t="s">
        <v>3969</v>
      </c>
      <c r="E1556" t="s">
        <v>14</v>
      </c>
      <c r="F1556" t="s">
        <v>29</v>
      </c>
      <c r="G1556" t="s">
        <v>24</v>
      </c>
      <c r="H1556" t="s">
        <v>4339</v>
      </c>
      <c r="I1556" s="2">
        <v>89.847999999999999</v>
      </c>
      <c r="J1556">
        <v>2</v>
      </c>
      <c r="K1556" s="2">
        <v>2.14</v>
      </c>
      <c r="L1556" s="3">
        <f>(Table1[[#This Row],[Profit]]/Table1[[#This Row],[Sales]])*100</f>
        <v>2.3818003739649187</v>
      </c>
    </row>
    <row r="1557" spans="1:12" x14ac:dyDescent="0.3">
      <c r="A1557" t="s">
        <v>4618</v>
      </c>
      <c r="B1557" s="1">
        <v>43962</v>
      </c>
      <c r="C1557" t="s">
        <v>1020</v>
      </c>
      <c r="D1557" t="s">
        <v>1021</v>
      </c>
      <c r="E1557" t="s">
        <v>14</v>
      </c>
      <c r="F1557" t="s">
        <v>29</v>
      </c>
      <c r="G1557" t="s">
        <v>24</v>
      </c>
      <c r="H1557" t="s">
        <v>4622</v>
      </c>
      <c r="I1557" s="2">
        <v>90.847999999999999</v>
      </c>
      <c r="J1557">
        <v>2</v>
      </c>
      <c r="K1557" s="2">
        <v>2.14</v>
      </c>
      <c r="L1557" s="3">
        <f>(Table1[[#This Row],[Profit]]/Table1[[#This Row],[Sales]])*100</f>
        <v>2.355582951743572</v>
      </c>
    </row>
    <row r="1558" spans="1:12" x14ac:dyDescent="0.3">
      <c r="A1558" t="s">
        <v>344</v>
      </c>
      <c r="B1558" s="1">
        <v>43510</v>
      </c>
      <c r="C1558" t="s">
        <v>345</v>
      </c>
      <c r="D1558" t="s">
        <v>346</v>
      </c>
      <c r="E1558" t="s">
        <v>14</v>
      </c>
      <c r="F1558" t="s">
        <v>15</v>
      </c>
      <c r="G1558" t="s">
        <v>24</v>
      </c>
      <c r="H1558" t="s">
        <v>347</v>
      </c>
      <c r="I1558" s="2">
        <v>4.7699999999999996</v>
      </c>
      <c r="J1558">
        <v>1</v>
      </c>
      <c r="K1558" s="2">
        <v>2.1465000000000001</v>
      </c>
      <c r="L1558" s="3">
        <f>(Table1[[#This Row],[Profit]]/Table1[[#This Row],[Sales]])*100</f>
        <v>45.000000000000007</v>
      </c>
    </row>
    <row r="1559" spans="1:12" x14ac:dyDescent="0.3">
      <c r="A1559" t="s">
        <v>3956</v>
      </c>
      <c r="B1559" s="1">
        <v>43829</v>
      </c>
      <c r="C1559" t="s">
        <v>592</v>
      </c>
      <c r="D1559" t="s">
        <v>593</v>
      </c>
      <c r="E1559" t="s">
        <v>14</v>
      </c>
      <c r="F1559" t="s">
        <v>23</v>
      </c>
      <c r="G1559" t="s">
        <v>24</v>
      </c>
      <c r="H1559" t="s">
        <v>3827</v>
      </c>
      <c r="I1559" s="2">
        <v>6.3840000000000003</v>
      </c>
      <c r="J1559">
        <v>1</v>
      </c>
      <c r="K1559" s="2">
        <v>2.1545999999999998</v>
      </c>
      <c r="L1559" s="3">
        <f>(Table1[[#This Row],[Profit]]/Table1[[#This Row],[Sales]])*100</f>
        <v>33.75</v>
      </c>
    </row>
    <row r="1560" spans="1:12" x14ac:dyDescent="0.3">
      <c r="A1560" t="s">
        <v>6176</v>
      </c>
      <c r="B1560" s="1">
        <v>44176</v>
      </c>
      <c r="C1560" t="s">
        <v>1168</v>
      </c>
      <c r="D1560" t="s">
        <v>1169</v>
      </c>
      <c r="E1560" t="s">
        <v>14</v>
      </c>
      <c r="F1560" t="s">
        <v>15</v>
      </c>
      <c r="G1560" t="s">
        <v>24</v>
      </c>
      <c r="H1560" t="s">
        <v>3243</v>
      </c>
      <c r="I1560" s="2">
        <v>291.54000000000002</v>
      </c>
      <c r="J1560">
        <v>3</v>
      </c>
      <c r="K1560" s="2">
        <v>2.1581999999999999</v>
      </c>
      <c r="L1560" s="3">
        <f>(Table1[[#This Row],[Profit]]/Table1[[#This Row],[Sales]])*100</f>
        <v>0.74027577690882884</v>
      </c>
    </row>
    <row r="1561" spans="1:12" x14ac:dyDescent="0.3">
      <c r="A1561" t="s">
        <v>1370</v>
      </c>
      <c r="B1561" s="1">
        <v>43600</v>
      </c>
      <c r="C1561" t="s">
        <v>1371</v>
      </c>
      <c r="D1561" t="s">
        <v>1372</v>
      </c>
      <c r="E1561" t="s">
        <v>14</v>
      </c>
      <c r="F1561" t="s">
        <v>41</v>
      </c>
      <c r="G1561" t="s">
        <v>24</v>
      </c>
      <c r="H1561" t="s">
        <v>1374</v>
      </c>
      <c r="I1561" s="2">
        <v>8.34</v>
      </c>
      <c r="J1561">
        <v>3</v>
      </c>
      <c r="K1561" s="2">
        <v>2.1684000000000001</v>
      </c>
      <c r="L1561" s="3">
        <f>(Table1[[#This Row],[Profit]]/Table1[[#This Row],[Sales]])*100</f>
        <v>26</v>
      </c>
    </row>
    <row r="1562" spans="1:12" x14ac:dyDescent="0.3">
      <c r="A1562" t="s">
        <v>4083</v>
      </c>
      <c r="B1562" s="1">
        <v>43859</v>
      </c>
      <c r="C1562" t="s">
        <v>2263</v>
      </c>
      <c r="D1562" t="s">
        <v>2264</v>
      </c>
      <c r="E1562" t="s">
        <v>14</v>
      </c>
      <c r="F1562" t="s">
        <v>23</v>
      </c>
      <c r="G1562" t="s">
        <v>24</v>
      </c>
      <c r="H1562" t="s">
        <v>2155</v>
      </c>
      <c r="I1562" s="2">
        <v>96.34</v>
      </c>
      <c r="J1562">
        <v>3</v>
      </c>
      <c r="K1562" s="2">
        <v>2.1684000000000001</v>
      </c>
      <c r="L1562" s="3">
        <f>(Table1[[#This Row],[Profit]]/Table1[[#This Row],[Sales]])*100</f>
        <v>2.250778492837866</v>
      </c>
    </row>
    <row r="1563" spans="1:12" x14ac:dyDescent="0.3">
      <c r="A1563" t="s">
        <v>5236</v>
      </c>
      <c r="B1563" s="1">
        <v>44074</v>
      </c>
      <c r="C1563" t="s">
        <v>1726</v>
      </c>
      <c r="D1563" t="s">
        <v>1727</v>
      </c>
      <c r="E1563" t="s">
        <v>14</v>
      </c>
      <c r="F1563" t="s">
        <v>23</v>
      </c>
      <c r="G1563" t="s">
        <v>24</v>
      </c>
      <c r="H1563" t="s">
        <v>2851</v>
      </c>
      <c r="I1563" s="2">
        <v>112.672</v>
      </c>
      <c r="J1563">
        <v>3</v>
      </c>
      <c r="K1563" s="2">
        <v>2.1684000000000001</v>
      </c>
      <c r="L1563" s="3">
        <f>(Table1[[#This Row],[Profit]]/Table1[[#This Row],[Sales]])*100</f>
        <v>1.9245242828741835</v>
      </c>
    </row>
    <row r="1564" spans="1:12" x14ac:dyDescent="0.3">
      <c r="A1564" t="s">
        <v>5027</v>
      </c>
      <c r="B1564" s="1">
        <v>44029</v>
      </c>
      <c r="C1564" t="s">
        <v>2953</v>
      </c>
      <c r="D1564" t="s">
        <v>2954</v>
      </c>
      <c r="E1564" t="s">
        <v>14</v>
      </c>
      <c r="F1564" t="s">
        <v>41</v>
      </c>
      <c r="G1564" t="s">
        <v>16</v>
      </c>
      <c r="H1564" t="s">
        <v>929</v>
      </c>
      <c r="I1564" s="2">
        <v>92.903999999999996</v>
      </c>
      <c r="J1564">
        <v>2</v>
      </c>
      <c r="K1564" s="2">
        <v>2.1736</v>
      </c>
      <c r="L1564" s="3">
        <f>(Table1[[#This Row],[Profit]]/Table1[[#This Row],[Sales]])*100</f>
        <v>2.3396193920606221</v>
      </c>
    </row>
    <row r="1565" spans="1:12" x14ac:dyDescent="0.3">
      <c r="A1565" t="s">
        <v>4780</v>
      </c>
      <c r="B1565" s="1">
        <v>43988</v>
      </c>
      <c r="C1565" t="s">
        <v>2292</v>
      </c>
      <c r="D1565" t="s">
        <v>2293</v>
      </c>
      <c r="E1565" t="s">
        <v>14</v>
      </c>
      <c r="F1565" t="s">
        <v>23</v>
      </c>
      <c r="G1565" t="s">
        <v>16</v>
      </c>
      <c r="H1565" t="s">
        <v>2082</v>
      </c>
      <c r="I1565" s="2">
        <v>110.95</v>
      </c>
      <c r="J1565">
        <v>1</v>
      </c>
      <c r="K1565" s="2">
        <v>2.1779999999999999</v>
      </c>
      <c r="L1565" s="3">
        <f>(Table1[[#This Row],[Profit]]/Table1[[#This Row],[Sales]])*100</f>
        <v>1.9630464173050921</v>
      </c>
    </row>
    <row r="1566" spans="1:12" x14ac:dyDescent="0.3">
      <c r="A1566" t="s">
        <v>4258</v>
      </c>
      <c r="B1566" s="1">
        <v>43903</v>
      </c>
      <c r="C1566" t="s">
        <v>1935</v>
      </c>
      <c r="D1566" t="s">
        <v>1936</v>
      </c>
      <c r="E1566" t="s">
        <v>14</v>
      </c>
      <c r="F1566" t="s">
        <v>29</v>
      </c>
      <c r="G1566" t="s">
        <v>24</v>
      </c>
      <c r="H1566" t="s">
        <v>4267</v>
      </c>
      <c r="I1566" s="2">
        <v>134.45599999999999</v>
      </c>
      <c r="J1566">
        <v>4</v>
      </c>
      <c r="K1566" s="2">
        <v>2.1888000000000001</v>
      </c>
      <c r="L1566" s="3">
        <f>(Table1[[#This Row],[Profit]]/Table1[[#This Row],[Sales]])*100</f>
        <v>1.6278931397631942</v>
      </c>
    </row>
    <row r="1567" spans="1:12" x14ac:dyDescent="0.3">
      <c r="A1567" t="s">
        <v>5504</v>
      </c>
      <c r="B1567" s="1">
        <v>44098</v>
      </c>
      <c r="C1567" t="s">
        <v>2104</v>
      </c>
      <c r="D1567" t="s">
        <v>2105</v>
      </c>
      <c r="E1567" t="s">
        <v>14</v>
      </c>
      <c r="F1567" t="s">
        <v>23</v>
      </c>
      <c r="G1567" t="s">
        <v>24</v>
      </c>
      <c r="H1567" t="s">
        <v>840</v>
      </c>
      <c r="I1567" s="2">
        <v>109.3</v>
      </c>
      <c r="J1567">
        <v>2</v>
      </c>
      <c r="K1567" s="2">
        <v>2.19</v>
      </c>
      <c r="L1567" s="3">
        <f>(Table1[[#This Row],[Profit]]/Table1[[#This Row],[Sales]])*100</f>
        <v>2.0036596523330283</v>
      </c>
    </row>
    <row r="1568" spans="1:12" x14ac:dyDescent="0.3">
      <c r="A1568" t="s">
        <v>4409</v>
      </c>
      <c r="B1568" s="1">
        <v>43924</v>
      </c>
      <c r="C1568" t="s">
        <v>3869</v>
      </c>
      <c r="D1568" t="s">
        <v>3870</v>
      </c>
      <c r="E1568" t="s">
        <v>14</v>
      </c>
      <c r="F1568" t="s">
        <v>29</v>
      </c>
      <c r="G1568" t="s">
        <v>24</v>
      </c>
      <c r="H1568" t="s">
        <v>1866</v>
      </c>
      <c r="I1568" s="2">
        <v>80.055999999999997</v>
      </c>
      <c r="J1568">
        <v>3</v>
      </c>
      <c r="K1568" s="2">
        <v>2.2050000000000001</v>
      </c>
      <c r="L1568" s="3">
        <f>(Table1[[#This Row],[Profit]]/Table1[[#This Row],[Sales]])*100</f>
        <v>2.7543219746177674</v>
      </c>
    </row>
    <row r="1569" spans="1:12" x14ac:dyDescent="0.3">
      <c r="A1569" t="s">
        <v>5716</v>
      </c>
      <c r="B1569" s="1">
        <v>44131</v>
      </c>
      <c r="C1569" t="s">
        <v>2370</v>
      </c>
      <c r="D1569" t="s">
        <v>2371</v>
      </c>
      <c r="E1569" t="s">
        <v>14</v>
      </c>
      <c r="F1569" t="s">
        <v>29</v>
      </c>
      <c r="G1569" t="s">
        <v>24</v>
      </c>
      <c r="H1569" t="s">
        <v>1866</v>
      </c>
      <c r="I1569" s="2">
        <v>118.056</v>
      </c>
      <c r="J1569">
        <v>3</v>
      </c>
      <c r="K1569" s="2">
        <v>2.2050000000000001</v>
      </c>
      <c r="L1569" s="3">
        <f>(Table1[[#This Row],[Profit]]/Table1[[#This Row],[Sales]])*100</f>
        <v>1.8677576743240498</v>
      </c>
    </row>
    <row r="1570" spans="1:12" x14ac:dyDescent="0.3">
      <c r="A1570" t="s">
        <v>3800</v>
      </c>
      <c r="B1570" s="1">
        <v>43812</v>
      </c>
      <c r="C1570" t="s">
        <v>509</v>
      </c>
      <c r="D1570" t="s">
        <v>510</v>
      </c>
      <c r="E1570" t="s">
        <v>14</v>
      </c>
      <c r="F1570" t="s">
        <v>23</v>
      </c>
      <c r="G1570" t="s">
        <v>24</v>
      </c>
      <c r="H1570" t="s">
        <v>3806</v>
      </c>
      <c r="I1570" s="2">
        <v>6.0960000000000001</v>
      </c>
      <c r="J1570">
        <v>2</v>
      </c>
      <c r="K1570" s="2">
        <v>2.2098</v>
      </c>
      <c r="L1570" s="3">
        <f>(Table1[[#This Row],[Profit]]/Table1[[#This Row],[Sales]])*100</f>
        <v>36.25</v>
      </c>
    </row>
    <row r="1571" spans="1:12" x14ac:dyDescent="0.3">
      <c r="A1571" t="s">
        <v>5250</v>
      </c>
      <c r="B1571" s="1">
        <v>44076</v>
      </c>
      <c r="C1571" t="s">
        <v>4172</v>
      </c>
      <c r="D1571" t="s">
        <v>4173</v>
      </c>
      <c r="E1571" t="s">
        <v>14</v>
      </c>
      <c r="F1571" t="s">
        <v>15</v>
      </c>
      <c r="G1571" t="s">
        <v>24</v>
      </c>
      <c r="H1571" t="s">
        <v>1090</v>
      </c>
      <c r="I1571" s="2">
        <v>95.92</v>
      </c>
      <c r="J1571">
        <v>3</v>
      </c>
      <c r="K1571" s="2">
        <v>2.214</v>
      </c>
      <c r="L1571" s="3">
        <f>(Table1[[#This Row],[Profit]]/Table1[[#This Row],[Sales]])*100</f>
        <v>2.3081734778982486</v>
      </c>
    </row>
    <row r="1572" spans="1:12" x14ac:dyDescent="0.3">
      <c r="A1572" t="s">
        <v>6183</v>
      </c>
      <c r="B1572" s="1">
        <v>44179</v>
      </c>
      <c r="C1572" t="s">
        <v>244</v>
      </c>
      <c r="D1572" t="s">
        <v>245</v>
      </c>
      <c r="E1572" t="s">
        <v>14</v>
      </c>
      <c r="F1572" t="s">
        <v>15</v>
      </c>
      <c r="G1572" t="s">
        <v>24</v>
      </c>
      <c r="H1572" t="s">
        <v>2788</v>
      </c>
      <c r="I1572" s="2">
        <v>289.85000000000002</v>
      </c>
      <c r="J1572">
        <v>1</v>
      </c>
      <c r="K1572" s="2">
        <v>2.2155</v>
      </c>
      <c r="L1572" s="3">
        <f>(Table1[[#This Row],[Profit]]/Table1[[#This Row],[Sales]])*100</f>
        <v>0.76436087631533545</v>
      </c>
    </row>
    <row r="1573" spans="1:12" x14ac:dyDescent="0.3">
      <c r="A1573" t="s">
        <v>5264</v>
      </c>
      <c r="B1573" s="1">
        <v>44077</v>
      </c>
      <c r="C1573" t="s">
        <v>5265</v>
      </c>
      <c r="D1573" t="s">
        <v>5266</v>
      </c>
      <c r="E1573" t="s">
        <v>14</v>
      </c>
      <c r="F1573" t="s">
        <v>15</v>
      </c>
      <c r="G1573" t="s">
        <v>24</v>
      </c>
      <c r="H1573" t="s">
        <v>552</v>
      </c>
      <c r="I1573" s="2">
        <v>97.56</v>
      </c>
      <c r="J1573">
        <v>2</v>
      </c>
      <c r="K1573" s="2">
        <v>2.2240000000000002</v>
      </c>
      <c r="L1573" s="3">
        <f>(Table1[[#This Row],[Profit]]/Table1[[#This Row],[Sales]])*100</f>
        <v>2.2796227962279625</v>
      </c>
    </row>
    <row r="1574" spans="1:12" x14ac:dyDescent="0.3">
      <c r="A1574" t="s">
        <v>3377</v>
      </c>
      <c r="B1574" s="1">
        <v>43780</v>
      </c>
      <c r="C1574" t="s">
        <v>3378</v>
      </c>
      <c r="D1574" t="s">
        <v>3379</v>
      </c>
      <c r="E1574" t="s">
        <v>14</v>
      </c>
      <c r="F1574" t="s">
        <v>23</v>
      </c>
      <c r="G1574" t="s">
        <v>16</v>
      </c>
      <c r="H1574" t="s">
        <v>3380</v>
      </c>
      <c r="I1574" s="2">
        <v>6.96</v>
      </c>
      <c r="J1574">
        <v>4</v>
      </c>
      <c r="K1574" s="2">
        <v>2.2271999999999998</v>
      </c>
      <c r="L1574" s="3">
        <f>(Table1[[#This Row],[Profit]]/Table1[[#This Row],[Sales]])*100</f>
        <v>32</v>
      </c>
    </row>
    <row r="1575" spans="1:12" x14ac:dyDescent="0.3">
      <c r="A1575" t="s">
        <v>4083</v>
      </c>
      <c r="B1575" s="1">
        <v>43859</v>
      </c>
      <c r="C1575" t="s">
        <v>2263</v>
      </c>
      <c r="D1575" t="s">
        <v>2264</v>
      </c>
      <c r="E1575" t="s">
        <v>14</v>
      </c>
      <c r="F1575" t="s">
        <v>23</v>
      </c>
      <c r="G1575" t="s">
        <v>24</v>
      </c>
      <c r="H1575" t="s">
        <v>386</v>
      </c>
      <c r="I1575" s="2">
        <v>117.57</v>
      </c>
      <c r="J1575">
        <v>1</v>
      </c>
      <c r="K1575" s="2">
        <v>2.2282000000000002</v>
      </c>
      <c r="L1575" s="3">
        <f>(Table1[[#This Row],[Profit]]/Table1[[#This Row],[Sales]])*100</f>
        <v>1.8952113634430556</v>
      </c>
    </row>
    <row r="1576" spans="1:12" x14ac:dyDescent="0.3">
      <c r="A1576" t="s">
        <v>3972</v>
      </c>
      <c r="B1576" s="1">
        <v>43831</v>
      </c>
      <c r="C1576" t="s">
        <v>800</v>
      </c>
      <c r="D1576" t="s">
        <v>801</v>
      </c>
      <c r="E1576" t="s">
        <v>14</v>
      </c>
      <c r="F1576" t="s">
        <v>29</v>
      </c>
      <c r="G1576" t="s">
        <v>24</v>
      </c>
      <c r="H1576" t="s">
        <v>3975</v>
      </c>
      <c r="I1576" s="2">
        <v>93.736000000000004</v>
      </c>
      <c r="J1576">
        <v>4</v>
      </c>
      <c r="K1576" s="2">
        <v>2.2288000000000001</v>
      </c>
      <c r="L1576" s="3">
        <f>(Table1[[#This Row],[Profit]]/Table1[[#This Row],[Sales]])*100</f>
        <v>2.3777417427669199</v>
      </c>
    </row>
    <row r="1577" spans="1:12" x14ac:dyDescent="0.3">
      <c r="A1577" t="s">
        <v>5984</v>
      </c>
      <c r="B1577" s="1">
        <v>44157</v>
      </c>
      <c r="C1577" t="s">
        <v>3223</v>
      </c>
      <c r="D1577" t="s">
        <v>3224</v>
      </c>
      <c r="E1577" t="s">
        <v>14</v>
      </c>
      <c r="F1577" t="s">
        <v>29</v>
      </c>
      <c r="G1577" t="s">
        <v>24</v>
      </c>
      <c r="H1577" t="s">
        <v>1628</v>
      </c>
      <c r="I1577" s="2">
        <v>207.71199999999999</v>
      </c>
      <c r="J1577">
        <v>8</v>
      </c>
      <c r="K1577" s="2">
        <v>2.2320000000000002</v>
      </c>
      <c r="L1577" s="3">
        <f>(Table1[[#This Row],[Profit]]/Table1[[#This Row],[Sales]])*100</f>
        <v>1.0745647820058544</v>
      </c>
    </row>
    <row r="1578" spans="1:12" x14ac:dyDescent="0.3">
      <c r="A1578" t="s">
        <v>5976</v>
      </c>
      <c r="B1578" s="1">
        <v>44156</v>
      </c>
      <c r="C1578" t="s">
        <v>1243</v>
      </c>
      <c r="D1578" t="s">
        <v>1244</v>
      </c>
      <c r="E1578" t="s">
        <v>14</v>
      </c>
      <c r="F1578" t="s">
        <v>23</v>
      </c>
      <c r="G1578" t="s">
        <v>24</v>
      </c>
      <c r="H1578" t="s">
        <v>2421</v>
      </c>
      <c r="I1578" s="2">
        <v>108.62</v>
      </c>
      <c r="J1578">
        <v>1</v>
      </c>
      <c r="K1578" s="2">
        <v>2.2412000000000001</v>
      </c>
      <c r="L1578" s="3">
        <f>(Table1[[#This Row],[Profit]]/Table1[[#This Row],[Sales]])*100</f>
        <v>2.0633400846989507</v>
      </c>
    </row>
    <row r="1579" spans="1:12" x14ac:dyDescent="0.3">
      <c r="A1579" t="s">
        <v>6192</v>
      </c>
      <c r="B1579" s="1">
        <v>44181</v>
      </c>
      <c r="C1579" t="s">
        <v>3348</v>
      </c>
      <c r="D1579" t="s">
        <v>3349</v>
      </c>
      <c r="E1579" t="s">
        <v>14</v>
      </c>
      <c r="F1579" t="s">
        <v>23</v>
      </c>
      <c r="G1579" t="s">
        <v>24</v>
      </c>
      <c r="H1579" t="s">
        <v>3529</v>
      </c>
      <c r="I1579" s="2">
        <v>318.98399999999998</v>
      </c>
      <c r="J1579">
        <v>2</v>
      </c>
      <c r="K1579" s="2">
        <v>2.2440000000000002</v>
      </c>
      <c r="L1579" s="3">
        <f>(Table1[[#This Row],[Profit]]/Table1[[#This Row],[Sales]])*100</f>
        <v>0.70348356030396519</v>
      </c>
    </row>
    <row r="1580" spans="1:12" x14ac:dyDescent="0.3">
      <c r="A1580" t="s">
        <v>5351</v>
      </c>
      <c r="B1580" s="1">
        <v>44084</v>
      </c>
      <c r="C1580" t="s">
        <v>2827</v>
      </c>
      <c r="D1580" t="s">
        <v>2828</v>
      </c>
      <c r="E1580" t="s">
        <v>14</v>
      </c>
      <c r="F1580" t="s">
        <v>23</v>
      </c>
      <c r="G1580" t="s">
        <v>24</v>
      </c>
      <c r="H1580" t="s">
        <v>845</v>
      </c>
      <c r="I1580" s="2">
        <v>113.184</v>
      </c>
      <c r="J1580">
        <v>2</v>
      </c>
      <c r="K1580" s="2">
        <v>2.2450000000000001</v>
      </c>
      <c r="L1580" s="3">
        <f>(Table1[[#This Row],[Profit]]/Table1[[#This Row],[Sales]])*100</f>
        <v>1.9834959004806336</v>
      </c>
    </row>
    <row r="1581" spans="1:12" x14ac:dyDescent="0.3">
      <c r="A1581" t="s">
        <v>1086</v>
      </c>
      <c r="B1581" s="1">
        <v>43574</v>
      </c>
      <c r="C1581" t="s">
        <v>1087</v>
      </c>
      <c r="D1581" t="s">
        <v>1088</v>
      </c>
      <c r="E1581" t="s">
        <v>14</v>
      </c>
      <c r="F1581" t="s">
        <v>15</v>
      </c>
      <c r="G1581" t="s">
        <v>24</v>
      </c>
      <c r="H1581" t="s">
        <v>1092</v>
      </c>
      <c r="I1581" s="2">
        <v>7.76</v>
      </c>
      <c r="J1581">
        <v>2</v>
      </c>
      <c r="K1581" s="2">
        <v>2.2504</v>
      </c>
      <c r="L1581" s="3">
        <f>(Table1[[#This Row],[Profit]]/Table1[[#This Row],[Sales]])*100</f>
        <v>28.999999999999996</v>
      </c>
    </row>
    <row r="1582" spans="1:12" x14ac:dyDescent="0.3">
      <c r="A1582" t="s">
        <v>5416</v>
      </c>
      <c r="B1582" s="1">
        <v>44090</v>
      </c>
      <c r="C1582" t="s">
        <v>1208</v>
      </c>
      <c r="D1582" t="s">
        <v>1209</v>
      </c>
      <c r="E1582" t="s">
        <v>14</v>
      </c>
      <c r="F1582" t="s">
        <v>15</v>
      </c>
      <c r="G1582" t="s">
        <v>16</v>
      </c>
      <c r="H1582" t="s">
        <v>2683</v>
      </c>
      <c r="I1582" s="2">
        <v>149.512</v>
      </c>
      <c r="J1582">
        <v>3</v>
      </c>
      <c r="K1582" s="2">
        <v>2.2511999999999999</v>
      </c>
      <c r="L1582" s="3">
        <f>(Table1[[#This Row],[Profit]]/Table1[[#This Row],[Sales]])*100</f>
        <v>1.5056985392476856</v>
      </c>
    </row>
    <row r="1583" spans="1:12" x14ac:dyDescent="0.3">
      <c r="A1583" t="s">
        <v>3151</v>
      </c>
      <c r="B1583" s="1">
        <v>43760</v>
      </c>
      <c r="C1583" t="s">
        <v>3152</v>
      </c>
      <c r="D1583" t="s">
        <v>3153</v>
      </c>
      <c r="E1583" t="s">
        <v>14</v>
      </c>
      <c r="F1583" t="s">
        <v>23</v>
      </c>
      <c r="G1583" t="s">
        <v>24</v>
      </c>
      <c r="H1583" t="s">
        <v>552</v>
      </c>
      <c r="I1583" s="2">
        <v>8.34</v>
      </c>
      <c r="J1583">
        <v>3</v>
      </c>
      <c r="K1583" s="2">
        <v>2.2517999999999998</v>
      </c>
      <c r="L1583" s="3">
        <f>(Table1[[#This Row],[Profit]]/Table1[[#This Row],[Sales]])*100</f>
        <v>26.999999999999996</v>
      </c>
    </row>
    <row r="1584" spans="1:12" x14ac:dyDescent="0.3">
      <c r="A1584" t="s">
        <v>1910</v>
      </c>
      <c r="B1584" s="1">
        <v>43644</v>
      </c>
      <c r="C1584" t="s">
        <v>1911</v>
      </c>
      <c r="D1584" t="s">
        <v>1912</v>
      </c>
      <c r="E1584" t="s">
        <v>14</v>
      </c>
      <c r="F1584" t="s">
        <v>15</v>
      </c>
      <c r="G1584" t="s">
        <v>24</v>
      </c>
      <c r="H1584" t="s">
        <v>1914</v>
      </c>
      <c r="I1584" s="2">
        <v>8.74</v>
      </c>
      <c r="J1584">
        <v>2</v>
      </c>
      <c r="K1584" s="2">
        <v>2.2724000000000002</v>
      </c>
      <c r="L1584" s="3">
        <f>(Table1[[#This Row],[Profit]]/Table1[[#This Row],[Sales]])*100</f>
        <v>26</v>
      </c>
    </row>
    <row r="1585" spans="1:12" x14ac:dyDescent="0.3">
      <c r="A1585" t="s">
        <v>3475</v>
      </c>
      <c r="B1585" s="1">
        <v>43788</v>
      </c>
      <c r="C1585" t="s">
        <v>1235</v>
      </c>
      <c r="D1585" t="s">
        <v>1236</v>
      </c>
      <c r="E1585" t="s">
        <v>14</v>
      </c>
      <c r="F1585" t="s">
        <v>15</v>
      </c>
      <c r="G1585" t="s">
        <v>24</v>
      </c>
      <c r="H1585" t="s">
        <v>1914</v>
      </c>
      <c r="I1585" s="2">
        <v>8.74</v>
      </c>
      <c r="J1585">
        <v>2</v>
      </c>
      <c r="K1585" s="2">
        <v>2.2724000000000002</v>
      </c>
      <c r="L1585" s="3">
        <f>(Table1[[#This Row],[Profit]]/Table1[[#This Row],[Sales]])*100</f>
        <v>26</v>
      </c>
    </row>
    <row r="1586" spans="1:12" x14ac:dyDescent="0.3">
      <c r="A1586" t="s">
        <v>3877</v>
      </c>
      <c r="B1586" s="1">
        <v>43822</v>
      </c>
      <c r="C1586" t="s">
        <v>633</v>
      </c>
      <c r="D1586" t="s">
        <v>634</v>
      </c>
      <c r="E1586" t="s">
        <v>14</v>
      </c>
      <c r="F1586" t="s">
        <v>23</v>
      </c>
      <c r="G1586" t="s">
        <v>24</v>
      </c>
      <c r="H1586" t="s">
        <v>2416</v>
      </c>
      <c r="I1586" s="2">
        <v>227.28</v>
      </c>
      <c r="J1586">
        <v>2</v>
      </c>
      <c r="K1586" s="2">
        <v>2.2728000000000002</v>
      </c>
      <c r="L1586" s="3">
        <f>(Table1[[#This Row],[Profit]]/Table1[[#This Row],[Sales]])*100</f>
        <v>1</v>
      </c>
    </row>
    <row r="1587" spans="1:12" x14ac:dyDescent="0.3">
      <c r="A1587" t="s">
        <v>2515</v>
      </c>
      <c r="B1587" s="1">
        <v>43709</v>
      </c>
      <c r="C1587" t="s">
        <v>2516</v>
      </c>
      <c r="D1587" t="s">
        <v>2517</v>
      </c>
      <c r="E1587" t="s">
        <v>14</v>
      </c>
      <c r="F1587" t="s">
        <v>29</v>
      </c>
      <c r="G1587" t="s">
        <v>18</v>
      </c>
      <c r="H1587" t="s">
        <v>526</v>
      </c>
      <c r="I1587" s="2">
        <v>8.7799999999999994</v>
      </c>
      <c r="J1587">
        <v>1</v>
      </c>
      <c r="K1587" s="2">
        <v>2.2827999999999999</v>
      </c>
      <c r="L1587" s="3">
        <f>(Table1[[#This Row],[Profit]]/Table1[[#This Row],[Sales]])*100</f>
        <v>26</v>
      </c>
    </row>
    <row r="1588" spans="1:12" x14ac:dyDescent="0.3">
      <c r="A1588" t="s">
        <v>2920</v>
      </c>
      <c r="B1588" s="1">
        <v>43733</v>
      </c>
      <c r="C1588" t="s">
        <v>431</v>
      </c>
      <c r="D1588" t="s">
        <v>432</v>
      </c>
      <c r="E1588" t="s">
        <v>14</v>
      </c>
      <c r="F1588" t="s">
        <v>23</v>
      </c>
      <c r="G1588" t="s">
        <v>24</v>
      </c>
      <c r="H1588" t="s">
        <v>2922</v>
      </c>
      <c r="I1588" s="2">
        <v>4.9800000000000004</v>
      </c>
      <c r="J1588">
        <v>1</v>
      </c>
      <c r="K1588" s="2">
        <v>2.2907999999999999</v>
      </c>
      <c r="L1588" s="3">
        <f>(Table1[[#This Row],[Profit]]/Table1[[#This Row],[Sales]])*100</f>
        <v>46</v>
      </c>
    </row>
    <row r="1589" spans="1:12" x14ac:dyDescent="0.3">
      <c r="A1589" t="s">
        <v>3736</v>
      </c>
      <c r="B1589" s="1">
        <v>43807</v>
      </c>
      <c r="C1589" t="s">
        <v>967</v>
      </c>
      <c r="D1589" t="s">
        <v>968</v>
      </c>
      <c r="E1589" t="s">
        <v>14</v>
      </c>
      <c r="F1589" t="s">
        <v>29</v>
      </c>
      <c r="G1589" t="s">
        <v>18</v>
      </c>
      <c r="H1589" t="s">
        <v>1442</v>
      </c>
      <c r="I1589" s="2">
        <v>114.95</v>
      </c>
      <c r="J1589">
        <v>5</v>
      </c>
      <c r="K1589" s="2">
        <v>2.2989999999999999</v>
      </c>
      <c r="L1589" s="3">
        <f>(Table1[[#This Row],[Profit]]/Table1[[#This Row],[Sales]])*100</f>
        <v>2</v>
      </c>
    </row>
    <row r="1590" spans="1:12" x14ac:dyDescent="0.3">
      <c r="A1590" t="s">
        <v>4662</v>
      </c>
      <c r="B1590" s="1">
        <v>43969</v>
      </c>
      <c r="C1590" t="s">
        <v>286</v>
      </c>
      <c r="D1590" t="s">
        <v>287</v>
      </c>
      <c r="E1590" t="s">
        <v>14</v>
      </c>
      <c r="F1590" t="s">
        <v>29</v>
      </c>
      <c r="G1590" t="s">
        <v>18</v>
      </c>
      <c r="H1590" t="s">
        <v>1442</v>
      </c>
      <c r="I1590" s="2">
        <v>156.94999999999999</v>
      </c>
      <c r="J1590">
        <v>5</v>
      </c>
      <c r="K1590" s="2">
        <v>2.2989999999999999</v>
      </c>
      <c r="L1590" s="3">
        <f>(Table1[[#This Row],[Profit]]/Table1[[#This Row],[Sales]])*100</f>
        <v>1.4647977062758841</v>
      </c>
    </row>
    <row r="1591" spans="1:12" x14ac:dyDescent="0.3">
      <c r="A1591" t="s">
        <v>191</v>
      </c>
      <c r="B1591" s="1">
        <v>43490</v>
      </c>
      <c r="C1591" t="s">
        <v>192</v>
      </c>
      <c r="D1591" t="s">
        <v>193</v>
      </c>
      <c r="E1591" t="s">
        <v>14</v>
      </c>
      <c r="F1591" t="s">
        <v>15</v>
      </c>
      <c r="G1591" t="s">
        <v>24</v>
      </c>
      <c r="H1591" t="s">
        <v>194</v>
      </c>
      <c r="I1591" s="2">
        <v>9.2100000000000009</v>
      </c>
      <c r="J1591">
        <v>3</v>
      </c>
      <c r="K1591" s="2">
        <v>2.3025000000000002</v>
      </c>
      <c r="L1591" s="3">
        <f>(Table1[[#This Row],[Profit]]/Table1[[#This Row],[Sales]])*100</f>
        <v>25</v>
      </c>
    </row>
    <row r="1592" spans="1:12" x14ac:dyDescent="0.3">
      <c r="A1592" t="s">
        <v>5871</v>
      </c>
      <c r="B1592" s="1">
        <v>44147</v>
      </c>
      <c r="C1592" t="s">
        <v>684</v>
      </c>
      <c r="D1592" t="s">
        <v>685</v>
      </c>
      <c r="E1592" t="s">
        <v>14</v>
      </c>
      <c r="F1592" t="s">
        <v>23</v>
      </c>
      <c r="G1592" t="s">
        <v>24</v>
      </c>
      <c r="H1592" t="s">
        <v>194</v>
      </c>
      <c r="I1592" s="2">
        <v>88.21</v>
      </c>
      <c r="J1592">
        <v>3</v>
      </c>
      <c r="K1592" s="2">
        <v>2.3025000000000002</v>
      </c>
      <c r="L1592" s="3">
        <f>(Table1[[#This Row],[Profit]]/Table1[[#This Row],[Sales]])*100</f>
        <v>2.6102482711710695</v>
      </c>
    </row>
    <row r="1593" spans="1:12" x14ac:dyDescent="0.3">
      <c r="A1593" t="s">
        <v>3492</v>
      </c>
      <c r="B1593" s="1">
        <v>43789</v>
      </c>
      <c r="C1593" t="s">
        <v>3493</v>
      </c>
      <c r="D1593" t="s">
        <v>3494</v>
      </c>
      <c r="E1593" t="s">
        <v>14</v>
      </c>
      <c r="F1593" t="s">
        <v>29</v>
      </c>
      <c r="G1593" t="s">
        <v>24</v>
      </c>
      <c r="H1593" t="s">
        <v>1453</v>
      </c>
      <c r="I1593" s="2">
        <v>4.91</v>
      </c>
      <c r="J1593">
        <v>1</v>
      </c>
      <c r="K1593" s="2">
        <v>2.3077000000000001</v>
      </c>
      <c r="L1593" s="3">
        <f>(Table1[[#This Row],[Profit]]/Table1[[#This Row],[Sales]])*100</f>
        <v>47</v>
      </c>
    </row>
    <row r="1594" spans="1:12" x14ac:dyDescent="0.3">
      <c r="A1594" t="s">
        <v>1752</v>
      </c>
      <c r="B1594" s="1">
        <v>43630</v>
      </c>
      <c r="C1594" t="s">
        <v>687</v>
      </c>
      <c r="D1594" t="s">
        <v>688</v>
      </c>
      <c r="E1594" t="s">
        <v>14</v>
      </c>
      <c r="F1594" t="s">
        <v>41</v>
      </c>
      <c r="G1594" t="s">
        <v>18</v>
      </c>
      <c r="H1594" t="s">
        <v>1754</v>
      </c>
      <c r="I1594" s="2">
        <v>18.463999999999999</v>
      </c>
      <c r="J1594">
        <v>2</v>
      </c>
      <c r="K1594" s="2">
        <v>2.3079999999999998</v>
      </c>
      <c r="L1594" s="3">
        <f>(Table1[[#This Row],[Profit]]/Table1[[#This Row],[Sales]])*100</f>
        <v>12.5</v>
      </c>
    </row>
    <row r="1595" spans="1:12" x14ac:dyDescent="0.3">
      <c r="A1595" t="s">
        <v>2508</v>
      </c>
      <c r="B1595" s="1">
        <v>43709</v>
      </c>
      <c r="C1595" t="s">
        <v>627</v>
      </c>
      <c r="D1595" t="s">
        <v>628</v>
      </c>
      <c r="E1595" t="s">
        <v>14</v>
      </c>
      <c r="F1595" t="s">
        <v>15</v>
      </c>
      <c r="G1595" t="s">
        <v>18</v>
      </c>
      <c r="H1595" t="s">
        <v>2509</v>
      </c>
      <c r="I1595" s="2">
        <v>6.79</v>
      </c>
      <c r="J1595">
        <v>1</v>
      </c>
      <c r="K1595" s="2">
        <v>2.3086000000000002</v>
      </c>
      <c r="L1595" s="3">
        <f>(Table1[[#This Row],[Profit]]/Table1[[#This Row],[Sales]])*100</f>
        <v>34</v>
      </c>
    </row>
    <row r="1596" spans="1:12" x14ac:dyDescent="0.3">
      <c r="A1596" t="s">
        <v>4037</v>
      </c>
      <c r="B1596" s="1">
        <v>43850</v>
      </c>
      <c r="C1596" t="s">
        <v>1324</v>
      </c>
      <c r="D1596" t="s">
        <v>1325</v>
      </c>
      <c r="E1596" t="s">
        <v>14</v>
      </c>
      <c r="F1596" t="s">
        <v>15</v>
      </c>
      <c r="G1596" t="s">
        <v>16</v>
      </c>
      <c r="H1596" t="s">
        <v>2885</v>
      </c>
      <c r="I1596" s="2">
        <v>240.846</v>
      </c>
      <c r="J1596">
        <v>3</v>
      </c>
      <c r="K1596" s="2">
        <v>2.3094000000000001</v>
      </c>
      <c r="L1596" s="3">
        <f>(Table1[[#This Row],[Profit]]/Table1[[#This Row],[Sales]])*100</f>
        <v>0.95886998330883633</v>
      </c>
    </row>
    <row r="1597" spans="1:12" x14ac:dyDescent="0.3">
      <c r="A1597" t="s">
        <v>4329</v>
      </c>
      <c r="B1597" s="1">
        <v>43914</v>
      </c>
      <c r="C1597" t="s">
        <v>4330</v>
      </c>
      <c r="D1597" t="s">
        <v>4331</v>
      </c>
      <c r="E1597" t="s">
        <v>14</v>
      </c>
      <c r="F1597" t="s">
        <v>15</v>
      </c>
      <c r="G1597" t="s">
        <v>16</v>
      </c>
      <c r="H1597" t="s">
        <v>2885</v>
      </c>
      <c r="I1597" s="2">
        <v>235.846</v>
      </c>
      <c r="J1597">
        <v>3</v>
      </c>
      <c r="K1597" s="2">
        <v>2.3094000000000001</v>
      </c>
      <c r="L1597" s="3">
        <f>(Table1[[#This Row],[Profit]]/Table1[[#This Row],[Sales]])*100</f>
        <v>0.97919829040984374</v>
      </c>
    </row>
    <row r="1598" spans="1:12" x14ac:dyDescent="0.3">
      <c r="A1598" t="s">
        <v>1660</v>
      </c>
      <c r="B1598" s="1">
        <v>43623</v>
      </c>
      <c r="C1598" t="s">
        <v>1661</v>
      </c>
      <c r="D1598" t="s">
        <v>1662</v>
      </c>
      <c r="E1598" t="s">
        <v>14</v>
      </c>
      <c r="F1598" t="s">
        <v>23</v>
      </c>
      <c r="G1598" t="s">
        <v>24</v>
      </c>
      <c r="H1598" t="s">
        <v>1663</v>
      </c>
      <c r="I1598" s="2">
        <v>4.7300000000000004</v>
      </c>
      <c r="J1598">
        <v>1</v>
      </c>
      <c r="K1598" s="2">
        <v>2.3176999999999999</v>
      </c>
      <c r="L1598" s="3">
        <f>(Table1[[#This Row],[Profit]]/Table1[[#This Row],[Sales]])*100</f>
        <v>48.999999999999993</v>
      </c>
    </row>
    <row r="1599" spans="1:12" x14ac:dyDescent="0.3">
      <c r="A1599" t="s">
        <v>5481</v>
      </c>
      <c r="B1599" s="1">
        <v>44097</v>
      </c>
      <c r="C1599" t="s">
        <v>439</v>
      </c>
      <c r="D1599" t="s">
        <v>440</v>
      </c>
      <c r="E1599" t="s">
        <v>14</v>
      </c>
      <c r="F1599" t="s">
        <v>23</v>
      </c>
      <c r="G1599" t="s">
        <v>24</v>
      </c>
      <c r="H1599" t="s">
        <v>2111</v>
      </c>
      <c r="I1599" s="2">
        <v>100.88</v>
      </c>
      <c r="J1599">
        <v>1</v>
      </c>
      <c r="K1599" s="2">
        <v>2.3220000000000001</v>
      </c>
      <c r="L1599" s="3">
        <f>(Table1[[#This Row],[Profit]]/Table1[[#This Row],[Sales]])*100</f>
        <v>2.3017446471054721</v>
      </c>
    </row>
    <row r="1600" spans="1:12" x14ac:dyDescent="0.3">
      <c r="A1600" t="s">
        <v>5567</v>
      </c>
      <c r="B1600" s="1">
        <v>44107</v>
      </c>
      <c r="C1600" t="s">
        <v>3907</v>
      </c>
      <c r="D1600" t="s">
        <v>3908</v>
      </c>
      <c r="E1600" t="s">
        <v>14</v>
      </c>
      <c r="F1600" t="s">
        <v>29</v>
      </c>
      <c r="G1600" t="s">
        <v>24</v>
      </c>
      <c r="H1600" t="s">
        <v>1104</v>
      </c>
      <c r="I1600" s="2">
        <v>112.64</v>
      </c>
      <c r="J1600">
        <v>5</v>
      </c>
      <c r="K1600" s="2">
        <v>2.3220000000000001</v>
      </c>
      <c r="L1600" s="3">
        <f>(Table1[[#This Row],[Profit]]/Table1[[#This Row],[Sales]])*100</f>
        <v>2.0614346590909092</v>
      </c>
    </row>
    <row r="1601" spans="1:12" x14ac:dyDescent="0.3">
      <c r="A1601" t="s">
        <v>1596</v>
      </c>
      <c r="B1601" s="1">
        <v>43616</v>
      </c>
      <c r="C1601" t="s">
        <v>59</v>
      </c>
      <c r="D1601" t="s">
        <v>60</v>
      </c>
      <c r="E1601" t="s">
        <v>14</v>
      </c>
      <c r="F1601" t="s">
        <v>15</v>
      </c>
      <c r="G1601" t="s">
        <v>24</v>
      </c>
      <c r="H1601" t="s">
        <v>1597</v>
      </c>
      <c r="I1601" s="2">
        <v>7.1520000000000001</v>
      </c>
      <c r="J1601">
        <v>3</v>
      </c>
      <c r="K1601" s="2">
        <v>2.3243999999999998</v>
      </c>
      <c r="L1601" s="3">
        <f>(Table1[[#This Row],[Profit]]/Table1[[#This Row],[Sales]])*100</f>
        <v>32.499999999999993</v>
      </c>
    </row>
    <row r="1602" spans="1:12" x14ac:dyDescent="0.3">
      <c r="A1602" t="s">
        <v>5009</v>
      </c>
      <c r="B1602" s="1">
        <v>44026</v>
      </c>
      <c r="C1602" t="s">
        <v>1671</v>
      </c>
      <c r="D1602" t="s">
        <v>1672</v>
      </c>
      <c r="E1602" t="s">
        <v>14</v>
      </c>
      <c r="F1602" t="s">
        <v>23</v>
      </c>
      <c r="G1602" t="s">
        <v>24</v>
      </c>
      <c r="H1602" t="s">
        <v>5012</v>
      </c>
      <c r="I1602" s="2">
        <v>87.96</v>
      </c>
      <c r="J1602">
        <v>4</v>
      </c>
      <c r="K1602" s="2">
        <v>2.3311999999999999</v>
      </c>
      <c r="L1602" s="3">
        <f>(Table1[[#This Row],[Profit]]/Table1[[#This Row],[Sales]])*100</f>
        <v>2.6502955889040476</v>
      </c>
    </row>
    <row r="1603" spans="1:12" x14ac:dyDescent="0.3">
      <c r="A1603" t="s">
        <v>3844</v>
      </c>
      <c r="B1603" s="1">
        <v>43817</v>
      </c>
      <c r="C1603" t="s">
        <v>1926</v>
      </c>
      <c r="D1603" t="s">
        <v>1927</v>
      </c>
      <c r="E1603" t="s">
        <v>14</v>
      </c>
      <c r="F1603" t="s">
        <v>23</v>
      </c>
      <c r="G1603" t="s">
        <v>24</v>
      </c>
      <c r="H1603" t="s">
        <v>46</v>
      </c>
      <c r="I1603" s="2">
        <v>18.687999999999999</v>
      </c>
      <c r="J1603">
        <v>4</v>
      </c>
      <c r="K1603" s="2">
        <v>2.3359999999999999</v>
      </c>
      <c r="L1603" s="3">
        <f>(Table1[[#This Row],[Profit]]/Table1[[#This Row],[Sales]])*100</f>
        <v>12.5</v>
      </c>
    </row>
    <row r="1604" spans="1:12" x14ac:dyDescent="0.3">
      <c r="A1604" t="s">
        <v>4641</v>
      </c>
      <c r="B1604" s="1">
        <v>43964</v>
      </c>
      <c r="C1604" t="s">
        <v>2827</v>
      </c>
      <c r="D1604" t="s">
        <v>2828</v>
      </c>
      <c r="E1604" t="s">
        <v>14</v>
      </c>
      <c r="F1604" t="s">
        <v>41</v>
      </c>
      <c r="G1604" t="s">
        <v>24</v>
      </c>
      <c r="H1604" t="s">
        <v>2647</v>
      </c>
      <c r="I1604" s="2">
        <v>104.768</v>
      </c>
      <c r="J1604">
        <v>2</v>
      </c>
      <c r="K1604" s="2">
        <v>2.3363999999999998</v>
      </c>
      <c r="L1604" s="3">
        <f>(Table1[[#This Row],[Profit]]/Table1[[#This Row],[Sales]])*100</f>
        <v>2.2300702504581551</v>
      </c>
    </row>
    <row r="1605" spans="1:12" x14ac:dyDescent="0.3">
      <c r="A1605" t="s">
        <v>6066</v>
      </c>
      <c r="B1605" s="1">
        <v>44166</v>
      </c>
      <c r="C1605" t="s">
        <v>2255</v>
      </c>
      <c r="D1605" t="s">
        <v>2256</v>
      </c>
      <c r="E1605" t="s">
        <v>14</v>
      </c>
      <c r="F1605" t="s">
        <v>15</v>
      </c>
      <c r="G1605" t="s">
        <v>24</v>
      </c>
      <c r="H1605" t="s">
        <v>4800</v>
      </c>
      <c r="I1605" s="2">
        <v>150.392</v>
      </c>
      <c r="J1605">
        <v>3</v>
      </c>
      <c r="K1605" s="2">
        <v>2.3370000000000002</v>
      </c>
      <c r="L1605" s="3">
        <f>(Table1[[#This Row],[Profit]]/Table1[[#This Row],[Sales]])*100</f>
        <v>1.5539390393106018</v>
      </c>
    </row>
    <row r="1606" spans="1:12" x14ac:dyDescent="0.3">
      <c r="A1606" t="s">
        <v>6213</v>
      </c>
      <c r="B1606" s="1">
        <v>44183</v>
      </c>
      <c r="C1606" t="s">
        <v>734</v>
      </c>
      <c r="D1606" t="s">
        <v>735</v>
      </c>
      <c r="E1606" t="s">
        <v>14</v>
      </c>
      <c r="F1606" t="s">
        <v>15</v>
      </c>
      <c r="G1606" t="s">
        <v>24</v>
      </c>
      <c r="H1606" t="s">
        <v>3066</v>
      </c>
      <c r="I1606" s="2">
        <v>342.70400000000001</v>
      </c>
      <c r="J1606">
        <v>7</v>
      </c>
      <c r="K1606" s="2">
        <v>2.3380000000000001</v>
      </c>
      <c r="L1606" s="3">
        <f>(Table1[[#This Row],[Profit]]/Table1[[#This Row],[Sales]])*100</f>
        <v>0.68222139222185907</v>
      </c>
    </row>
    <row r="1607" spans="1:12" x14ac:dyDescent="0.3">
      <c r="A1607" t="s">
        <v>3707</v>
      </c>
      <c r="B1607" s="1">
        <v>43804</v>
      </c>
      <c r="C1607" t="s">
        <v>221</v>
      </c>
      <c r="D1607" t="s">
        <v>222</v>
      </c>
      <c r="E1607" t="s">
        <v>14</v>
      </c>
      <c r="F1607" t="s">
        <v>15</v>
      </c>
      <c r="G1607" t="s">
        <v>24</v>
      </c>
      <c r="H1607" t="s">
        <v>234</v>
      </c>
      <c r="I1607" s="2">
        <v>4.9800000000000004</v>
      </c>
      <c r="J1607">
        <v>1</v>
      </c>
      <c r="K1607" s="2">
        <v>2.3405999999999998</v>
      </c>
      <c r="L1607" s="3">
        <f>(Table1[[#This Row],[Profit]]/Table1[[#This Row],[Sales]])*100</f>
        <v>46.999999999999993</v>
      </c>
    </row>
    <row r="1608" spans="1:12" x14ac:dyDescent="0.3">
      <c r="A1608" t="s">
        <v>1351</v>
      </c>
      <c r="B1608" s="1">
        <v>43597</v>
      </c>
      <c r="C1608" t="s">
        <v>687</v>
      </c>
      <c r="D1608" t="s">
        <v>688</v>
      </c>
      <c r="E1608" t="s">
        <v>14</v>
      </c>
      <c r="F1608" t="s">
        <v>23</v>
      </c>
      <c r="G1608" t="s">
        <v>24</v>
      </c>
      <c r="H1608" t="s">
        <v>1353</v>
      </c>
      <c r="I1608" s="2">
        <v>8.67</v>
      </c>
      <c r="J1608">
        <v>1</v>
      </c>
      <c r="K1608" s="2">
        <v>2.3409</v>
      </c>
      <c r="L1608" s="3">
        <f>(Table1[[#This Row],[Profit]]/Table1[[#This Row],[Sales]])*100</f>
        <v>27</v>
      </c>
    </row>
    <row r="1609" spans="1:12" x14ac:dyDescent="0.3">
      <c r="A1609" t="s">
        <v>1247</v>
      </c>
      <c r="B1609" s="1">
        <v>43590</v>
      </c>
      <c r="C1609" t="s">
        <v>1248</v>
      </c>
      <c r="D1609" t="s">
        <v>1249</v>
      </c>
      <c r="E1609" t="s">
        <v>14</v>
      </c>
      <c r="F1609" t="s">
        <v>23</v>
      </c>
      <c r="G1609" t="s">
        <v>24</v>
      </c>
      <c r="H1609" t="s">
        <v>1250</v>
      </c>
      <c r="I1609" s="2">
        <v>6.72</v>
      </c>
      <c r="J1609">
        <v>5</v>
      </c>
      <c r="K1609" s="2">
        <v>2.3519999999999999</v>
      </c>
      <c r="L1609" s="3">
        <f>(Table1[[#This Row],[Profit]]/Table1[[#This Row],[Sales]])*100</f>
        <v>35</v>
      </c>
    </row>
    <row r="1610" spans="1:12" x14ac:dyDescent="0.3">
      <c r="A1610" t="s">
        <v>5307</v>
      </c>
      <c r="B1610" s="1">
        <v>44081</v>
      </c>
      <c r="C1610" t="s">
        <v>1839</v>
      </c>
      <c r="D1610" t="s">
        <v>1840</v>
      </c>
      <c r="E1610" t="s">
        <v>14</v>
      </c>
      <c r="F1610" t="s">
        <v>23</v>
      </c>
      <c r="G1610" t="s">
        <v>24</v>
      </c>
      <c r="H1610" t="s">
        <v>790</v>
      </c>
      <c r="I1610" s="2">
        <v>130.68</v>
      </c>
      <c r="J1610">
        <v>3</v>
      </c>
      <c r="K1610" s="2">
        <v>2.355</v>
      </c>
      <c r="L1610" s="3">
        <f>(Table1[[#This Row],[Profit]]/Table1[[#This Row],[Sales]])*100</f>
        <v>1.8021120293847566</v>
      </c>
    </row>
    <row r="1611" spans="1:12" x14ac:dyDescent="0.3">
      <c r="A1611" t="s">
        <v>6221</v>
      </c>
      <c r="B1611" s="1">
        <v>44185</v>
      </c>
      <c r="C1611" t="s">
        <v>605</v>
      </c>
      <c r="D1611" t="s">
        <v>606</v>
      </c>
      <c r="E1611" t="s">
        <v>14</v>
      </c>
      <c r="F1611" t="s">
        <v>15</v>
      </c>
      <c r="G1611" t="s">
        <v>24</v>
      </c>
      <c r="H1611" t="s">
        <v>587</v>
      </c>
      <c r="I1611" s="2">
        <v>3269.9839999999999</v>
      </c>
      <c r="J1611">
        <v>1</v>
      </c>
      <c r="K1611" s="2">
        <v>2.3571</v>
      </c>
      <c r="L1611" s="3">
        <f>(Table1[[#This Row],[Profit]]/Table1[[#This Row],[Sales]])*100</f>
        <v>7.2082921506649578E-2</v>
      </c>
    </row>
    <row r="1612" spans="1:12" x14ac:dyDescent="0.3">
      <c r="A1612" t="s">
        <v>4449</v>
      </c>
      <c r="B1612" s="1">
        <v>43932</v>
      </c>
      <c r="C1612" t="s">
        <v>2791</v>
      </c>
      <c r="D1612" t="s">
        <v>2792</v>
      </c>
      <c r="E1612" t="s">
        <v>14</v>
      </c>
      <c r="F1612" t="s">
        <v>41</v>
      </c>
      <c r="G1612" t="s">
        <v>24</v>
      </c>
      <c r="H1612" t="s">
        <v>4450</v>
      </c>
      <c r="I1612" s="2">
        <v>97.992000000000004</v>
      </c>
      <c r="J1612">
        <v>8</v>
      </c>
      <c r="K1612" s="2">
        <v>2.3616000000000001</v>
      </c>
      <c r="L1612" s="3">
        <f>(Table1[[#This Row],[Profit]]/Table1[[#This Row],[Sales]])*100</f>
        <v>2.4099926524614257</v>
      </c>
    </row>
    <row r="1613" spans="1:12" x14ac:dyDescent="0.3">
      <c r="A1613" t="s">
        <v>3531</v>
      </c>
      <c r="B1613" s="1">
        <v>43792</v>
      </c>
      <c r="C1613" t="s">
        <v>3532</v>
      </c>
      <c r="D1613" t="s">
        <v>3533</v>
      </c>
      <c r="E1613" t="s">
        <v>14</v>
      </c>
      <c r="F1613" t="s">
        <v>15</v>
      </c>
      <c r="G1613" t="s">
        <v>24</v>
      </c>
      <c r="H1613" t="s">
        <v>2614</v>
      </c>
      <c r="I1613" s="2">
        <v>15.8</v>
      </c>
      <c r="J1613">
        <v>5</v>
      </c>
      <c r="K1613" s="2">
        <v>2.37</v>
      </c>
      <c r="L1613" s="3">
        <f>(Table1[[#This Row],[Profit]]/Table1[[#This Row],[Sales]])*100</f>
        <v>15</v>
      </c>
    </row>
    <row r="1614" spans="1:12" x14ac:dyDescent="0.3">
      <c r="A1614" t="s">
        <v>3418</v>
      </c>
      <c r="B1614" s="1">
        <v>43783</v>
      </c>
      <c r="C1614" t="s">
        <v>2005</v>
      </c>
      <c r="D1614" t="s">
        <v>2006</v>
      </c>
      <c r="E1614" t="s">
        <v>14</v>
      </c>
      <c r="F1614" t="s">
        <v>41</v>
      </c>
      <c r="G1614" t="s">
        <v>24</v>
      </c>
      <c r="H1614" t="s">
        <v>3419</v>
      </c>
      <c r="I1614" s="2">
        <v>5.28</v>
      </c>
      <c r="J1614">
        <v>1</v>
      </c>
      <c r="K1614" s="2">
        <v>2.3759999999999999</v>
      </c>
      <c r="L1614" s="3">
        <f>(Table1[[#This Row],[Profit]]/Table1[[#This Row],[Sales]])*100</f>
        <v>44.999999999999993</v>
      </c>
    </row>
    <row r="1615" spans="1:12" x14ac:dyDescent="0.3">
      <c r="A1615" t="s">
        <v>4459</v>
      </c>
      <c r="B1615" s="1">
        <v>43934</v>
      </c>
      <c r="C1615" t="s">
        <v>509</v>
      </c>
      <c r="D1615" t="s">
        <v>510</v>
      </c>
      <c r="E1615" t="s">
        <v>14</v>
      </c>
      <c r="F1615" t="s">
        <v>23</v>
      </c>
      <c r="G1615" t="s">
        <v>24</v>
      </c>
      <c r="H1615" t="s">
        <v>3419</v>
      </c>
      <c r="I1615" s="2">
        <v>103.28</v>
      </c>
      <c r="J1615">
        <v>1</v>
      </c>
      <c r="K1615" s="2">
        <v>2.3759999999999999</v>
      </c>
      <c r="L1615" s="3">
        <f>(Table1[[#This Row],[Profit]]/Table1[[#This Row],[Sales]])*100</f>
        <v>2.3005422153369484</v>
      </c>
    </row>
    <row r="1616" spans="1:12" x14ac:dyDescent="0.3">
      <c r="A1616" t="s">
        <v>6276</v>
      </c>
      <c r="B1616" s="1">
        <v>44190</v>
      </c>
      <c r="C1616" t="s">
        <v>3979</v>
      </c>
      <c r="D1616" t="s">
        <v>3980</v>
      </c>
      <c r="E1616" t="s">
        <v>14</v>
      </c>
      <c r="F1616" t="s">
        <v>29</v>
      </c>
      <c r="G1616" t="s">
        <v>24</v>
      </c>
      <c r="H1616" t="s">
        <v>445</v>
      </c>
      <c r="I1616" s="2">
        <v>302.74400000000003</v>
      </c>
      <c r="J1616">
        <v>2</v>
      </c>
      <c r="K1616" s="2">
        <v>2.3807999999999998</v>
      </c>
      <c r="L1616" s="3">
        <f>(Table1[[#This Row],[Profit]]/Table1[[#This Row],[Sales]])*100</f>
        <v>0.78640699733107822</v>
      </c>
    </row>
    <row r="1617" spans="1:12" x14ac:dyDescent="0.3">
      <c r="A1617" t="s">
        <v>3236</v>
      </c>
      <c r="B1617" s="1">
        <v>43772</v>
      </c>
      <c r="C1617" t="s">
        <v>895</v>
      </c>
      <c r="D1617" t="s">
        <v>896</v>
      </c>
      <c r="E1617" t="s">
        <v>14</v>
      </c>
      <c r="F1617" t="s">
        <v>23</v>
      </c>
      <c r="G1617" t="s">
        <v>24</v>
      </c>
      <c r="H1617" t="s">
        <v>3237</v>
      </c>
      <c r="I1617" s="2">
        <v>8.82</v>
      </c>
      <c r="J1617">
        <v>3</v>
      </c>
      <c r="K1617" s="2">
        <v>2.3814000000000002</v>
      </c>
      <c r="L1617" s="3">
        <f>(Table1[[#This Row],[Profit]]/Table1[[#This Row],[Sales]])*100</f>
        <v>27</v>
      </c>
    </row>
    <row r="1618" spans="1:12" x14ac:dyDescent="0.3">
      <c r="A1618" t="s">
        <v>4089</v>
      </c>
      <c r="B1618" s="1">
        <v>43860</v>
      </c>
      <c r="C1618" t="s">
        <v>924</v>
      </c>
      <c r="D1618" t="s">
        <v>925</v>
      </c>
      <c r="E1618" t="s">
        <v>14</v>
      </c>
      <c r="F1618" t="s">
        <v>23</v>
      </c>
      <c r="G1618" t="s">
        <v>24</v>
      </c>
      <c r="H1618" t="s">
        <v>3358</v>
      </c>
      <c r="I1618" s="2">
        <v>131.82</v>
      </c>
      <c r="J1618">
        <v>3</v>
      </c>
      <c r="K1618" s="2">
        <v>2.3814000000000002</v>
      </c>
      <c r="L1618" s="3">
        <f>(Table1[[#This Row],[Profit]]/Table1[[#This Row],[Sales]])*100</f>
        <v>1.806554392353209</v>
      </c>
    </row>
    <row r="1619" spans="1:12" x14ac:dyDescent="0.3">
      <c r="A1619" t="s">
        <v>5436</v>
      </c>
      <c r="B1619" s="1">
        <v>44092</v>
      </c>
      <c r="C1619" t="s">
        <v>1456</v>
      </c>
      <c r="D1619" t="s">
        <v>1457</v>
      </c>
      <c r="E1619" t="s">
        <v>14</v>
      </c>
      <c r="F1619" t="s">
        <v>23</v>
      </c>
      <c r="G1619" t="s">
        <v>24</v>
      </c>
      <c r="H1619" t="s">
        <v>1581</v>
      </c>
      <c r="I1619" s="2">
        <v>116.82</v>
      </c>
      <c r="J1619">
        <v>3</v>
      </c>
      <c r="K1619" s="2">
        <v>2.3814000000000002</v>
      </c>
      <c r="L1619" s="3">
        <f>(Table1[[#This Row],[Profit]]/Table1[[#This Row],[Sales]])*100</f>
        <v>2.0385208012326661</v>
      </c>
    </row>
    <row r="1620" spans="1:12" x14ac:dyDescent="0.3">
      <c r="A1620" t="s">
        <v>1336</v>
      </c>
      <c r="B1620" s="1">
        <v>43595</v>
      </c>
      <c r="C1620" t="s">
        <v>1277</v>
      </c>
      <c r="D1620" t="s">
        <v>1278</v>
      </c>
      <c r="E1620" t="s">
        <v>14</v>
      </c>
      <c r="F1620" t="s">
        <v>29</v>
      </c>
      <c r="G1620" t="s">
        <v>24</v>
      </c>
      <c r="H1620" t="s">
        <v>1337</v>
      </c>
      <c r="I1620" s="2">
        <v>7.0720000000000001</v>
      </c>
      <c r="J1620">
        <v>2</v>
      </c>
      <c r="K1620" s="2">
        <v>2.3868</v>
      </c>
      <c r="L1620" s="3">
        <f>(Table1[[#This Row],[Profit]]/Table1[[#This Row],[Sales]])*100</f>
        <v>33.75</v>
      </c>
    </row>
    <row r="1621" spans="1:12" x14ac:dyDescent="0.3">
      <c r="A1621" t="s">
        <v>5340</v>
      </c>
      <c r="B1621" s="1">
        <v>44083</v>
      </c>
      <c r="C1621" t="s">
        <v>3353</v>
      </c>
      <c r="D1621" t="s">
        <v>3354</v>
      </c>
      <c r="E1621" t="s">
        <v>14</v>
      </c>
      <c r="F1621" t="s">
        <v>23</v>
      </c>
      <c r="G1621" t="s">
        <v>24</v>
      </c>
      <c r="H1621" t="s">
        <v>4363</v>
      </c>
      <c r="I1621" s="2">
        <v>73.367999999999995</v>
      </c>
      <c r="J1621">
        <v>2</v>
      </c>
      <c r="K1621" s="2">
        <v>2.3879999999999999</v>
      </c>
      <c r="L1621" s="3">
        <f>(Table1[[#This Row],[Profit]]/Table1[[#This Row],[Sales]])*100</f>
        <v>3.2548249918220482</v>
      </c>
    </row>
    <row r="1622" spans="1:12" x14ac:dyDescent="0.3">
      <c r="A1622" t="s">
        <v>1118</v>
      </c>
      <c r="B1622" s="1">
        <v>43577</v>
      </c>
      <c r="C1622" t="s">
        <v>1119</v>
      </c>
      <c r="D1622" t="s">
        <v>1120</v>
      </c>
      <c r="E1622" t="s">
        <v>14</v>
      </c>
      <c r="F1622" t="s">
        <v>29</v>
      </c>
      <c r="G1622" t="s">
        <v>24</v>
      </c>
      <c r="H1622" t="s">
        <v>1121</v>
      </c>
      <c r="I1622" s="2">
        <v>23.952000000000002</v>
      </c>
      <c r="J1622">
        <v>2</v>
      </c>
      <c r="K1622" s="2">
        <v>2.3952</v>
      </c>
      <c r="L1622" s="3">
        <f>(Table1[[#This Row],[Profit]]/Table1[[#This Row],[Sales]])*100</f>
        <v>10</v>
      </c>
    </row>
    <row r="1623" spans="1:12" x14ac:dyDescent="0.3">
      <c r="A1623" t="s">
        <v>2507</v>
      </c>
      <c r="B1623" s="1">
        <v>43708</v>
      </c>
      <c r="C1623" t="s">
        <v>2020</v>
      </c>
      <c r="D1623" t="s">
        <v>2021</v>
      </c>
      <c r="E1623" t="s">
        <v>14</v>
      </c>
      <c r="F1623" t="s">
        <v>29</v>
      </c>
      <c r="G1623" t="s">
        <v>24</v>
      </c>
      <c r="H1623" t="s">
        <v>1205</v>
      </c>
      <c r="I1623" s="2">
        <v>23.968</v>
      </c>
      <c r="J1623">
        <v>2</v>
      </c>
      <c r="K1623" s="2">
        <v>2.3967999999999998</v>
      </c>
      <c r="L1623" s="3">
        <f>(Table1[[#This Row],[Profit]]/Table1[[#This Row],[Sales]])*100</f>
        <v>10</v>
      </c>
    </row>
    <row r="1624" spans="1:12" x14ac:dyDescent="0.3">
      <c r="A1624" t="s">
        <v>5317</v>
      </c>
      <c r="B1624" s="1">
        <v>44081</v>
      </c>
      <c r="C1624" t="s">
        <v>2606</v>
      </c>
      <c r="D1624" t="s">
        <v>2607</v>
      </c>
      <c r="E1624" t="s">
        <v>14</v>
      </c>
      <c r="F1624" t="s">
        <v>23</v>
      </c>
      <c r="G1624" t="s">
        <v>16</v>
      </c>
      <c r="H1624" t="s">
        <v>3479</v>
      </c>
      <c r="I1624" s="2">
        <v>142.94</v>
      </c>
      <c r="J1624">
        <v>3</v>
      </c>
      <c r="K1624" s="2">
        <v>2.3969999999999998</v>
      </c>
      <c r="L1624" s="3">
        <f>(Table1[[#This Row],[Profit]]/Table1[[#This Row],[Sales]])*100</f>
        <v>1.6769273821183712</v>
      </c>
    </row>
    <row r="1625" spans="1:12" x14ac:dyDescent="0.3">
      <c r="A1625" t="s">
        <v>5958</v>
      </c>
      <c r="B1625" s="1">
        <v>44154</v>
      </c>
      <c r="C1625" t="s">
        <v>4856</v>
      </c>
      <c r="D1625" t="s">
        <v>4857</v>
      </c>
      <c r="E1625" t="s">
        <v>14</v>
      </c>
      <c r="F1625" t="s">
        <v>23</v>
      </c>
      <c r="G1625" t="s">
        <v>18</v>
      </c>
      <c r="H1625" t="s">
        <v>3341</v>
      </c>
      <c r="I1625" s="2">
        <v>149.96799999999999</v>
      </c>
      <c r="J1625">
        <v>4</v>
      </c>
      <c r="K1625" s="2">
        <v>2.3976000000000002</v>
      </c>
      <c r="L1625" s="3">
        <f>(Table1[[#This Row],[Profit]]/Table1[[#This Row],[Sales]])*100</f>
        <v>1.5987410647604825</v>
      </c>
    </row>
    <row r="1626" spans="1:12" x14ac:dyDescent="0.3">
      <c r="A1626" t="s">
        <v>4757</v>
      </c>
      <c r="B1626" s="1">
        <v>43984</v>
      </c>
      <c r="C1626" t="s">
        <v>1869</v>
      </c>
      <c r="D1626" t="s">
        <v>1870</v>
      </c>
      <c r="E1626" t="s">
        <v>14</v>
      </c>
      <c r="F1626" t="s">
        <v>15</v>
      </c>
      <c r="G1626" t="s">
        <v>24</v>
      </c>
      <c r="H1626" t="s">
        <v>2932</v>
      </c>
      <c r="I1626" s="2">
        <v>124.44</v>
      </c>
      <c r="J1626">
        <v>2</v>
      </c>
      <c r="K1626" s="2">
        <v>2.4009999999999998</v>
      </c>
      <c r="L1626" s="3">
        <f>(Table1[[#This Row],[Profit]]/Table1[[#This Row],[Sales]])*100</f>
        <v>1.9294439087110253</v>
      </c>
    </row>
    <row r="1627" spans="1:12" x14ac:dyDescent="0.3">
      <c r="A1627" t="s">
        <v>5230</v>
      </c>
      <c r="B1627" s="1">
        <v>44072</v>
      </c>
      <c r="C1627" t="s">
        <v>811</v>
      </c>
      <c r="D1627" t="s">
        <v>812</v>
      </c>
      <c r="E1627" t="s">
        <v>14</v>
      </c>
      <c r="F1627" t="s">
        <v>29</v>
      </c>
      <c r="G1627" t="s">
        <v>24</v>
      </c>
      <c r="H1627" t="s">
        <v>2932</v>
      </c>
      <c r="I1627" s="2">
        <v>93.44</v>
      </c>
      <c r="J1627">
        <v>2</v>
      </c>
      <c r="K1627" s="2">
        <v>2.4009999999999998</v>
      </c>
      <c r="L1627" s="3">
        <f>(Table1[[#This Row],[Profit]]/Table1[[#This Row],[Sales]])*100</f>
        <v>2.5695633561643834</v>
      </c>
    </row>
    <row r="1628" spans="1:12" x14ac:dyDescent="0.3">
      <c r="A1628" t="s">
        <v>4084</v>
      </c>
      <c r="B1628" s="1">
        <v>43859</v>
      </c>
      <c r="C1628" t="s">
        <v>3525</v>
      </c>
      <c r="D1628" t="s">
        <v>3526</v>
      </c>
      <c r="E1628" t="s">
        <v>14</v>
      </c>
      <c r="F1628" t="s">
        <v>15</v>
      </c>
      <c r="G1628" t="s">
        <v>24</v>
      </c>
      <c r="H1628" t="s">
        <v>312</v>
      </c>
      <c r="I1628" s="2">
        <v>85.22</v>
      </c>
      <c r="J1628">
        <v>2</v>
      </c>
      <c r="K1628" s="2">
        <v>2.4011999999999998</v>
      </c>
      <c r="L1628" s="3">
        <f>(Table1[[#This Row],[Profit]]/Table1[[#This Row],[Sales]])*100</f>
        <v>2.8176484393334893</v>
      </c>
    </row>
    <row r="1629" spans="1:12" x14ac:dyDescent="0.3">
      <c r="A1629" t="s">
        <v>4548</v>
      </c>
      <c r="B1629" s="1">
        <v>43950</v>
      </c>
      <c r="C1629" t="s">
        <v>2690</v>
      </c>
      <c r="D1629" t="s">
        <v>2691</v>
      </c>
      <c r="E1629" t="s">
        <v>14</v>
      </c>
      <c r="F1629" t="s">
        <v>15</v>
      </c>
      <c r="G1629" t="s">
        <v>24</v>
      </c>
      <c r="H1629" t="s">
        <v>4436</v>
      </c>
      <c r="I1629" s="2">
        <v>106.91</v>
      </c>
      <c r="J1629">
        <v>1</v>
      </c>
      <c r="K1629" s="2">
        <v>2.4058999999999999</v>
      </c>
      <c r="L1629" s="3">
        <f>(Table1[[#This Row],[Profit]]/Table1[[#This Row],[Sales]])*100</f>
        <v>2.2503975306332431</v>
      </c>
    </row>
    <row r="1630" spans="1:12" x14ac:dyDescent="0.3">
      <c r="A1630" t="s">
        <v>4303</v>
      </c>
      <c r="B1630" s="1">
        <v>43909</v>
      </c>
      <c r="C1630" t="s">
        <v>758</v>
      </c>
      <c r="D1630" t="s">
        <v>759</v>
      </c>
      <c r="E1630" t="s">
        <v>14</v>
      </c>
      <c r="F1630" t="s">
        <v>15</v>
      </c>
      <c r="G1630" t="s">
        <v>24</v>
      </c>
      <c r="H1630" t="s">
        <v>1365</v>
      </c>
      <c r="I1630" s="2">
        <v>90.94</v>
      </c>
      <c r="J1630">
        <v>3</v>
      </c>
      <c r="K1630" s="2">
        <v>2.4138000000000002</v>
      </c>
      <c r="L1630" s="3">
        <f>(Table1[[#This Row],[Profit]]/Table1[[#This Row],[Sales]])*100</f>
        <v>2.6542775456344847</v>
      </c>
    </row>
    <row r="1631" spans="1:12" x14ac:dyDescent="0.3">
      <c r="A1631" t="s">
        <v>4346</v>
      </c>
      <c r="B1631" s="1">
        <v>43916</v>
      </c>
      <c r="C1631" t="s">
        <v>1135</v>
      </c>
      <c r="D1631" t="s">
        <v>1136</v>
      </c>
      <c r="E1631" t="s">
        <v>14</v>
      </c>
      <c r="F1631" t="s">
        <v>29</v>
      </c>
      <c r="G1631" t="s">
        <v>24</v>
      </c>
      <c r="H1631" t="s">
        <v>4282</v>
      </c>
      <c r="I1631" s="2">
        <v>133.232</v>
      </c>
      <c r="J1631">
        <v>3</v>
      </c>
      <c r="K1631" s="2">
        <v>2.4174000000000002</v>
      </c>
      <c r="L1631" s="3">
        <f>(Table1[[#This Row],[Profit]]/Table1[[#This Row],[Sales]])*100</f>
        <v>1.814428966014171</v>
      </c>
    </row>
    <row r="1632" spans="1:12" x14ac:dyDescent="0.3">
      <c r="A1632" t="s">
        <v>945</v>
      </c>
      <c r="B1632" s="1">
        <v>43564</v>
      </c>
      <c r="C1632" t="s">
        <v>946</v>
      </c>
      <c r="D1632" t="s">
        <v>947</v>
      </c>
      <c r="E1632" t="s">
        <v>14</v>
      </c>
      <c r="F1632" t="s">
        <v>29</v>
      </c>
      <c r="G1632" t="s">
        <v>24</v>
      </c>
      <c r="H1632" t="s">
        <v>948</v>
      </c>
      <c r="I1632" s="2">
        <v>5.28</v>
      </c>
      <c r="J1632">
        <v>2</v>
      </c>
      <c r="K1632" s="2">
        <v>2.4287999999999998</v>
      </c>
      <c r="L1632" s="3">
        <f>(Table1[[#This Row],[Profit]]/Table1[[#This Row],[Sales]])*100</f>
        <v>46</v>
      </c>
    </row>
    <row r="1633" spans="1:12" x14ac:dyDescent="0.3">
      <c r="A1633" t="s">
        <v>1475</v>
      </c>
      <c r="B1633" s="1">
        <v>43608</v>
      </c>
      <c r="C1633" t="s">
        <v>1476</v>
      </c>
      <c r="D1633" t="s">
        <v>1477</v>
      </c>
      <c r="E1633" t="s">
        <v>14</v>
      </c>
      <c r="F1633" t="s">
        <v>41</v>
      </c>
      <c r="G1633" t="s">
        <v>24</v>
      </c>
      <c r="H1633" t="s">
        <v>1478</v>
      </c>
      <c r="I1633" s="2">
        <v>4.9800000000000004</v>
      </c>
      <c r="J1633">
        <v>1</v>
      </c>
      <c r="K1633" s="2">
        <v>2.4401999999999999</v>
      </c>
      <c r="L1633" s="3">
        <f>(Table1[[#This Row],[Profit]]/Table1[[#This Row],[Sales]])*100</f>
        <v>48.999999999999993</v>
      </c>
    </row>
    <row r="1634" spans="1:12" x14ac:dyDescent="0.3">
      <c r="A1634" t="s">
        <v>6079</v>
      </c>
      <c r="B1634" s="1">
        <v>44167</v>
      </c>
      <c r="C1634" t="s">
        <v>3443</v>
      </c>
      <c r="D1634" t="s">
        <v>3444</v>
      </c>
      <c r="E1634" t="s">
        <v>14</v>
      </c>
      <c r="F1634" t="s">
        <v>41</v>
      </c>
      <c r="G1634" t="s">
        <v>24</v>
      </c>
      <c r="H1634" t="s">
        <v>6080</v>
      </c>
      <c r="I1634" s="2">
        <v>93.775999999999996</v>
      </c>
      <c r="J1634">
        <v>1</v>
      </c>
      <c r="K1634" s="2">
        <v>2.4582000000000002</v>
      </c>
      <c r="L1634" s="3">
        <f>(Table1[[#This Row],[Profit]]/Table1[[#This Row],[Sales]])*100</f>
        <v>2.6213530114314967</v>
      </c>
    </row>
    <row r="1635" spans="1:12" x14ac:dyDescent="0.3">
      <c r="A1635" t="s">
        <v>5497</v>
      </c>
      <c r="B1635" s="1">
        <v>44098</v>
      </c>
      <c r="C1635" t="s">
        <v>971</v>
      </c>
      <c r="D1635" t="s">
        <v>972</v>
      </c>
      <c r="E1635" t="s">
        <v>14</v>
      </c>
      <c r="F1635" t="s">
        <v>41</v>
      </c>
      <c r="G1635" t="s">
        <v>18</v>
      </c>
      <c r="H1635" t="s">
        <v>491</v>
      </c>
      <c r="I1635" s="2">
        <v>114.88</v>
      </c>
      <c r="J1635">
        <v>3</v>
      </c>
      <c r="K1635" s="2">
        <v>2.4584999999999999</v>
      </c>
      <c r="L1635" s="3">
        <f>(Table1[[#This Row],[Profit]]/Table1[[#This Row],[Sales]])*100</f>
        <v>2.1400591922005572</v>
      </c>
    </row>
    <row r="1636" spans="1:12" x14ac:dyDescent="0.3">
      <c r="A1636" t="s">
        <v>5572</v>
      </c>
      <c r="B1636" s="1">
        <v>44109</v>
      </c>
      <c r="C1636" t="s">
        <v>4620</v>
      </c>
      <c r="D1636" t="s">
        <v>4621</v>
      </c>
      <c r="E1636" t="s">
        <v>14</v>
      </c>
      <c r="F1636" t="s">
        <v>15</v>
      </c>
      <c r="G1636" t="s">
        <v>16</v>
      </c>
      <c r="H1636" t="s">
        <v>661</v>
      </c>
      <c r="I1636" s="2">
        <v>247.38200000000001</v>
      </c>
      <c r="J1636">
        <v>2</v>
      </c>
      <c r="K1636" s="2">
        <v>2.4598</v>
      </c>
      <c r="L1636" s="3">
        <f>(Table1[[#This Row],[Profit]]/Table1[[#This Row],[Sales]])*100</f>
        <v>0.9943326515267884</v>
      </c>
    </row>
    <row r="1637" spans="1:12" x14ac:dyDescent="0.3">
      <c r="A1637" t="s">
        <v>4878</v>
      </c>
      <c r="B1637" s="1">
        <v>44003</v>
      </c>
      <c r="C1637" t="s">
        <v>903</v>
      </c>
      <c r="D1637" t="s">
        <v>904</v>
      </c>
      <c r="E1637" t="s">
        <v>14</v>
      </c>
      <c r="F1637" t="s">
        <v>15</v>
      </c>
      <c r="G1637" t="s">
        <v>16</v>
      </c>
      <c r="H1637" t="s">
        <v>1689</v>
      </c>
      <c r="I1637" s="2">
        <v>139.91999999999999</v>
      </c>
      <c r="J1637">
        <v>5</v>
      </c>
      <c r="K1637" s="2">
        <v>2.464</v>
      </c>
      <c r="L1637" s="3">
        <f>(Table1[[#This Row],[Profit]]/Table1[[#This Row],[Sales]])*100</f>
        <v>1.7610062893081764</v>
      </c>
    </row>
    <row r="1638" spans="1:12" x14ac:dyDescent="0.3">
      <c r="A1638" t="s">
        <v>1407</v>
      </c>
      <c r="B1638" s="1">
        <v>43602</v>
      </c>
      <c r="C1638" t="s">
        <v>1408</v>
      </c>
      <c r="D1638" t="s">
        <v>1409</v>
      </c>
      <c r="E1638" t="s">
        <v>14</v>
      </c>
      <c r="F1638" t="s">
        <v>29</v>
      </c>
      <c r="G1638" t="s">
        <v>24</v>
      </c>
      <c r="H1638" t="s">
        <v>1411</v>
      </c>
      <c r="I1638" s="2">
        <v>7.8959999999999999</v>
      </c>
      <c r="J1638">
        <v>3</v>
      </c>
      <c r="K1638" s="2">
        <v>2.4674999999999998</v>
      </c>
      <c r="L1638" s="3">
        <f>(Table1[[#This Row],[Profit]]/Table1[[#This Row],[Sales]])*100</f>
        <v>31.25</v>
      </c>
    </row>
    <row r="1639" spans="1:12" x14ac:dyDescent="0.3">
      <c r="A1639" t="s">
        <v>3725</v>
      </c>
      <c r="B1639" s="1">
        <v>43807</v>
      </c>
      <c r="C1639" t="s">
        <v>3726</v>
      </c>
      <c r="D1639" t="s">
        <v>3727</v>
      </c>
      <c r="E1639" t="s">
        <v>14</v>
      </c>
      <c r="F1639" t="s">
        <v>23</v>
      </c>
      <c r="G1639" t="s">
        <v>24</v>
      </c>
      <c r="H1639" t="s">
        <v>1026</v>
      </c>
      <c r="I1639" s="2">
        <v>8.56</v>
      </c>
      <c r="J1639">
        <v>2</v>
      </c>
      <c r="K1639" s="2">
        <v>2.4824000000000002</v>
      </c>
      <c r="L1639" s="3">
        <f>(Table1[[#This Row],[Profit]]/Table1[[#This Row],[Sales]])*100</f>
        <v>28.999999999999996</v>
      </c>
    </row>
    <row r="1640" spans="1:12" x14ac:dyDescent="0.3">
      <c r="A1640" t="s">
        <v>5665</v>
      </c>
      <c r="B1640" s="1">
        <v>44124</v>
      </c>
      <c r="C1640" t="s">
        <v>2626</v>
      </c>
      <c r="D1640" t="s">
        <v>2627</v>
      </c>
      <c r="E1640" t="s">
        <v>14</v>
      </c>
      <c r="F1640" t="s">
        <v>41</v>
      </c>
      <c r="G1640" t="s">
        <v>24</v>
      </c>
      <c r="H1640" t="s">
        <v>2890</v>
      </c>
      <c r="I1640" s="2">
        <v>108.672</v>
      </c>
      <c r="J1640">
        <v>1</v>
      </c>
      <c r="K1640" s="2">
        <v>2.5019999999999998</v>
      </c>
      <c r="L1640" s="3">
        <f>(Table1[[#This Row],[Profit]]/Table1[[#This Row],[Sales]])*100</f>
        <v>2.3023409893992932</v>
      </c>
    </row>
    <row r="1641" spans="1:12" x14ac:dyDescent="0.3">
      <c r="A1641" t="s">
        <v>1741</v>
      </c>
      <c r="B1641" s="1">
        <v>43630</v>
      </c>
      <c r="C1641" t="s">
        <v>414</v>
      </c>
      <c r="D1641" t="s">
        <v>415</v>
      </c>
      <c r="E1641" t="s">
        <v>14</v>
      </c>
      <c r="F1641" t="s">
        <v>23</v>
      </c>
      <c r="G1641" t="s">
        <v>24</v>
      </c>
      <c r="H1641" t="s">
        <v>1743</v>
      </c>
      <c r="I1641" s="2">
        <v>8.64</v>
      </c>
      <c r="J1641">
        <v>3</v>
      </c>
      <c r="K1641" s="2">
        <v>2.5055999999999998</v>
      </c>
      <c r="L1641" s="3">
        <f>(Table1[[#This Row],[Profit]]/Table1[[#This Row],[Sales]])*100</f>
        <v>28.999999999999996</v>
      </c>
    </row>
    <row r="1642" spans="1:12" x14ac:dyDescent="0.3">
      <c r="A1642" t="s">
        <v>2449</v>
      </c>
      <c r="B1642" s="1">
        <v>43703</v>
      </c>
      <c r="C1642" t="s">
        <v>2073</v>
      </c>
      <c r="D1642" t="s">
        <v>2074</v>
      </c>
      <c r="E1642" t="s">
        <v>14</v>
      </c>
      <c r="F1642" t="s">
        <v>29</v>
      </c>
      <c r="G1642" t="s">
        <v>24</v>
      </c>
      <c r="H1642" t="s">
        <v>2454</v>
      </c>
      <c r="I1642" s="2">
        <v>8.64</v>
      </c>
      <c r="J1642">
        <v>3</v>
      </c>
      <c r="K1642" s="2">
        <v>2.5055999999999998</v>
      </c>
      <c r="L1642" s="3">
        <f>(Table1[[#This Row],[Profit]]/Table1[[#This Row],[Sales]])*100</f>
        <v>28.999999999999996</v>
      </c>
    </row>
    <row r="1643" spans="1:12" x14ac:dyDescent="0.3">
      <c r="A1643" t="s">
        <v>4773</v>
      </c>
      <c r="B1643" s="1">
        <v>43986</v>
      </c>
      <c r="C1643" t="s">
        <v>2320</v>
      </c>
      <c r="D1643" t="s">
        <v>2321</v>
      </c>
      <c r="E1643" t="s">
        <v>14</v>
      </c>
      <c r="F1643" t="s">
        <v>29</v>
      </c>
      <c r="G1643" t="s">
        <v>24</v>
      </c>
      <c r="H1643" t="s">
        <v>1743</v>
      </c>
      <c r="I1643" s="2">
        <v>118.64</v>
      </c>
      <c r="J1643">
        <v>3</v>
      </c>
      <c r="K1643" s="2">
        <v>2.5055999999999998</v>
      </c>
      <c r="L1643" s="3">
        <f>(Table1[[#This Row],[Profit]]/Table1[[#This Row],[Sales]])*100</f>
        <v>2.1119352663519888</v>
      </c>
    </row>
    <row r="1644" spans="1:12" x14ac:dyDescent="0.3">
      <c r="A1644" t="s">
        <v>4700</v>
      </c>
      <c r="B1644" s="1">
        <v>43973</v>
      </c>
      <c r="C1644" t="s">
        <v>1416</v>
      </c>
      <c r="D1644" t="s">
        <v>1417</v>
      </c>
      <c r="E1644" t="s">
        <v>14</v>
      </c>
      <c r="F1644" t="s">
        <v>29</v>
      </c>
      <c r="G1644" t="s">
        <v>24</v>
      </c>
      <c r="H1644" t="s">
        <v>1405</v>
      </c>
      <c r="I1644" s="2">
        <v>116.34399999999999</v>
      </c>
      <c r="J1644">
        <v>3</v>
      </c>
      <c r="K1644" s="2">
        <v>2.5137</v>
      </c>
      <c r="L1644" s="3">
        <f>(Table1[[#This Row],[Profit]]/Table1[[#This Row],[Sales]])*100</f>
        <v>2.1605755346214677</v>
      </c>
    </row>
    <row r="1645" spans="1:12" x14ac:dyDescent="0.3">
      <c r="A1645" t="s">
        <v>902</v>
      </c>
      <c r="B1645" s="1">
        <v>43562</v>
      </c>
      <c r="C1645" t="s">
        <v>903</v>
      </c>
      <c r="D1645" t="s">
        <v>904</v>
      </c>
      <c r="E1645" t="s">
        <v>14</v>
      </c>
      <c r="F1645" t="s">
        <v>15</v>
      </c>
      <c r="G1645" t="s">
        <v>24</v>
      </c>
      <c r="H1645" t="s">
        <v>905</v>
      </c>
      <c r="I1645" s="2">
        <v>33.527999999999999</v>
      </c>
      <c r="J1645">
        <v>3</v>
      </c>
      <c r="K1645" s="2">
        <v>2.5146000000000002</v>
      </c>
      <c r="L1645" s="3">
        <f>(Table1[[#This Row],[Profit]]/Table1[[#This Row],[Sales]])*100</f>
        <v>7.5000000000000009</v>
      </c>
    </row>
    <row r="1646" spans="1:12" x14ac:dyDescent="0.3">
      <c r="A1646" t="s">
        <v>5816</v>
      </c>
      <c r="B1646" s="1">
        <v>44142</v>
      </c>
      <c r="C1646" t="s">
        <v>164</v>
      </c>
      <c r="D1646" t="s">
        <v>165</v>
      </c>
      <c r="E1646" t="s">
        <v>14</v>
      </c>
      <c r="F1646" t="s">
        <v>15</v>
      </c>
      <c r="G1646" t="s">
        <v>18</v>
      </c>
      <c r="H1646" t="s">
        <v>5817</v>
      </c>
      <c r="I1646" s="2">
        <v>86.88</v>
      </c>
      <c r="J1646">
        <v>4</v>
      </c>
      <c r="K1646" s="2">
        <v>2.5215999999999998</v>
      </c>
      <c r="L1646" s="3">
        <f>(Table1[[#This Row],[Profit]]/Table1[[#This Row],[Sales]])*100</f>
        <v>2.9023941068139965</v>
      </c>
    </row>
    <row r="1647" spans="1:12" x14ac:dyDescent="0.3">
      <c r="A1647" t="s">
        <v>4213</v>
      </c>
      <c r="B1647" s="1">
        <v>43895</v>
      </c>
      <c r="C1647" t="s">
        <v>4214</v>
      </c>
      <c r="D1647" t="s">
        <v>4215</v>
      </c>
      <c r="E1647" t="s">
        <v>14</v>
      </c>
      <c r="F1647" t="s">
        <v>29</v>
      </c>
      <c r="G1647" t="s">
        <v>24</v>
      </c>
      <c r="H1647" t="s">
        <v>2614</v>
      </c>
      <c r="I1647" s="2">
        <v>112.9</v>
      </c>
      <c r="J1647">
        <v>2</v>
      </c>
      <c r="K1647" s="2">
        <v>2.528</v>
      </c>
      <c r="L1647" s="3">
        <f>(Table1[[#This Row],[Profit]]/Table1[[#This Row],[Sales]])*100</f>
        <v>2.2391496899911423</v>
      </c>
    </row>
    <row r="1648" spans="1:12" x14ac:dyDescent="0.3">
      <c r="A1648" t="s">
        <v>2582</v>
      </c>
      <c r="B1648" s="1">
        <v>43712</v>
      </c>
      <c r="C1648" t="s">
        <v>1962</v>
      </c>
      <c r="D1648" t="s">
        <v>1963</v>
      </c>
      <c r="E1648" t="s">
        <v>14</v>
      </c>
      <c r="F1648" t="s">
        <v>41</v>
      </c>
      <c r="G1648" t="s">
        <v>24</v>
      </c>
      <c r="H1648" t="s">
        <v>1730</v>
      </c>
      <c r="I1648" s="2">
        <v>5.28</v>
      </c>
      <c r="J1648">
        <v>3</v>
      </c>
      <c r="K1648" s="2">
        <v>2.5344000000000002</v>
      </c>
      <c r="L1648" s="3">
        <f>(Table1[[#This Row],[Profit]]/Table1[[#This Row],[Sales]])*100</f>
        <v>48.000000000000007</v>
      </c>
    </row>
    <row r="1649" spans="1:12" x14ac:dyDescent="0.3">
      <c r="A1649" t="s">
        <v>4013</v>
      </c>
      <c r="B1649" s="1">
        <v>43844</v>
      </c>
      <c r="C1649" t="s">
        <v>4014</v>
      </c>
      <c r="D1649" t="s">
        <v>4015</v>
      </c>
      <c r="E1649" t="s">
        <v>14</v>
      </c>
      <c r="F1649" t="s">
        <v>29</v>
      </c>
      <c r="G1649" t="s">
        <v>18</v>
      </c>
      <c r="H1649" t="s">
        <v>3825</v>
      </c>
      <c r="I1649" s="2">
        <v>102.12</v>
      </c>
      <c r="J1649">
        <v>4</v>
      </c>
      <c r="K1649" s="2">
        <v>2.5451999999999999</v>
      </c>
      <c r="L1649" s="3">
        <f>(Table1[[#This Row],[Profit]]/Table1[[#This Row],[Sales]])*100</f>
        <v>2.4923619271445356</v>
      </c>
    </row>
    <row r="1650" spans="1:12" x14ac:dyDescent="0.3">
      <c r="A1650" t="s">
        <v>3925</v>
      </c>
      <c r="B1650" s="1">
        <v>43825</v>
      </c>
      <c r="C1650" t="s">
        <v>114</v>
      </c>
      <c r="D1650" t="s">
        <v>115</v>
      </c>
      <c r="E1650" t="s">
        <v>14</v>
      </c>
      <c r="F1650" t="s">
        <v>23</v>
      </c>
      <c r="G1650" t="s">
        <v>24</v>
      </c>
      <c r="H1650" t="s">
        <v>2756</v>
      </c>
      <c r="I1650" s="2">
        <v>11.327999999999999</v>
      </c>
      <c r="J1650">
        <v>2</v>
      </c>
      <c r="K1650" s="2">
        <v>2.5488</v>
      </c>
      <c r="L1650" s="3">
        <f>(Table1[[#This Row],[Profit]]/Table1[[#This Row],[Sales]])*100</f>
        <v>22.5</v>
      </c>
    </row>
    <row r="1651" spans="1:12" x14ac:dyDescent="0.3">
      <c r="A1651" t="s">
        <v>6093</v>
      </c>
      <c r="B1651" s="1">
        <v>44169</v>
      </c>
      <c r="C1651" t="s">
        <v>2020</v>
      </c>
      <c r="D1651" t="s">
        <v>2021</v>
      </c>
      <c r="E1651" t="s">
        <v>14</v>
      </c>
      <c r="F1651" t="s">
        <v>29</v>
      </c>
      <c r="G1651" t="s">
        <v>24</v>
      </c>
      <c r="H1651" t="s">
        <v>3058</v>
      </c>
      <c r="I1651" s="2">
        <v>93.8</v>
      </c>
      <c r="J1651">
        <v>5</v>
      </c>
      <c r="K1651" s="2">
        <v>2.552</v>
      </c>
      <c r="L1651" s="3">
        <f>(Table1[[#This Row],[Profit]]/Table1[[#This Row],[Sales]])*100</f>
        <v>2.7206823027718552</v>
      </c>
    </row>
    <row r="1652" spans="1:12" x14ac:dyDescent="0.3">
      <c r="A1652" t="s">
        <v>4461</v>
      </c>
      <c r="B1652" s="1">
        <v>43935</v>
      </c>
      <c r="C1652" t="s">
        <v>4373</v>
      </c>
      <c r="D1652" t="s">
        <v>4374</v>
      </c>
      <c r="E1652" t="s">
        <v>14</v>
      </c>
      <c r="F1652" t="s">
        <v>15</v>
      </c>
      <c r="G1652" t="s">
        <v>24</v>
      </c>
      <c r="H1652" t="s">
        <v>2538</v>
      </c>
      <c r="I1652" s="2">
        <v>95.591999999999999</v>
      </c>
      <c r="J1652">
        <v>3</v>
      </c>
      <c r="K1652" s="2">
        <v>2.5535999999999999</v>
      </c>
      <c r="L1652" s="3">
        <f>(Table1[[#This Row],[Profit]]/Table1[[#This Row],[Sales]])*100</f>
        <v>2.6713532513181018</v>
      </c>
    </row>
    <row r="1653" spans="1:12" x14ac:dyDescent="0.3">
      <c r="A1653" t="s">
        <v>3877</v>
      </c>
      <c r="B1653" s="1">
        <v>43822</v>
      </c>
      <c r="C1653" t="s">
        <v>633</v>
      </c>
      <c r="D1653" t="s">
        <v>634</v>
      </c>
      <c r="E1653" t="s">
        <v>14</v>
      </c>
      <c r="F1653" t="s">
        <v>23</v>
      </c>
      <c r="G1653" t="s">
        <v>24</v>
      </c>
      <c r="H1653" t="s">
        <v>3883</v>
      </c>
      <c r="I1653" s="2">
        <v>8.82</v>
      </c>
      <c r="J1653">
        <v>3</v>
      </c>
      <c r="K1653" s="2">
        <v>2.5577999999999999</v>
      </c>
      <c r="L1653" s="3">
        <f>(Table1[[#This Row],[Profit]]/Table1[[#This Row],[Sales]])*100</f>
        <v>28.999999999999996</v>
      </c>
    </row>
    <row r="1654" spans="1:12" x14ac:dyDescent="0.3">
      <c r="A1654" t="s">
        <v>2550</v>
      </c>
      <c r="B1654" s="1">
        <v>43710</v>
      </c>
      <c r="C1654" t="s">
        <v>21</v>
      </c>
      <c r="D1654" t="s">
        <v>22</v>
      </c>
      <c r="E1654" t="s">
        <v>14</v>
      </c>
      <c r="F1654" t="s">
        <v>23</v>
      </c>
      <c r="G1654" t="s">
        <v>24</v>
      </c>
      <c r="H1654" t="s">
        <v>1824</v>
      </c>
      <c r="I1654" s="2">
        <v>7.3120000000000003</v>
      </c>
      <c r="J1654">
        <v>1</v>
      </c>
      <c r="K1654" s="2">
        <v>2.5592000000000001</v>
      </c>
      <c r="L1654" s="3">
        <f>(Table1[[#This Row],[Profit]]/Table1[[#This Row],[Sales]])*100</f>
        <v>35</v>
      </c>
    </row>
    <row r="1655" spans="1:12" x14ac:dyDescent="0.3">
      <c r="A1655" t="s">
        <v>3587</v>
      </c>
      <c r="B1655" s="1">
        <v>43795</v>
      </c>
      <c r="C1655" t="s">
        <v>2994</v>
      </c>
      <c r="D1655" t="s">
        <v>2995</v>
      </c>
      <c r="E1655" t="s">
        <v>14</v>
      </c>
      <c r="F1655" t="s">
        <v>23</v>
      </c>
      <c r="G1655" t="s">
        <v>24</v>
      </c>
      <c r="H1655" t="s">
        <v>1195</v>
      </c>
      <c r="I1655" s="2">
        <v>7.3120000000000003</v>
      </c>
      <c r="J1655">
        <v>2</v>
      </c>
      <c r="K1655" s="2">
        <v>2.5592000000000001</v>
      </c>
      <c r="L1655" s="3">
        <f>(Table1[[#This Row],[Profit]]/Table1[[#This Row],[Sales]])*100</f>
        <v>35</v>
      </c>
    </row>
    <row r="1656" spans="1:12" x14ac:dyDescent="0.3">
      <c r="A1656" t="s">
        <v>6005</v>
      </c>
      <c r="B1656" s="1">
        <v>44159</v>
      </c>
      <c r="C1656" t="s">
        <v>380</v>
      </c>
      <c r="D1656" t="s">
        <v>381</v>
      </c>
      <c r="E1656" t="s">
        <v>14</v>
      </c>
      <c r="F1656" t="s">
        <v>29</v>
      </c>
      <c r="G1656" t="s">
        <v>24</v>
      </c>
      <c r="H1656" t="s">
        <v>1269</v>
      </c>
      <c r="I1656" s="2">
        <v>99.823999999999998</v>
      </c>
      <c r="J1656">
        <v>3</v>
      </c>
      <c r="K1656" s="2">
        <v>2.5707</v>
      </c>
      <c r="L1656" s="3">
        <f>(Table1[[#This Row],[Profit]]/Table1[[#This Row],[Sales]])*100</f>
        <v>2.5752324090399101</v>
      </c>
    </row>
    <row r="1657" spans="1:12" x14ac:dyDescent="0.3">
      <c r="A1657" t="s">
        <v>4654</v>
      </c>
      <c r="B1657" s="1">
        <v>43966</v>
      </c>
      <c r="C1657" t="s">
        <v>2516</v>
      </c>
      <c r="D1657" t="s">
        <v>2517</v>
      </c>
      <c r="E1657" t="s">
        <v>14</v>
      </c>
      <c r="F1657" t="s">
        <v>23</v>
      </c>
      <c r="G1657" t="s">
        <v>18</v>
      </c>
      <c r="H1657" t="s">
        <v>53</v>
      </c>
      <c r="I1657" s="2">
        <v>117.592</v>
      </c>
      <c r="J1657">
        <v>1</v>
      </c>
      <c r="K1657" s="2">
        <v>2.5893000000000002</v>
      </c>
      <c r="L1657" s="3">
        <f>(Table1[[#This Row],[Profit]]/Table1[[#This Row],[Sales]])*100</f>
        <v>2.2019355058167225</v>
      </c>
    </row>
    <row r="1658" spans="1:12" x14ac:dyDescent="0.3">
      <c r="A1658" t="s">
        <v>5527</v>
      </c>
      <c r="B1658" s="1">
        <v>44103</v>
      </c>
      <c r="C1658" t="s">
        <v>2854</v>
      </c>
      <c r="D1658" t="s">
        <v>2855</v>
      </c>
      <c r="E1658" t="s">
        <v>14</v>
      </c>
      <c r="F1658" t="s">
        <v>29</v>
      </c>
      <c r="G1658" t="s">
        <v>24</v>
      </c>
      <c r="H1658" t="s">
        <v>1193</v>
      </c>
      <c r="I1658" s="2">
        <v>93.968000000000004</v>
      </c>
      <c r="J1658">
        <v>2</v>
      </c>
      <c r="K1658" s="2">
        <v>2.5895999999999999</v>
      </c>
      <c r="L1658" s="3">
        <f>(Table1[[#This Row],[Profit]]/Table1[[#This Row],[Sales]])*100</f>
        <v>2.7558317725183037</v>
      </c>
    </row>
    <row r="1659" spans="1:12" x14ac:dyDescent="0.3">
      <c r="A1659" t="s">
        <v>2143</v>
      </c>
      <c r="B1659" s="1">
        <v>43668</v>
      </c>
      <c r="C1659" t="s">
        <v>80</v>
      </c>
      <c r="D1659" t="s">
        <v>81</v>
      </c>
      <c r="E1659" t="s">
        <v>14</v>
      </c>
      <c r="F1659" t="s">
        <v>15</v>
      </c>
      <c r="G1659" t="s">
        <v>24</v>
      </c>
      <c r="H1659" t="s">
        <v>2146</v>
      </c>
      <c r="I1659" s="2">
        <v>5.4</v>
      </c>
      <c r="J1659">
        <v>3</v>
      </c>
      <c r="K1659" s="2">
        <v>2.5920000000000001</v>
      </c>
      <c r="L1659" s="3">
        <f>(Table1[[#This Row],[Profit]]/Table1[[#This Row],[Sales]])*100</f>
        <v>48</v>
      </c>
    </row>
    <row r="1660" spans="1:12" x14ac:dyDescent="0.3">
      <c r="A1660" t="s">
        <v>6172</v>
      </c>
      <c r="B1660" s="1">
        <v>44176</v>
      </c>
      <c r="C1660" t="s">
        <v>1665</v>
      </c>
      <c r="D1660" t="s">
        <v>1666</v>
      </c>
      <c r="E1660" t="s">
        <v>14</v>
      </c>
      <c r="F1660" t="s">
        <v>29</v>
      </c>
      <c r="G1660" t="s">
        <v>24</v>
      </c>
      <c r="H1660" t="s">
        <v>2146</v>
      </c>
      <c r="I1660" s="2">
        <v>449.4</v>
      </c>
      <c r="J1660">
        <v>3</v>
      </c>
      <c r="K1660" s="2">
        <v>2.5920000000000001</v>
      </c>
      <c r="L1660" s="3">
        <f>(Table1[[#This Row],[Profit]]/Table1[[#This Row],[Sales]])*100</f>
        <v>0.57676902536715624</v>
      </c>
    </row>
    <row r="1661" spans="1:12" x14ac:dyDescent="0.3">
      <c r="A1661" t="s">
        <v>4266</v>
      </c>
      <c r="B1661" s="1">
        <v>43903</v>
      </c>
      <c r="C1661" t="s">
        <v>2827</v>
      </c>
      <c r="D1661" t="s">
        <v>2828</v>
      </c>
      <c r="E1661" t="s">
        <v>14</v>
      </c>
      <c r="F1661" t="s">
        <v>29</v>
      </c>
      <c r="G1661" t="s">
        <v>18</v>
      </c>
      <c r="H1661" t="s">
        <v>1080</v>
      </c>
      <c r="I1661" s="2">
        <v>116.992</v>
      </c>
      <c r="J1661">
        <v>1</v>
      </c>
      <c r="K1661" s="2">
        <v>2.5973999999999999</v>
      </c>
      <c r="L1661" s="3">
        <f>(Table1[[#This Row],[Profit]]/Table1[[#This Row],[Sales]])*100</f>
        <v>2.2201518052516409</v>
      </c>
    </row>
    <row r="1662" spans="1:12" x14ac:dyDescent="0.3">
      <c r="A1662" t="s">
        <v>1176</v>
      </c>
      <c r="B1662" s="1">
        <v>43583</v>
      </c>
      <c r="C1662" t="s">
        <v>34</v>
      </c>
      <c r="D1662" t="s">
        <v>35</v>
      </c>
      <c r="E1662" t="s">
        <v>14</v>
      </c>
      <c r="F1662" t="s">
        <v>23</v>
      </c>
      <c r="G1662" t="s">
        <v>16</v>
      </c>
      <c r="H1662" t="s">
        <v>1177</v>
      </c>
      <c r="I1662" s="2">
        <v>41.567999999999998</v>
      </c>
      <c r="J1662">
        <v>2</v>
      </c>
      <c r="K1662" s="2">
        <v>2.5979999999999999</v>
      </c>
      <c r="L1662" s="3">
        <f>(Table1[[#This Row],[Profit]]/Table1[[#This Row],[Sales]])*100</f>
        <v>6.25</v>
      </c>
    </row>
    <row r="1663" spans="1:12" x14ac:dyDescent="0.3">
      <c r="A1663" t="s">
        <v>913</v>
      </c>
      <c r="B1663" s="1">
        <v>43563</v>
      </c>
      <c r="C1663" t="s">
        <v>914</v>
      </c>
      <c r="D1663" t="s">
        <v>915</v>
      </c>
      <c r="E1663" t="s">
        <v>14</v>
      </c>
      <c r="F1663" t="s">
        <v>23</v>
      </c>
      <c r="G1663" t="s">
        <v>24</v>
      </c>
      <c r="H1663" t="s">
        <v>917</v>
      </c>
      <c r="I1663" s="2">
        <v>64.959999999999994</v>
      </c>
      <c r="J1663">
        <v>2</v>
      </c>
      <c r="K1663" s="2">
        <v>2.5983999999999998</v>
      </c>
      <c r="L1663" s="3">
        <f>(Table1[[#This Row],[Profit]]/Table1[[#This Row],[Sales]])*100</f>
        <v>4</v>
      </c>
    </row>
    <row r="1664" spans="1:12" x14ac:dyDescent="0.3">
      <c r="A1664" t="s">
        <v>3464</v>
      </c>
      <c r="B1664" s="1">
        <v>43788</v>
      </c>
      <c r="C1664" t="s">
        <v>3465</v>
      </c>
      <c r="D1664" t="s">
        <v>3466</v>
      </c>
      <c r="E1664" t="s">
        <v>14</v>
      </c>
      <c r="F1664" t="s">
        <v>15</v>
      </c>
      <c r="G1664" t="s">
        <v>24</v>
      </c>
      <c r="H1664" t="s">
        <v>917</v>
      </c>
      <c r="I1664" s="2">
        <v>64.959999999999994</v>
      </c>
      <c r="J1664">
        <v>2</v>
      </c>
      <c r="K1664" s="2">
        <v>2.5983999999999998</v>
      </c>
      <c r="L1664" s="3">
        <f>(Table1[[#This Row],[Profit]]/Table1[[#This Row],[Sales]])*100</f>
        <v>4</v>
      </c>
    </row>
    <row r="1665" spans="1:12" x14ac:dyDescent="0.3">
      <c r="A1665" t="s">
        <v>3017</v>
      </c>
      <c r="B1665" s="1">
        <v>43742</v>
      </c>
      <c r="C1665" t="s">
        <v>1430</v>
      </c>
      <c r="D1665" t="s">
        <v>1431</v>
      </c>
      <c r="E1665" t="s">
        <v>14</v>
      </c>
      <c r="F1665" t="s">
        <v>41</v>
      </c>
      <c r="G1665" t="s">
        <v>16</v>
      </c>
      <c r="H1665" t="s">
        <v>3019</v>
      </c>
      <c r="I1665" s="2">
        <v>11.568</v>
      </c>
      <c r="J1665">
        <v>3</v>
      </c>
      <c r="K1665" s="2">
        <v>2.6027999999999998</v>
      </c>
      <c r="L1665" s="3">
        <f>(Table1[[#This Row],[Profit]]/Table1[[#This Row],[Sales]])*100</f>
        <v>22.499999999999996</v>
      </c>
    </row>
    <row r="1666" spans="1:12" x14ac:dyDescent="0.3">
      <c r="A1666" t="s">
        <v>5740</v>
      </c>
      <c r="B1666" s="1">
        <v>44137</v>
      </c>
      <c r="C1666" t="s">
        <v>837</v>
      </c>
      <c r="D1666" t="s">
        <v>838</v>
      </c>
      <c r="E1666" t="s">
        <v>14</v>
      </c>
      <c r="F1666" t="s">
        <v>41</v>
      </c>
      <c r="G1666" t="s">
        <v>24</v>
      </c>
      <c r="H1666" t="s">
        <v>4165</v>
      </c>
      <c r="I1666" s="2">
        <v>110.32</v>
      </c>
      <c r="J1666">
        <v>2</v>
      </c>
      <c r="K1666" s="2">
        <v>2.6067999999999998</v>
      </c>
      <c r="L1666" s="3">
        <f>(Table1[[#This Row],[Profit]]/Table1[[#This Row],[Sales]])*100</f>
        <v>2.3629441624365479</v>
      </c>
    </row>
    <row r="1667" spans="1:12" x14ac:dyDescent="0.3">
      <c r="A1667" t="s">
        <v>370</v>
      </c>
      <c r="B1667" s="1">
        <v>43512</v>
      </c>
      <c r="C1667" t="s">
        <v>371</v>
      </c>
      <c r="D1667" t="s">
        <v>372</v>
      </c>
      <c r="E1667" t="s">
        <v>14</v>
      </c>
      <c r="F1667" t="s">
        <v>41</v>
      </c>
      <c r="G1667" t="s">
        <v>24</v>
      </c>
      <c r="H1667" t="s">
        <v>374</v>
      </c>
      <c r="I1667" s="2">
        <v>5.8</v>
      </c>
      <c r="J1667">
        <v>1</v>
      </c>
      <c r="K1667" s="2">
        <v>2.61</v>
      </c>
      <c r="L1667" s="3">
        <f>(Table1[[#This Row],[Profit]]/Table1[[#This Row],[Sales]])*100</f>
        <v>45</v>
      </c>
    </row>
    <row r="1668" spans="1:12" x14ac:dyDescent="0.3">
      <c r="A1668" t="s">
        <v>4735</v>
      </c>
      <c r="B1668" s="1">
        <v>43980</v>
      </c>
      <c r="C1668" t="s">
        <v>2973</v>
      </c>
      <c r="D1668" t="s">
        <v>2974</v>
      </c>
      <c r="E1668" t="s">
        <v>14</v>
      </c>
      <c r="F1668" t="s">
        <v>29</v>
      </c>
      <c r="G1668" t="s">
        <v>16</v>
      </c>
      <c r="H1668" t="s">
        <v>1109</v>
      </c>
      <c r="I1668" s="2">
        <v>113.24</v>
      </c>
      <c r="J1668">
        <v>3</v>
      </c>
      <c r="K1668" s="2">
        <v>2.6208</v>
      </c>
      <c r="L1668" s="3">
        <f>(Table1[[#This Row],[Profit]]/Table1[[#This Row],[Sales]])*100</f>
        <v>2.3143765453903216</v>
      </c>
    </row>
    <row r="1669" spans="1:12" x14ac:dyDescent="0.3">
      <c r="A1669" t="s">
        <v>3240</v>
      </c>
      <c r="B1669" s="1">
        <v>43772</v>
      </c>
      <c r="C1669" t="s">
        <v>1024</v>
      </c>
      <c r="D1669" t="s">
        <v>1025</v>
      </c>
      <c r="E1669" t="s">
        <v>14</v>
      </c>
      <c r="F1669" t="s">
        <v>41</v>
      </c>
      <c r="G1669" t="s">
        <v>24</v>
      </c>
      <c r="H1669" t="s">
        <v>3241</v>
      </c>
      <c r="I1669" s="2">
        <v>8.75</v>
      </c>
      <c r="J1669">
        <v>1</v>
      </c>
      <c r="K1669" s="2">
        <v>2.625</v>
      </c>
      <c r="L1669" s="3">
        <f>(Table1[[#This Row],[Profit]]/Table1[[#This Row],[Sales]])*100</f>
        <v>30</v>
      </c>
    </row>
    <row r="1670" spans="1:12" x14ac:dyDescent="0.3">
      <c r="A1670" t="s">
        <v>5201</v>
      </c>
      <c r="B1670" s="1">
        <v>44065</v>
      </c>
      <c r="C1670" t="s">
        <v>4377</v>
      </c>
      <c r="D1670" t="s">
        <v>4378</v>
      </c>
      <c r="E1670" t="s">
        <v>14</v>
      </c>
      <c r="F1670" t="s">
        <v>23</v>
      </c>
      <c r="G1670" t="s">
        <v>16</v>
      </c>
      <c r="H1670" t="s">
        <v>2539</v>
      </c>
      <c r="I1670" s="2">
        <v>258.00799999999998</v>
      </c>
      <c r="J1670">
        <v>1</v>
      </c>
      <c r="K1670" s="2">
        <v>2.6251000000000002</v>
      </c>
      <c r="L1670" s="3">
        <f>(Table1[[#This Row],[Profit]]/Table1[[#This Row],[Sales]])*100</f>
        <v>1.0174490713466251</v>
      </c>
    </row>
    <row r="1671" spans="1:12" x14ac:dyDescent="0.3">
      <c r="A1671" t="s">
        <v>2701</v>
      </c>
      <c r="B1671" s="1">
        <v>43719</v>
      </c>
      <c r="C1671" t="s">
        <v>2702</v>
      </c>
      <c r="D1671" t="s">
        <v>2703</v>
      </c>
      <c r="E1671" t="s">
        <v>14</v>
      </c>
      <c r="F1671" t="s">
        <v>15</v>
      </c>
      <c r="G1671" t="s">
        <v>24</v>
      </c>
      <c r="H1671" t="s">
        <v>2704</v>
      </c>
      <c r="I1671" s="2">
        <v>8.4480000000000004</v>
      </c>
      <c r="J1671">
        <v>2</v>
      </c>
      <c r="K1671" s="2">
        <v>2.64</v>
      </c>
      <c r="L1671" s="3">
        <f>(Table1[[#This Row],[Profit]]/Table1[[#This Row],[Sales]])*100</f>
        <v>31.25</v>
      </c>
    </row>
    <row r="1672" spans="1:12" x14ac:dyDescent="0.3">
      <c r="A1672" t="s">
        <v>5522</v>
      </c>
      <c r="B1672" s="1">
        <v>44103</v>
      </c>
      <c r="C1672" t="s">
        <v>4784</v>
      </c>
      <c r="D1672" t="s">
        <v>4785</v>
      </c>
      <c r="E1672" t="s">
        <v>14</v>
      </c>
      <c r="F1672" t="s">
        <v>15</v>
      </c>
      <c r="G1672" t="s">
        <v>24</v>
      </c>
      <c r="H1672" t="s">
        <v>2385</v>
      </c>
      <c r="I1672" s="2">
        <v>122.44799999999999</v>
      </c>
      <c r="J1672">
        <v>2</v>
      </c>
      <c r="K1672" s="2">
        <v>2.64</v>
      </c>
      <c r="L1672" s="3">
        <f>(Table1[[#This Row],[Profit]]/Table1[[#This Row],[Sales]])*100</f>
        <v>2.1560172481379851</v>
      </c>
    </row>
    <row r="1673" spans="1:12" x14ac:dyDescent="0.3">
      <c r="A1673" t="s">
        <v>5715</v>
      </c>
      <c r="B1673" s="1">
        <v>44131</v>
      </c>
      <c r="C1673" t="s">
        <v>1456</v>
      </c>
      <c r="D1673" t="s">
        <v>1457</v>
      </c>
      <c r="E1673" t="s">
        <v>14</v>
      </c>
      <c r="F1673" t="s">
        <v>29</v>
      </c>
      <c r="G1673" t="s">
        <v>24</v>
      </c>
      <c r="H1673" t="s">
        <v>2704</v>
      </c>
      <c r="I1673" s="2">
        <v>116.44799999999999</v>
      </c>
      <c r="J1673">
        <v>2</v>
      </c>
      <c r="K1673" s="2">
        <v>2.64</v>
      </c>
      <c r="L1673" s="3">
        <f>(Table1[[#This Row],[Profit]]/Table1[[#This Row],[Sales]])*100</f>
        <v>2.2671063478977747</v>
      </c>
    </row>
    <row r="1674" spans="1:12" x14ac:dyDescent="0.3">
      <c r="A1674" t="s">
        <v>5979</v>
      </c>
      <c r="B1674" s="1">
        <v>44156</v>
      </c>
      <c r="C1674" t="s">
        <v>1203</v>
      </c>
      <c r="D1674" t="s">
        <v>1204</v>
      </c>
      <c r="E1674" t="s">
        <v>14</v>
      </c>
      <c r="F1674" t="s">
        <v>15</v>
      </c>
      <c r="G1674" t="s">
        <v>24</v>
      </c>
      <c r="H1674" t="s">
        <v>2704</v>
      </c>
      <c r="I1674" s="2">
        <v>119.44799999999999</v>
      </c>
      <c r="J1674">
        <v>2</v>
      </c>
      <c r="K1674" s="2">
        <v>2.64</v>
      </c>
      <c r="L1674" s="3">
        <f>(Table1[[#This Row],[Profit]]/Table1[[#This Row],[Sales]])*100</f>
        <v>2.2101667671287926</v>
      </c>
    </row>
    <row r="1675" spans="1:12" x14ac:dyDescent="0.3">
      <c r="A1675" t="s">
        <v>2147</v>
      </c>
      <c r="B1675" s="1">
        <v>43669</v>
      </c>
      <c r="C1675" t="s">
        <v>282</v>
      </c>
      <c r="D1675" t="s">
        <v>283</v>
      </c>
      <c r="E1675" t="s">
        <v>14</v>
      </c>
      <c r="F1675" t="s">
        <v>41</v>
      </c>
      <c r="G1675" t="s">
        <v>24</v>
      </c>
      <c r="H1675" t="s">
        <v>835</v>
      </c>
      <c r="I1675" s="2">
        <v>35.216000000000001</v>
      </c>
      <c r="J1675">
        <v>2</v>
      </c>
      <c r="K1675" s="2">
        <v>2.6412</v>
      </c>
      <c r="L1675" s="3">
        <f>(Table1[[#This Row],[Profit]]/Table1[[#This Row],[Sales]])*100</f>
        <v>7.5</v>
      </c>
    </row>
    <row r="1676" spans="1:12" x14ac:dyDescent="0.3">
      <c r="A1676" t="s">
        <v>1621</v>
      </c>
      <c r="B1676" s="1">
        <v>43621</v>
      </c>
      <c r="C1676" t="s">
        <v>1622</v>
      </c>
      <c r="D1676" t="s">
        <v>1623</v>
      </c>
      <c r="E1676" t="s">
        <v>14</v>
      </c>
      <c r="F1676" t="s">
        <v>15</v>
      </c>
      <c r="G1676" t="s">
        <v>24</v>
      </c>
      <c r="H1676" t="s">
        <v>1212</v>
      </c>
      <c r="I1676" s="2">
        <v>7.56</v>
      </c>
      <c r="J1676">
        <v>3</v>
      </c>
      <c r="K1676" s="2">
        <v>2.6459999999999999</v>
      </c>
      <c r="L1676" s="3">
        <f>(Table1[[#This Row],[Profit]]/Table1[[#This Row],[Sales]])*100</f>
        <v>35</v>
      </c>
    </row>
    <row r="1677" spans="1:12" x14ac:dyDescent="0.3">
      <c r="A1677" t="s">
        <v>6141</v>
      </c>
      <c r="B1677" s="1">
        <v>44174</v>
      </c>
      <c r="C1677" t="s">
        <v>1183</v>
      </c>
      <c r="D1677" t="s">
        <v>1184</v>
      </c>
      <c r="E1677" t="s">
        <v>14</v>
      </c>
      <c r="F1677" t="s">
        <v>41</v>
      </c>
      <c r="G1677" t="s">
        <v>24</v>
      </c>
      <c r="H1677" t="s">
        <v>4565</v>
      </c>
      <c r="I1677" s="2">
        <v>106.76</v>
      </c>
      <c r="J1677">
        <v>2</v>
      </c>
      <c r="K1677" s="2">
        <v>2.6496</v>
      </c>
      <c r="L1677" s="3">
        <f>(Table1[[#This Row],[Profit]]/Table1[[#This Row],[Sales]])*100</f>
        <v>2.4818284001498685</v>
      </c>
    </row>
    <row r="1678" spans="1:12" x14ac:dyDescent="0.3">
      <c r="A1678" t="s">
        <v>3527</v>
      </c>
      <c r="B1678" s="1">
        <v>43791</v>
      </c>
      <c r="C1678" t="s">
        <v>3175</v>
      </c>
      <c r="D1678" t="s">
        <v>3176</v>
      </c>
      <c r="E1678" t="s">
        <v>14</v>
      </c>
      <c r="F1678" t="s">
        <v>29</v>
      </c>
      <c r="G1678" t="s">
        <v>24</v>
      </c>
      <c r="H1678" t="s">
        <v>2847</v>
      </c>
      <c r="I1678" s="2">
        <v>23.616</v>
      </c>
      <c r="J1678">
        <v>9</v>
      </c>
      <c r="K1678" s="2">
        <v>2.6568000000000001</v>
      </c>
      <c r="L1678" s="3">
        <f>(Table1[[#This Row],[Profit]]/Table1[[#This Row],[Sales]])*100</f>
        <v>11.25</v>
      </c>
    </row>
    <row r="1679" spans="1:12" x14ac:dyDescent="0.3">
      <c r="A1679" t="s">
        <v>4614</v>
      </c>
      <c r="B1679" s="1">
        <v>43960</v>
      </c>
      <c r="C1679" t="s">
        <v>2520</v>
      </c>
      <c r="D1679" t="s">
        <v>2521</v>
      </c>
      <c r="E1679" t="s">
        <v>14</v>
      </c>
      <c r="F1679" t="s">
        <v>23</v>
      </c>
      <c r="G1679" t="s">
        <v>24</v>
      </c>
      <c r="H1679" t="s">
        <v>964</v>
      </c>
      <c r="I1679" s="2">
        <v>116.96</v>
      </c>
      <c r="J1679">
        <v>4</v>
      </c>
      <c r="K1679" s="2">
        <v>2.6783999999999999</v>
      </c>
      <c r="L1679" s="3">
        <f>(Table1[[#This Row],[Profit]]/Table1[[#This Row],[Sales]])*100</f>
        <v>2.2900136798905608</v>
      </c>
    </row>
    <row r="1680" spans="1:12" x14ac:dyDescent="0.3">
      <c r="A1680" t="s">
        <v>3875</v>
      </c>
      <c r="B1680" s="1">
        <v>43822</v>
      </c>
      <c r="C1680" t="s">
        <v>1661</v>
      </c>
      <c r="D1680" t="s">
        <v>1662</v>
      </c>
      <c r="E1680" t="s">
        <v>14</v>
      </c>
      <c r="F1680" t="s">
        <v>15</v>
      </c>
      <c r="G1680" t="s">
        <v>24</v>
      </c>
      <c r="H1680" t="s">
        <v>3884</v>
      </c>
      <c r="I1680" s="2">
        <v>7.968</v>
      </c>
      <c r="J1680">
        <v>2</v>
      </c>
      <c r="K1680" s="2">
        <v>2.6892</v>
      </c>
      <c r="L1680" s="3">
        <f>(Table1[[#This Row],[Profit]]/Table1[[#This Row],[Sales]])*100</f>
        <v>33.75</v>
      </c>
    </row>
    <row r="1681" spans="1:12" x14ac:dyDescent="0.3">
      <c r="A1681" t="s">
        <v>5610</v>
      </c>
      <c r="B1681" s="1">
        <v>44116</v>
      </c>
      <c r="C1681" t="s">
        <v>4988</v>
      </c>
      <c r="D1681" t="s">
        <v>4989</v>
      </c>
      <c r="E1681" t="s">
        <v>14</v>
      </c>
      <c r="F1681" t="s">
        <v>41</v>
      </c>
      <c r="G1681" t="s">
        <v>24</v>
      </c>
      <c r="H1681" t="s">
        <v>5611</v>
      </c>
      <c r="I1681" s="2">
        <v>117.968</v>
      </c>
      <c r="J1681">
        <v>2</v>
      </c>
      <c r="K1681" s="2">
        <v>2.6892</v>
      </c>
      <c r="L1681" s="3">
        <f>(Table1[[#This Row],[Profit]]/Table1[[#This Row],[Sales]])*100</f>
        <v>2.2796012477960126</v>
      </c>
    </row>
    <row r="1682" spans="1:12" x14ac:dyDescent="0.3">
      <c r="A1682" t="s">
        <v>1338</v>
      </c>
      <c r="B1682" s="1">
        <v>43596</v>
      </c>
      <c r="C1682" t="s">
        <v>1339</v>
      </c>
      <c r="D1682" t="s">
        <v>1340</v>
      </c>
      <c r="E1682" t="s">
        <v>14</v>
      </c>
      <c r="F1682" t="s">
        <v>23</v>
      </c>
      <c r="G1682" t="s">
        <v>24</v>
      </c>
      <c r="H1682" t="s">
        <v>1301</v>
      </c>
      <c r="I1682" s="2">
        <v>5.98</v>
      </c>
      <c r="J1682">
        <v>1</v>
      </c>
      <c r="K1682" s="2">
        <v>2.6909999999999998</v>
      </c>
      <c r="L1682" s="3">
        <f>(Table1[[#This Row],[Profit]]/Table1[[#This Row],[Sales]])*100</f>
        <v>44.999999999999993</v>
      </c>
    </row>
    <row r="1683" spans="1:12" x14ac:dyDescent="0.3">
      <c r="A1683" t="s">
        <v>3622</v>
      </c>
      <c r="B1683" s="1">
        <v>43797</v>
      </c>
      <c r="C1683" t="s">
        <v>784</v>
      </c>
      <c r="D1683" t="s">
        <v>785</v>
      </c>
      <c r="E1683" t="s">
        <v>14</v>
      </c>
      <c r="F1683" t="s">
        <v>15</v>
      </c>
      <c r="G1683" t="s">
        <v>24</v>
      </c>
      <c r="H1683" t="s">
        <v>1833</v>
      </c>
      <c r="I1683" s="2">
        <v>12.672000000000001</v>
      </c>
      <c r="J1683">
        <v>8</v>
      </c>
      <c r="K1683" s="2">
        <v>2.6928000000000001</v>
      </c>
      <c r="L1683" s="3">
        <f>(Table1[[#This Row],[Profit]]/Table1[[#This Row],[Sales]])*100</f>
        <v>21.25</v>
      </c>
    </row>
    <row r="1684" spans="1:12" x14ac:dyDescent="0.3">
      <c r="A1684" t="s">
        <v>6101</v>
      </c>
      <c r="B1684" s="1">
        <v>44169</v>
      </c>
      <c r="C1684" t="s">
        <v>2907</v>
      </c>
      <c r="D1684" t="s">
        <v>2908</v>
      </c>
      <c r="E1684" t="s">
        <v>14</v>
      </c>
      <c r="F1684" t="s">
        <v>15</v>
      </c>
      <c r="G1684" t="s">
        <v>16</v>
      </c>
      <c r="H1684" t="s">
        <v>2723</v>
      </c>
      <c r="I1684" s="2">
        <v>109.352</v>
      </c>
      <c r="J1684">
        <v>3</v>
      </c>
      <c r="K1684" s="2">
        <v>2.6960999999999999</v>
      </c>
      <c r="L1684" s="3">
        <f>(Table1[[#This Row],[Profit]]/Table1[[#This Row],[Sales]])*100</f>
        <v>2.4655241787987414</v>
      </c>
    </row>
    <row r="1685" spans="1:12" x14ac:dyDescent="0.3">
      <c r="A1685" t="s">
        <v>5971</v>
      </c>
      <c r="B1685" s="1">
        <v>44155</v>
      </c>
      <c r="C1685" t="s">
        <v>5962</v>
      </c>
      <c r="D1685" t="s">
        <v>5963</v>
      </c>
      <c r="E1685" t="s">
        <v>14</v>
      </c>
      <c r="F1685" t="s">
        <v>41</v>
      </c>
      <c r="G1685" t="s">
        <v>24</v>
      </c>
      <c r="H1685" t="s">
        <v>5199</v>
      </c>
      <c r="I1685" s="2">
        <v>96.968000000000004</v>
      </c>
      <c r="J1685">
        <v>7</v>
      </c>
      <c r="K1685" s="2">
        <v>2.6964000000000001</v>
      </c>
      <c r="L1685" s="3">
        <f>(Table1[[#This Row],[Profit]]/Table1[[#This Row],[Sales]])*100</f>
        <v>2.7807111624453427</v>
      </c>
    </row>
    <row r="1686" spans="1:12" x14ac:dyDescent="0.3">
      <c r="A1686" t="s">
        <v>4949</v>
      </c>
      <c r="B1686" s="1">
        <v>44015</v>
      </c>
      <c r="C1686" t="s">
        <v>4950</v>
      </c>
      <c r="D1686" t="s">
        <v>4951</v>
      </c>
      <c r="E1686" t="s">
        <v>14</v>
      </c>
      <c r="F1686" t="s">
        <v>23</v>
      </c>
      <c r="G1686" t="s">
        <v>18</v>
      </c>
      <c r="H1686" t="s">
        <v>4953</v>
      </c>
      <c r="I1686" s="2">
        <v>111.992</v>
      </c>
      <c r="J1686">
        <v>1</v>
      </c>
      <c r="K1686" s="2">
        <v>2.6972999999999998</v>
      </c>
      <c r="L1686" s="3">
        <f>(Table1[[#This Row],[Profit]]/Table1[[#This Row],[Sales]])*100</f>
        <v>2.4084756054003855</v>
      </c>
    </row>
    <row r="1687" spans="1:12" x14ac:dyDescent="0.3">
      <c r="A1687" t="s">
        <v>5570</v>
      </c>
      <c r="B1687" s="1">
        <v>44109</v>
      </c>
      <c r="C1687" t="s">
        <v>2363</v>
      </c>
      <c r="D1687" t="s">
        <v>2364</v>
      </c>
      <c r="E1687" t="s">
        <v>14</v>
      </c>
      <c r="F1687" t="s">
        <v>23</v>
      </c>
      <c r="G1687" t="s">
        <v>18</v>
      </c>
      <c r="H1687" t="s">
        <v>4953</v>
      </c>
      <c r="I1687" s="2">
        <v>120.992</v>
      </c>
      <c r="J1687">
        <v>1</v>
      </c>
      <c r="K1687" s="2">
        <v>2.6972999999999998</v>
      </c>
      <c r="L1687" s="3">
        <f>(Table1[[#This Row],[Profit]]/Table1[[#This Row],[Sales]])*100</f>
        <v>2.2293209468394601</v>
      </c>
    </row>
    <row r="1688" spans="1:12" x14ac:dyDescent="0.3">
      <c r="A1688" t="s">
        <v>4211</v>
      </c>
      <c r="B1688" s="1">
        <v>43894</v>
      </c>
      <c r="C1688" t="s">
        <v>3557</v>
      </c>
      <c r="D1688" t="s">
        <v>3558</v>
      </c>
      <c r="E1688" t="s">
        <v>14</v>
      </c>
      <c r="F1688" t="s">
        <v>23</v>
      </c>
      <c r="G1688" t="s">
        <v>24</v>
      </c>
      <c r="H1688" t="s">
        <v>111</v>
      </c>
      <c r="I1688" s="2">
        <v>122.32</v>
      </c>
      <c r="J1688">
        <v>4</v>
      </c>
      <c r="K1688" s="2">
        <v>2.7027999999999999</v>
      </c>
      <c r="L1688" s="3">
        <f>(Table1[[#This Row],[Profit]]/Table1[[#This Row],[Sales]])*100</f>
        <v>2.209614126880314</v>
      </c>
    </row>
    <row r="1689" spans="1:12" x14ac:dyDescent="0.3">
      <c r="A1689" t="s">
        <v>6274</v>
      </c>
      <c r="B1689" s="1">
        <v>44190</v>
      </c>
      <c r="C1689" t="s">
        <v>3649</v>
      </c>
      <c r="D1689" t="s">
        <v>3650</v>
      </c>
      <c r="E1689" t="s">
        <v>14</v>
      </c>
      <c r="F1689" t="s">
        <v>23</v>
      </c>
      <c r="G1689" t="s">
        <v>24</v>
      </c>
      <c r="H1689" t="s">
        <v>607</v>
      </c>
      <c r="I1689" s="2">
        <v>386.62</v>
      </c>
      <c r="J1689">
        <v>2</v>
      </c>
      <c r="K1689" s="2">
        <v>2.7061999999999999</v>
      </c>
      <c r="L1689" s="3">
        <f>(Table1[[#This Row],[Profit]]/Table1[[#This Row],[Sales]])*100</f>
        <v>0.69996378873312293</v>
      </c>
    </row>
    <row r="1690" spans="1:12" x14ac:dyDescent="0.3">
      <c r="A1690" t="s">
        <v>3629</v>
      </c>
      <c r="B1690" s="1">
        <v>43799</v>
      </c>
      <c r="C1690" t="s">
        <v>774</v>
      </c>
      <c r="D1690" t="s">
        <v>775</v>
      </c>
      <c r="E1690" t="s">
        <v>14</v>
      </c>
      <c r="F1690" t="s">
        <v>41</v>
      </c>
      <c r="G1690" t="s">
        <v>18</v>
      </c>
      <c r="H1690" t="s">
        <v>32</v>
      </c>
      <c r="I1690" s="2">
        <v>36.192</v>
      </c>
      <c r="J1690">
        <v>1</v>
      </c>
      <c r="K1690" s="2">
        <v>2.7143999999999999</v>
      </c>
      <c r="L1690" s="3">
        <f>(Table1[[#This Row],[Profit]]/Table1[[#This Row],[Sales]])*100</f>
        <v>7.5</v>
      </c>
    </row>
    <row r="1691" spans="1:12" x14ac:dyDescent="0.3">
      <c r="A1691" t="s">
        <v>4401</v>
      </c>
      <c r="B1691" s="1">
        <v>43922</v>
      </c>
      <c r="C1691" t="s">
        <v>279</v>
      </c>
      <c r="D1691" t="s">
        <v>280</v>
      </c>
      <c r="E1691" t="s">
        <v>14</v>
      </c>
      <c r="F1691" t="s">
        <v>23</v>
      </c>
      <c r="G1691" t="s">
        <v>24</v>
      </c>
      <c r="H1691" t="s">
        <v>2223</v>
      </c>
      <c r="I1691" s="2">
        <v>105.78</v>
      </c>
      <c r="J1691">
        <v>2</v>
      </c>
      <c r="K1691" s="2">
        <v>2.7166000000000001</v>
      </c>
      <c r="L1691" s="3">
        <f>(Table1[[#This Row],[Profit]]/Table1[[#This Row],[Sales]])*100</f>
        <v>2.5681603327661184</v>
      </c>
    </row>
    <row r="1692" spans="1:12" x14ac:dyDescent="0.3">
      <c r="A1692" t="s">
        <v>6295</v>
      </c>
      <c r="B1692" s="1">
        <v>44193</v>
      </c>
      <c r="C1692" t="s">
        <v>6296</v>
      </c>
      <c r="D1692" t="s">
        <v>6297</v>
      </c>
      <c r="E1692" t="s">
        <v>14</v>
      </c>
      <c r="F1692" t="s">
        <v>29</v>
      </c>
      <c r="G1692" t="s">
        <v>24</v>
      </c>
      <c r="H1692" t="s">
        <v>2996</v>
      </c>
      <c r="I1692" s="2">
        <v>362.16800000000001</v>
      </c>
      <c r="J1692">
        <v>2</v>
      </c>
      <c r="K1692" s="2">
        <v>2.7168000000000001</v>
      </c>
      <c r="L1692" s="3">
        <f>(Table1[[#This Row],[Profit]]/Table1[[#This Row],[Sales]])*100</f>
        <v>0.75014910207417551</v>
      </c>
    </row>
    <row r="1693" spans="1:12" x14ac:dyDescent="0.3">
      <c r="A1693" t="s">
        <v>5237</v>
      </c>
      <c r="B1693" s="1">
        <v>44074</v>
      </c>
      <c r="C1693" t="s">
        <v>206</v>
      </c>
      <c r="D1693" t="s">
        <v>207</v>
      </c>
      <c r="E1693" t="s">
        <v>14</v>
      </c>
      <c r="F1693" t="s">
        <v>23</v>
      </c>
      <c r="G1693" t="s">
        <v>24</v>
      </c>
      <c r="H1693" t="s">
        <v>2274</v>
      </c>
      <c r="I1693" s="2">
        <v>70.376000000000005</v>
      </c>
      <c r="J1693">
        <v>3</v>
      </c>
      <c r="K1693" s="2">
        <v>2.7222</v>
      </c>
      <c r="L1693" s="3">
        <f>(Table1[[#This Row],[Profit]]/Table1[[#This Row],[Sales]])*100</f>
        <v>3.8680800272820273</v>
      </c>
    </row>
    <row r="1694" spans="1:12" x14ac:dyDescent="0.3">
      <c r="A1694" t="s">
        <v>6149</v>
      </c>
      <c r="B1694" s="1">
        <v>44174</v>
      </c>
      <c r="C1694" t="s">
        <v>1635</v>
      </c>
      <c r="D1694" t="s">
        <v>1636</v>
      </c>
      <c r="E1694" t="s">
        <v>14</v>
      </c>
      <c r="F1694" t="s">
        <v>29</v>
      </c>
      <c r="G1694" t="s">
        <v>24</v>
      </c>
      <c r="H1694" t="s">
        <v>3738</v>
      </c>
      <c r="I1694" s="2">
        <v>121.24</v>
      </c>
      <c r="J1694">
        <v>3</v>
      </c>
      <c r="K1694" s="2">
        <v>2.7240000000000002</v>
      </c>
      <c r="L1694" s="3">
        <f>(Table1[[#This Row],[Profit]]/Table1[[#This Row],[Sales]])*100</f>
        <v>2.2467832398548335</v>
      </c>
    </row>
    <row r="1695" spans="1:12" x14ac:dyDescent="0.3">
      <c r="A1695" t="s">
        <v>5245</v>
      </c>
      <c r="B1695" s="1">
        <v>44076</v>
      </c>
      <c r="C1695" t="s">
        <v>5246</v>
      </c>
      <c r="D1695" t="s">
        <v>5247</v>
      </c>
      <c r="E1695" t="s">
        <v>14</v>
      </c>
      <c r="F1695" t="s">
        <v>23</v>
      </c>
      <c r="G1695" t="s">
        <v>24</v>
      </c>
      <c r="H1695" t="s">
        <v>1504</v>
      </c>
      <c r="I1695" s="2">
        <v>101.4</v>
      </c>
      <c r="J1695">
        <v>5</v>
      </c>
      <c r="K1695" s="2">
        <v>2.726</v>
      </c>
      <c r="L1695" s="3">
        <f>(Table1[[#This Row],[Profit]]/Table1[[#This Row],[Sales]])*100</f>
        <v>2.6883629191321496</v>
      </c>
    </row>
    <row r="1696" spans="1:12" x14ac:dyDescent="0.3">
      <c r="A1696" t="s">
        <v>6305</v>
      </c>
      <c r="B1696" s="1">
        <v>44195</v>
      </c>
      <c r="C1696" t="s">
        <v>2785</v>
      </c>
      <c r="D1696" t="s">
        <v>2786</v>
      </c>
      <c r="E1696" t="s">
        <v>14</v>
      </c>
      <c r="F1696" t="s">
        <v>15</v>
      </c>
      <c r="G1696" t="s">
        <v>18</v>
      </c>
      <c r="H1696" t="s">
        <v>1089</v>
      </c>
      <c r="I1696" s="2">
        <v>441.93</v>
      </c>
      <c r="J1696">
        <v>7</v>
      </c>
      <c r="K1696" s="2">
        <v>2.7279</v>
      </c>
      <c r="L1696" s="3">
        <f>(Table1[[#This Row],[Profit]]/Table1[[#This Row],[Sales]])*100</f>
        <v>0.61726970334668385</v>
      </c>
    </row>
    <row r="1697" spans="1:12" x14ac:dyDescent="0.3">
      <c r="A1697" t="s">
        <v>181</v>
      </c>
      <c r="B1697" s="1">
        <v>43488</v>
      </c>
      <c r="C1697" t="s">
        <v>182</v>
      </c>
      <c r="D1697" t="s">
        <v>183</v>
      </c>
      <c r="E1697" t="s">
        <v>14</v>
      </c>
      <c r="F1697" t="s">
        <v>15</v>
      </c>
      <c r="G1697" t="s">
        <v>24</v>
      </c>
      <c r="H1697" t="s">
        <v>185</v>
      </c>
      <c r="I1697" s="2">
        <v>8.0399999999999991</v>
      </c>
      <c r="J1697">
        <v>6</v>
      </c>
      <c r="K1697" s="2">
        <v>2.7336</v>
      </c>
      <c r="L1697" s="3">
        <f>(Table1[[#This Row],[Profit]]/Table1[[#This Row],[Sales]])*100</f>
        <v>34</v>
      </c>
    </row>
    <row r="1698" spans="1:12" x14ac:dyDescent="0.3">
      <c r="A1698" t="s">
        <v>5935</v>
      </c>
      <c r="B1698" s="1">
        <v>44153</v>
      </c>
      <c r="C1698" t="s">
        <v>1168</v>
      </c>
      <c r="D1698" t="s">
        <v>1169</v>
      </c>
      <c r="E1698" t="s">
        <v>14</v>
      </c>
      <c r="F1698" t="s">
        <v>29</v>
      </c>
      <c r="G1698" t="s">
        <v>16</v>
      </c>
      <c r="H1698" t="s">
        <v>1044</v>
      </c>
      <c r="I1698" s="2">
        <v>104.82</v>
      </c>
      <c r="J1698">
        <v>2</v>
      </c>
      <c r="K1698" s="2">
        <v>2.7353999999999998</v>
      </c>
      <c r="L1698" s="3">
        <f>(Table1[[#This Row],[Profit]]/Table1[[#This Row],[Sales]])*100</f>
        <v>2.6096164854035488</v>
      </c>
    </row>
    <row r="1699" spans="1:12" x14ac:dyDescent="0.3">
      <c r="A1699" t="s">
        <v>1222</v>
      </c>
      <c r="B1699" s="1">
        <v>43588</v>
      </c>
      <c r="C1699" t="s">
        <v>178</v>
      </c>
      <c r="D1699" t="s">
        <v>179</v>
      </c>
      <c r="E1699" t="s">
        <v>14</v>
      </c>
      <c r="F1699" t="s">
        <v>29</v>
      </c>
      <c r="G1699" t="s">
        <v>24</v>
      </c>
      <c r="H1699" t="s">
        <v>1223</v>
      </c>
      <c r="I1699" s="2">
        <v>27.384</v>
      </c>
      <c r="J1699">
        <v>7</v>
      </c>
      <c r="K1699" s="2">
        <v>2.7383999999999999</v>
      </c>
      <c r="L1699" s="3">
        <f>(Table1[[#This Row],[Profit]]/Table1[[#This Row],[Sales]])*100</f>
        <v>10</v>
      </c>
    </row>
    <row r="1700" spans="1:12" x14ac:dyDescent="0.3">
      <c r="A1700" t="s">
        <v>5644</v>
      </c>
      <c r="B1700" s="1">
        <v>44121</v>
      </c>
      <c r="C1700" t="s">
        <v>5645</v>
      </c>
      <c r="D1700" t="s">
        <v>5646</v>
      </c>
      <c r="E1700" t="s">
        <v>14</v>
      </c>
      <c r="F1700" t="s">
        <v>23</v>
      </c>
      <c r="G1700" t="s">
        <v>24</v>
      </c>
      <c r="H1700" t="s">
        <v>348</v>
      </c>
      <c r="I1700" s="2">
        <v>139.63999999999999</v>
      </c>
      <c r="J1700">
        <v>4</v>
      </c>
      <c r="K1700" s="2">
        <v>2.7664</v>
      </c>
      <c r="L1700" s="3">
        <f>(Table1[[#This Row],[Profit]]/Table1[[#This Row],[Sales]])*100</f>
        <v>1.9810942423374394</v>
      </c>
    </row>
    <row r="1701" spans="1:12" x14ac:dyDescent="0.3">
      <c r="A1701" t="s">
        <v>4087</v>
      </c>
      <c r="B1701" s="1">
        <v>43860</v>
      </c>
      <c r="C1701" t="s">
        <v>1656</v>
      </c>
      <c r="D1701" t="s">
        <v>1657</v>
      </c>
      <c r="E1701" t="s">
        <v>14</v>
      </c>
      <c r="F1701" t="s">
        <v>29</v>
      </c>
      <c r="G1701" t="s">
        <v>24</v>
      </c>
      <c r="H1701" t="s">
        <v>3446</v>
      </c>
      <c r="I1701" s="2">
        <v>120.68</v>
      </c>
      <c r="J1701">
        <v>4</v>
      </c>
      <c r="K1701" s="2">
        <v>2.7719999999999998</v>
      </c>
      <c r="L1701" s="3">
        <f>(Table1[[#This Row],[Profit]]/Table1[[#This Row],[Sales]])*100</f>
        <v>2.2969837587006956</v>
      </c>
    </row>
    <row r="1702" spans="1:12" x14ac:dyDescent="0.3">
      <c r="A1702" t="s">
        <v>4136</v>
      </c>
      <c r="B1702" s="1">
        <v>43874</v>
      </c>
      <c r="C1702" t="s">
        <v>1507</v>
      </c>
      <c r="D1702" t="s">
        <v>1508</v>
      </c>
      <c r="E1702" t="s">
        <v>14</v>
      </c>
      <c r="F1702" t="s">
        <v>15</v>
      </c>
      <c r="G1702" t="s">
        <v>24</v>
      </c>
      <c r="H1702" t="s">
        <v>1127</v>
      </c>
      <c r="I1702" s="2">
        <v>117.71</v>
      </c>
      <c r="J1702">
        <v>3</v>
      </c>
      <c r="K1702" s="2">
        <v>2.7846000000000002</v>
      </c>
      <c r="L1702" s="3">
        <f>(Table1[[#This Row],[Profit]]/Table1[[#This Row],[Sales]])*100</f>
        <v>2.3656443802565632</v>
      </c>
    </row>
    <row r="1703" spans="1:12" x14ac:dyDescent="0.3">
      <c r="A1703" t="s">
        <v>5381</v>
      </c>
      <c r="B1703" s="1">
        <v>44087</v>
      </c>
      <c r="C1703" t="s">
        <v>4530</v>
      </c>
      <c r="D1703" t="s">
        <v>4531</v>
      </c>
      <c r="E1703" t="s">
        <v>14</v>
      </c>
      <c r="F1703" t="s">
        <v>41</v>
      </c>
      <c r="G1703" t="s">
        <v>24</v>
      </c>
      <c r="H1703" t="s">
        <v>3975</v>
      </c>
      <c r="I1703" s="2">
        <v>130.91999999999999</v>
      </c>
      <c r="J1703">
        <v>5</v>
      </c>
      <c r="K1703" s="2">
        <v>2.786</v>
      </c>
      <c r="L1703" s="3">
        <f>(Table1[[#This Row],[Profit]]/Table1[[#This Row],[Sales]])*100</f>
        <v>2.1280171096853042</v>
      </c>
    </row>
    <row r="1704" spans="1:12" x14ac:dyDescent="0.3">
      <c r="A1704" t="s">
        <v>1625</v>
      </c>
      <c r="B1704" s="1">
        <v>43621</v>
      </c>
      <c r="C1704" t="s">
        <v>1626</v>
      </c>
      <c r="D1704" t="s">
        <v>1627</v>
      </c>
      <c r="E1704" t="s">
        <v>14</v>
      </c>
      <c r="F1704" t="s">
        <v>15</v>
      </c>
      <c r="G1704" t="s">
        <v>24</v>
      </c>
      <c r="H1704" t="s">
        <v>1628</v>
      </c>
      <c r="I1704" s="2">
        <v>11.16</v>
      </c>
      <c r="J1704">
        <v>2</v>
      </c>
      <c r="K1704" s="2">
        <v>2.79</v>
      </c>
      <c r="L1704" s="3">
        <f>(Table1[[#This Row],[Profit]]/Table1[[#This Row],[Sales]])*100</f>
        <v>25</v>
      </c>
    </row>
    <row r="1705" spans="1:12" x14ac:dyDescent="0.3">
      <c r="A1705" t="s">
        <v>6143</v>
      </c>
      <c r="B1705" s="1">
        <v>44174</v>
      </c>
      <c r="C1705" t="s">
        <v>3543</v>
      </c>
      <c r="D1705" t="s">
        <v>3544</v>
      </c>
      <c r="E1705" t="s">
        <v>14</v>
      </c>
      <c r="F1705" t="s">
        <v>23</v>
      </c>
      <c r="G1705" t="s">
        <v>24</v>
      </c>
      <c r="H1705" t="s">
        <v>1628</v>
      </c>
      <c r="I1705" s="2">
        <v>98.16</v>
      </c>
      <c r="J1705">
        <v>2</v>
      </c>
      <c r="K1705" s="2">
        <v>2.79</v>
      </c>
      <c r="L1705" s="3">
        <f>(Table1[[#This Row],[Profit]]/Table1[[#This Row],[Sales]])*100</f>
        <v>2.8422982885085579</v>
      </c>
    </row>
    <row r="1706" spans="1:12" x14ac:dyDescent="0.3">
      <c r="A1706" t="s">
        <v>3359</v>
      </c>
      <c r="B1706" s="1">
        <v>43779</v>
      </c>
      <c r="C1706" t="s">
        <v>244</v>
      </c>
      <c r="D1706" t="s">
        <v>245</v>
      </c>
      <c r="E1706" t="s">
        <v>14</v>
      </c>
      <c r="F1706" t="s">
        <v>23</v>
      </c>
      <c r="G1706" t="s">
        <v>16</v>
      </c>
      <c r="H1706" t="s">
        <v>786</v>
      </c>
      <c r="I1706" s="2">
        <v>9.98</v>
      </c>
      <c r="J1706">
        <v>1</v>
      </c>
      <c r="K1706" s="2">
        <v>2.7944</v>
      </c>
      <c r="L1706" s="3">
        <f>(Table1[[#This Row],[Profit]]/Table1[[#This Row],[Sales]])*100</f>
        <v>27.999999999999996</v>
      </c>
    </row>
    <row r="1707" spans="1:12" x14ac:dyDescent="0.3">
      <c r="A1707" t="s">
        <v>1182</v>
      </c>
      <c r="B1707" s="1">
        <v>43585</v>
      </c>
      <c r="C1707" t="s">
        <v>1183</v>
      </c>
      <c r="D1707" t="s">
        <v>1184</v>
      </c>
      <c r="E1707" t="s">
        <v>14</v>
      </c>
      <c r="F1707" t="s">
        <v>15</v>
      </c>
      <c r="G1707" t="s">
        <v>24</v>
      </c>
      <c r="H1707" t="s">
        <v>1185</v>
      </c>
      <c r="I1707" s="2">
        <v>7.7119999999999997</v>
      </c>
      <c r="J1707">
        <v>2</v>
      </c>
      <c r="K1707" s="2">
        <v>2.7955999999999999</v>
      </c>
      <c r="L1707" s="3">
        <f>(Table1[[#This Row],[Profit]]/Table1[[#This Row],[Sales]])*100</f>
        <v>36.25</v>
      </c>
    </row>
    <row r="1708" spans="1:12" x14ac:dyDescent="0.3">
      <c r="A1708" t="s">
        <v>3264</v>
      </c>
      <c r="B1708" s="1">
        <v>43773</v>
      </c>
      <c r="C1708" t="s">
        <v>3265</v>
      </c>
      <c r="D1708" t="s">
        <v>3266</v>
      </c>
      <c r="E1708" t="s">
        <v>14</v>
      </c>
      <c r="F1708" t="s">
        <v>23</v>
      </c>
      <c r="G1708" t="s">
        <v>24</v>
      </c>
      <c r="H1708" t="s">
        <v>1185</v>
      </c>
      <c r="I1708" s="2">
        <v>7.7119999999999997</v>
      </c>
      <c r="J1708">
        <v>2</v>
      </c>
      <c r="K1708" s="2">
        <v>2.7955999999999999</v>
      </c>
      <c r="L1708" s="3">
        <f>(Table1[[#This Row],[Profit]]/Table1[[#This Row],[Sales]])*100</f>
        <v>36.25</v>
      </c>
    </row>
    <row r="1709" spans="1:12" x14ac:dyDescent="0.3">
      <c r="A1709" t="s">
        <v>2306</v>
      </c>
      <c r="B1709" s="1">
        <v>43689</v>
      </c>
      <c r="C1709" t="s">
        <v>2307</v>
      </c>
      <c r="D1709" t="s">
        <v>2308</v>
      </c>
      <c r="E1709" t="s">
        <v>14</v>
      </c>
      <c r="F1709" t="s">
        <v>15</v>
      </c>
      <c r="G1709" t="s">
        <v>24</v>
      </c>
      <c r="H1709" t="s">
        <v>2123</v>
      </c>
      <c r="I1709" s="2">
        <v>37.311999999999998</v>
      </c>
      <c r="J1709">
        <v>4</v>
      </c>
      <c r="K1709" s="2">
        <v>2.7984</v>
      </c>
      <c r="L1709" s="3">
        <f>(Table1[[#This Row],[Profit]]/Table1[[#This Row],[Sales]])*100</f>
        <v>7.5000000000000009</v>
      </c>
    </row>
    <row r="1710" spans="1:12" x14ac:dyDescent="0.3">
      <c r="A1710" t="s">
        <v>4572</v>
      </c>
      <c r="B1710" s="1">
        <v>43954</v>
      </c>
      <c r="C1710" t="s">
        <v>34</v>
      </c>
      <c r="D1710" t="s">
        <v>35</v>
      </c>
      <c r="E1710" t="s">
        <v>14</v>
      </c>
      <c r="F1710" t="s">
        <v>15</v>
      </c>
      <c r="G1710" t="s">
        <v>24</v>
      </c>
      <c r="H1710" t="s">
        <v>939</v>
      </c>
      <c r="I1710" s="2">
        <v>121</v>
      </c>
      <c r="J1710">
        <v>2</v>
      </c>
      <c r="K1710" s="2">
        <v>2.8</v>
      </c>
      <c r="L1710" s="3">
        <f>(Table1[[#This Row],[Profit]]/Table1[[#This Row],[Sales]])*100</f>
        <v>2.3140495867768593</v>
      </c>
    </row>
    <row r="1711" spans="1:12" x14ac:dyDescent="0.3">
      <c r="A1711" t="s">
        <v>1099</v>
      </c>
      <c r="B1711" s="1">
        <v>43576</v>
      </c>
      <c r="C1711" t="s">
        <v>1100</v>
      </c>
      <c r="D1711" t="s">
        <v>1101</v>
      </c>
      <c r="E1711" t="s">
        <v>14</v>
      </c>
      <c r="F1711" t="s">
        <v>23</v>
      </c>
      <c r="G1711" t="s">
        <v>24</v>
      </c>
      <c r="H1711" t="s">
        <v>1102</v>
      </c>
      <c r="I1711" s="2">
        <v>8.32</v>
      </c>
      <c r="J1711">
        <v>5</v>
      </c>
      <c r="K1711" s="2">
        <v>2.8079999999999998</v>
      </c>
      <c r="L1711" s="3">
        <f>(Table1[[#This Row],[Profit]]/Table1[[#This Row],[Sales]])*100</f>
        <v>33.75</v>
      </c>
    </row>
    <row r="1712" spans="1:12" x14ac:dyDescent="0.3">
      <c r="A1712" t="s">
        <v>3440</v>
      </c>
      <c r="B1712" s="1">
        <v>43785</v>
      </c>
      <c r="C1712" t="s">
        <v>2588</v>
      </c>
      <c r="D1712" t="s">
        <v>2589</v>
      </c>
      <c r="E1712" t="s">
        <v>14</v>
      </c>
      <c r="F1712" t="s">
        <v>23</v>
      </c>
      <c r="G1712" t="s">
        <v>24</v>
      </c>
      <c r="H1712" t="s">
        <v>1102</v>
      </c>
      <c r="I1712" s="2">
        <v>8.32</v>
      </c>
      <c r="J1712">
        <v>5</v>
      </c>
      <c r="K1712" s="2">
        <v>2.8079999999999998</v>
      </c>
      <c r="L1712" s="3">
        <f>(Table1[[#This Row],[Profit]]/Table1[[#This Row],[Sales]])*100</f>
        <v>33.75</v>
      </c>
    </row>
    <row r="1713" spans="1:12" x14ac:dyDescent="0.3">
      <c r="A1713" t="s">
        <v>1906</v>
      </c>
      <c r="B1713" s="1">
        <v>43644</v>
      </c>
      <c r="C1713" t="s">
        <v>1907</v>
      </c>
      <c r="D1713" t="s">
        <v>1908</v>
      </c>
      <c r="E1713" t="s">
        <v>14</v>
      </c>
      <c r="F1713" t="s">
        <v>23</v>
      </c>
      <c r="G1713" t="s">
        <v>24</v>
      </c>
      <c r="H1713" t="s">
        <v>1147</v>
      </c>
      <c r="I1713" s="2">
        <v>7.7519999999999998</v>
      </c>
      <c r="J1713">
        <v>3</v>
      </c>
      <c r="K1713" s="2">
        <v>2.8100999999999998</v>
      </c>
      <c r="L1713" s="3">
        <f>(Table1[[#This Row],[Profit]]/Table1[[#This Row],[Sales]])*100</f>
        <v>36.25</v>
      </c>
    </row>
    <row r="1714" spans="1:12" x14ac:dyDescent="0.3">
      <c r="A1714" t="s">
        <v>3807</v>
      </c>
      <c r="B1714" s="1">
        <v>43813</v>
      </c>
      <c r="C1714" t="s">
        <v>1038</v>
      </c>
      <c r="D1714" t="s">
        <v>1039</v>
      </c>
      <c r="E1714" t="s">
        <v>14</v>
      </c>
      <c r="F1714" t="s">
        <v>15</v>
      </c>
      <c r="G1714" t="s">
        <v>24</v>
      </c>
      <c r="H1714" t="s">
        <v>3810</v>
      </c>
      <c r="I1714" s="2">
        <v>5.76</v>
      </c>
      <c r="J1714">
        <v>2</v>
      </c>
      <c r="K1714" s="2">
        <v>2.8224</v>
      </c>
      <c r="L1714" s="3">
        <f>(Table1[[#This Row],[Profit]]/Table1[[#This Row],[Sales]])*100</f>
        <v>49.000000000000007</v>
      </c>
    </row>
    <row r="1715" spans="1:12" x14ac:dyDescent="0.3">
      <c r="A1715" t="s">
        <v>4556</v>
      </c>
      <c r="B1715" s="1">
        <v>43951</v>
      </c>
      <c r="C1715" t="s">
        <v>59</v>
      </c>
      <c r="D1715" t="s">
        <v>60</v>
      </c>
      <c r="E1715" t="s">
        <v>14</v>
      </c>
      <c r="F1715" t="s">
        <v>15</v>
      </c>
      <c r="G1715" t="s">
        <v>24</v>
      </c>
      <c r="H1715" t="s">
        <v>4557</v>
      </c>
      <c r="I1715" s="2">
        <v>94.76</v>
      </c>
      <c r="J1715">
        <v>2</v>
      </c>
      <c r="K1715" s="2">
        <v>2.8224</v>
      </c>
      <c r="L1715" s="3">
        <f>(Table1[[#This Row],[Profit]]/Table1[[#This Row],[Sales]])*100</f>
        <v>2.9784719290840016</v>
      </c>
    </row>
    <row r="1716" spans="1:12" x14ac:dyDescent="0.3">
      <c r="A1716" t="s">
        <v>5149</v>
      </c>
      <c r="B1716" s="1">
        <v>44057</v>
      </c>
      <c r="C1716" t="s">
        <v>2304</v>
      </c>
      <c r="D1716" t="s">
        <v>2305</v>
      </c>
      <c r="E1716" t="s">
        <v>14</v>
      </c>
      <c r="F1716" t="s">
        <v>23</v>
      </c>
      <c r="G1716" t="s">
        <v>24</v>
      </c>
      <c r="H1716" t="s">
        <v>3340</v>
      </c>
      <c r="I1716" s="2">
        <v>116.76</v>
      </c>
      <c r="J1716">
        <v>2</v>
      </c>
      <c r="K1716" s="2">
        <v>2.8224</v>
      </c>
      <c r="L1716" s="3">
        <f>(Table1[[#This Row],[Profit]]/Table1[[#This Row],[Sales]])*100</f>
        <v>2.4172661870503598</v>
      </c>
    </row>
    <row r="1717" spans="1:12" x14ac:dyDescent="0.3">
      <c r="A1717" t="s">
        <v>6011</v>
      </c>
      <c r="B1717" s="1">
        <v>44160</v>
      </c>
      <c r="C1717" t="s">
        <v>4066</v>
      </c>
      <c r="D1717" t="s">
        <v>4067</v>
      </c>
      <c r="E1717" t="s">
        <v>14</v>
      </c>
      <c r="F1717" t="s">
        <v>23</v>
      </c>
      <c r="G1717" t="s">
        <v>24</v>
      </c>
      <c r="H1717" t="s">
        <v>2007</v>
      </c>
      <c r="I1717" s="2">
        <v>111.48</v>
      </c>
      <c r="J1717">
        <v>1</v>
      </c>
      <c r="K1717" s="2">
        <v>2.8296000000000001</v>
      </c>
      <c r="L1717" s="3">
        <f>(Table1[[#This Row],[Profit]]/Table1[[#This Row],[Sales]])*100</f>
        <v>2.5382131324004304</v>
      </c>
    </row>
    <row r="1718" spans="1:12" x14ac:dyDescent="0.3">
      <c r="A1718" t="s">
        <v>5849</v>
      </c>
      <c r="B1718" s="1">
        <v>44146</v>
      </c>
      <c r="C1718" t="s">
        <v>3979</v>
      </c>
      <c r="D1718" t="s">
        <v>3980</v>
      </c>
      <c r="E1718" t="s">
        <v>14</v>
      </c>
      <c r="F1718" t="s">
        <v>23</v>
      </c>
      <c r="G1718" t="s">
        <v>24</v>
      </c>
      <c r="H1718" t="s">
        <v>1818</v>
      </c>
      <c r="I1718" s="2">
        <v>136.88999999999999</v>
      </c>
      <c r="J1718">
        <v>1</v>
      </c>
      <c r="K1718" s="2">
        <v>2.8313999999999999</v>
      </c>
      <c r="L1718" s="3">
        <f>(Table1[[#This Row],[Profit]]/Table1[[#This Row],[Sales]])*100</f>
        <v>2.0683760683760686</v>
      </c>
    </row>
    <row r="1719" spans="1:12" x14ac:dyDescent="0.3">
      <c r="A1719" t="s">
        <v>4313</v>
      </c>
      <c r="B1719" s="1">
        <v>43911</v>
      </c>
      <c r="C1719" t="s">
        <v>1559</v>
      </c>
      <c r="D1719" t="s">
        <v>1560</v>
      </c>
      <c r="E1719" t="s">
        <v>14</v>
      </c>
      <c r="F1719" t="s">
        <v>29</v>
      </c>
      <c r="G1719" t="s">
        <v>24</v>
      </c>
      <c r="H1719" t="s">
        <v>1393</v>
      </c>
      <c r="I1719" s="2">
        <v>108.78</v>
      </c>
      <c r="J1719">
        <v>1</v>
      </c>
      <c r="K1719" s="2">
        <v>2.8321999999999998</v>
      </c>
      <c r="L1719" s="3">
        <f>(Table1[[#This Row],[Profit]]/Table1[[#This Row],[Sales]])*100</f>
        <v>2.6036036036036032</v>
      </c>
    </row>
    <row r="1720" spans="1:12" x14ac:dyDescent="0.3">
      <c r="A1720" t="s">
        <v>5800</v>
      </c>
      <c r="B1720" s="1">
        <v>44141</v>
      </c>
      <c r="C1720" t="s">
        <v>3206</v>
      </c>
      <c r="D1720" t="s">
        <v>3207</v>
      </c>
      <c r="E1720" t="s">
        <v>14</v>
      </c>
      <c r="F1720" t="s">
        <v>41</v>
      </c>
      <c r="G1720" t="s">
        <v>24</v>
      </c>
      <c r="H1720" t="s">
        <v>3512</v>
      </c>
      <c r="I1720" s="2">
        <v>103.78</v>
      </c>
      <c r="J1720">
        <v>1</v>
      </c>
      <c r="K1720" s="2">
        <v>2.8321999999999998</v>
      </c>
      <c r="L1720" s="3">
        <f>(Table1[[#This Row],[Profit]]/Table1[[#This Row],[Sales]])*100</f>
        <v>2.7290422046637115</v>
      </c>
    </row>
    <row r="1721" spans="1:12" x14ac:dyDescent="0.3">
      <c r="A1721" t="s">
        <v>5244</v>
      </c>
      <c r="B1721" s="1">
        <v>44076</v>
      </c>
      <c r="C1721" t="s">
        <v>1769</v>
      </c>
      <c r="D1721" t="s">
        <v>1770</v>
      </c>
      <c r="E1721" t="s">
        <v>14</v>
      </c>
      <c r="F1721" t="s">
        <v>15</v>
      </c>
      <c r="G1721" t="s">
        <v>24</v>
      </c>
      <c r="H1721" t="s">
        <v>2562</v>
      </c>
      <c r="I1721" s="2">
        <v>110.9</v>
      </c>
      <c r="J1721">
        <v>1</v>
      </c>
      <c r="K1721" s="2">
        <v>2.8340000000000001</v>
      </c>
      <c r="L1721" s="3">
        <f>(Table1[[#This Row],[Profit]]/Table1[[#This Row],[Sales]])*100</f>
        <v>2.5554553651938683</v>
      </c>
    </row>
    <row r="1722" spans="1:12" x14ac:dyDescent="0.3">
      <c r="A1722" t="s">
        <v>823</v>
      </c>
      <c r="B1722" s="1">
        <v>43556</v>
      </c>
      <c r="C1722" t="s">
        <v>824</v>
      </c>
      <c r="D1722" t="s">
        <v>825</v>
      </c>
      <c r="E1722" t="s">
        <v>14</v>
      </c>
      <c r="F1722" t="s">
        <v>15</v>
      </c>
      <c r="G1722" t="s">
        <v>24</v>
      </c>
      <c r="H1722" t="s">
        <v>829</v>
      </c>
      <c r="I1722" s="2">
        <v>9.84</v>
      </c>
      <c r="J1722">
        <v>3</v>
      </c>
      <c r="K1722" s="2">
        <v>2.8536000000000001</v>
      </c>
      <c r="L1722" s="3">
        <f>(Table1[[#This Row],[Profit]]/Table1[[#This Row],[Sales]])*100</f>
        <v>29.000000000000004</v>
      </c>
    </row>
    <row r="1723" spans="1:12" x14ac:dyDescent="0.3">
      <c r="A1723" t="s">
        <v>1789</v>
      </c>
      <c r="B1723" s="1">
        <v>43633</v>
      </c>
      <c r="C1723" t="s">
        <v>1448</v>
      </c>
      <c r="D1723" t="s">
        <v>1449</v>
      </c>
      <c r="E1723" t="s">
        <v>14</v>
      </c>
      <c r="F1723" t="s">
        <v>15</v>
      </c>
      <c r="G1723" t="s">
        <v>24</v>
      </c>
      <c r="H1723" t="s">
        <v>1792</v>
      </c>
      <c r="I1723" s="2">
        <v>9.84</v>
      </c>
      <c r="J1723">
        <v>3</v>
      </c>
      <c r="K1723" s="2">
        <v>2.8536000000000001</v>
      </c>
      <c r="L1723" s="3">
        <f>(Table1[[#This Row],[Profit]]/Table1[[#This Row],[Sales]])*100</f>
        <v>29.000000000000004</v>
      </c>
    </row>
    <row r="1724" spans="1:12" x14ac:dyDescent="0.3">
      <c r="A1724" t="s">
        <v>3429</v>
      </c>
      <c r="B1724" s="1">
        <v>43783</v>
      </c>
      <c r="C1724" t="s">
        <v>216</v>
      </c>
      <c r="D1724" t="s">
        <v>217</v>
      </c>
      <c r="E1724" t="s">
        <v>14</v>
      </c>
      <c r="F1724" t="s">
        <v>23</v>
      </c>
      <c r="G1724" t="s">
        <v>24</v>
      </c>
      <c r="H1724" t="s">
        <v>1792</v>
      </c>
      <c r="I1724" s="2">
        <v>9.84</v>
      </c>
      <c r="J1724">
        <v>3</v>
      </c>
      <c r="K1724" s="2">
        <v>2.8536000000000001</v>
      </c>
      <c r="L1724" s="3">
        <f>(Table1[[#This Row],[Profit]]/Table1[[#This Row],[Sales]])*100</f>
        <v>29.000000000000004</v>
      </c>
    </row>
    <row r="1725" spans="1:12" x14ac:dyDescent="0.3">
      <c r="A1725" t="s">
        <v>4701</v>
      </c>
      <c r="B1725" s="1">
        <v>43973</v>
      </c>
      <c r="C1725" t="s">
        <v>4702</v>
      </c>
      <c r="D1725" t="s">
        <v>4703</v>
      </c>
      <c r="E1725" t="s">
        <v>14</v>
      </c>
      <c r="F1725" t="s">
        <v>23</v>
      </c>
      <c r="G1725" t="s">
        <v>24</v>
      </c>
      <c r="H1725" t="s">
        <v>4577</v>
      </c>
      <c r="I1725" s="2">
        <v>102.84</v>
      </c>
      <c r="J1725">
        <v>3</v>
      </c>
      <c r="K1725" s="2">
        <v>2.8536000000000001</v>
      </c>
      <c r="L1725" s="3">
        <f>(Table1[[#This Row],[Profit]]/Table1[[#This Row],[Sales]])*100</f>
        <v>2.7747957992998833</v>
      </c>
    </row>
    <row r="1726" spans="1:12" x14ac:dyDescent="0.3">
      <c r="A1726" t="s">
        <v>5131</v>
      </c>
      <c r="B1726" s="1">
        <v>44054</v>
      </c>
      <c r="C1726" t="s">
        <v>3229</v>
      </c>
      <c r="D1726" t="s">
        <v>3230</v>
      </c>
      <c r="E1726" t="s">
        <v>14</v>
      </c>
      <c r="F1726" t="s">
        <v>29</v>
      </c>
      <c r="G1726" t="s">
        <v>24</v>
      </c>
      <c r="H1726" t="s">
        <v>1090</v>
      </c>
      <c r="I1726" s="2">
        <v>108.184</v>
      </c>
      <c r="J1726">
        <v>7</v>
      </c>
      <c r="K1726" s="2">
        <v>2.87</v>
      </c>
      <c r="L1726" s="3">
        <f>(Table1[[#This Row],[Profit]]/Table1[[#This Row],[Sales]])*100</f>
        <v>2.6528876728536566</v>
      </c>
    </row>
    <row r="1727" spans="1:12" x14ac:dyDescent="0.3">
      <c r="A1727" t="s">
        <v>988</v>
      </c>
      <c r="B1727" s="1">
        <v>43568</v>
      </c>
      <c r="C1727" t="s">
        <v>989</v>
      </c>
      <c r="D1727" t="s">
        <v>990</v>
      </c>
      <c r="E1727" t="s">
        <v>14</v>
      </c>
      <c r="F1727" t="s">
        <v>23</v>
      </c>
      <c r="G1727" t="s">
        <v>24</v>
      </c>
      <c r="H1727" t="s">
        <v>991</v>
      </c>
      <c r="I1727" s="2">
        <v>6.12</v>
      </c>
      <c r="J1727">
        <v>3</v>
      </c>
      <c r="K1727" s="2">
        <v>2.8763999999999998</v>
      </c>
      <c r="L1727" s="3">
        <f>(Table1[[#This Row],[Profit]]/Table1[[#This Row],[Sales]])*100</f>
        <v>47</v>
      </c>
    </row>
    <row r="1728" spans="1:12" x14ac:dyDescent="0.3">
      <c r="A1728" t="s">
        <v>4318</v>
      </c>
      <c r="B1728" s="1">
        <v>43911</v>
      </c>
      <c r="C1728" t="s">
        <v>1769</v>
      </c>
      <c r="D1728" t="s">
        <v>1770</v>
      </c>
      <c r="E1728" t="s">
        <v>14</v>
      </c>
      <c r="F1728" t="s">
        <v>15</v>
      </c>
      <c r="G1728" t="s">
        <v>24</v>
      </c>
      <c r="H1728" t="s">
        <v>4319</v>
      </c>
      <c r="I1728" s="2">
        <v>118.85599999999999</v>
      </c>
      <c r="J1728">
        <v>3</v>
      </c>
      <c r="K1728" s="2">
        <v>2.8782000000000001</v>
      </c>
      <c r="L1728" s="3">
        <f>(Table1[[#This Row],[Profit]]/Table1[[#This Row],[Sales]])*100</f>
        <v>2.421585784478697</v>
      </c>
    </row>
    <row r="1729" spans="1:12" x14ac:dyDescent="0.3">
      <c r="A1729" t="s">
        <v>5747</v>
      </c>
      <c r="B1729" s="1">
        <v>44137</v>
      </c>
      <c r="C1729" t="s">
        <v>1066</v>
      </c>
      <c r="D1729" t="s">
        <v>1067</v>
      </c>
      <c r="E1729" t="s">
        <v>14</v>
      </c>
      <c r="F1729" t="s">
        <v>15</v>
      </c>
      <c r="G1729" t="s">
        <v>24</v>
      </c>
      <c r="H1729" t="s">
        <v>4319</v>
      </c>
      <c r="I1729" s="2">
        <v>116.85599999999999</v>
      </c>
      <c r="J1729">
        <v>3</v>
      </c>
      <c r="K1729" s="2">
        <v>2.8782000000000001</v>
      </c>
      <c r="L1729" s="3">
        <f>(Table1[[#This Row],[Profit]]/Table1[[#This Row],[Sales]])*100</f>
        <v>2.4630314232902033</v>
      </c>
    </row>
    <row r="1730" spans="1:12" x14ac:dyDescent="0.3">
      <c r="A1730" t="s">
        <v>6002</v>
      </c>
      <c r="B1730" s="1">
        <v>44159</v>
      </c>
      <c r="C1730" t="s">
        <v>4620</v>
      </c>
      <c r="D1730" t="s">
        <v>4621</v>
      </c>
      <c r="E1730" t="s">
        <v>14</v>
      </c>
      <c r="F1730" t="s">
        <v>15</v>
      </c>
      <c r="G1730" t="s">
        <v>24</v>
      </c>
      <c r="H1730" t="s">
        <v>781</v>
      </c>
      <c r="I1730" s="2">
        <v>123.88</v>
      </c>
      <c r="J1730">
        <v>1</v>
      </c>
      <c r="K1730" s="2">
        <v>2.8812000000000002</v>
      </c>
      <c r="L1730" s="3">
        <f>(Table1[[#This Row],[Profit]]/Table1[[#This Row],[Sales]])*100</f>
        <v>2.325799160477882</v>
      </c>
    </row>
    <row r="1731" spans="1:12" x14ac:dyDescent="0.3">
      <c r="A1731" t="s">
        <v>2023</v>
      </c>
      <c r="B1731" s="1">
        <v>43660</v>
      </c>
      <c r="C1731" t="s">
        <v>2024</v>
      </c>
      <c r="D1731" t="s">
        <v>2025</v>
      </c>
      <c r="E1731" t="s">
        <v>14</v>
      </c>
      <c r="F1731" t="s">
        <v>15</v>
      </c>
      <c r="G1731" t="s">
        <v>24</v>
      </c>
      <c r="H1731" t="s">
        <v>2028</v>
      </c>
      <c r="I1731" s="2">
        <v>8.5440000000000005</v>
      </c>
      <c r="J1731">
        <v>2</v>
      </c>
      <c r="K1731" s="2">
        <v>2.8835999999999999</v>
      </c>
      <c r="L1731" s="3">
        <f>(Table1[[#This Row],[Profit]]/Table1[[#This Row],[Sales]])*100</f>
        <v>33.75</v>
      </c>
    </row>
    <row r="1732" spans="1:12" x14ac:dyDescent="0.3">
      <c r="A1732" t="s">
        <v>4315</v>
      </c>
      <c r="B1732" s="1">
        <v>43911</v>
      </c>
      <c r="C1732" t="s">
        <v>210</v>
      </c>
      <c r="D1732" t="s">
        <v>211</v>
      </c>
      <c r="E1732" t="s">
        <v>14</v>
      </c>
      <c r="F1732" t="s">
        <v>23</v>
      </c>
      <c r="G1732" t="s">
        <v>24</v>
      </c>
      <c r="H1732" t="s">
        <v>2028</v>
      </c>
      <c r="I1732" s="2">
        <v>116.544</v>
      </c>
      <c r="J1732">
        <v>2</v>
      </c>
      <c r="K1732" s="2">
        <v>2.8835999999999999</v>
      </c>
      <c r="L1732" s="3">
        <f>(Table1[[#This Row],[Profit]]/Table1[[#This Row],[Sales]])*100</f>
        <v>2.4742586490939042</v>
      </c>
    </row>
    <row r="1733" spans="1:12" x14ac:dyDescent="0.3">
      <c r="A1733" t="s">
        <v>6121</v>
      </c>
      <c r="B1733" s="1">
        <v>44171</v>
      </c>
      <c r="C1733" t="s">
        <v>4270</v>
      </c>
      <c r="D1733" t="s">
        <v>4271</v>
      </c>
      <c r="E1733" t="s">
        <v>14</v>
      </c>
      <c r="F1733" t="s">
        <v>23</v>
      </c>
      <c r="G1733" t="s">
        <v>24</v>
      </c>
      <c r="H1733" t="s">
        <v>1733</v>
      </c>
      <c r="I1733" s="2">
        <v>216.68</v>
      </c>
      <c r="J1733">
        <v>1</v>
      </c>
      <c r="K1733" s="2">
        <v>2.8835999999999999</v>
      </c>
      <c r="L1733" s="3">
        <f>(Table1[[#This Row],[Profit]]/Table1[[#This Row],[Sales]])*100</f>
        <v>1.3308104116669743</v>
      </c>
    </row>
    <row r="1734" spans="1:12" x14ac:dyDescent="0.3">
      <c r="A1734" t="s">
        <v>5109</v>
      </c>
      <c r="B1734" s="1">
        <v>44047</v>
      </c>
      <c r="C1734" t="s">
        <v>1347</v>
      </c>
      <c r="D1734" t="s">
        <v>1348</v>
      </c>
      <c r="E1734" t="s">
        <v>14</v>
      </c>
      <c r="F1734" t="s">
        <v>23</v>
      </c>
      <c r="G1734" t="s">
        <v>24</v>
      </c>
      <c r="H1734" t="s">
        <v>4640</v>
      </c>
      <c r="I1734" s="2">
        <v>107.968</v>
      </c>
      <c r="J1734">
        <v>2</v>
      </c>
      <c r="K1734" s="2">
        <v>2.8883999999999999</v>
      </c>
      <c r="L1734" s="3">
        <f>(Table1[[#This Row],[Profit]]/Table1[[#This Row],[Sales]])*100</f>
        <v>2.675237107291049</v>
      </c>
    </row>
    <row r="1735" spans="1:12" x14ac:dyDescent="0.3">
      <c r="A1735" t="s">
        <v>6242</v>
      </c>
      <c r="B1735" s="1">
        <v>44187</v>
      </c>
      <c r="C1735" t="s">
        <v>1153</v>
      </c>
      <c r="D1735" t="s">
        <v>1154</v>
      </c>
      <c r="E1735" t="s">
        <v>14</v>
      </c>
      <c r="F1735" t="s">
        <v>41</v>
      </c>
      <c r="G1735" t="s">
        <v>24</v>
      </c>
      <c r="H1735" t="s">
        <v>2191</v>
      </c>
      <c r="I1735" s="2">
        <v>274.12799999999999</v>
      </c>
      <c r="J1735">
        <v>7</v>
      </c>
      <c r="K1735" s="2">
        <v>2.891</v>
      </c>
      <c r="L1735" s="3">
        <f>(Table1[[#This Row],[Profit]]/Table1[[#This Row],[Sales]])*100</f>
        <v>1.0546168213389366</v>
      </c>
    </row>
    <row r="1736" spans="1:12" x14ac:dyDescent="0.3">
      <c r="A1736" t="s">
        <v>4407</v>
      </c>
      <c r="B1736" s="1">
        <v>43923</v>
      </c>
      <c r="C1736" t="s">
        <v>3543</v>
      </c>
      <c r="D1736" t="s">
        <v>3544</v>
      </c>
      <c r="E1736" t="s">
        <v>14</v>
      </c>
      <c r="F1736" t="s">
        <v>15</v>
      </c>
      <c r="G1736" t="s">
        <v>24</v>
      </c>
      <c r="H1736" t="s">
        <v>3753</v>
      </c>
      <c r="I1736" s="2">
        <v>108.12</v>
      </c>
      <c r="J1736">
        <v>4</v>
      </c>
      <c r="K1736" s="2">
        <v>2.8912</v>
      </c>
      <c r="L1736" s="3">
        <f>(Table1[[#This Row],[Profit]]/Table1[[#This Row],[Sales]])*100</f>
        <v>2.6740658527561969</v>
      </c>
    </row>
    <row r="1737" spans="1:12" x14ac:dyDescent="0.3">
      <c r="A1737" t="s">
        <v>1016</v>
      </c>
      <c r="B1737" s="1">
        <v>43570</v>
      </c>
      <c r="C1737" t="s">
        <v>679</v>
      </c>
      <c r="D1737" t="s">
        <v>680</v>
      </c>
      <c r="E1737" t="s">
        <v>14</v>
      </c>
      <c r="F1737" t="s">
        <v>29</v>
      </c>
      <c r="G1737" t="s">
        <v>24</v>
      </c>
      <c r="H1737" t="s">
        <v>1018</v>
      </c>
      <c r="I1737" s="2">
        <v>8.0399999999999991</v>
      </c>
      <c r="J1737">
        <v>5</v>
      </c>
      <c r="K1737" s="2">
        <v>2.9144999999999999</v>
      </c>
      <c r="L1737" s="3">
        <f>(Table1[[#This Row],[Profit]]/Table1[[#This Row],[Sales]])*100</f>
        <v>36.250000000000007</v>
      </c>
    </row>
    <row r="1738" spans="1:12" x14ac:dyDescent="0.3">
      <c r="A1738" t="s">
        <v>791</v>
      </c>
      <c r="B1738" s="1">
        <v>43552</v>
      </c>
      <c r="C1738" t="s">
        <v>475</v>
      </c>
      <c r="D1738" t="s">
        <v>476</v>
      </c>
      <c r="E1738" t="s">
        <v>14</v>
      </c>
      <c r="F1738" t="s">
        <v>23</v>
      </c>
      <c r="G1738" t="s">
        <v>24</v>
      </c>
      <c r="H1738" t="s">
        <v>793</v>
      </c>
      <c r="I1738" s="2">
        <v>5.98</v>
      </c>
      <c r="J1738">
        <v>1</v>
      </c>
      <c r="K1738" s="2">
        <v>2.9302000000000001</v>
      </c>
      <c r="L1738" s="3">
        <f>(Table1[[#This Row],[Profit]]/Table1[[#This Row],[Sales]])*100</f>
        <v>49</v>
      </c>
    </row>
    <row r="1739" spans="1:12" x14ac:dyDescent="0.3">
      <c r="A1739" t="s">
        <v>6245</v>
      </c>
      <c r="B1739" s="1">
        <v>44187</v>
      </c>
      <c r="C1739" t="s">
        <v>2355</v>
      </c>
      <c r="D1739" t="s">
        <v>2356</v>
      </c>
      <c r="E1739" t="s">
        <v>14</v>
      </c>
      <c r="F1739" t="s">
        <v>41</v>
      </c>
      <c r="G1739" t="s">
        <v>24</v>
      </c>
      <c r="H1739" t="s">
        <v>242</v>
      </c>
      <c r="I1739" s="2">
        <v>399.82400000000001</v>
      </c>
      <c r="J1739">
        <v>1</v>
      </c>
      <c r="K1739" s="2">
        <v>2.9340000000000002</v>
      </c>
      <c r="L1739" s="3">
        <f>(Table1[[#This Row],[Profit]]/Table1[[#This Row],[Sales]])*100</f>
        <v>0.73382288206810997</v>
      </c>
    </row>
    <row r="1740" spans="1:12" x14ac:dyDescent="0.3">
      <c r="A1740" t="s">
        <v>2896</v>
      </c>
      <c r="B1740" s="1">
        <v>43732</v>
      </c>
      <c r="C1740" t="s">
        <v>2897</v>
      </c>
      <c r="D1740" t="s">
        <v>2898</v>
      </c>
      <c r="E1740" t="s">
        <v>14</v>
      </c>
      <c r="F1740" t="s">
        <v>29</v>
      </c>
      <c r="G1740" t="s">
        <v>24</v>
      </c>
      <c r="H1740" t="s">
        <v>2752</v>
      </c>
      <c r="I1740" s="2">
        <v>6.38</v>
      </c>
      <c r="J1740">
        <v>1</v>
      </c>
      <c r="K1740" s="2">
        <v>2.9348000000000001</v>
      </c>
      <c r="L1740" s="3">
        <f>(Table1[[#This Row],[Profit]]/Table1[[#This Row],[Sales]])*100</f>
        <v>46</v>
      </c>
    </row>
    <row r="1741" spans="1:12" x14ac:dyDescent="0.3">
      <c r="A1741" t="s">
        <v>2888</v>
      </c>
      <c r="B1741" s="1">
        <v>43732</v>
      </c>
      <c r="C1741" t="s">
        <v>75</v>
      </c>
      <c r="D1741" t="s">
        <v>76</v>
      </c>
      <c r="E1741" t="s">
        <v>14</v>
      </c>
      <c r="F1741" t="s">
        <v>23</v>
      </c>
      <c r="G1741" t="s">
        <v>24</v>
      </c>
      <c r="H1741" t="s">
        <v>2889</v>
      </c>
      <c r="I1741" s="2">
        <v>41.96</v>
      </c>
      <c r="J1741">
        <v>2</v>
      </c>
      <c r="K1741" s="2">
        <v>2.9371999999999998</v>
      </c>
      <c r="L1741" s="3">
        <f>(Table1[[#This Row],[Profit]]/Table1[[#This Row],[Sales]])*100</f>
        <v>6.9999999999999991</v>
      </c>
    </row>
    <row r="1742" spans="1:12" x14ac:dyDescent="0.3">
      <c r="A1742" t="s">
        <v>5579</v>
      </c>
      <c r="B1742" s="1">
        <v>44110</v>
      </c>
      <c r="C1742" t="s">
        <v>1941</v>
      </c>
      <c r="D1742" t="s">
        <v>1942</v>
      </c>
      <c r="E1742" t="s">
        <v>14</v>
      </c>
      <c r="F1742" t="s">
        <v>23</v>
      </c>
      <c r="G1742" t="s">
        <v>16</v>
      </c>
      <c r="H1742" t="s">
        <v>1524</v>
      </c>
      <c r="I1742" s="2">
        <v>110.96</v>
      </c>
      <c r="J1742">
        <v>2</v>
      </c>
      <c r="K1742" s="2">
        <v>2.9371999999999998</v>
      </c>
      <c r="L1742" s="3">
        <f>(Table1[[#This Row],[Profit]]/Table1[[#This Row],[Sales]])*100</f>
        <v>2.6470800288392211</v>
      </c>
    </row>
    <row r="1743" spans="1:12" x14ac:dyDescent="0.3">
      <c r="A1743" t="s">
        <v>5203</v>
      </c>
      <c r="B1743" s="1">
        <v>44066</v>
      </c>
      <c r="C1743" t="s">
        <v>2500</v>
      </c>
      <c r="D1743" t="s">
        <v>2501</v>
      </c>
      <c r="E1743" t="s">
        <v>14</v>
      </c>
      <c r="F1743" t="s">
        <v>41</v>
      </c>
      <c r="G1743" t="s">
        <v>24</v>
      </c>
      <c r="H1743" t="s">
        <v>2921</v>
      </c>
      <c r="I1743" s="2">
        <v>89.72</v>
      </c>
      <c r="J1743">
        <v>5</v>
      </c>
      <c r="K1743" s="2">
        <v>2.9430000000000001</v>
      </c>
      <c r="L1743" s="3">
        <f>(Table1[[#This Row],[Profit]]/Table1[[#This Row],[Sales]])*100</f>
        <v>3.2802050824788229</v>
      </c>
    </row>
    <row r="1744" spans="1:12" x14ac:dyDescent="0.3">
      <c r="A1744" t="s">
        <v>6302</v>
      </c>
      <c r="B1744" s="1">
        <v>44194</v>
      </c>
      <c r="C1744" t="s">
        <v>3316</v>
      </c>
      <c r="D1744" t="s">
        <v>3317</v>
      </c>
      <c r="E1744" t="s">
        <v>14</v>
      </c>
      <c r="F1744" t="s">
        <v>15</v>
      </c>
      <c r="G1744" t="s">
        <v>24</v>
      </c>
      <c r="H1744" t="s">
        <v>1018</v>
      </c>
      <c r="I1744" s="2">
        <v>254.03</v>
      </c>
      <c r="J1744">
        <v>3</v>
      </c>
      <c r="K1744" s="2">
        <v>2.9546999999999999</v>
      </c>
      <c r="L1744" s="3">
        <f>(Table1[[#This Row],[Profit]]/Table1[[#This Row],[Sales]])*100</f>
        <v>1.1631303389363461</v>
      </c>
    </row>
    <row r="1745" spans="1:12" x14ac:dyDescent="0.3">
      <c r="A1745" t="s">
        <v>5243</v>
      </c>
      <c r="B1745" s="1">
        <v>44075</v>
      </c>
      <c r="C1745" t="s">
        <v>937</v>
      </c>
      <c r="D1745" t="s">
        <v>938</v>
      </c>
      <c r="E1745" t="s">
        <v>14</v>
      </c>
      <c r="F1745" t="s">
        <v>23</v>
      </c>
      <c r="G1745" t="s">
        <v>24</v>
      </c>
      <c r="H1745" t="s">
        <v>2987</v>
      </c>
      <c r="I1745" s="2">
        <v>123.58</v>
      </c>
      <c r="J1745">
        <v>1</v>
      </c>
      <c r="K1745" s="2">
        <v>2.9561999999999999</v>
      </c>
      <c r="L1745" s="3">
        <f>(Table1[[#This Row],[Profit]]/Table1[[#This Row],[Sales]])*100</f>
        <v>2.3921346496196794</v>
      </c>
    </row>
    <row r="1746" spans="1:12" x14ac:dyDescent="0.3">
      <c r="A1746" t="s">
        <v>3004</v>
      </c>
      <c r="B1746" s="1">
        <v>43741</v>
      </c>
      <c r="C1746" t="s">
        <v>847</v>
      </c>
      <c r="D1746" t="s">
        <v>848</v>
      </c>
      <c r="E1746" t="s">
        <v>14</v>
      </c>
      <c r="F1746" t="s">
        <v>23</v>
      </c>
      <c r="G1746" t="s">
        <v>24</v>
      </c>
      <c r="H1746" t="s">
        <v>3005</v>
      </c>
      <c r="I1746" s="2">
        <v>6.16</v>
      </c>
      <c r="J1746">
        <v>2</v>
      </c>
      <c r="K1746" s="2">
        <v>2.9567999999999999</v>
      </c>
      <c r="L1746" s="3">
        <f>(Table1[[#This Row],[Profit]]/Table1[[#This Row],[Sales]])*100</f>
        <v>48</v>
      </c>
    </row>
    <row r="1747" spans="1:12" x14ac:dyDescent="0.3">
      <c r="A1747" t="s">
        <v>4626</v>
      </c>
      <c r="B1747" s="1">
        <v>43963</v>
      </c>
      <c r="C1747" t="s">
        <v>3788</v>
      </c>
      <c r="D1747" t="s">
        <v>3789</v>
      </c>
      <c r="E1747" t="s">
        <v>14</v>
      </c>
      <c r="F1747" t="s">
        <v>15</v>
      </c>
      <c r="G1747" t="s">
        <v>24</v>
      </c>
      <c r="H1747" t="s">
        <v>3005</v>
      </c>
      <c r="I1747" s="2">
        <v>83.16</v>
      </c>
      <c r="J1747">
        <v>2</v>
      </c>
      <c r="K1747" s="2">
        <v>2.9567999999999999</v>
      </c>
      <c r="L1747" s="3">
        <f>(Table1[[#This Row],[Profit]]/Table1[[#This Row],[Sales]])*100</f>
        <v>3.5555555555555554</v>
      </c>
    </row>
    <row r="1748" spans="1:12" x14ac:dyDescent="0.3">
      <c r="A1748" t="s">
        <v>5515</v>
      </c>
      <c r="B1748" s="1">
        <v>44100</v>
      </c>
      <c r="C1748" t="s">
        <v>2066</v>
      </c>
      <c r="D1748" t="s">
        <v>2067</v>
      </c>
      <c r="E1748" t="s">
        <v>14</v>
      </c>
      <c r="F1748" t="s">
        <v>23</v>
      </c>
      <c r="G1748" t="s">
        <v>16</v>
      </c>
      <c r="H1748" t="s">
        <v>4368</v>
      </c>
      <c r="I1748" s="2">
        <v>112.24</v>
      </c>
      <c r="J1748">
        <v>3</v>
      </c>
      <c r="K1748" s="2">
        <v>2.9567999999999999</v>
      </c>
      <c r="L1748" s="3">
        <f>(Table1[[#This Row],[Profit]]/Table1[[#This Row],[Sales]])*100</f>
        <v>2.6343549536707056</v>
      </c>
    </row>
    <row r="1749" spans="1:12" x14ac:dyDescent="0.3">
      <c r="A1749" t="s">
        <v>5709</v>
      </c>
      <c r="B1749" s="1">
        <v>44130</v>
      </c>
      <c r="C1749" t="s">
        <v>148</v>
      </c>
      <c r="D1749" t="s">
        <v>149</v>
      </c>
      <c r="E1749" t="s">
        <v>14</v>
      </c>
      <c r="F1749" t="s">
        <v>29</v>
      </c>
      <c r="G1749" t="s">
        <v>24</v>
      </c>
      <c r="H1749" t="s">
        <v>3032</v>
      </c>
      <c r="I1749" s="2">
        <v>86.16</v>
      </c>
      <c r="J1749">
        <v>2</v>
      </c>
      <c r="K1749" s="2">
        <v>2.9567999999999999</v>
      </c>
      <c r="L1749" s="3">
        <f>(Table1[[#This Row],[Profit]]/Table1[[#This Row],[Sales]])*100</f>
        <v>3.4317548746518107</v>
      </c>
    </row>
    <row r="1750" spans="1:12" x14ac:dyDescent="0.3">
      <c r="A1750" t="s">
        <v>5934</v>
      </c>
      <c r="B1750" s="1">
        <v>44153</v>
      </c>
      <c r="C1750" t="s">
        <v>5787</v>
      </c>
      <c r="D1750" t="s">
        <v>5788</v>
      </c>
      <c r="E1750" t="s">
        <v>14</v>
      </c>
      <c r="F1750" t="s">
        <v>23</v>
      </c>
      <c r="G1750" t="s">
        <v>24</v>
      </c>
      <c r="H1750" t="s">
        <v>2124</v>
      </c>
      <c r="I1750" s="2">
        <v>113.44799999999999</v>
      </c>
      <c r="J1750">
        <v>2</v>
      </c>
      <c r="K1750" s="2">
        <v>2.9567999999999999</v>
      </c>
      <c r="L1750" s="3">
        <f>(Table1[[#This Row],[Profit]]/Table1[[#This Row],[Sales]])*100</f>
        <v>2.6063042098582612</v>
      </c>
    </row>
    <row r="1751" spans="1:12" x14ac:dyDescent="0.3">
      <c r="A1751" t="s">
        <v>1341</v>
      </c>
      <c r="B1751" s="1">
        <v>43597</v>
      </c>
      <c r="C1751" t="s">
        <v>758</v>
      </c>
      <c r="D1751" t="s">
        <v>759</v>
      </c>
      <c r="E1751" t="s">
        <v>14</v>
      </c>
      <c r="F1751" t="s">
        <v>41</v>
      </c>
      <c r="G1751" t="s">
        <v>24</v>
      </c>
      <c r="H1751" t="s">
        <v>1342</v>
      </c>
      <c r="I1751" s="2">
        <v>10.96</v>
      </c>
      <c r="J1751">
        <v>4</v>
      </c>
      <c r="K1751" s="2">
        <v>2.9592000000000001</v>
      </c>
      <c r="L1751" s="3">
        <f>(Table1[[#This Row],[Profit]]/Table1[[#This Row],[Sales]])*100</f>
        <v>26.999999999999996</v>
      </c>
    </row>
    <row r="1752" spans="1:12" x14ac:dyDescent="0.3">
      <c r="A1752" t="s">
        <v>5802</v>
      </c>
      <c r="B1752" s="1">
        <v>44141</v>
      </c>
      <c r="C1752" t="s">
        <v>528</v>
      </c>
      <c r="D1752" t="s">
        <v>529</v>
      </c>
      <c r="E1752" t="s">
        <v>14</v>
      </c>
      <c r="F1752" t="s">
        <v>23</v>
      </c>
      <c r="G1752" t="s">
        <v>16</v>
      </c>
      <c r="H1752" t="s">
        <v>1729</v>
      </c>
      <c r="I1752" s="2">
        <v>111.73</v>
      </c>
      <c r="J1752">
        <v>1</v>
      </c>
      <c r="K1752" s="2">
        <v>2.9681999999999999</v>
      </c>
      <c r="L1752" s="3">
        <f>(Table1[[#This Row],[Profit]]/Table1[[#This Row],[Sales]])*100</f>
        <v>2.6565828336167545</v>
      </c>
    </row>
    <row r="1753" spans="1:12" x14ac:dyDescent="0.3">
      <c r="A1753" t="s">
        <v>4340</v>
      </c>
      <c r="B1753" s="1">
        <v>43915</v>
      </c>
      <c r="C1753" t="s">
        <v>1183</v>
      </c>
      <c r="D1753" t="s">
        <v>1184</v>
      </c>
      <c r="E1753" t="s">
        <v>14</v>
      </c>
      <c r="F1753" t="s">
        <v>15</v>
      </c>
      <c r="G1753" t="s">
        <v>24</v>
      </c>
      <c r="H1753" t="s">
        <v>1877</v>
      </c>
      <c r="I1753" s="2">
        <v>123.05</v>
      </c>
      <c r="J1753">
        <v>5</v>
      </c>
      <c r="K1753" s="2">
        <v>2.9834999999999998</v>
      </c>
      <c r="L1753" s="3">
        <f>(Table1[[#This Row],[Profit]]/Table1[[#This Row],[Sales]])*100</f>
        <v>2.4246241365298657</v>
      </c>
    </row>
    <row r="1754" spans="1:12" x14ac:dyDescent="0.3">
      <c r="A1754" t="s">
        <v>4991</v>
      </c>
      <c r="B1754" s="1">
        <v>44021</v>
      </c>
      <c r="C1754" t="s">
        <v>267</v>
      </c>
      <c r="D1754" t="s">
        <v>268</v>
      </c>
      <c r="E1754" t="s">
        <v>14</v>
      </c>
      <c r="F1754" t="s">
        <v>29</v>
      </c>
      <c r="G1754" t="s">
        <v>24</v>
      </c>
      <c r="H1754" t="s">
        <v>4992</v>
      </c>
      <c r="I1754" s="2">
        <v>99.84</v>
      </c>
      <c r="J1754">
        <v>5</v>
      </c>
      <c r="K1754" s="2">
        <v>2.9834999999999998</v>
      </c>
      <c r="L1754" s="3">
        <f>(Table1[[#This Row],[Profit]]/Table1[[#This Row],[Sales]])*100</f>
        <v>2.98828125</v>
      </c>
    </row>
    <row r="1755" spans="1:12" x14ac:dyDescent="0.3">
      <c r="A1755" t="s">
        <v>2515</v>
      </c>
      <c r="B1755" s="1">
        <v>43709</v>
      </c>
      <c r="C1755" t="s">
        <v>2516</v>
      </c>
      <c r="D1755" t="s">
        <v>2517</v>
      </c>
      <c r="E1755" t="s">
        <v>14</v>
      </c>
      <c r="F1755" t="s">
        <v>29</v>
      </c>
      <c r="G1755" t="s">
        <v>24</v>
      </c>
      <c r="H1755" t="s">
        <v>2027</v>
      </c>
      <c r="I1755" s="2">
        <v>11.96</v>
      </c>
      <c r="J1755">
        <v>2</v>
      </c>
      <c r="K1755" s="2">
        <v>2.99</v>
      </c>
      <c r="L1755" s="3">
        <f>(Table1[[#This Row],[Profit]]/Table1[[#This Row],[Sales]])*100</f>
        <v>25</v>
      </c>
    </row>
    <row r="1756" spans="1:12" x14ac:dyDescent="0.3">
      <c r="A1756" t="s">
        <v>2716</v>
      </c>
      <c r="B1756" s="1">
        <v>43719</v>
      </c>
      <c r="C1756" t="s">
        <v>1444</v>
      </c>
      <c r="D1756" t="s">
        <v>1445</v>
      </c>
      <c r="E1756" t="s">
        <v>14</v>
      </c>
      <c r="F1756" t="s">
        <v>23</v>
      </c>
      <c r="G1756" t="s">
        <v>24</v>
      </c>
      <c r="H1756" t="s">
        <v>1538</v>
      </c>
      <c r="I1756" s="2">
        <v>9.5679999999999996</v>
      </c>
      <c r="J1756">
        <v>2</v>
      </c>
      <c r="K1756" s="2">
        <v>2.99</v>
      </c>
      <c r="L1756" s="3">
        <f>(Table1[[#This Row],[Profit]]/Table1[[#This Row],[Sales]])*100</f>
        <v>31.250000000000007</v>
      </c>
    </row>
    <row r="1757" spans="1:12" x14ac:dyDescent="0.3">
      <c r="A1757" t="s">
        <v>3075</v>
      </c>
      <c r="B1757" s="1">
        <v>43751</v>
      </c>
      <c r="C1757" t="s">
        <v>2286</v>
      </c>
      <c r="D1757" t="s">
        <v>2287</v>
      </c>
      <c r="E1757" t="s">
        <v>14</v>
      </c>
      <c r="F1757" t="s">
        <v>29</v>
      </c>
      <c r="G1757" t="s">
        <v>24</v>
      </c>
      <c r="H1757" t="s">
        <v>2324</v>
      </c>
      <c r="I1757" s="2">
        <v>8.2880000000000003</v>
      </c>
      <c r="J1757">
        <v>2</v>
      </c>
      <c r="K1757" s="2">
        <v>3.0044</v>
      </c>
      <c r="L1757" s="3">
        <f>(Table1[[#This Row],[Profit]]/Table1[[#This Row],[Sales]])*100</f>
        <v>36.25</v>
      </c>
    </row>
    <row r="1758" spans="1:12" x14ac:dyDescent="0.3">
      <c r="A1758" t="s">
        <v>4691</v>
      </c>
      <c r="B1758" s="1">
        <v>43971</v>
      </c>
      <c r="C1758" t="s">
        <v>501</v>
      </c>
      <c r="D1758" t="s">
        <v>502</v>
      </c>
      <c r="E1758" t="s">
        <v>14</v>
      </c>
      <c r="F1758" t="s">
        <v>23</v>
      </c>
      <c r="G1758" t="s">
        <v>24</v>
      </c>
      <c r="H1758" t="s">
        <v>1160</v>
      </c>
      <c r="I1758" s="2">
        <v>110.288</v>
      </c>
      <c r="J1758">
        <v>2</v>
      </c>
      <c r="K1758" s="2">
        <v>3.0044</v>
      </c>
      <c r="L1758" s="3">
        <f>(Table1[[#This Row],[Profit]]/Table1[[#This Row],[Sales]])*100</f>
        <v>2.7241404323226464</v>
      </c>
    </row>
    <row r="1759" spans="1:12" x14ac:dyDescent="0.3">
      <c r="A1759" t="s">
        <v>5379</v>
      </c>
      <c r="B1759" s="1">
        <v>44086</v>
      </c>
      <c r="C1759" t="s">
        <v>1048</v>
      </c>
      <c r="D1759" t="s">
        <v>1049</v>
      </c>
      <c r="E1759" t="s">
        <v>14</v>
      </c>
      <c r="F1759" t="s">
        <v>23</v>
      </c>
      <c r="G1759" t="s">
        <v>16</v>
      </c>
      <c r="H1759" t="s">
        <v>1253</v>
      </c>
      <c r="I1759" s="2">
        <v>115.36</v>
      </c>
      <c r="J1759">
        <v>2</v>
      </c>
      <c r="K1759" s="2">
        <v>3.0095999999999998</v>
      </c>
      <c r="L1759" s="3">
        <f>(Table1[[#This Row],[Profit]]/Table1[[#This Row],[Sales]])*100</f>
        <v>2.6088765603328712</v>
      </c>
    </row>
    <row r="1760" spans="1:12" x14ac:dyDescent="0.3">
      <c r="A1760" t="s">
        <v>5876</v>
      </c>
      <c r="B1760" s="1">
        <v>44147</v>
      </c>
      <c r="C1760" t="s">
        <v>3229</v>
      </c>
      <c r="D1760" t="s">
        <v>3230</v>
      </c>
      <c r="E1760" t="s">
        <v>14</v>
      </c>
      <c r="F1760" t="s">
        <v>15</v>
      </c>
      <c r="G1760" t="s">
        <v>18</v>
      </c>
      <c r="H1760" t="s">
        <v>4296</v>
      </c>
      <c r="I1760" s="2">
        <v>100.544</v>
      </c>
      <c r="J1760">
        <v>2</v>
      </c>
      <c r="K1760" s="2">
        <v>3.0133999999999999</v>
      </c>
      <c r="L1760" s="3">
        <f>(Table1[[#This Row],[Profit]]/Table1[[#This Row],[Sales]])*100</f>
        <v>2.9970957988542333</v>
      </c>
    </row>
    <row r="1761" spans="1:12" x14ac:dyDescent="0.3">
      <c r="A1761" t="s">
        <v>830</v>
      </c>
      <c r="B1761" s="1">
        <v>43556</v>
      </c>
      <c r="C1761" t="s">
        <v>831</v>
      </c>
      <c r="D1761" t="s">
        <v>832</v>
      </c>
      <c r="E1761" t="s">
        <v>14</v>
      </c>
      <c r="F1761" t="s">
        <v>23</v>
      </c>
      <c r="G1761" t="s">
        <v>24</v>
      </c>
      <c r="H1761" t="s">
        <v>833</v>
      </c>
      <c r="I1761" s="2">
        <v>30.143999999999998</v>
      </c>
      <c r="J1761">
        <v>2</v>
      </c>
      <c r="K1761" s="2">
        <v>3.0144000000000002</v>
      </c>
      <c r="L1761" s="3">
        <f>(Table1[[#This Row],[Profit]]/Table1[[#This Row],[Sales]])*100</f>
        <v>10</v>
      </c>
    </row>
    <row r="1762" spans="1:12" x14ac:dyDescent="0.3">
      <c r="A1762" t="s">
        <v>5061</v>
      </c>
      <c r="B1762" s="1">
        <v>44037</v>
      </c>
      <c r="C1762" t="s">
        <v>2341</v>
      </c>
      <c r="D1762" t="s">
        <v>2342</v>
      </c>
      <c r="E1762" t="s">
        <v>14</v>
      </c>
      <c r="F1762" t="s">
        <v>15</v>
      </c>
      <c r="G1762" t="s">
        <v>16</v>
      </c>
      <c r="H1762" t="s">
        <v>1218</v>
      </c>
      <c r="I1762" s="2">
        <v>129.096</v>
      </c>
      <c r="J1762">
        <v>4</v>
      </c>
      <c r="K1762" s="2">
        <v>3.0144000000000002</v>
      </c>
      <c r="L1762" s="3">
        <f>(Table1[[#This Row],[Profit]]/Table1[[#This Row],[Sales]])*100</f>
        <v>2.335006506785648</v>
      </c>
    </row>
    <row r="1763" spans="1:12" x14ac:dyDescent="0.3">
      <c r="A1763" t="s">
        <v>3242</v>
      </c>
      <c r="B1763" s="1">
        <v>43772</v>
      </c>
      <c r="C1763" t="s">
        <v>2456</v>
      </c>
      <c r="D1763" t="s">
        <v>2457</v>
      </c>
      <c r="E1763" t="s">
        <v>14</v>
      </c>
      <c r="F1763" t="s">
        <v>23</v>
      </c>
      <c r="G1763" t="s">
        <v>24</v>
      </c>
      <c r="H1763" t="s">
        <v>2498</v>
      </c>
      <c r="I1763" s="2">
        <v>9.2959999999999994</v>
      </c>
      <c r="J1763">
        <v>2</v>
      </c>
      <c r="K1763" s="2">
        <v>3.0211999999999999</v>
      </c>
      <c r="L1763" s="3">
        <f>(Table1[[#This Row],[Profit]]/Table1[[#This Row],[Sales]])*100</f>
        <v>32.5</v>
      </c>
    </row>
    <row r="1764" spans="1:12" x14ac:dyDescent="0.3">
      <c r="A1764" t="s">
        <v>6115</v>
      </c>
      <c r="B1764" s="1">
        <v>44170</v>
      </c>
      <c r="C1764" t="s">
        <v>3091</v>
      </c>
      <c r="D1764" t="s">
        <v>3092</v>
      </c>
      <c r="E1764" t="s">
        <v>14</v>
      </c>
      <c r="F1764" t="s">
        <v>23</v>
      </c>
      <c r="G1764" t="s">
        <v>24</v>
      </c>
      <c r="H1764" t="s">
        <v>2498</v>
      </c>
      <c r="I1764" s="2">
        <v>87.296000000000006</v>
      </c>
      <c r="J1764">
        <v>2</v>
      </c>
      <c r="K1764" s="2">
        <v>3.0211999999999999</v>
      </c>
      <c r="L1764" s="3">
        <f>(Table1[[#This Row],[Profit]]/Table1[[#This Row],[Sales]])*100</f>
        <v>3.4608687683284458</v>
      </c>
    </row>
    <row r="1765" spans="1:12" x14ac:dyDescent="0.3">
      <c r="A1765" t="s">
        <v>2131</v>
      </c>
      <c r="B1765" s="1">
        <v>43668</v>
      </c>
      <c r="C1765" t="s">
        <v>139</v>
      </c>
      <c r="D1765" t="s">
        <v>140</v>
      </c>
      <c r="E1765" t="s">
        <v>14</v>
      </c>
      <c r="F1765" t="s">
        <v>23</v>
      </c>
      <c r="G1765" t="s">
        <v>24</v>
      </c>
      <c r="H1765" t="s">
        <v>2130</v>
      </c>
      <c r="I1765" s="2">
        <v>6.3</v>
      </c>
      <c r="J1765">
        <v>2</v>
      </c>
      <c r="K1765" s="2">
        <v>3.024</v>
      </c>
      <c r="L1765" s="3">
        <f>(Table1[[#This Row],[Profit]]/Table1[[#This Row],[Sales]])*100</f>
        <v>48.000000000000007</v>
      </c>
    </row>
    <row r="1766" spans="1:12" x14ac:dyDescent="0.3">
      <c r="A1766" t="s">
        <v>3682</v>
      </c>
      <c r="B1766" s="1">
        <v>43802</v>
      </c>
      <c r="C1766" t="s">
        <v>3683</v>
      </c>
      <c r="D1766" t="s">
        <v>3684</v>
      </c>
      <c r="E1766" t="s">
        <v>14</v>
      </c>
      <c r="F1766" t="s">
        <v>15</v>
      </c>
      <c r="G1766" t="s">
        <v>24</v>
      </c>
      <c r="H1766" t="s">
        <v>2597</v>
      </c>
      <c r="I1766" s="2">
        <v>6.3</v>
      </c>
      <c r="J1766">
        <v>2</v>
      </c>
      <c r="K1766" s="2">
        <v>3.024</v>
      </c>
      <c r="L1766" s="3">
        <f>(Table1[[#This Row],[Profit]]/Table1[[#This Row],[Sales]])*100</f>
        <v>48.000000000000007</v>
      </c>
    </row>
    <row r="1767" spans="1:12" x14ac:dyDescent="0.3">
      <c r="A1767" t="s">
        <v>5899</v>
      </c>
      <c r="B1767" s="1">
        <v>44149</v>
      </c>
      <c r="C1767" t="s">
        <v>3223</v>
      </c>
      <c r="D1767" t="s">
        <v>3224</v>
      </c>
      <c r="E1767" t="s">
        <v>14</v>
      </c>
      <c r="F1767" t="s">
        <v>15</v>
      </c>
      <c r="G1767" t="s">
        <v>24</v>
      </c>
      <c r="H1767" t="s">
        <v>4230</v>
      </c>
      <c r="I1767" s="2">
        <v>121.64</v>
      </c>
      <c r="J1767">
        <v>2</v>
      </c>
      <c r="K1767" s="2">
        <v>3.024</v>
      </c>
      <c r="L1767" s="3">
        <f>(Table1[[#This Row],[Profit]]/Table1[[#This Row],[Sales]])*100</f>
        <v>2.486024334100625</v>
      </c>
    </row>
    <row r="1768" spans="1:12" x14ac:dyDescent="0.3">
      <c r="A1768" t="s">
        <v>6294</v>
      </c>
      <c r="B1768" s="1">
        <v>44193</v>
      </c>
      <c r="C1768" t="s">
        <v>1347</v>
      </c>
      <c r="D1768" t="s">
        <v>1348</v>
      </c>
      <c r="E1768" t="s">
        <v>14</v>
      </c>
      <c r="F1768" t="s">
        <v>23</v>
      </c>
      <c r="G1768" t="s">
        <v>16</v>
      </c>
      <c r="H1768" t="s">
        <v>3786</v>
      </c>
      <c r="I1768" s="2">
        <v>304.39999999999998</v>
      </c>
      <c r="J1768">
        <v>2</v>
      </c>
      <c r="K1768" s="2">
        <v>3.0339999999999998</v>
      </c>
      <c r="L1768" s="3">
        <f>(Table1[[#This Row],[Profit]]/Table1[[#This Row],[Sales]])*100</f>
        <v>0.99671484888304873</v>
      </c>
    </row>
    <row r="1769" spans="1:12" x14ac:dyDescent="0.3">
      <c r="A1769" t="s">
        <v>3208</v>
      </c>
      <c r="B1769" s="1">
        <v>43767</v>
      </c>
      <c r="C1769" t="s">
        <v>3209</v>
      </c>
      <c r="D1769" t="s">
        <v>3210</v>
      </c>
      <c r="E1769" t="s">
        <v>14</v>
      </c>
      <c r="F1769" t="s">
        <v>15</v>
      </c>
      <c r="G1769" t="s">
        <v>24</v>
      </c>
      <c r="H1769" t="s">
        <v>520</v>
      </c>
      <c r="I1769" s="2">
        <v>11.67</v>
      </c>
      <c r="J1769">
        <v>3</v>
      </c>
      <c r="K1769" s="2">
        <v>3.0341999999999998</v>
      </c>
      <c r="L1769" s="3">
        <f>(Table1[[#This Row],[Profit]]/Table1[[#This Row],[Sales]])*100</f>
        <v>26</v>
      </c>
    </row>
    <row r="1770" spans="1:12" x14ac:dyDescent="0.3">
      <c r="A1770" t="s">
        <v>4912</v>
      </c>
      <c r="B1770" s="1">
        <v>44011</v>
      </c>
      <c r="C1770" t="s">
        <v>118</v>
      </c>
      <c r="D1770" t="s">
        <v>119</v>
      </c>
      <c r="E1770" t="s">
        <v>14</v>
      </c>
      <c r="F1770" t="s">
        <v>23</v>
      </c>
      <c r="G1770" t="s">
        <v>24</v>
      </c>
      <c r="H1770" t="s">
        <v>2961</v>
      </c>
      <c r="I1770" s="2">
        <v>88.68</v>
      </c>
      <c r="J1770">
        <v>2</v>
      </c>
      <c r="K1770" s="2">
        <v>3.0367999999999999</v>
      </c>
      <c r="L1770" s="3">
        <f>(Table1[[#This Row],[Profit]]/Table1[[#This Row],[Sales]])*100</f>
        <v>3.4244474515110506</v>
      </c>
    </row>
    <row r="1771" spans="1:12" x14ac:dyDescent="0.3">
      <c r="A1771" t="s">
        <v>4744</v>
      </c>
      <c r="B1771" s="1">
        <v>43981</v>
      </c>
      <c r="C1771" t="s">
        <v>428</v>
      </c>
      <c r="D1771" t="s">
        <v>429</v>
      </c>
      <c r="E1771" t="s">
        <v>14</v>
      </c>
      <c r="F1771" t="s">
        <v>41</v>
      </c>
      <c r="G1771" t="s">
        <v>16</v>
      </c>
      <c r="H1771" t="s">
        <v>265</v>
      </c>
      <c r="I1771" s="2">
        <v>1027.01</v>
      </c>
      <c r="J1771">
        <v>3</v>
      </c>
      <c r="K1771" s="2">
        <v>3.0438000000000001</v>
      </c>
      <c r="L1771" s="3">
        <f>(Table1[[#This Row],[Profit]]/Table1[[#This Row],[Sales]])*100</f>
        <v>0.29637491358409362</v>
      </c>
    </row>
    <row r="1772" spans="1:12" x14ac:dyDescent="0.3">
      <c r="A1772" t="s">
        <v>2345</v>
      </c>
      <c r="B1772" s="1">
        <v>43692</v>
      </c>
      <c r="C1772" t="s">
        <v>1013</v>
      </c>
      <c r="D1772" t="s">
        <v>1014</v>
      </c>
      <c r="E1772" t="s">
        <v>14</v>
      </c>
      <c r="F1772" t="s">
        <v>23</v>
      </c>
      <c r="G1772" t="s">
        <v>24</v>
      </c>
      <c r="H1772" t="s">
        <v>1245</v>
      </c>
      <c r="I1772" s="2">
        <v>17.940000000000001</v>
      </c>
      <c r="J1772">
        <v>3</v>
      </c>
      <c r="K1772" s="2">
        <v>3.0497999999999998</v>
      </c>
      <c r="L1772" s="3">
        <f>(Table1[[#This Row],[Profit]]/Table1[[#This Row],[Sales]])*100</f>
        <v>17</v>
      </c>
    </row>
    <row r="1773" spans="1:12" x14ac:dyDescent="0.3">
      <c r="A1773" t="s">
        <v>3748</v>
      </c>
      <c r="B1773" s="1">
        <v>43808</v>
      </c>
      <c r="C1773" t="s">
        <v>1355</v>
      </c>
      <c r="D1773" t="s">
        <v>1356</v>
      </c>
      <c r="E1773" t="s">
        <v>14</v>
      </c>
      <c r="F1773" t="s">
        <v>29</v>
      </c>
      <c r="G1773" t="s">
        <v>18</v>
      </c>
      <c r="H1773" t="s">
        <v>1364</v>
      </c>
      <c r="I1773" s="2">
        <v>10.9</v>
      </c>
      <c r="J1773">
        <v>1</v>
      </c>
      <c r="K1773" s="2">
        <v>3.052</v>
      </c>
      <c r="L1773" s="3">
        <f>(Table1[[#This Row],[Profit]]/Table1[[#This Row],[Sales]])*100</f>
        <v>27.999999999999996</v>
      </c>
    </row>
    <row r="1774" spans="1:12" x14ac:dyDescent="0.3">
      <c r="A1774" t="s">
        <v>3821</v>
      </c>
      <c r="B1774" s="1">
        <v>43815</v>
      </c>
      <c r="C1774" t="s">
        <v>3822</v>
      </c>
      <c r="D1774" t="s">
        <v>3823</v>
      </c>
      <c r="E1774" t="s">
        <v>14</v>
      </c>
      <c r="F1774" t="s">
        <v>41</v>
      </c>
      <c r="G1774" t="s">
        <v>24</v>
      </c>
      <c r="H1774" t="s">
        <v>1633</v>
      </c>
      <c r="I1774" s="2">
        <v>34.944000000000003</v>
      </c>
      <c r="J1774">
        <v>3</v>
      </c>
      <c r="K1774" s="2">
        <v>3.0575999999999999</v>
      </c>
      <c r="L1774" s="3">
        <f>(Table1[[#This Row],[Profit]]/Table1[[#This Row],[Sales]])*100</f>
        <v>8.75</v>
      </c>
    </row>
    <row r="1775" spans="1:12" x14ac:dyDescent="0.3">
      <c r="A1775" t="s">
        <v>4877</v>
      </c>
      <c r="B1775" s="1">
        <v>44003</v>
      </c>
      <c r="C1775" t="s">
        <v>924</v>
      </c>
      <c r="D1775" t="s">
        <v>925</v>
      </c>
      <c r="E1775" t="s">
        <v>14</v>
      </c>
      <c r="F1775" t="s">
        <v>15</v>
      </c>
      <c r="G1775" t="s">
        <v>24</v>
      </c>
      <c r="H1775" t="s">
        <v>1943</v>
      </c>
      <c r="I1775" s="2">
        <v>99.24</v>
      </c>
      <c r="J1775">
        <v>2</v>
      </c>
      <c r="K1775" s="2">
        <v>3.0575999999999999</v>
      </c>
      <c r="L1775" s="3">
        <f>(Table1[[#This Row],[Profit]]/Table1[[#This Row],[Sales]])*100</f>
        <v>3.0810157194679566</v>
      </c>
    </row>
    <row r="1776" spans="1:12" x14ac:dyDescent="0.3">
      <c r="A1776" t="s">
        <v>4167</v>
      </c>
      <c r="B1776" s="1">
        <v>43881</v>
      </c>
      <c r="C1776" t="s">
        <v>3178</v>
      </c>
      <c r="D1776" t="s">
        <v>3179</v>
      </c>
      <c r="E1776" t="s">
        <v>14</v>
      </c>
      <c r="F1776" t="s">
        <v>23</v>
      </c>
      <c r="G1776" t="s">
        <v>24</v>
      </c>
      <c r="H1776" t="s">
        <v>449</v>
      </c>
      <c r="I1776" s="2">
        <v>92.432000000000002</v>
      </c>
      <c r="J1776">
        <v>3</v>
      </c>
      <c r="K1776" s="2">
        <v>3.0653999999999999</v>
      </c>
      <c r="L1776" s="3">
        <f>(Table1[[#This Row],[Profit]]/Table1[[#This Row],[Sales]])*100</f>
        <v>3.3163839362991174</v>
      </c>
    </row>
    <row r="1777" spans="1:12" x14ac:dyDescent="0.3">
      <c r="A1777" t="s">
        <v>2684</v>
      </c>
      <c r="B1777" s="1">
        <v>43718</v>
      </c>
      <c r="C1777" t="s">
        <v>2685</v>
      </c>
      <c r="D1777" t="s">
        <v>2686</v>
      </c>
      <c r="E1777" t="s">
        <v>14</v>
      </c>
      <c r="F1777" t="s">
        <v>15</v>
      </c>
      <c r="G1777" t="s">
        <v>24</v>
      </c>
      <c r="H1777" t="s">
        <v>1529</v>
      </c>
      <c r="I1777" s="2">
        <v>6.69</v>
      </c>
      <c r="J1777">
        <v>1</v>
      </c>
      <c r="K1777" s="2">
        <v>3.0773999999999999</v>
      </c>
      <c r="L1777" s="3">
        <f>(Table1[[#This Row],[Profit]]/Table1[[#This Row],[Sales]])*100</f>
        <v>46</v>
      </c>
    </row>
    <row r="1778" spans="1:12" x14ac:dyDescent="0.3">
      <c r="A1778" t="s">
        <v>3542</v>
      </c>
      <c r="B1778" s="1">
        <v>43793</v>
      </c>
      <c r="C1778" t="s">
        <v>3543</v>
      </c>
      <c r="D1778" t="s">
        <v>3544</v>
      </c>
      <c r="E1778" t="s">
        <v>14</v>
      </c>
      <c r="F1778" t="s">
        <v>23</v>
      </c>
      <c r="G1778" t="s">
        <v>16</v>
      </c>
      <c r="H1778" t="s">
        <v>91</v>
      </c>
      <c r="I1778" s="2">
        <v>9.94</v>
      </c>
      <c r="J1778">
        <v>2</v>
      </c>
      <c r="K1778" s="2">
        <v>3.0813999999999999</v>
      </c>
      <c r="L1778" s="3">
        <f>(Table1[[#This Row],[Profit]]/Table1[[#This Row],[Sales]])*100</f>
        <v>31</v>
      </c>
    </row>
    <row r="1779" spans="1:12" x14ac:dyDescent="0.3">
      <c r="A1779" t="s">
        <v>5163</v>
      </c>
      <c r="B1779" s="1">
        <v>44061</v>
      </c>
      <c r="C1779" t="s">
        <v>4138</v>
      </c>
      <c r="D1779" t="s">
        <v>4139</v>
      </c>
      <c r="E1779" t="s">
        <v>14</v>
      </c>
      <c r="F1779" t="s">
        <v>15</v>
      </c>
      <c r="G1779" t="s">
        <v>16</v>
      </c>
      <c r="H1779" t="s">
        <v>91</v>
      </c>
      <c r="I1779" s="2">
        <v>109.94</v>
      </c>
      <c r="J1779">
        <v>2</v>
      </c>
      <c r="K1779" s="2">
        <v>3.0813999999999999</v>
      </c>
      <c r="L1779" s="3">
        <f>(Table1[[#This Row],[Profit]]/Table1[[#This Row],[Sales]])*100</f>
        <v>2.8028015281062397</v>
      </c>
    </row>
    <row r="1780" spans="1:12" x14ac:dyDescent="0.3">
      <c r="A1780" t="s">
        <v>4279</v>
      </c>
      <c r="B1780" s="1">
        <v>43907</v>
      </c>
      <c r="C1780" t="s">
        <v>4280</v>
      </c>
      <c r="D1780" t="s">
        <v>4281</v>
      </c>
      <c r="E1780" t="s">
        <v>14</v>
      </c>
      <c r="F1780" t="s">
        <v>15</v>
      </c>
      <c r="G1780" t="s">
        <v>24</v>
      </c>
      <c r="H1780" t="s">
        <v>3523</v>
      </c>
      <c r="I1780" s="2">
        <v>146.14400000000001</v>
      </c>
      <c r="J1780">
        <v>3</v>
      </c>
      <c r="K1780" s="2">
        <v>3.0861000000000001</v>
      </c>
      <c r="L1780" s="3">
        <f>(Table1[[#This Row],[Profit]]/Table1[[#This Row],[Sales]])*100</f>
        <v>2.1116843661046638</v>
      </c>
    </row>
    <row r="1781" spans="1:12" x14ac:dyDescent="0.3">
      <c r="A1781" t="s">
        <v>846</v>
      </c>
      <c r="B1781" s="1">
        <v>43556</v>
      </c>
      <c r="C1781" t="s">
        <v>847</v>
      </c>
      <c r="D1781" t="s">
        <v>848</v>
      </c>
      <c r="E1781" t="s">
        <v>14</v>
      </c>
      <c r="F1781" t="s">
        <v>41</v>
      </c>
      <c r="G1781" t="s">
        <v>16</v>
      </c>
      <c r="H1781" t="s">
        <v>350</v>
      </c>
      <c r="I1781" s="2">
        <v>7.04</v>
      </c>
      <c r="J1781">
        <v>4</v>
      </c>
      <c r="K1781" s="2">
        <v>3.0975999999999999</v>
      </c>
      <c r="L1781" s="3">
        <f>(Table1[[#This Row],[Profit]]/Table1[[#This Row],[Sales]])*100</f>
        <v>44</v>
      </c>
    </row>
    <row r="1782" spans="1:12" x14ac:dyDescent="0.3">
      <c r="A1782" t="s">
        <v>4979</v>
      </c>
      <c r="B1782" s="1">
        <v>44020</v>
      </c>
      <c r="C1782" t="s">
        <v>143</v>
      </c>
      <c r="D1782" t="s">
        <v>144</v>
      </c>
      <c r="E1782" t="s">
        <v>14</v>
      </c>
      <c r="F1782" t="s">
        <v>15</v>
      </c>
      <c r="G1782" t="s">
        <v>24</v>
      </c>
      <c r="H1782" t="s">
        <v>4980</v>
      </c>
      <c r="I1782" s="2">
        <v>127.56</v>
      </c>
      <c r="J1782">
        <v>3</v>
      </c>
      <c r="K1782" s="2">
        <v>3.0996000000000001</v>
      </c>
      <c r="L1782" s="3">
        <f>(Table1[[#This Row],[Profit]]/Table1[[#This Row],[Sales]])*100</f>
        <v>2.4299153339604893</v>
      </c>
    </row>
    <row r="1783" spans="1:12" x14ac:dyDescent="0.3">
      <c r="A1783" t="s">
        <v>3985</v>
      </c>
      <c r="B1783" s="1">
        <v>43833</v>
      </c>
      <c r="C1783" t="s">
        <v>3986</v>
      </c>
      <c r="D1783" t="s">
        <v>3987</v>
      </c>
      <c r="E1783" t="s">
        <v>14</v>
      </c>
      <c r="F1783" t="s">
        <v>23</v>
      </c>
      <c r="G1783" t="s">
        <v>24</v>
      </c>
      <c r="H1783" t="s">
        <v>2912</v>
      </c>
      <c r="I1783" s="2">
        <v>125.12</v>
      </c>
      <c r="J1783">
        <v>3</v>
      </c>
      <c r="K1783" s="2">
        <v>3.1008</v>
      </c>
      <c r="L1783" s="3">
        <f>(Table1[[#This Row],[Profit]]/Table1[[#This Row],[Sales]])*100</f>
        <v>2.4782608695652173</v>
      </c>
    </row>
    <row r="1784" spans="1:12" x14ac:dyDescent="0.3">
      <c r="A1784" t="s">
        <v>3868</v>
      </c>
      <c r="B1784" s="1">
        <v>43821</v>
      </c>
      <c r="C1784" t="s">
        <v>3869</v>
      </c>
      <c r="D1784" t="s">
        <v>3870</v>
      </c>
      <c r="E1784" t="s">
        <v>14</v>
      </c>
      <c r="F1784" t="s">
        <v>23</v>
      </c>
      <c r="G1784" t="s">
        <v>16</v>
      </c>
      <c r="H1784" t="s">
        <v>3786</v>
      </c>
      <c r="I1784" s="2">
        <v>11.84</v>
      </c>
      <c r="J1784">
        <v>4</v>
      </c>
      <c r="K1784" s="2">
        <v>3.1080000000000001</v>
      </c>
      <c r="L1784" s="3">
        <f>(Table1[[#This Row],[Profit]]/Table1[[#This Row],[Sales]])*100</f>
        <v>26.25</v>
      </c>
    </row>
    <row r="1785" spans="1:12" x14ac:dyDescent="0.3">
      <c r="A1785" t="s">
        <v>2297</v>
      </c>
      <c r="B1785" s="1">
        <v>43689</v>
      </c>
      <c r="C1785" t="s">
        <v>443</v>
      </c>
      <c r="D1785" t="s">
        <v>444</v>
      </c>
      <c r="E1785" t="s">
        <v>14</v>
      </c>
      <c r="F1785" t="s">
        <v>29</v>
      </c>
      <c r="G1785" t="s">
        <v>24</v>
      </c>
      <c r="H1785" t="s">
        <v>1484</v>
      </c>
      <c r="I1785" s="2">
        <v>6.48</v>
      </c>
      <c r="J1785">
        <v>1</v>
      </c>
      <c r="K1785" s="2">
        <v>3.1103999999999998</v>
      </c>
      <c r="L1785" s="3">
        <f>(Table1[[#This Row],[Profit]]/Table1[[#This Row],[Sales]])*100</f>
        <v>47.999999999999993</v>
      </c>
    </row>
    <row r="1786" spans="1:12" x14ac:dyDescent="0.3">
      <c r="A1786" t="s">
        <v>2433</v>
      </c>
      <c r="B1786" s="1">
        <v>43703</v>
      </c>
      <c r="C1786" t="s">
        <v>2282</v>
      </c>
      <c r="D1786" t="s">
        <v>2283</v>
      </c>
      <c r="E1786" t="s">
        <v>14</v>
      </c>
      <c r="F1786" t="s">
        <v>23</v>
      </c>
      <c r="G1786" t="s">
        <v>24</v>
      </c>
      <c r="H1786" t="s">
        <v>918</v>
      </c>
      <c r="I1786" s="2">
        <v>6.48</v>
      </c>
      <c r="J1786">
        <v>1</v>
      </c>
      <c r="K1786" s="2">
        <v>3.1103999999999998</v>
      </c>
      <c r="L1786" s="3">
        <f>(Table1[[#This Row],[Profit]]/Table1[[#This Row],[Sales]])*100</f>
        <v>47.999999999999993</v>
      </c>
    </row>
    <row r="1787" spans="1:12" x14ac:dyDescent="0.3">
      <c r="A1787" t="s">
        <v>2767</v>
      </c>
      <c r="B1787" s="1">
        <v>43725</v>
      </c>
      <c r="C1787" t="s">
        <v>1750</v>
      </c>
      <c r="D1787" t="s">
        <v>1751</v>
      </c>
      <c r="E1787" t="s">
        <v>14</v>
      </c>
      <c r="F1787" t="s">
        <v>23</v>
      </c>
      <c r="G1787" t="s">
        <v>24</v>
      </c>
      <c r="H1787" t="s">
        <v>2769</v>
      </c>
      <c r="I1787" s="2">
        <v>6.48</v>
      </c>
      <c r="J1787">
        <v>1</v>
      </c>
      <c r="K1787" s="2">
        <v>3.1103999999999998</v>
      </c>
      <c r="L1787" s="3">
        <f>(Table1[[#This Row],[Profit]]/Table1[[#This Row],[Sales]])*100</f>
        <v>47.999999999999993</v>
      </c>
    </row>
    <row r="1788" spans="1:12" x14ac:dyDescent="0.3">
      <c r="A1788" t="s">
        <v>2896</v>
      </c>
      <c r="B1788" s="1">
        <v>43732</v>
      </c>
      <c r="C1788" t="s">
        <v>2897</v>
      </c>
      <c r="D1788" t="s">
        <v>2898</v>
      </c>
      <c r="E1788" t="s">
        <v>14</v>
      </c>
      <c r="F1788" t="s">
        <v>29</v>
      </c>
      <c r="G1788" t="s">
        <v>24</v>
      </c>
      <c r="H1788" t="s">
        <v>1771</v>
      </c>
      <c r="I1788" s="2">
        <v>6.48</v>
      </c>
      <c r="J1788">
        <v>1</v>
      </c>
      <c r="K1788" s="2">
        <v>3.1103999999999998</v>
      </c>
      <c r="L1788" s="3">
        <f>(Table1[[#This Row],[Profit]]/Table1[[#This Row],[Sales]])*100</f>
        <v>47.999999999999993</v>
      </c>
    </row>
    <row r="1789" spans="1:12" x14ac:dyDescent="0.3">
      <c r="A1789" t="s">
        <v>3538</v>
      </c>
      <c r="B1789" s="1">
        <v>43793</v>
      </c>
      <c r="C1789" t="s">
        <v>3539</v>
      </c>
      <c r="D1789" t="s">
        <v>3540</v>
      </c>
      <c r="E1789" t="s">
        <v>14</v>
      </c>
      <c r="F1789" t="s">
        <v>15</v>
      </c>
      <c r="G1789" t="s">
        <v>24</v>
      </c>
      <c r="H1789" t="s">
        <v>1582</v>
      </c>
      <c r="I1789" s="2">
        <v>6.48</v>
      </c>
      <c r="J1789">
        <v>1</v>
      </c>
      <c r="K1789" s="2">
        <v>3.1103999999999998</v>
      </c>
      <c r="L1789" s="3">
        <f>(Table1[[#This Row],[Profit]]/Table1[[#This Row],[Sales]])*100</f>
        <v>47.999999999999993</v>
      </c>
    </row>
    <row r="1790" spans="1:12" x14ac:dyDescent="0.3">
      <c r="A1790" t="s">
        <v>3769</v>
      </c>
      <c r="B1790" s="1">
        <v>43809</v>
      </c>
      <c r="C1790" t="s">
        <v>3770</v>
      </c>
      <c r="D1790" t="s">
        <v>3771</v>
      </c>
      <c r="E1790" t="s">
        <v>14</v>
      </c>
      <c r="F1790" t="s">
        <v>15</v>
      </c>
      <c r="G1790" t="s">
        <v>24</v>
      </c>
      <c r="H1790" t="s">
        <v>3772</v>
      </c>
      <c r="I1790" s="2">
        <v>6.48</v>
      </c>
      <c r="J1790">
        <v>1</v>
      </c>
      <c r="K1790" s="2">
        <v>3.1103999999999998</v>
      </c>
      <c r="L1790" s="3">
        <f>(Table1[[#This Row],[Profit]]/Table1[[#This Row],[Sales]])*100</f>
        <v>47.999999999999993</v>
      </c>
    </row>
    <row r="1791" spans="1:12" x14ac:dyDescent="0.3">
      <c r="A1791" t="s">
        <v>4061</v>
      </c>
      <c r="B1791" s="1">
        <v>43853</v>
      </c>
      <c r="C1791" t="s">
        <v>1907</v>
      </c>
      <c r="D1791" t="s">
        <v>1908</v>
      </c>
      <c r="E1791" t="s">
        <v>14</v>
      </c>
      <c r="F1791" t="s">
        <v>23</v>
      </c>
      <c r="G1791" t="s">
        <v>24</v>
      </c>
      <c r="H1791" t="s">
        <v>2138</v>
      </c>
      <c r="I1791" s="2">
        <v>90.48</v>
      </c>
      <c r="J1791">
        <v>1</v>
      </c>
      <c r="K1791" s="2">
        <v>3.1103999999999998</v>
      </c>
      <c r="L1791" s="3">
        <f>(Table1[[#This Row],[Profit]]/Table1[[#This Row],[Sales]])*100</f>
        <v>3.4376657824933683</v>
      </c>
    </row>
    <row r="1792" spans="1:12" x14ac:dyDescent="0.3">
      <c r="A1792" t="s">
        <v>4277</v>
      </c>
      <c r="B1792" s="1">
        <v>43906</v>
      </c>
      <c r="C1792" t="s">
        <v>884</v>
      </c>
      <c r="D1792" t="s">
        <v>885</v>
      </c>
      <c r="E1792" t="s">
        <v>14</v>
      </c>
      <c r="F1792" t="s">
        <v>23</v>
      </c>
      <c r="G1792" t="s">
        <v>24</v>
      </c>
      <c r="H1792" t="s">
        <v>3832</v>
      </c>
      <c r="I1792" s="2">
        <v>116.48</v>
      </c>
      <c r="J1792">
        <v>1</v>
      </c>
      <c r="K1792" s="2">
        <v>3.1103999999999998</v>
      </c>
      <c r="L1792" s="3">
        <f>(Table1[[#This Row],[Profit]]/Table1[[#This Row],[Sales]])*100</f>
        <v>2.6703296703296702</v>
      </c>
    </row>
    <row r="1793" spans="1:12" x14ac:dyDescent="0.3">
      <c r="A1793" t="s">
        <v>5578</v>
      </c>
      <c r="B1793" s="1">
        <v>44110</v>
      </c>
      <c r="C1793" t="s">
        <v>2456</v>
      </c>
      <c r="D1793" t="s">
        <v>2457</v>
      </c>
      <c r="E1793" t="s">
        <v>14</v>
      </c>
      <c r="F1793" t="s">
        <v>15</v>
      </c>
      <c r="G1793" t="s">
        <v>24</v>
      </c>
      <c r="H1793" t="s">
        <v>1582</v>
      </c>
      <c r="I1793" s="2">
        <v>133.47999999999999</v>
      </c>
      <c r="J1793">
        <v>1</v>
      </c>
      <c r="K1793" s="2">
        <v>3.1103999999999998</v>
      </c>
      <c r="L1793" s="3">
        <f>(Table1[[#This Row],[Profit]]/Table1[[#This Row],[Sales]])*100</f>
        <v>2.3302367395864549</v>
      </c>
    </row>
    <row r="1794" spans="1:12" x14ac:dyDescent="0.3">
      <c r="A1794" t="s">
        <v>6221</v>
      </c>
      <c r="B1794" s="1">
        <v>44185</v>
      </c>
      <c r="C1794" t="s">
        <v>605</v>
      </c>
      <c r="D1794" t="s">
        <v>606</v>
      </c>
      <c r="E1794" t="s">
        <v>14</v>
      </c>
      <c r="F1794" t="s">
        <v>15</v>
      </c>
      <c r="G1794" t="s">
        <v>24</v>
      </c>
      <c r="H1794" t="s">
        <v>958</v>
      </c>
      <c r="I1794" s="2">
        <v>280.48</v>
      </c>
      <c r="J1794">
        <v>1</v>
      </c>
      <c r="K1794" s="2">
        <v>3.1103999999999998</v>
      </c>
      <c r="L1794" s="3">
        <f>(Table1[[#This Row],[Profit]]/Table1[[#This Row],[Sales]])*100</f>
        <v>1.1089560752994865</v>
      </c>
    </row>
    <row r="1795" spans="1:12" x14ac:dyDescent="0.3">
      <c r="A1795" t="s">
        <v>5562</v>
      </c>
      <c r="B1795" s="1">
        <v>44107</v>
      </c>
      <c r="C1795" t="s">
        <v>133</v>
      </c>
      <c r="D1795" t="s">
        <v>134</v>
      </c>
      <c r="E1795" t="s">
        <v>14</v>
      </c>
      <c r="F1795" t="s">
        <v>15</v>
      </c>
      <c r="G1795" t="s">
        <v>24</v>
      </c>
      <c r="H1795" t="s">
        <v>4992</v>
      </c>
      <c r="I1795" s="2">
        <v>117.63</v>
      </c>
      <c r="J1795">
        <v>3</v>
      </c>
      <c r="K1795" s="2">
        <v>3.1160999999999999</v>
      </c>
      <c r="L1795" s="3">
        <f>(Table1[[#This Row],[Profit]]/Table1[[#This Row],[Sales]])*100</f>
        <v>2.6490691150216779</v>
      </c>
    </row>
    <row r="1796" spans="1:12" x14ac:dyDescent="0.3">
      <c r="A1796" t="s">
        <v>2222</v>
      </c>
      <c r="B1796" s="1">
        <v>43676</v>
      </c>
      <c r="C1796" t="s">
        <v>1947</v>
      </c>
      <c r="D1796" t="s">
        <v>1948</v>
      </c>
      <c r="E1796" t="s">
        <v>14</v>
      </c>
      <c r="F1796" t="s">
        <v>29</v>
      </c>
      <c r="G1796" t="s">
        <v>24</v>
      </c>
      <c r="H1796" t="s">
        <v>2223</v>
      </c>
      <c r="I1796" s="2">
        <v>9.2479999999999993</v>
      </c>
      <c r="J1796">
        <v>4</v>
      </c>
      <c r="K1796" s="2">
        <v>3.1212</v>
      </c>
      <c r="L1796" s="3">
        <f>(Table1[[#This Row],[Profit]]/Table1[[#This Row],[Sales]])*100</f>
        <v>33.75</v>
      </c>
    </row>
    <row r="1797" spans="1:12" x14ac:dyDescent="0.3">
      <c r="A1797" t="s">
        <v>2826</v>
      </c>
      <c r="B1797" s="1">
        <v>43727</v>
      </c>
      <c r="C1797" t="s">
        <v>2827</v>
      </c>
      <c r="D1797" t="s">
        <v>2828</v>
      </c>
      <c r="E1797" t="s">
        <v>14</v>
      </c>
      <c r="F1797" t="s">
        <v>23</v>
      </c>
      <c r="G1797" t="s">
        <v>24</v>
      </c>
      <c r="H1797" t="s">
        <v>399</v>
      </c>
      <c r="I1797" s="2">
        <v>8.9280000000000008</v>
      </c>
      <c r="J1797">
        <v>2</v>
      </c>
      <c r="K1797" s="2">
        <v>3.1248</v>
      </c>
      <c r="L1797" s="3">
        <f>(Table1[[#This Row],[Profit]]/Table1[[#This Row],[Sales]])*100</f>
        <v>35</v>
      </c>
    </row>
    <row r="1798" spans="1:12" x14ac:dyDescent="0.3">
      <c r="A1798" t="s">
        <v>2239</v>
      </c>
      <c r="B1798" s="1">
        <v>43678</v>
      </c>
      <c r="C1798" t="s">
        <v>2201</v>
      </c>
      <c r="D1798" t="s">
        <v>2202</v>
      </c>
      <c r="E1798" t="s">
        <v>14</v>
      </c>
      <c r="F1798" t="s">
        <v>15</v>
      </c>
      <c r="G1798" t="s">
        <v>16</v>
      </c>
      <c r="H1798" t="s">
        <v>2240</v>
      </c>
      <c r="I1798" s="2">
        <v>19.312000000000001</v>
      </c>
      <c r="J1798">
        <v>2</v>
      </c>
      <c r="K1798" s="2">
        <v>3.1381999999999999</v>
      </c>
      <c r="L1798" s="3">
        <f>(Table1[[#This Row],[Profit]]/Table1[[#This Row],[Sales]])*100</f>
        <v>16.249999999999996</v>
      </c>
    </row>
    <row r="1799" spans="1:12" x14ac:dyDescent="0.3">
      <c r="A1799" t="s">
        <v>4087</v>
      </c>
      <c r="B1799" s="1">
        <v>43860</v>
      </c>
      <c r="C1799" t="s">
        <v>1656</v>
      </c>
      <c r="D1799" t="s">
        <v>1657</v>
      </c>
      <c r="E1799" t="s">
        <v>14</v>
      </c>
      <c r="F1799" t="s">
        <v>29</v>
      </c>
      <c r="G1799" t="s">
        <v>24</v>
      </c>
      <c r="H1799" t="s">
        <v>4096</v>
      </c>
      <c r="I1799" s="2">
        <v>114.34399999999999</v>
      </c>
      <c r="J1799">
        <v>2</v>
      </c>
      <c r="K1799" s="2">
        <v>3.1536</v>
      </c>
      <c r="L1799" s="3">
        <f>(Table1[[#This Row],[Profit]]/Table1[[#This Row],[Sales]])*100</f>
        <v>2.7579934233540895</v>
      </c>
    </row>
    <row r="1800" spans="1:12" x14ac:dyDescent="0.3">
      <c r="A1800" t="s">
        <v>1946</v>
      </c>
      <c r="B1800" s="1">
        <v>43648</v>
      </c>
      <c r="C1800" t="s">
        <v>1947</v>
      </c>
      <c r="D1800" t="s">
        <v>1948</v>
      </c>
      <c r="E1800" t="s">
        <v>14</v>
      </c>
      <c r="F1800" t="s">
        <v>41</v>
      </c>
      <c r="G1800" t="s">
        <v>24</v>
      </c>
      <c r="H1800" t="s">
        <v>1949</v>
      </c>
      <c r="I1800" s="2">
        <v>7.7</v>
      </c>
      <c r="J1800">
        <v>2</v>
      </c>
      <c r="K1800" s="2">
        <v>3.157</v>
      </c>
      <c r="L1800" s="3">
        <f>(Table1[[#This Row],[Profit]]/Table1[[#This Row],[Sales]])*100</f>
        <v>41</v>
      </c>
    </row>
    <row r="1801" spans="1:12" x14ac:dyDescent="0.3">
      <c r="A1801" t="s">
        <v>6067</v>
      </c>
      <c r="B1801" s="1">
        <v>44167</v>
      </c>
      <c r="C1801" t="s">
        <v>2054</v>
      </c>
      <c r="D1801" t="s">
        <v>2055</v>
      </c>
      <c r="E1801" t="s">
        <v>14</v>
      </c>
      <c r="F1801" t="s">
        <v>23</v>
      </c>
      <c r="G1801" t="s">
        <v>24</v>
      </c>
      <c r="H1801" t="s">
        <v>2880</v>
      </c>
      <c r="I1801" s="2">
        <v>132.024</v>
      </c>
      <c r="J1801">
        <v>6</v>
      </c>
      <c r="K1801" s="2">
        <v>3.1583999999999999</v>
      </c>
      <c r="L1801" s="3">
        <f>(Table1[[#This Row],[Profit]]/Table1[[#This Row],[Sales]])*100</f>
        <v>2.3922923104890019</v>
      </c>
    </row>
    <row r="1802" spans="1:12" x14ac:dyDescent="0.3">
      <c r="A1802" t="s">
        <v>2061</v>
      </c>
      <c r="B1802" s="1">
        <v>43662</v>
      </c>
      <c r="C1802" t="s">
        <v>197</v>
      </c>
      <c r="D1802" t="s">
        <v>198</v>
      </c>
      <c r="E1802" t="s">
        <v>14</v>
      </c>
      <c r="F1802" t="s">
        <v>41</v>
      </c>
      <c r="G1802" t="s">
        <v>24</v>
      </c>
      <c r="H1802" t="s">
        <v>1147</v>
      </c>
      <c r="I1802" s="2">
        <v>6.46</v>
      </c>
      <c r="J1802">
        <v>2</v>
      </c>
      <c r="K1802" s="2">
        <v>3.1654</v>
      </c>
      <c r="L1802" s="3">
        <f>(Table1[[#This Row],[Profit]]/Table1[[#This Row],[Sales]])*100</f>
        <v>49</v>
      </c>
    </row>
    <row r="1803" spans="1:12" x14ac:dyDescent="0.3">
      <c r="A1803" t="s">
        <v>2829</v>
      </c>
      <c r="B1803" s="1">
        <v>43728</v>
      </c>
      <c r="C1803" t="s">
        <v>2830</v>
      </c>
      <c r="D1803" t="s">
        <v>2831</v>
      </c>
      <c r="E1803" t="s">
        <v>14</v>
      </c>
      <c r="F1803" t="s">
        <v>23</v>
      </c>
      <c r="G1803" t="s">
        <v>24</v>
      </c>
      <c r="H1803" t="s">
        <v>1581</v>
      </c>
      <c r="I1803" s="2">
        <v>11.76</v>
      </c>
      <c r="J1803">
        <v>4</v>
      </c>
      <c r="K1803" s="2">
        <v>3.1751999999999998</v>
      </c>
      <c r="L1803" s="3">
        <f>(Table1[[#This Row],[Profit]]/Table1[[#This Row],[Sales]])*100</f>
        <v>26.999999999999996</v>
      </c>
    </row>
    <row r="1804" spans="1:12" x14ac:dyDescent="0.3">
      <c r="A1804" t="s">
        <v>5045</v>
      </c>
      <c r="B1804" s="1">
        <v>44033</v>
      </c>
      <c r="C1804" t="s">
        <v>616</v>
      </c>
      <c r="D1804" t="s">
        <v>617</v>
      </c>
      <c r="E1804" t="s">
        <v>14</v>
      </c>
      <c r="F1804" t="s">
        <v>15</v>
      </c>
      <c r="G1804" t="s">
        <v>24</v>
      </c>
      <c r="H1804" t="s">
        <v>541</v>
      </c>
      <c r="I1804" s="2">
        <v>100.48</v>
      </c>
      <c r="J1804">
        <v>1</v>
      </c>
      <c r="K1804" s="2">
        <v>3.1751999999999998</v>
      </c>
      <c r="L1804" s="3">
        <f>(Table1[[#This Row],[Profit]]/Table1[[#This Row],[Sales]])*100</f>
        <v>3.1600318471337574</v>
      </c>
    </row>
    <row r="1805" spans="1:12" x14ac:dyDescent="0.3">
      <c r="A1805" t="s">
        <v>5978</v>
      </c>
      <c r="B1805" s="1">
        <v>44156</v>
      </c>
      <c r="C1805" t="s">
        <v>1239</v>
      </c>
      <c r="D1805" t="s">
        <v>1240</v>
      </c>
      <c r="E1805" t="s">
        <v>14</v>
      </c>
      <c r="F1805" t="s">
        <v>23</v>
      </c>
      <c r="G1805" t="s">
        <v>24</v>
      </c>
      <c r="H1805" t="s">
        <v>3237</v>
      </c>
      <c r="I1805" s="2">
        <v>119.76</v>
      </c>
      <c r="J1805">
        <v>4</v>
      </c>
      <c r="K1805" s="2">
        <v>3.1751999999999998</v>
      </c>
      <c r="L1805" s="3">
        <f>(Table1[[#This Row],[Profit]]/Table1[[#This Row],[Sales]])*100</f>
        <v>2.6513026052104207</v>
      </c>
    </row>
    <row r="1806" spans="1:12" x14ac:dyDescent="0.3">
      <c r="A1806" t="s">
        <v>5823</v>
      </c>
      <c r="B1806" s="1">
        <v>44144</v>
      </c>
      <c r="C1806" t="s">
        <v>2069</v>
      </c>
      <c r="D1806" t="s">
        <v>2070</v>
      </c>
      <c r="E1806" t="s">
        <v>14</v>
      </c>
      <c r="F1806" t="s">
        <v>23</v>
      </c>
      <c r="G1806" t="s">
        <v>24</v>
      </c>
      <c r="H1806" t="s">
        <v>5829</v>
      </c>
      <c r="I1806" s="2">
        <v>153.56</v>
      </c>
      <c r="J1806">
        <v>2</v>
      </c>
      <c r="K1806" s="2">
        <v>3.1779999999999999</v>
      </c>
      <c r="L1806" s="3">
        <f>(Table1[[#This Row],[Profit]]/Table1[[#This Row],[Sales]])*100</f>
        <v>2.0695493618129719</v>
      </c>
    </row>
    <row r="1807" spans="1:12" x14ac:dyDescent="0.3">
      <c r="A1807" t="s">
        <v>6097</v>
      </c>
      <c r="B1807" s="1">
        <v>44169</v>
      </c>
      <c r="C1807" t="s">
        <v>6098</v>
      </c>
      <c r="D1807" t="s">
        <v>6099</v>
      </c>
      <c r="E1807" t="s">
        <v>14</v>
      </c>
      <c r="F1807" t="s">
        <v>15</v>
      </c>
      <c r="G1807" t="s">
        <v>24</v>
      </c>
      <c r="H1807" t="s">
        <v>1200</v>
      </c>
      <c r="I1807" s="2">
        <v>113.392</v>
      </c>
      <c r="J1807">
        <v>3</v>
      </c>
      <c r="K1807" s="2">
        <v>3.1806000000000001</v>
      </c>
      <c r="L1807" s="3">
        <f>(Table1[[#This Row],[Profit]]/Table1[[#This Row],[Sales]])*100</f>
        <v>2.8049597855227884</v>
      </c>
    </row>
    <row r="1808" spans="1:12" x14ac:dyDescent="0.3">
      <c r="A1808" t="s">
        <v>5109</v>
      </c>
      <c r="B1808" s="1">
        <v>44047</v>
      </c>
      <c r="C1808" t="s">
        <v>1347</v>
      </c>
      <c r="D1808" t="s">
        <v>1348</v>
      </c>
      <c r="E1808" t="s">
        <v>14</v>
      </c>
      <c r="F1808" t="s">
        <v>23</v>
      </c>
      <c r="G1808" t="s">
        <v>24</v>
      </c>
      <c r="H1808" t="s">
        <v>1345</v>
      </c>
      <c r="I1808" s="2">
        <v>129.78399999999999</v>
      </c>
      <c r="J1808">
        <v>1</v>
      </c>
      <c r="K1808" s="2">
        <v>3.1842000000000001</v>
      </c>
      <c r="L1808" s="3">
        <f>(Table1[[#This Row],[Profit]]/Table1[[#This Row],[Sales]])*100</f>
        <v>2.4534611354250142</v>
      </c>
    </row>
    <row r="1809" spans="1:12" x14ac:dyDescent="0.3">
      <c r="A1809" t="s">
        <v>5286</v>
      </c>
      <c r="B1809" s="1">
        <v>44078</v>
      </c>
      <c r="C1809" t="s">
        <v>367</v>
      </c>
      <c r="D1809" t="s">
        <v>368</v>
      </c>
      <c r="E1809" t="s">
        <v>14</v>
      </c>
      <c r="F1809" t="s">
        <v>29</v>
      </c>
      <c r="G1809" t="s">
        <v>24</v>
      </c>
      <c r="H1809" t="s">
        <v>2717</v>
      </c>
      <c r="I1809" s="2">
        <v>120.19199999999999</v>
      </c>
      <c r="J1809">
        <v>7</v>
      </c>
      <c r="K1809" s="2">
        <v>3.1850000000000001</v>
      </c>
      <c r="L1809" s="3">
        <f>(Table1[[#This Row],[Profit]]/Table1[[#This Row],[Sales]])*100</f>
        <v>2.6499267838125666</v>
      </c>
    </row>
    <row r="1810" spans="1:12" x14ac:dyDescent="0.3">
      <c r="A1810" t="s">
        <v>2023</v>
      </c>
      <c r="B1810" s="1">
        <v>43660</v>
      </c>
      <c r="C1810" t="s">
        <v>2024</v>
      </c>
      <c r="D1810" t="s">
        <v>2025</v>
      </c>
      <c r="E1810" t="s">
        <v>14</v>
      </c>
      <c r="F1810" t="s">
        <v>15</v>
      </c>
      <c r="G1810" t="s">
        <v>24</v>
      </c>
      <c r="H1810" t="s">
        <v>2026</v>
      </c>
      <c r="I1810" s="2">
        <v>9.1440000000000001</v>
      </c>
      <c r="J1810">
        <v>3</v>
      </c>
      <c r="K1810" s="2">
        <v>3.2004000000000001</v>
      </c>
      <c r="L1810" s="3">
        <f>(Table1[[#This Row],[Profit]]/Table1[[#This Row],[Sales]])*100</f>
        <v>35</v>
      </c>
    </row>
    <row r="1811" spans="1:12" x14ac:dyDescent="0.3">
      <c r="A1811" t="s">
        <v>3151</v>
      </c>
      <c r="B1811" s="1">
        <v>43760</v>
      </c>
      <c r="C1811" t="s">
        <v>3152</v>
      </c>
      <c r="D1811" t="s">
        <v>3153</v>
      </c>
      <c r="E1811" t="s">
        <v>14</v>
      </c>
      <c r="F1811" t="s">
        <v>23</v>
      </c>
      <c r="G1811" t="s">
        <v>24</v>
      </c>
      <c r="H1811" t="s">
        <v>3094</v>
      </c>
      <c r="I1811" s="2">
        <v>6.68</v>
      </c>
      <c r="J1811">
        <v>1</v>
      </c>
      <c r="K1811" s="2">
        <v>3.2063999999999999</v>
      </c>
      <c r="L1811" s="3">
        <f>(Table1[[#This Row],[Profit]]/Table1[[#This Row],[Sales]])*100</f>
        <v>48</v>
      </c>
    </row>
    <row r="1812" spans="1:12" x14ac:dyDescent="0.3">
      <c r="A1812" t="s">
        <v>4584</v>
      </c>
      <c r="B1812" s="1">
        <v>43956</v>
      </c>
      <c r="C1812" t="s">
        <v>3353</v>
      </c>
      <c r="D1812" t="s">
        <v>3354</v>
      </c>
      <c r="E1812" t="s">
        <v>14</v>
      </c>
      <c r="F1812" t="s">
        <v>15</v>
      </c>
      <c r="G1812" t="s">
        <v>24</v>
      </c>
      <c r="H1812" t="s">
        <v>916</v>
      </c>
      <c r="I1812" s="2">
        <v>117.68</v>
      </c>
      <c r="J1812">
        <v>1</v>
      </c>
      <c r="K1812" s="2">
        <v>3.2063999999999999</v>
      </c>
      <c r="L1812" s="3">
        <f>(Table1[[#This Row],[Profit]]/Table1[[#This Row],[Sales]])*100</f>
        <v>2.7246770904146835</v>
      </c>
    </row>
    <row r="1813" spans="1:12" x14ac:dyDescent="0.3">
      <c r="A1813" t="s">
        <v>860</v>
      </c>
      <c r="B1813" s="1">
        <v>43558</v>
      </c>
      <c r="C1813" t="s">
        <v>861</v>
      </c>
      <c r="D1813" t="s">
        <v>862</v>
      </c>
      <c r="E1813" t="s">
        <v>14</v>
      </c>
      <c r="F1813" t="s">
        <v>29</v>
      </c>
      <c r="G1813" t="s">
        <v>24</v>
      </c>
      <c r="H1813" t="s">
        <v>863</v>
      </c>
      <c r="I1813" s="2">
        <v>10.272</v>
      </c>
      <c r="J1813">
        <v>3</v>
      </c>
      <c r="K1813" s="2">
        <v>3.21</v>
      </c>
      <c r="L1813" s="3">
        <f>(Table1[[#This Row],[Profit]]/Table1[[#This Row],[Sales]])*100</f>
        <v>31.25</v>
      </c>
    </row>
    <row r="1814" spans="1:12" x14ac:dyDescent="0.3">
      <c r="A1814" t="s">
        <v>2309</v>
      </c>
      <c r="B1814" s="1">
        <v>43690</v>
      </c>
      <c r="C1814" t="s">
        <v>2310</v>
      </c>
      <c r="D1814" t="s">
        <v>2311</v>
      </c>
      <c r="E1814" t="s">
        <v>14</v>
      </c>
      <c r="F1814" t="s">
        <v>41</v>
      </c>
      <c r="G1814" t="s">
        <v>24</v>
      </c>
      <c r="H1814" t="s">
        <v>234</v>
      </c>
      <c r="I1814" s="2">
        <v>10.272</v>
      </c>
      <c r="J1814">
        <v>3</v>
      </c>
      <c r="K1814" s="2">
        <v>3.21</v>
      </c>
      <c r="L1814" s="3">
        <f>(Table1[[#This Row],[Profit]]/Table1[[#This Row],[Sales]])*100</f>
        <v>31.25</v>
      </c>
    </row>
    <row r="1815" spans="1:12" x14ac:dyDescent="0.3">
      <c r="A1815" t="s">
        <v>2609</v>
      </c>
      <c r="B1815" s="1">
        <v>43713</v>
      </c>
      <c r="C1815" t="s">
        <v>1248</v>
      </c>
      <c r="D1815" t="s">
        <v>1249</v>
      </c>
      <c r="E1815" t="s">
        <v>14</v>
      </c>
      <c r="F1815" t="s">
        <v>41</v>
      </c>
      <c r="G1815" t="s">
        <v>24</v>
      </c>
      <c r="H1815" t="s">
        <v>2612</v>
      </c>
      <c r="I1815" s="2">
        <v>10.272</v>
      </c>
      <c r="J1815">
        <v>3</v>
      </c>
      <c r="K1815" s="2">
        <v>3.21</v>
      </c>
      <c r="L1815" s="3">
        <f>(Table1[[#This Row],[Profit]]/Table1[[#This Row],[Sales]])*100</f>
        <v>31.25</v>
      </c>
    </row>
    <row r="1816" spans="1:12" x14ac:dyDescent="0.3">
      <c r="A1816" t="s">
        <v>4283</v>
      </c>
      <c r="B1816" s="1">
        <v>43907</v>
      </c>
      <c r="C1816" t="s">
        <v>1713</v>
      </c>
      <c r="D1816" t="s">
        <v>1714</v>
      </c>
      <c r="E1816" t="s">
        <v>14</v>
      </c>
      <c r="F1816" t="s">
        <v>29</v>
      </c>
      <c r="G1816" t="s">
        <v>24</v>
      </c>
      <c r="H1816" t="s">
        <v>1800</v>
      </c>
      <c r="I1816" s="2">
        <v>119.27200000000001</v>
      </c>
      <c r="J1816">
        <v>3</v>
      </c>
      <c r="K1816" s="2">
        <v>3.21</v>
      </c>
      <c r="L1816" s="3">
        <f>(Table1[[#This Row],[Profit]]/Table1[[#This Row],[Sales]])*100</f>
        <v>2.6913273861425986</v>
      </c>
    </row>
    <row r="1817" spans="1:12" x14ac:dyDescent="0.3">
      <c r="A1817" t="s">
        <v>4889</v>
      </c>
      <c r="B1817" s="1">
        <v>44006</v>
      </c>
      <c r="C1817" t="s">
        <v>394</v>
      </c>
      <c r="D1817" t="s">
        <v>395</v>
      </c>
      <c r="E1817" t="s">
        <v>14</v>
      </c>
      <c r="F1817" t="s">
        <v>29</v>
      </c>
      <c r="G1817" t="s">
        <v>24</v>
      </c>
      <c r="H1817" t="s">
        <v>2612</v>
      </c>
      <c r="I1817" s="2">
        <v>98.272000000000006</v>
      </c>
      <c r="J1817">
        <v>3</v>
      </c>
      <c r="K1817" s="2">
        <v>3.21</v>
      </c>
      <c r="L1817" s="3">
        <f>(Table1[[#This Row],[Profit]]/Table1[[#This Row],[Sales]])*100</f>
        <v>3.2664441549983714</v>
      </c>
    </row>
    <row r="1818" spans="1:12" x14ac:dyDescent="0.3">
      <c r="A1818" t="s">
        <v>5368</v>
      </c>
      <c r="B1818" s="1">
        <v>44085</v>
      </c>
      <c r="C1818" t="s">
        <v>1203</v>
      </c>
      <c r="D1818" t="s">
        <v>1204</v>
      </c>
      <c r="E1818" t="s">
        <v>14</v>
      </c>
      <c r="F1818" t="s">
        <v>29</v>
      </c>
      <c r="G1818" t="s">
        <v>24</v>
      </c>
      <c r="H1818" t="s">
        <v>4339</v>
      </c>
      <c r="I1818" s="2">
        <v>127.27200000000001</v>
      </c>
      <c r="J1818">
        <v>3</v>
      </c>
      <c r="K1818" s="2">
        <v>3.21</v>
      </c>
      <c r="L1818" s="3">
        <f>(Table1[[#This Row],[Profit]]/Table1[[#This Row],[Sales]])*100</f>
        <v>2.5221572694701111</v>
      </c>
    </row>
    <row r="1819" spans="1:12" x14ac:dyDescent="0.3">
      <c r="A1819" t="s">
        <v>923</v>
      </c>
      <c r="B1819" s="1">
        <v>43563</v>
      </c>
      <c r="C1819" t="s">
        <v>924</v>
      </c>
      <c r="D1819" t="s">
        <v>925</v>
      </c>
      <c r="E1819" t="s">
        <v>14</v>
      </c>
      <c r="F1819" t="s">
        <v>15</v>
      </c>
      <c r="G1819" t="s">
        <v>24</v>
      </c>
      <c r="H1819" t="s">
        <v>926</v>
      </c>
      <c r="I1819" s="2">
        <v>8.8719999999999999</v>
      </c>
      <c r="J1819">
        <v>1</v>
      </c>
      <c r="K1819" s="2">
        <v>3.2161</v>
      </c>
      <c r="L1819" s="3">
        <f>(Table1[[#This Row],[Profit]]/Table1[[#This Row],[Sales]])*100</f>
        <v>36.25</v>
      </c>
    </row>
    <row r="1820" spans="1:12" x14ac:dyDescent="0.3">
      <c r="A1820" t="s">
        <v>5573</v>
      </c>
      <c r="B1820" s="1">
        <v>44109</v>
      </c>
      <c r="C1820" t="s">
        <v>5574</v>
      </c>
      <c r="D1820" t="s">
        <v>5575</v>
      </c>
      <c r="E1820" t="s">
        <v>14</v>
      </c>
      <c r="F1820" t="s">
        <v>15</v>
      </c>
      <c r="G1820" t="s">
        <v>18</v>
      </c>
      <c r="H1820" t="s">
        <v>1442</v>
      </c>
      <c r="I1820" s="2">
        <v>198.93</v>
      </c>
      <c r="J1820">
        <v>7</v>
      </c>
      <c r="K1820" s="2">
        <v>3.2185999999999999</v>
      </c>
      <c r="L1820" s="3">
        <f>(Table1[[#This Row],[Profit]]/Table1[[#This Row],[Sales]])*100</f>
        <v>1.6179560649474689</v>
      </c>
    </row>
    <row r="1821" spans="1:12" x14ac:dyDescent="0.3">
      <c r="A1821" t="s">
        <v>5426</v>
      </c>
      <c r="B1821" s="1">
        <v>44091</v>
      </c>
      <c r="C1821" t="s">
        <v>544</v>
      </c>
      <c r="D1821" t="s">
        <v>545</v>
      </c>
      <c r="E1821" t="s">
        <v>14</v>
      </c>
      <c r="F1821" t="s">
        <v>29</v>
      </c>
      <c r="G1821" t="s">
        <v>24</v>
      </c>
      <c r="H1821" t="s">
        <v>2442</v>
      </c>
      <c r="I1821" s="2">
        <v>133.91200000000001</v>
      </c>
      <c r="J1821">
        <v>3</v>
      </c>
      <c r="K1821" s="2">
        <v>3.2214</v>
      </c>
      <c r="L1821" s="3">
        <f>(Table1[[#This Row],[Profit]]/Table1[[#This Row],[Sales]])*100</f>
        <v>2.4056096541012009</v>
      </c>
    </row>
    <row r="1822" spans="1:12" x14ac:dyDescent="0.3">
      <c r="A1822" t="s">
        <v>5736</v>
      </c>
      <c r="B1822" s="1">
        <v>44135</v>
      </c>
      <c r="C1822" t="s">
        <v>2337</v>
      </c>
      <c r="D1822" t="s">
        <v>2338</v>
      </c>
      <c r="E1822" t="s">
        <v>14</v>
      </c>
      <c r="F1822" t="s">
        <v>29</v>
      </c>
      <c r="G1822" t="s">
        <v>24</v>
      </c>
      <c r="H1822" t="s">
        <v>120</v>
      </c>
      <c r="I1822" s="2">
        <v>108.91200000000001</v>
      </c>
      <c r="J1822">
        <v>3</v>
      </c>
      <c r="K1822" s="2">
        <v>3.2214</v>
      </c>
      <c r="L1822" s="3">
        <f>(Table1[[#This Row],[Profit]]/Table1[[#This Row],[Sales]])*100</f>
        <v>2.9578007933010135</v>
      </c>
    </row>
    <row r="1823" spans="1:12" x14ac:dyDescent="0.3">
      <c r="A1823" t="s">
        <v>966</v>
      </c>
      <c r="B1823" s="1">
        <v>43565</v>
      </c>
      <c r="C1823" t="s">
        <v>967</v>
      </c>
      <c r="D1823" t="s">
        <v>968</v>
      </c>
      <c r="E1823" t="s">
        <v>14</v>
      </c>
      <c r="F1823" t="s">
        <v>29</v>
      </c>
      <c r="G1823" t="s">
        <v>24</v>
      </c>
      <c r="H1823" t="s">
        <v>969</v>
      </c>
      <c r="I1823" s="2">
        <v>13.568</v>
      </c>
      <c r="J1823">
        <v>4</v>
      </c>
      <c r="K1823" s="2">
        <v>3.2223999999999999</v>
      </c>
      <c r="L1823" s="3">
        <f>(Table1[[#This Row],[Profit]]/Table1[[#This Row],[Sales]])*100</f>
        <v>23.75</v>
      </c>
    </row>
    <row r="1824" spans="1:12" x14ac:dyDescent="0.3">
      <c r="A1824" t="s">
        <v>5592</v>
      </c>
      <c r="B1824" s="1">
        <v>44112</v>
      </c>
      <c r="C1824" t="s">
        <v>3679</v>
      </c>
      <c r="D1824" t="s">
        <v>3680</v>
      </c>
      <c r="E1824" t="s">
        <v>14</v>
      </c>
      <c r="F1824" t="s">
        <v>15</v>
      </c>
      <c r="G1824" t="s">
        <v>16</v>
      </c>
      <c r="H1824" t="s">
        <v>2596</v>
      </c>
      <c r="I1824" s="2">
        <v>184.76400000000001</v>
      </c>
      <c r="J1824">
        <v>2</v>
      </c>
      <c r="K1824" s="2">
        <v>3.2391999999999999</v>
      </c>
      <c r="L1824" s="3">
        <f>(Table1[[#This Row],[Profit]]/Table1[[#This Row],[Sales]])*100</f>
        <v>1.7531553765885128</v>
      </c>
    </row>
    <row r="1825" spans="1:12" x14ac:dyDescent="0.3">
      <c r="A1825" t="s">
        <v>5419</v>
      </c>
      <c r="B1825" s="1">
        <v>44090</v>
      </c>
      <c r="C1825" t="s">
        <v>1157</v>
      </c>
      <c r="D1825" t="s">
        <v>1158</v>
      </c>
      <c r="E1825" t="s">
        <v>14</v>
      </c>
      <c r="F1825" t="s">
        <v>41</v>
      </c>
      <c r="G1825" t="s">
        <v>18</v>
      </c>
      <c r="H1825" t="s">
        <v>3289</v>
      </c>
      <c r="I1825" s="2">
        <v>99</v>
      </c>
      <c r="J1825">
        <v>1</v>
      </c>
      <c r="K1825" s="2">
        <v>3.24</v>
      </c>
      <c r="L1825" s="3">
        <f>(Table1[[#This Row],[Profit]]/Table1[[#This Row],[Sales]])*100</f>
        <v>3.2727272727272729</v>
      </c>
    </row>
    <row r="1826" spans="1:12" x14ac:dyDescent="0.3">
      <c r="A1826" t="s">
        <v>5437</v>
      </c>
      <c r="B1826" s="1">
        <v>44092</v>
      </c>
      <c r="C1826" t="s">
        <v>659</v>
      </c>
      <c r="D1826" t="s">
        <v>660</v>
      </c>
      <c r="E1826" t="s">
        <v>14</v>
      </c>
      <c r="F1826" t="s">
        <v>15</v>
      </c>
      <c r="G1826" t="s">
        <v>16</v>
      </c>
      <c r="H1826" t="s">
        <v>101</v>
      </c>
      <c r="I1826" s="2">
        <v>102.82</v>
      </c>
      <c r="J1826">
        <v>2</v>
      </c>
      <c r="K1826" s="2">
        <v>3.2406000000000001</v>
      </c>
      <c r="L1826" s="3">
        <f>(Table1[[#This Row],[Profit]]/Table1[[#This Row],[Sales]])*100</f>
        <v>3.1517214549698505</v>
      </c>
    </row>
    <row r="1827" spans="1:12" x14ac:dyDescent="0.3">
      <c r="A1827" t="s">
        <v>4247</v>
      </c>
      <c r="B1827" s="1">
        <v>43901</v>
      </c>
      <c r="C1827" t="s">
        <v>1745</v>
      </c>
      <c r="D1827" t="s">
        <v>1746</v>
      </c>
      <c r="E1827" t="s">
        <v>14</v>
      </c>
      <c r="F1827" t="s">
        <v>15</v>
      </c>
      <c r="G1827" t="s">
        <v>24</v>
      </c>
      <c r="H1827" t="s">
        <v>4251</v>
      </c>
      <c r="I1827" s="2">
        <v>145.28</v>
      </c>
      <c r="J1827">
        <v>1</v>
      </c>
      <c r="K1827" s="2">
        <v>3.246</v>
      </c>
      <c r="L1827" s="3">
        <f>(Table1[[#This Row],[Profit]]/Table1[[#This Row],[Sales]])*100</f>
        <v>2.2343061674008813</v>
      </c>
    </row>
    <row r="1828" spans="1:12" x14ac:dyDescent="0.3">
      <c r="A1828" t="s">
        <v>3804</v>
      </c>
      <c r="B1828" s="1">
        <v>43812</v>
      </c>
      <c r="C1828" t="s">
        <v>2606</v>
      </c>
      <c r="D1828" t="s">
        <v>2607</v>
      </c>
      <c r="E1828" t="s">
        <v>14</v>
      </c>
      <c r="F1828" t="s">
        <v>23</v>
      </c>
      <c r="G1828" t="s">
        <v>24</v>
      </c>
      <c r="H1828" t="s">
        <v>3805</v>
      </c>
      <c r="I1828" s="2">
        <v>9.84</v>
      </c>
      <c r="J1828">
        <v>3</v>
      </c>
      <c r="K1828" s="2">
        <v>3.2471999999999999</v>
      </c>
      <c r="L1828" s="3">
        <f>(Table1[[#This Row],[Profit]]/Table1[[#This Row],[Sales]])*100</f>
        <v>33</v>
      </c>
    </row>
    <row r="1829" spans="1:12" x14ac:dyDescent="0.3">
      <c r="A1829" t="s">
        <v>1086</v>
      </c>
      <c r="B1829" s="1">
        <v>43574</v>
      </c>
      <c r="C1829" t="s">
        <v>1087</v>
      </c>
      <c r="D1829" t="s">
        <v>1088</v>
      </c>
      <c r="E1829" t="s">
        <v>14</v>
      </c>
      <c r="F1829" t="s">
        <v>15</v>
      </c>
      <c r="G1829" t="s">
        <v>24</v>
      </c>
      <c r="H1829" t="s">
        <v>397</v>
      </c>
      <c r="I1829" s="2">
        <v>9.2799999999999994</v>
      </c>
      <c r="J1829">
        <v>2</v>
      </c>
      <c r="K1829" s="2">
        <v>3.2480000000000002</v>
      </c>
      <c r="L1829" s="3">
        <f>(Table1[[#This Row],[Profit]]/Table1[[#This Row],[Sales]])*100</f>
        <v>35</v>
      </c>
    </row>
    <row r="1830" spans="1:12" x14ac:dyDescent="0.3">
      <c r="A1830" t="s">
        <v>1055</v>
      </c>
      <c r="B1830" s="1">
        <v>43573</v>
      </c>
      <c r="C1830" t="s">
        <v>1056</v>
      </c>
      <c r="D1830" t="s">
        <v>1057</v>
      </c>
      <c r="E1830" t="s">
        <v>14</v>
      </c>
      <c r="F1830" t="s">
        <v>29</v>
      </c>
      <c r="G1830" t="s">
        <v>24</v>
      </c>
      <c r="H1830" t="s">
        <v>1059</v>
      </c>
      <c r="I1830" s="2">
        <v>9.6639999999999997</v>
      </c>
      <c r="J1830">
        <v>2</v>
      </c>
      <c r="K1830" s="2">
        <v>3.2616000000000001</v>
      </c>
      <c r="L1830" s="3">
        <f>(Table1[[#This Row],[Profit]]/Table1[[#This Row],[Sales]])*100</f>
        <v>33.75</v>
      </c>
    </row>
    <row r="1831" spans="1:12" x14ac:dyDescent="0.3">
      <c r="A1831" t="s">
        <v>5782</v>
      </c>
      <c r="B1831" s="1">
        <v>44139</v>
      </c>
      <c r="C1831" t="s">
        <v>1762</v>
      </c>
      <c r="D1831" t="s">
        <v>1763</v>
      </c>
      <c r="E1831" t="s">
        <v>14</v>
      </c>
      <c r="F1831" t="s">
        <v>41</v>
      </c>
      <c r="G1831" t="s">
        <v>24</v>
      </c>
      <c r="H1831" t="s">
        <v>1059</v>
      </c>
      <c r="I1831" s="2">
        <v>106.664</v>
      </c>
      <c r="J1831">
        <v>2</v>
      </c>
      <c r="K1831" s="2">
        <v>3.2616000000000001</v>
      </c>
      <c r="L1831" s="3">
        <f>(Table1[[#This Row],[Profit]]/Table1[[#This Row],[Sales]])*100</f>
        <v>3.0578264456611417</v>
      </c>
    </row>
    <row r="1832" spans="1:12" x14ac:dyDescent="0.3">
      <c r="A1832" t="s">
        <v>1077</v>
      </c>
      <c r="B1832" s="1">
        <v>43574</v>
      </c>
      <c r="C1832" t="s">
        <v>1078</v>
      </c>
      <c r="D1832" t="s">
        <v>1079</v>
      </c>
      <c r="E1832" t="s">
        <v>14</v>
      </c>
      <c r="F1832" t="s">
        <v>23</v>
      </c>
      <c r="G1832" t="s">
        <v>24</v>
      </c>
      <c r="H1832" t="s">
        <v>1085</v>
      </c>
      <c r="I1832" s="2">
        <v>9.3360000000000003</v>
      </c>
      <c r="J1832">
        <v>3</v>
      </c>
      <c r="K1832" s="2">
        <v>3.2675999999999998</v>
      </c>
      <c r="L1832" s="3">
        <f>(Table1[[#This Row],[Profit]]/Table1[[#This Row],[Sales]])*100</f>
        <v>35</v>
      </c>
    </row>
    <row r="1833" spans="1:12" x14ac:dyDescent="0.3">
      <c r="A1833" t="s">
        <v>1982</v>
      </c>
      <c r="B1833" s="1">
        <v>43653</v>
      </c>
      <c r="C1833" t="s">
        <v>1983</v>
      </c>
      <c r="D1833" t="s">
        <v>1984</v>
      </c>
      <c r="E1833" t="s">
        <v>14</v>
      </c>
      <c r="F1833" t="s">
        <v>15</v>
      </c>
      <c r="G1833" t="s">
        <v>24</v>
      </c>
      <c r="H1833" t="s">
        <v>1985</v>
      </c>
      <c r="I1833" s="2">
        <v>10.08</v>
      </c>
      <c r="J1833">
        <v>2</v>
      </c>
      <c r="K1833" s="2">
        <v>3.2759999999999998</v>
      </c>
      <c r="L1833" s="3">
        <f>(Table1[[#This Row],[Profit]]/Table1[[#This Row],[Sales]])*100</f>
        <v>32.499999999999993</v>
      </c>
    </row>
    <row r="1834" spans="1:12" x14ac:dyDescent="0.3">
      <c r="A1834" t="s">
        <v>5517</v>
      </c>
      <c r="B1834" s="1">
        <v>44102</v>
      </c>
      <c r="C1834" t="s">
        <v>4044</v>
      </c>
      <c r="D1834" t="s">
        <v>4045</v>
      </c>
      <c r="E1834" t="s">
        <v>14</v>
      </c>
      <c r="F1834" t="s">
        <v>23</v>
      </c>
      <c r="G1834" t="s">
        <v>16</v>
      </c>
      <c r="H1834" t="s">
        <v>2409</v>
      </c>
      <c r="I1834" s="2">
        <v>154.77600000000001</v>
      </c>
      <c r="J1834">
        <v>1</v>
      </c>
      <c r="K1834" s="2">
        <v>3.2776000000000001</v>
      </c>
      <c r="L1834" s="3">
        <f>(Table1[[#This Row],[Profit]]/Table1[[#This Row],[Sales]])*100</f>
        <v>2.1176409779293945</v>
      </c>
    </row>
    <row r="1835" spans="1:12" x14ac:dyDescent="0.3">
      <c r="A1835" t="s">
        <v>3186</v>
      </c>
      <c r="B1835" s="1">
        <v>43765</v>
      </c>
      <c r="C1835" t="s">
        <v>3181</v>
      </c>
      <c r="D1835" t="s">
        <v>3182</v>
      </c>
      <c r="E1835" t="s">
        <v>14</v>
      </c>
      <c r="F1835" t="s">
        <v>15</v>
      </c>
      <c r="G1835" t="s">
        <v>24</v>
      </c>
      <c r="H1835" t="s">
        <v>3188</v>
      </c>
      <c r="I1835" s="2">
        <v>9.7279999999999998</v>
      </c>
      <c r="J1835">
        <v>2</v>
      </c>
      <c r="K1835" s="2">
        <v>3.2831999999999999</v>
      </c>
      <c r="L1835" s="3">
        <f>(Table1[[#This Row],[Profit]]/Table1[[#This Row],[Sales]])*100</f>
        <v>33.75</v>
      </c>
    </row>
    <row r="1836" spans="1:12" x14ac:dyDescent="0.3">
      <c r="A1836" t="s">
        <v>836</v>
      </c>
      <c r="B1836" s="1">
        <v>43556</v>
      </c>
      <c r="C1836" t="s">
        <v>837</v>
      </c>
      <c r="D1836" t="s">
        <v>838</v>
      </c>
      <c r="E1836" t="s">
        <v>14</v>
      </c>
      <c r="F1836" t="s">
        <v>15</v>
      </c>
      <c r="G1836" t="s">
        <v>24</v>
      </c>
      <c r="H1836" t="s">
        <v>840</v>
      </c>
      <c r="I1836" s="2">
        <v>10.95</v>
      </c>
      <c r="J1836">
        <v>3</v>
      </c>
      <c r="K1836" s="2">
        <v>3.2850000000000001</v>
      </c>
      <c r="L1836" s="3">
        <f>(Table1[[#This Row],[Profit]]/Table1[[#This Row],[Sales]])*100</f>
        <v>30.000000000000004</v>
      </c>
    </row>
    <row r="1837" spans="1:12" x14ac:dyDescent="0.3">
      <c r="A1837" t="s">
        <v>2513</v>
      </c>
      <c r="B1837" s="1">
        <v>43709</v>
      </c>
      <c r="C1837" t="s">
        <v>356</v>
      </c>
      <c r="D1837" t="s">
        <v>357</v>
      </c>
      <c r="E1837" t="s">
        <v>14</v>
      </c>
      <c r="F1837" t="s">
        <v>15</v>
      </c>
      <c r="G1837" t="s">
        <v>24</v>
      </c>
      <c r="H1837" t="s">
        <v>840</v>
      </c>
      <c r="I1837" s="2">
        <v>10.95</v>
      </c>
      <c r="J1837">
        <v>3</v>
      </c>
      <c r="K1837" s="2">
        <v>3.2850000000000001</v>
      </c>
      <c r="L1837" s="3">
        <f>(Table1[[#This Row],[Profit]]/Table1[[#This Row],[Sales]])*100</f>
        <v>30.000000000000004</v>
      </c>
    </row>
    <row r="1838" spans="1:12" x14ac:dyDescent="0.3">
      <c r="A1838" t="s">
        <v>1027</v>
      </c>
      <c r="B1838" s="1">
        <v>43571</v>
      </c>
      <c r="C1838" t="s">
        <v>1028</v>
      </c>
      <c r="D1838" t="s">
        <v>1029</v>
      </c>
      <c r="E1838" t="s">
        <v>14</v>
      </c>
      <c r="F1838" t="s">
        <v>15</v>
      </c>
      <c r="G1838" t="s">
        <v>16</v>
      </c>
      <c r="H1838" t="s">
        <v>1031</v>
      </c>
      <c r="I1838" s="2">
        <v>9.9600000000000009</v>
      </c>
      <c r="J1838">
        <v>2</v>
      </c>
      <c r="K1838" s="2">
        <v>3.2867999999999999</v>
      </c>
      <c r="L1838" s="3">
        <f>(Table1[[#This Row],[Profit]]/Table1[[#This Row],[Sales]])*100</f>
        <v>32.999999999999993</v>
      </c>
    </row>
    <row r="1839" spans="1:12" x14ac:dyDescent="0.3">
      <c r="A1839" t="s">
        <v>3755</v>
      </c>
      <c r="B1839" s="1">
        <v>43808</v>
      </c>
      <c r="C1839" t="s">
        <v>1288</v>
      </c>
      <c r="D1839" t="s">
        <v>1289</v>
      </c>
      <c r="E1839" t="s">
        <v>14</v>
      </c>
      <c r="F1839" t="s">
        <v>29</v>
      </c>
      <c r="G1839" t="s">
        <v>24</v>
      </c>
      <c r="H1839" t="s">
        <v>2737</v>
      </c>
      <c r="I1839" s="2">
        <v>9.3919999999999995</v>
      </c>
      <c r="J1839">
        <v>2</v>
      </c>
      <c r="K1839" s="2">
        <v>3.2871999999999999</v>
      </c>
      <c r="L1839" s="3">
        <f>(Table1[[#This Row],[Profit]]/Table1[[#This Row],[Sales]])*100</f>
        <v>35</v>
      </c>
    </row>
    <row r="1840" spans="1:12" x14ac:dyDescent="0.3">
      <c r="A1840" t="s">
        <v>5371</v>
      </c>
      <c r="B1840" s="1">
        <v>44085</v>
      </c>
      <c r="C1840" t="s">
        <v>2286</v>
      </c>
      <c r="D1840" t="s">
        <v>2287</v>
      </c>
      <c r="E1840" t="s">
        <v>14</v>
      </c>
      <c r="F1840" t="s">
        <v>29</v>
      </c>
      <c r="G1840" t="s">
        <v>24</v>
      </c>
      <c r="H1840" t="s">
        <v>1411</v>
      </c>
      <c r="I1840" s="2">
        <v>101.52800000000001</v>
      </c>
      <c r="J1840">
        <v>4</v>
      </c>
      <c r="K1840" s="2">
        <v>3.29</v>
      </c>
      <c r="L1840" s="3">
        <f>(Table1[[#This Row],[Profit]]/Table1[[#This Row],[Sales]])*100</f>
        <v>3.2404853833425262</v>
      </c>
    </row>
    <row r="1841" spans="1:12" x14ac:dyDescent="0.3">
      <c r="A1841" t="s">
        <v>3300</v>
      </c>
      <c r="B1841" s="1">
        <v>43776</v>
      </c>
      <c r="C1841" t="s">
        <v>3301</v>
      </c>
      <c r="D1841" t="s">
        <v>3302</v>
      </c>
      <c r="E1841" t="s">
        <v>14</v>
      </c>
      <c r="F1841" t="s">
        <v>23</v>
      </c>
      <c r="G1841" t="s">
        <v>24</v>
      </c>
      <c r="H1841" t="s">
        <v>2576</v>
      </c>
      <c r="I1841" s="2">
        <v>11.36</v>
      </c>
      <c r="J1841">
        <v>2</v>
      </c>
      <c r="K1841" s="2">
        <v>3.2944</v>
      </c>
      <c r="L1841" s="3">
        <f>(Table1[[#This Row],[Profit]]/Table1[[#This Row],[Sales]])*100</f>
        <v>29.000000000000004</v>
      </c>
    </row>
    <row r="1842" spans="1:12" x14ac:dyDescent="0.3">
      <c r="A1842" t="s">
        <v>1768</v>
      </c>
      <c r="B1842" s="1">
        <v>43633</v>
      </c>
      <c r="C1842" t="s">
        <v>1769</v>
      </c>
      <c r="D1842" t="s">
        <v>1770</v>
      </c>
      <c r="E1842" t="s">
        <v>14</v>
      </c>
      <c r="F1842" t="s">
        <v>15</v>
      </c>
      <c r="G1842" t="s">
        <v>18</v>
      </c>
      <c r="H1842" t="s">
        <v>1774</v>
      </c>
      <c r="I1842" s="2">
        <v>30</v>
      </c>
      <c r="J1842">
        <v>2</v>
      </c>
      <c r="K1842" s="2">
        <v>3.3</v>
      </c>
      <c r="L1842" s="3">
        <f>(Table1[[#This Row],[Profit]]/Table1[[#This Row],[Sales]])*100</f>
        <v>11</v>
      </c>
    </row>
    <row r="1843" spans="1:12" x14ac:dyDescent="0.3">
      <c r="A1843" t="s">
        <v>2097</v>
      </c>
      <c r="B1843" s="1">
        <v>43664</v>
      </c>
      <c r="C1843" t="s">
        <v>714</v>
      </c>
      <c r="D1843" t="s">
        <v>715</v>
      </c>
      <c r="E1843" t="s">
        <v>14</v>
      </c>
      <c r="F1843" t="s">
        <v>29</v>
      </c>
      <c r="G1843" t="s">
        <v>18</v>
      </c>
      <c r="H1843" t="s">
        <v>2098</v>
      </c>
      <c r="I1843" s="2">
        <v>15.576000000000001</v>
      </c>
      <c r="J1843">
        <v>3</v>
      </c>
      <c r="K1843" s="2">
        <v>3.3098999999999998</v>
      </c>
      <c r="L1843" s="3">
        <f>(Table1[[#This Row],[Profit]]/Table1[[#This Row],[Sales]])*100</f>
        <v>21.25</v>
      </c>
    </row>
    <row r="1844" spans="1:12" x14ac:dyDescent="0.3">
      <c r="A1844" t="s">
        <v>1487</v>
      </c>
      <c r="B1844" s="1">
        <v>43609</v>
      </c>
      <c r="C1844" t="s">
        <v>1488</v>
      </c>
      <c r="D1844" t="s">
        <v>1489</v>
      </c>
      <c r="E1844" t="s">
        <v>14</v>
      </c>
      <c r="F1844" t="s">
        <v>15</v>
      </c>
      <c r="G1844" t="s">
        <v>24</v>
      </c>
      <c r="H1844" t="s">
        <v>1490</v>
      </c>
      <c r="I1844" s="2">
        <v>16.655999999999999</v>
      </c>
      <c r="J1844">
        <v>3</v>
      </c>
      <c r="K1844" s="2">
        <v>3.3311999999999999</v>
      </c>
      <c r="L1844" s="3">
        <f>(Table1[[#This Row],[Profit]]/Table1[[#This Row],[Sales]])*100</f>
        <v>20</v>
      </c>
    </row>
    <row r="1845" spans="1:12" x14ac:dyDescent="0.3">
      <c r="A1845" t="s">
        <v>5268</v>
      </c>
      <c r="B1845" s="1">
        <v>44077</v>
      </c>
      <c r="C1845" t="s">
        <v>679</v>
      </c>
      <c r="D1845" t="s">
        <v>680</v>
      </c>
      <c r="E1845" t="s">
        <v>14</v>
      </c>
      <c r="F1845" t="s">
        <v>29</v>
      </c>
      <c r="G1845" t="s">
        <v>24</v>
      </c>
      <c r="H1845" t="s">
        <v>5271</v>
      </c>
      <c r="I1845" s="2">
        <v>113.904</v>
      </c>
      <c r="J1845">
        <v>3</v>
      </c>
      <c r="K1845" s="2">
        <v>3.339</v>
      </c>
      <c r="L1845" s="3">
        <f>(Table1[[#This Row],[Profit]]/Table1[[#This Row],[Sales]])*100</f>
        <v>2.9314159292035398</v>
      </c>
    </row>
    <row r="1846" spans="1:12" x14ac:dyDescent="0.3">
      <c r="A1846" t="s">
        <v>5888</v>
      </c>
      <c r="B1846" s="1">
        <v>44148</v>
      </c>
      <c r="C1846" t="s">
        <v>1384</v>
      </c>
      <c r="D1846" t="s">
        <v>1385</v>
      </c>
      <c r="E1846" t="s">
        <v>14</v>
      </c>
      <c r="F1846" t="s">
        <v>41</v>
      </c>
      <c r="G1846" t="s">
        <v>24</v>
      </c>
      <c r="H1846" t="s">
        <v>5271</v>
      </c>
      <c r="I1846" s="2">
        <v>74.903999999999996</v>
      </c>
      <c r="J1846">
        <v>3</v>
      </c>
      <c r="K1846" s="2">
        <v>3.339</v>
      </c>
      <c r="L1846" s="3">
        <f>(Table1[[#This Row],[Profit]]/Table1[[#This Row],[Sales]])*100</f>
        <v>4.4577058635052866</v>
      </c>
    </row>
    <row r="1847" spans="1:12" x14ac:dyDescent="0.3">
      <c r="A1847" t="s">
        <v>2377</v>
      </c>
      <c r="B1847" s="1">
        <v>43698</v>
      </c>
      <c r="C1847" t="s">
        <v>1935</v>
      </c>
      <c r="D1847" t="s">
        <v>1936</v>
      </c>
      <c r="E1847" t="s">
        <v>14</v>
      </c>
      <c r="F1847" t="s">
        <v>41</v>
      </c>
      <c r="G1847" t="s">
        <v>24</v>
      </c>
      <c r="H1847" t="s">
        <v>2378</v>
      </c>
      <c r="I1847" s="2">
        <v>9.2159999999999993</v>
      </c>
      <c r="J1847">
        <v>4</v>
      </c>
      <c r="K1847" s="2">
        <v>3.3408000000000002</v>
      </c>
      <c r="L1847" s="3">
        <f>(Table1[[#This Row],[Profit]]/Table1[[#This Row],[Sales]])*100</f>
        <v>36.250000000000007</v>
      </c>
    </row>
    <row r="1848" spans="1:12" x14ac:dyDescent="0.3">
      <c r="A1848" t="s">
        <v>2476</v>
      </c>
      <c r="B1848" s="1">
        <v>43704</v>
      </c>
      <c r="C1848" t="s">
        <v>2477</v>
      </c>
      <c r="D1848" t="s">
        <v>2478</v>
      </c>
      <c r="E1848" t="s">
        <v>14</v>
      </c>
      <c r="F1848" t="s">
        <v>41</v>
      </c>
      <c r="G1848" t="s">
        <v>24</v>
      </c>
      <c r="H1848" t="s">
        <v>2479</v>
      </c>
      <c r="I1848" s="2">
        <v>9.2159999999999993</v>
      </c>
      <c r="J1848">
        <v>4</v>
      </c>
      <c r="K1848" s="2">
        <v>3.3408000000000002</v>
      </c>
      <c r="L1848" s="3">
        <f>(Table1[[#This Row],[Profit]]/Table1[[#This Row],[Sales]])*100</f>
        <v>36.250000000000007</v>
      </c>
    </row>
    <row r="1849" spans="1:12" x14ac:dyDescent="0.3">
      <c r="A1849" t="s">
        <v>3339</v>
      </c>
      <c r="B1849" s="1">
        <v>43779</v>
      </c>
      <c r="C1849" t="s">
        <v>286</v>
      </c>
      <c r="D1849" t="s">
        <v>287</v>
      </c>
      <c r="E1849" t="s">
        <v>14</v>
      </c>
      <c r="F1849" t="s">
        <v>15</v>
      </c>
      <c r="G1849" t="s">
        <v>24</v>
      </c>
      <c r="H1849" t="s">
        <v>3340</v>
      </c>
      <c r="I1849" s="2">
        <v>9.2159999999999993</v>
      </c>
      <c r="J1849">
        <v>4</v>
      </c>
      <c r="K1849" s="2">
        <v>3.3408000000000002</v>
      </c>
      <c r="L1849" s="3">
        <f>(Table1[[#This Row],[Profit]]/Table1[[#This Row],[Sales]])*100</f>
        <v>36.250000000000007</v>
      </c>
    </row>
    <row r="1850" spans="1:12" x14ac:dyDescent="0.3">
      <c r="A1850" t="s">
        <v>1252</v>
      </c>
      <c r="B1850" s="1">
        <v>43590</v>
      </c>
      <c r="C1850" t="s">
        <v>857</v>
      </c>
      <c r="D1850" t="s">
        <v>858</v>
      </c>
      <c r="E1850" t="s">
        <v>14</v>
      </c>
      <c r="F1850" t="s">
        <v>41</v>
      </c>
      <c r="G1850" t="s">
        <v>16</v>
      </c>
      <c r="H1850" t="s">
        <v>1253</v>
      </c>
      <c r="I1850" s="2">
        <v>16.72</v>
      </c>
      <c r="J1850">
        <v>5</v>
      </c>
      <c r="K1850" s="2">
        <v>3.3439999999999999</v>
      </c>
      <c r="L1850" s="3">
        <f>(Table1[[#This Row],[Profit]]/Table1[[#This Row],[Sales]])*100</f>
        <v>20</v>
      </c>
    </row>
    <row r="1851" spans="1:12" x14ac:dyDescent="0.3">
      <c r="A1851" t="s">
        <v>6086</v>
      </c>
      <c r="B1851" s="1">
        <v>44168</v>
      </c>
      <c r="C1851" t="s">
        <v>443</v>
      </c>
      <c r="D1851" t="s">
        <v>444</v>
      </c>
      <c r="E1851" t="s">
        <v>14</v>
      </c>
      <c r="F1851" t="s">
        <v>23</v>
      </c>
      <c r="G1851" t="s">
        <v>16</v>
      </c>
      <c r="H1851" t="s">
        <v>1253</v>
      </c>
      <c r="I1851" s="2">
        <v>132.72</v>
      </c>
      <c r="J1851">
        <v>5</v>
      </c>
      <c r="K1851" s="2">
        <v>3.3439999999999999</v>
      </c>
      <c r="L1851" s="3">
        <f>(Table1[[#This Row],[Profit]]/Table1[[#This Row],[Sales]])*100</f>
        <v>2.5195901145268236</v>
      </c>
    </row>
    <row r="1852" spans="1:12" x14ac:dyDescent="0.3">
      <c r="A1852" t="s">
        <v>2924</v>
      </c>
      <c r="B1852" s="1">
        <v>43734</v>
      </c>
      <c r="C1852" t="s">
        <v>2367</v>
      </c>
      <c r="D1852" t="s">
        <v>2368</v>
      </c>
      <c r="E1852" t="s">
        <v>14</v>
      </c>
      <c r="F1852" t="s">
        <v>29</v>
      </c>
      <c r="G1852" t="s">
        <v>24</v>
      </c>
      <c r="H1852" t="s">
        <v>242</v>
      </c>
      <c r="I1852" s="2">
        <v>8.9280000000000008</v>
      </c>
      <c r="J1852">
        <v>2</v>
      </c>
      <c r="K1852" s="2">
        <v>3.3479999999999999</v>
      </c>
      <c r="L1852" s="3">
        <f>(Table1[[#This Row],[Profit]]/Table1[[#This Row],[Sales]])*100</f>
        <v>37.499999999999993</v>
      </c>
    </row>
    <row r="1853" spans="1:12" x14ac:dyDescent="0.3">
      <c r="A1853" t="s">
        <v>2132</v>
      </c>
      <c r="B1853" s="1">
        <v>43668</v>
      </c>
      <c r="C1853" t="s">
        <v>565</v>
      </c>
      <c r="D1853" t="s">
        <v>566</v>
      </c>
      <c r="E1853" t="s">
        <v>14</v>
      </c>
      <c r="F1853" t="s">
        <v>15</v>
      </c>
      <c r="G1853" t="s">
        <v>16</v>
      </c>
      <c r="H1853" t="s">
        <v>2134</v>
      </c>
      <c r="I1853" s="2">
        <v>11.648</v>
      </c>
      <c r="J1853">
        <v>2</v>
      </c>
      <c r="K1853" s="2">
        <v>3.3488000000000002</v>
      </c>
      <c r="L1853" s="3">
        <f>(Table1[[#This Row],[Profit]]/Table1[[#This Row],[Sales]])*100</f>
        <v>28.750000000000004</v>
      </c>
    </row>
    <row r="1854" spans="1:12" x14ac:dyDescent="0.3">
      <c r="A1854" t="s">
        <v>4690</v>
      </c>
      <c r="B1854" s="1">
        <v>43971</v>
      </c>
      <c r="C1854" t="s">
        <v>133</v>
      </c>
      <c r="D1854" t="s">
        <v>134</v>
      </c>
      <c r="E1854" t="s">
        <v>14</v>
      </c>
      <c r="F1854" t="s">
        <v>23</v>
      </c>
      <c r="G1854" t="s">
        <v>16</v>
      </c>
      <c r="H1854" t="s">
        <v>1525</v>
      </c>
      <c r="I1854" s="2">
        <v>119.98</v>
      </c>
      <c r="J1854">
        <v>1</v>
      </c>
      <c r="K1854" s="2">
        <v>3.3504</v>
      </c>
      <c r="L1854" s="3">
        <f>(Table1[[#This Row],[Profit]]/Table1[[#This Row],[Sales]])*100</f>
        <v>2.792465410901817</v>
      </c>
    </row>
    <row r="1855" spans="1:12" x14ac:dyDescent="0.3">
      <c r="A1855" t="s">
        <v>3542</v>
      </c>
      <c r="B1855" s="1">
        <v>43793</v>
      </c>
      <c r="C1855" t="s">
        <v>3543</v>
      </c>
      <c r="D1855" t="s">
        <v>3544</v>
      </c>
      <c r="E1855" t="s">
        <v>14</v>
      </c>
      <c r="F1855" t="s">
        <v>23</v>
      </c>
      <c r="G1855" t="s">
        <v>18</v>
      </c>
      <c r="H1855" t="s">
        <v>3122</v>
      </c>
      <c r="I1855" s="2">
        <v>33.520000000000003</v>
      </c>
      <c r="J1855">
        <v>2</v>
      </c>
      <c r="K1855" s="2">
        <v>3.3519999999999999</v>
      </c>
      <c r="L1855" s="3">
        <f>(Table1[[#This Row],[Profit]]/Table1[[#This Row],[Sales]])*100</f>
        <v>10</v>
      </c>
    </row>
    <row r="1856" spans="1:12" x14ac:dyDescent="0.3">
      <c r="A1856" t="s">
        <v>2631</v>
      </c>
      <c r="B1856" s="1">
        <v>43713</v>
      </c>
      <c r="C1856" t="s">
        <v>1935</v>
      </c>
      <c r="D1856" t="s">
        <v>1936</v>
      </c>
      <c r="E1856" t="s">
        <v>14</v>
      </c>
      <c r="F1856" t="s">
        <v>29</v>
      </c>
      <c r="G1856" t="s">
        <v>24</v>
      </c>
      <c r="H1856" t="s">
        <v>1393</v>
      </c>
      <c r="I1856" s="2">
        <v>9.2479999999999993</v>
      </c>
      <c r="J1856">
        <v>2</v>
      </c>
      <c r="K1856" s="2">
        <v>3.3523999999999998</v>
      </c>
      <c r="L1856" s="3">
        <f>(Table1[[#This Row],[Profit]]/Table1[[#This Row],[Sales]])*100</f>
        <v>36.25</v>
      </c>
    </row>
    <row r="1857" spans="1:12" x14ac:dyDescent="0.3">
      <c r="A1857" t="s">
        <v>3247</v>
      </c>
      <c r="B1857" s="1">
        <v>43772</v>
      </c>
      <c r="C1857" t="s">
        <v>1239</v>
      </c>
      <c r="D1857" t="s">
        <v>1240</v>
      </c>
      <c r="E1857" t="s">
        <v>14</v>
      </c>
      <c r="F1857" t="s">
        <v>29</v>
      </c>
      <c r="G1857" t="s">
        <v>24</v>
      </c>
      <c r="H1857" t="s">
        <v>1720</v>
      </c>
      <c r="I1857" s="2">
        <v>9.2479999999999993</v>
      </c>
      <c r="J1857">
        <v>2</v>
      </c>
      <c r="K1857" s="2">
        <v>3.3523999999999998</v>
      </c>
      <c r="L1857" s="3">
        <f>(Table1[[#This Row],[Profit]]/Table1[[#This Row],[Sales]])*100</f>
        <v>36.25</v>
      </c>
    </row>
    <row r="1858" spans="1:12" x14ac:dyDescent="0.3">
      <c r="A1858" t="s">
        <v>5011</v>
      </c>
      <c r="B1858" s="1">
        <v>44026</v>
      </c>
      <c r="C1858" t="s">
        <v>1183</v>
      </c>
      <c r="D1858" t="s">
        <v>1184</v>
      </c>
      <c r="E1858" t="s">
        <v>14</v>
      </c>
      <c r="F1858" t="s">
        <v>15</v>
      </c>
      <c r="G1858" t="s">
        <v>24</v>
      </c>
      <c r="H1858" t="s">
        <v>2450</v>
      </c>
      <c r="I1858" s="2">
        <v>122.248</v>
      </c>
      <c r="J1858">
        <v>2</v>
      </c>
      <c r="K1858" s="2">
        <v>3.3523999999999998</v>
      </c>
      <c r="L1858" s="3">
        <f>(Table1[[#This Row],[Profit]]/Table1[[#This Row],[Sales]])*100</f>
        <v>2.7422943524638437</v>
      </c>
    </row>
    <row r="1859" spans="1:12" x14ac:dyDescent="0.3">
      <c r="A1859" t="s">
        <v>5487</v>
      </c>
      <c r="B1859" s="1">
        <v>44097</v>
      </c>
      <c r="C1859" t="s">
        <v>583</v>
      </c>
      <c r="D1859" t="s">
        <v>584</v>
      </c>
      <c r="E1859" t="s">
        <v>14</v>
      </c>
      <c r="F1859" t="s">
        <v>29</v>
      </c>
      <c r="G1859" t="s">
        <v>24</v>
      </c>
      <c r="H1859" t="s">
        <v>1594</v>
      </c>
      <c r="I1859" s="2">
        <v>95.248000000000005</v>
      </c>
      <c r="J1859">
        <v>2</v>
      </c>
      <c r="K1859" s="2">
        <v>3.3523999999999998</v>
      </c>
      <c r="L1859" s="3">
        <f>(Table1[[#This Row],[Profit]]/Table1[[#This Row],[Sales]])*100</f>
        <v>3.5196539559885767</v>
      </c>
    </row>
    <row r="1860" spans="1:12" x14ac:dyDescent="0.3">
      <c r="A1860" t="s">
        <v>4519</v>
      </c>
      <c r="B1860" s="1">
        <v>43944</v>
      </c>
      <c r="C1860" t="s">
        <v>4011</v>
      </c>
      <c r="D1860" t="s">
        <v>4012</v>
      </c>
      <c r="E1860" t="s">
        <v>14</v>
      </c>
      <c r="F1860" t="s">
        <v>23</v>
      </c>
      <c r="G1860" t="s">
        <v>16</v>
      </c>
      <c r="H1860" t="s">
        <v>4520</v>
      </c>
      <c r="I1860" s="2">
        <v>114.664</v>
      </c>
      <c r="J1860">
        <v>3</v>
      </c>
      <c r="K1860" s="2">
        <v>3.3534000000000002</v>
      </c>
      <c r="L1860" s="3">
        <f>(Table1[[#This Row],[Profit]]/Table1[[#This Row],[Sales]])*100</f>
        <v>2.9245447568548104</v>
      </c>
    </row>
    <row r="1861" spans="1:12" x14ac:dyDescent="0.3">
      <c r="A1861" t="s">
        <v>1424</v>
      </c>
      <c r="B1861" s="1">
        <v>43604</v>
      </c>
      <c r="C1861" t="s">
        <v>1425</v>
      </c>
      <c r="D1861" t="s">
        <v>1426</v>
      </c>
      <c r="E1861" t="s">
        <v>14</v>
      </c>
      <c r="F1861" t="s">
        <v>23</v>
      </c>
      <c r="G1861" t="s">
        <v>24</v>
      </c>
      <c r="H1861" t="s">
        <v>1427</v>
      </c>
      <c r="I1861" s="2">
        <v>9.5839999999999996</v>
      </c>
      <c r="J1861">
        <v>1</v>
      </c>
      <c r="K1861" s="2">
        <v>3.3544</v>
      </c>
      <c r="L1861" s="3">
        <f>(Table1[[#This Row],[Profit]]/Table1[[#This Row],[Sales]])*100</f>
        <v>35</v>
      </c>
    </row>
    <row r="1862" spans="1:12" x14ac:dyDescent="0.3">
      <c r="A1862" t="s">
        <v>557</v>
      </c>
      <c r="B1862" s="1">
        <v>43533</v>
      </c>
      <c r="C1862" t="s">
        <v>558</v>
      </c>
      <c r="D1862" t="s">
        <v>559</v>
      </c>
      <c r="E1862" t="s">
        <v>14</v>
      </c>
      <c r="F1862" t="s">
        <v>15</v>
      </c>
      <c r="G1862" t="s">
        <v>24</v>
      </c>
      <c r="H1862" t="s">
        <v>560</v>
      </c>
      <c r="I1862" s="2">
        <v>11.21</v>
      </c>
      <c r="J1862">
        <v>1</v>
      </c>
      <c r="K1862" s="2">
        <v>3.363</v>
      </c>
      <c r="L1862" s="3">
        <f>(Table1[[#This Row],[Profit]]/Table1[[#This Row],[Sales]])*100</f>
        <v>30</v>
      </c>
    </row>
    <row r="1863" spans="1:12" x14ac:dyDescent="0.3">
      <c r="A1863" t="s">
        <v>2023</v>
      </c>
      <c r="B1863" s="1">
        <v>43660</v>
      </c>
      <c r="C1863" t="s">
        <v>2024</v>
      </c>
      <c r="D1863" t="s">
        <v>2025</v>
      </c>
      <c r="E1863" t="s">
        <v>14</v>
      </c>
      <c r="F1863" t="s">
        <v>15</v>
      </c>
      <c r="G1863" t="s">
        <v>24</v>
      </c>
      <c r="H1863" t="s">
        <v>560</v>
      </c>
      <c r="I1863" s="2">
        <v>11.21</v>
      </c>
      <c r="J1863">
        <v>1</v>
      </c>
      <c r="K1863" s="2">
        <v>3.363</v>
      </c>
      <c r="L1863" s="3">
        <f>(Table1[[#This Row],[Profit]]/Table1[[#This Row],[Sales]])*100</f>
        <v>30</v>
      </c>
    </row>
    <row r="1864" spans="1:12" x14ac:dyDescent="0.3">
      <c r="A1864" t="s">
        <v>5891</v>
      </c>
      <c r="B1864" s="1">
        <v>44148</v>
      </c>
      <c r="C1864" t="s">
        <v>2310</v>
      </c>
      <c r="D1864" t="s">
        <v>2311</v>
      </c>
      <c r="E1864" t="s">
        <v>14</v>
      </c>
      <c r="F1864" t="s">
        <v>15</v>
      </c>
      <c r="G1864" t="s">
        <v>24</v>
      </c>
      <c r="H1864" t="s">
        <v>560</v>
      </c>
      <c r="I1864" s="2">
        <v>145.21</v>
      </c>
      <c r="J1864">
        <v>1</v>
      </c>
      <c r="K1864" s="2">
        <v>3.363</v>
      </c>
      <c r="L1864" s="3">
        <f>(Table1[[#This Row],[Profit]]/Table1[[#This Row],[Sales]])*100</f>
        <v>2.3159562013635426</v>
      </c>
    </row>
    <row r="1865" spans="1:12" x14ac:dyDescent="0.3">
      <c r="A1865" t="s">
        <v>3441</v>
      </c>
      <c r="B1865" s="1">
        <v>43786</v>
      </c>
      <c r="C1865" t="s">
        <v>279</v>
      </c>
      <c r="D1865" t="s">
        <v>280</v>
      </c>
      <c r="E1865" t="s">
        <v>14</v>
      </c>
      <c r="F1865" t="s">
        <v>23</v>
      </c>
      <c r="G1865" t="s">
        <v>24</v>
      </c>
      <c r="H1865" t="s">
        <v>845</v>
      </c>
      <c r="I1865" s="2">
        <v>10.776</v>
      </c>
      <c r="J1865">
        <v>3</v>
      </c>
      <c r="K1865" s="2">
        <v>3.3675000000000002</v>
      </c>
      <c r="L1865" s="3">
        <f>(Table1[[#This Row],[Profit]]/Table1[[#This Row],[Sales]])*100</f>
        <v>31.25</v>
      </c>
    </row>
    <row r="1866" spans="1:12" x14ac:dyDescent="0.3">
      <c r="A1866" t="s">
        <v>6163</v>
      </c>
      <c r="B1866" s="1">
        <v>44175</v>
      </c>
      <c r="C1866" t="s">
        <v>2286</v>
      </c>
      <c r="D1866" t="s">
        <v>2287</v>
      </c>
      <c r="E1866" t="s">
        <v>14</v>
      </c>
      <c r="F1866" t="s">
        <v>15</v>
      </c>
      <c r="G1866" t="s">
        <v>18</v>
      </c>
      <c r="H1866" t="s">
        <v>2193</v>
      </c>
      <c r="I1866" s="2">
        <v>302.2</v>
      </c>
      <c r="J1866">
        <v>1</v>
      </c>
      <c r="K1866" s="2">
        <v>3.3725000000000001</v>
      </c>
      <c r="L1866" s="3">
        <f>(Table1[[#This Row],[Profit]]/Table1[[#This Row],[Sales]])*100</f>
        <v>1.1159827928524158</v>
      </c>
    </row>
    <row r="1867" spans="1:12" x14ac:dyDescent="0.3">
      <c r="A1867" t="s">
        <v>2499</v>
      </c>
      <c r="B1867" s="1">
        <v>43707</v>
      </c>
      <c r="C1867" t="s">
        <v>2500</v>
      </c>
      <c r="D1867" t="s">
        <v>2501</v>
      </c>
      <c r="E1867" t="s">
        <v>14</v>
      </c>
      <c r="F1867" t="s">
        <v>15</v>
      </c>
      <c r="G1867" t="s">
        <v>24</v>
      </c>
      <c r="H1867" t="s">
        <v>212</v>
      </c>
      <c r="I1867" s="2">
        <v>54.223999999999997</v>
      </c>
      <c r="J1867">
        <v>2</v>
      </c>
      <c r="K1867" s="2">
        <v>3.3889999999999998</v>
      </c>
      <c r="L1867" s="3">
        <f>(Table1[[#This Row],[Profit]]/Table1[[#This Row],[Sales]])*100</f>
        <v>6.25</v>
      </c>
    </row>
    <row r="1868" spans="1:12" x14ac:dyDescent="0.3">
      <c r="A1868" t="s">
        <v>4275</v>
      </c>
      <c r="B1868" s="1">
        <v>43906</v>
      </c>
      <c r="C1868" t="s">
        <v>989</v>
      </c>
      <c r="D1868" t="s">
        <v>990</v>
      </c>
      <c r="E1868" t="s">
        <v>14</v>
      </c>
      <c r="F1868" t="s">
        <v>15</v>
      </c>
      <c r="G1868" t="s">
        <v>24</v>
      </c>
      <c r="H1868" t="s">
        <v>212</v>
      </c>
      <c r="I1868" s="2">
        <v>169.22399999999999</v>
      </c>
      <c r="J1868">
        <v>2</v>
      </c>
      <c r="K1868" s="2">
        <v>3.3889999999999998</v>
      </c>
      <c r="L1868" s="3">
        <f>(Table1[[#This Row],[Profit]]/Table1[[#This Row],[Sales]])*100</f>
        <v>2.0026710159315462</v>
      </c>
    </row>
    <row r="1869" spans="1:12" x14ac:dyDescent="0.3">
      <c r="A1869" t="s">
        <v>5853</v>
      </c>
      <c r="B1869" s="1">
        <v>44146</v>
      </c>
      <c r="C1869" t="s">
        <v>143</v>
      </c>
      <c r="D1869" t="s">
        <v>144</v>
      </c>
      <c r="E1869" t="s">
        <v>14</v>
      </c>
      <c r="F1869" t="s">
        <v>29</v>
      </c>
      <c r="G1869" t="s">
        <v>24</v>
      </c>
      <c r="H1869" t="s">
        <v>312</v>
      </c>
      <c r="I1869" s="2">
        <v>92.44</v>
      </c>
      <c r="J1869">
        <v>5</v>
      </c>
      <c r="K1869" s="2">
        <v>3.3929999999999998</v>
      </c>
      <c r="L1869" s="3">
        <f>(Table1[[#This Row],[Profit]]/Table1[[#This Row],[Sales]])*100</f>
        <v>3.6704889658156636</v>
      </c>
    </row>
    <row r="1870" spans="1:12" x14ac:dyDescent="0.3">
      <c r="A1870" t="s">
        <v>2536</v>
      </c>
      <c r="B1870" s="1">
        <v>43710</v>
      </c>
      <c r="C1870" t="s">
        <v>1992</v>
      </c>
      <c r="D1870" t="s">
        <v>1993</v>
      </c>
      <c r="E1870" t="s">
        <v>14</v>
      </c>
      <c r="F1870" t="s">
        <v>41</v>
      </c>
      <c r="G1870" t="s">
        <v>24</v>
      </c>
      <c r="H1870" t="s">
        <v>2538</v>
      </c>
      <c r="I1870" s="2">
        <v>19.456</v>
      </c>
      <c r="J1870">
        <v>4</v>
      </c>
      <c r="K1870" s="2">
        <v>3.4047999999999998</v>
      </c>
      <c r="L1870" s="3">
        <f>(Table1[[#This Row],[Profit]]/Table1[[#This Row],[Sales]])*100</f>
        <v>17.5</v>
      </c>
    </row>
    <row r="1871" spans="1:12" x14ac:dyDescent="0.3">
      <c r="A1871" t="s">
        <v>4166</v>
      </c>
      <c r="B1871" s="1">
        <v>43881</v>
      </c>
      <c r="C1871" t="s">
        <v>592</v>
      </c>
      <c r="D1871" t="s">
        <v>593</v>
      </c>
      <c r="E1871" t="s">
        <v>14</v>
      </c>
      <c r="F1871" t="s">
        <v>29</v>
      </c>
      <c r="G1871" t="s">
        <v>24</v>
      </c>
      <c r="H1871" t="s">
        <v>1914</v>
      </c>
      <c r="I1871" s="2">
        <v>1233.1099999999999</v>
      </c>
      <c r="J1871">
        <v>3</v>
      </c>
      <c r="K1871" s="2">
        <v>3.4085999999999999</v>
      </c>
      <c r="L1871" s="3">
        <f>(Table1[[#This Row],[Profit]]/Table1[[#This Row],[Sales]])*100</f>
        <v>0.27642302795371054</v>
      </c>
    </row>
    <row r="1872" spans="1:12" x14ac:dyDescent="0.3">
      <c r="A1872" t="s">
        <v>3146</v>
      </c>
      <c r="B1872" s="1">
        <v>43759</v>
      </c>
      <c r="C1872" t="s">
        <v>815</v>
      </c>
      <c r="D1872" t="s">
        <v>816</v>
      </c>
      <c r="E1872" t="s">
        <v>14</v>
      </c>
      <c r="F1872" t="s">
        <v>23</v>
      </c>
      <c r="G1872" t="s">
        <v>24</v>
      </c>
      <c r="H1872" t="s">
        <v>2416</v>
      </c>
      <c r="I1872" s="2">
        <v>340.92</v>
      </c>
      <c r="J1872">
        <v>3</v>
      </c>
      <c r="K1872" s="2">
        <v>3.4091999999999998</v>
      </c>
      <c r="L1872" s="3">
        <f>(Table1[[#This Row],[Profit]]/Table1[[#This Row],[Sales]])*100</f>
        <v>0.99999999999999989</v>
      </c>
    </row>
    <row r="1873" spans="1:12" x14ac:dyDescent="0.3">
      <c r="A1873" t="s">
        <v>3566</v>
      </c>
      <c r="B1873" s="1">
        <v>43793</v>
      </c>
      <c r="C1873" t="s">
        <v>231</v>
      </c>
      <c r="D1873" t="s">
        <v>232</v>
      </c>
      <c r="E1873" t="s">
        <v>14</v>
      </c>
      <c r="F1873" t="s">
        <v>41</v>
      </c>
      <c r="G1873" t="s">
        <v>24</v>
      </c>
      <c r="H1873" t="s">
        <v>1978</v>
      </c>
      <c r="I1873" s="2">
        <v>10.528</v>
      </c>
      <c r="J1873">
        <v>4</v>
      </c>
      <c r="K1873" s="2">
        <v>3.4216000000000002</v>
      </c>
      <c r="L1873" s="3">
        <f>(Table1[[#This Row],[Profit]]/Table1[[#This Row],[Sales]])*100</f>
        <v>32.5</v>
      </c>
    </row>
    <row r="1874" spans="1:12" x14ac:dyDescent="0.3">
      <c r="A1874" t="s">
        <v>4279</v>
      </c>
      <c r="B1874" s="1">
        <v>43907</v>
      </c>
      <c r="C1874" t="s">
        <v>4280</v>
      </c>
      <c r="D1874" t="s">
        <v>4281</v>
      </c>
      <c r="E1874" t="s">
        <v>14</v>
      </c>
      <c r="F1874" t="s">
        <v>15</v>
      </c>
      <c r="G1874" t="s">
        <v>24</v>
      </c>
      <c r="H1874" t="s">
        <v>1695</v>
      </c>
      <c r="I1874" s="2">
        <v>124.31</v>
      </c>
      <c r="J1874">
        <v>1</v>
      </c>
      <c r="K1874" s="2">
        <v>3.4357000000000002</v>
      </c>
      <c r="L1874" s="3">
        <f>(Table1[[#This Row],[Profit]]/Table1[[#This Row],[Sales]])*100</f>
        <v>2.7638162657871455</v>
      </c>
    </row>
    <row r="1875" spans="1:12" x14ac:dyDescent="0.3">
      <c r="A1875" t="s">
        <v>3611</v>
      </c>
      <c r="B1875" s="1">
        <v>43797</v>
      </c>
      <c r="C1875" t="s">
        <v>3612</v>
      </c>
      <c r="D1875" t="s">
        <v>3613</v>
      </c>
      <c r="E1875" t="s">
        <v>14</v>
      </c>
      <c r="F1875" t="s">
        <v>15</v>
      </c>
      <c r="G1875" t="s">
        <v>24</v>
      </c>
      <c r="H1875" t="s">
        <v>1262</v>
      </c>
      <c r="I1875" s="2">
        <v>7.16</v>
      </c>
      <c r="J1875">
        <v>2</v>
      </c>
      <c r="K1875" s="2">
        <v>3.4367999999999999</v>
      </c>
      <c r="L1875" s="3">
        <f>(Table1[[#This Row],[Profit]]/Table1[[#This Row],[Sales]])*100</f>
        <v>48</v>
      </c>
    </row>
    <row r="1876" spans="1:12" x14ac:dyDescent="0.3">
      <c r="A1876" t="s">
        <v>4068</v>
      </c>
      <c r="B1876" s="1">
        <v>43856</v>
      </c>
      <c r="C1876" t="s">
        <v>3873</v>
      </c>
      <c r="D1876" t="s">
        <v>3874</v>
      </c>
      <c r="E1876" t="s">
        <v>14</v>
      </c>
      <c r="F1876" t="s">
        <v>41</v>
      </c>
      <c r="G1876" t="s">
        <v>24</v>
      </c>
      <c r="H1876" t="s">
        <v>1262</v>
      </c>
      <c r="I1876" s="2">
        <v>111.16</v>
      </c>
      <c r="J1876">
        <v>2</v>
      </c>
      <c r="K1876" s="2">
        <v>3.4367999999999999</v>
      </c>
      <c r="L1876" s="3">
        <f>(Table1[[#This Row],[Profit]]/Table1[[#This Row],[Sales]])*100</f>
        <v>3.0917596257646633</v>
      </c>
    </row>
    <row r="1877" spans="1:12" x14ac:dyDescent="0.3">
      <c r="A1877" t="s">
        <v>3741</v>
      </c>
      <c r="B1877" s="1">
        <v>43807</v>
      </c>
      <c r="C1877" t="s">
        <v>514</v>
      </c>
      <c r="D1877" t="s">
        <v>515</v>
      </c>
      <c r="E1877" t="s">
        <v>14</v>
      </c>
      <c r="F1877" t="s">
        <v>15</v>
      </c>
      <c r="G1877" t="s">
        <v>24</v>
      </c>
      <c r="H1877" t="s">
        <v>2469</v>
      </c>
      <c r="I1877" s="2">
        <v>10.584</v>
      </c>
      <c r="J1877">
        <v>3</v>
      </c>
      <c r="K1877" s="2">
        <v>3.4398</v>
      </c>
      <c r="L1877" s="3">
        <f>(Table1[[#This Row],[Profit]]/Table1[[#This Row],[Sales]])*100</f>
        <v>32.5</v>
      </c>
    </row>
    <row r="1878" spans="1:12" x14ac:dyDescent="0.3">
      <c r="A1878" t="s">
        <v>1309</v>
      </c>
      <c r="B1878" s="1">
        <v>43594</v>
      </c>
      <c r="C1878" t="s">
        <v>1310</v>
      </c>
      <c r="D1878" t="s">
        <v>1311</v>
      </c>
      <c r="E1878" t="s">
        <v>14</v>
      </c>
      <c r="F1878" t="s">
        <v>15</v>
      </c>
      <c r="G1878" t="s">
        <v>24</v>
      </c>
      <c r="H1878" t="s">
        <v>1312</v>
      </c>
      <c r="I1878" s="2">
        <v>8</v>
      </c>
      <c r="J1878">
        <v>5</v>
      </c>
      <c r="K1878" s="2">
        <v>3.44</v>
      </c>
      <c r="L1878" s="3">
        <f>(Table1[[#This Row],[Profit]]/Table1[[#This Row],[Sales]])*100</f>
        <v>43</v>
      </c>
    </row>
    <row r="1879" spans="1:12" x14ac:dyDescent="0.3">
      <c r="A1879" t="s">
        <v>5346</v>
      </c>
      <c r="B1879" s="1">
        <v>44083</v>
      </c>
      <c r="C1879" t="s">
        <v>1130</v>
      </c>
      <c r="D1879" t="s">
        <v>1131</v>
      </c>
      <c r="E1879" t="s">
        <v>14</v>
      </c>
      <c r="F1879" t="s">
        <v>29</v>
      </c>
      <c r="G1879" t="s">
        <v>24</v>
      </c>
      <c r="H1879" t="s">
        <v>3032</v>
      </c>
      <c r="I1879" s="2">
        <v>120.85599999999999</v>
      </c>
      <c r="J1879">
        <v>4</v>
      </c>
      <c r="K1879" s="2">
        <v>3.4496000000000002</v>
      </c>
      <c r="L1879" s="3">
        <f>(Table1[[#This Row],[Profit]]/Table1[[#This Row],[Sales]])*100</f>
        <v>2.8543059508836963</v>
      </c>
    </row>
    <row r="1880" spans="1:12" x14ac:dyDescent="0.3">
      <c r="A1880" t="s">
        <v>5560</v>
      </c>
      <c r="B1880" s="1">
        <v>44106</v>
      </c>
      <c r="C1880" t="s">
        <v>2808</v>
      </c>
      <c r="D1880" t="s">
        <v>2809</v>
      </c>
      <c r="E1880" t="s">
        <v>14</v>
      </c>
      <c r="F1880" t="s">
        <v>41</v>
      </c>
      <c r="G1880" t="s">
        <v>16</v>
      </c>
      <c r="H1880" t="s">
        <v>5441</v>
      </c>
      <c r="I1880" s="2">
        <v>117.16</v>
      </c>
      <c r="J1880">
        <v>2</v>
      </c>
      <c r="K1880" s="2">
        <v>3.4544000000000001</v>
      </c>
      <c r="L1880" s="3">
        <f>(Table1[[#This Row],[Profit]]/Table1[[#This Row],[Sales]])*100</f>
        <v>2.9484465687948105</v>
      </c>
    </row>
    <row r="1881" spans="1:12" x14ac:dyDescent="0.3">
      <c r="A1881" t="s">
        <v>3068</v>
      </c>
      <c r="B1881" s="1">
        <v>43751</v>
      </c>
      <c r="C1881" t="s">
        <v>1785</v>
      </c>
      <c r="D1881" t="s">
        <v>1786</v>
      </c>
      <c r="E1881" t="s">
        <v>14</v>
      </c>
      <c r="F1881" t="s">
        <v>23</v>
      </c>
      <c r="G1881" t="s">
        <v>24</v>
      </c>
      <c r="H1881" t="s">
        <v>2965</v>
      </c>
      <c r="I1881" s="2">
        <v>11.52</v>
      </c>
      <c r="J1881">
        <v>4</v>
      </c>
      <c r="K1881" s="2">
        <v>3.456</v>
      </c>
      <c r="L1881" s="3">
        <f>(Table1[[#This Row],[Profit]]/Table1[[#This Row],[Sales]])*100</f>
        <v>30</v>
      </c>
    </row>
    <row r="1882" spans="1:12" x14ac:dyDescent="0.3">
      <c r="A1882" t="s">
        <v>4499</v>
      </c>
      <c r="B1882" s="1">
        <v>43942</v>
      </c>
      <c r="C1882" t="s">
        <v>3936</v>
      </c>
      <c r="D1882" t="s">
        <v>3937</v>
      </c>
      <c r="E1882" t="s">
        <v>14</v>
      </c>
      <c r="F1882" t="s">
        <v>23</v>
      </c>
      <c r="G1882" t="s">
        <v>18</v>
      </c>
      <c r="H1882" t="s">
        <v>1754</v>
      </c>
      <c r="I1882" s="2">
        <v>118.54</v>
      </c>
      <c r="J1882">
        <v>1</v>
      </c>
      <c r="K1882" s="2">
        <v>3.4620000000000002</v>
      </c>
      <c r="L1882" s="3">
        <f>(Table1[[#This Row],[Profit]]/Table1[[#This Row],[Sales]])*100</f>
        <v>2.9205331533659522</v>
      </c>
    </row>
    <row r="1883" spans="1:12" x14ac:dyDescent="0.3">
      <c r="A1883" t="s">
        <v>5250</v>
      </c>
      <c r="B1883" s="1">
        <v>44076</v>
      </c>
      <c r="C1883" t="s">
        <v>4172</v>
      </c>
      <c r="D1883" t="s">
        <v>4173</v>
      </c>
      <c r="E1883" t="s">
        <v>14</v>
      </c>
      <c r="F1883" t="s">
        <v>15</v>
      </c>
      <c r="G1883" t="s">
        <v>16</v>
      </c>
      <c r="H1883" t="s">
        <v>3157</v>
      </c>
      <c r="I1883" s="2">
        <v>125.54</v>
      </c>
      <c r="J1883">
        <v>2</v>
      </c>
      <c r="K1883" s="2">
        <v>3.4620000000000002</v>
      </c>
      <c r="L1883" s="3">
        <f>(Table1[[#This Row],[Profit]]/Table1[[#This Row],[Sales]])*100</f>
        <v>2.7576867930540065</v>
      </c>
    </row>
    <row r="1884" spans="1:12" x14ac:dyDescent="0.3">
      <c r="A1884" t="s">
        <v>3063</v>
      </c>
      <c r="B1884" s="1">
        <v>43749</v>
      </c>
      <c r="C1884" t="s">
        <v>3064</v>
      </c>
      <c r="D1884" t="s">
        <v>3065</v>
      </c>
      <c r="E1884" t="s">
        <v>14</v>
      </c>
      <c r="F1884" t="s">
        <v>29</v>
      </c>
      <c r="G1884" t="s">
        <v>24</v>
      </c>
      <c r="H1884" t="s">
        <v>3067</v>
      </c>
      <c r="I1884" s="2">
        <v>27.72</v>
      </c>
      <c r="J1884">
        <v>3</v>
      </c>
      <c r="K1884" s="2">
        <v>3.4649999999999999</v>
      </c>
      <c r="L1884" s="3">
        <f>(Table1[[#This Row],[Profit]]/Table1[[#This Row],[Sales]])*100</f>
        <v>12.5</v>
      </c>
    </row>
    <row r="1885" spans="1:12" x14ac:dyDescent="0.3">
      <c r="A1885" t="s">
        <v>985</v>
      </c>
      <c r="B1885" s="1">
        <v>43567</v>
      </c>
      <c r="C1885" t="s">
        <v>837</v>
      </c>
      <c r="D1885" t="s">
        <v>838</v>
      </c>
      <c r="E1885" t="s">
        <v>14</v>
      </c>
      <c r="F1885" t="s">
        <v>41</v>
      </c>
      <c r="G1885" t="s">
        <v>24</v>
      </c>
      <c r="H1885" t="s">
        <v>987</v>
      </c>
      <c r="I1885" s="2">
        <v>10.272</v>
      </c>
      <c r="J1885">
        <v>3</v>
      </c>
      <c r="K1885" s="2">
        <v>3.4668000000000001</v>
      </c>
      <c r="L1885" s="3">
        <f>(Table1[[#This Row],[Profit]]/Table1[[#This Row],[Sales]])*100</f>
        <v>33.75</v>
      </c>
    </row>
    <row r="1886" spans="1:12" x14ac:dyDescent="0.3">
      <c r="A1886" t="s">
        <v>4159</v>
      </c>
      <c r="B1886" s="1">
        <v>43880</v>
      </c>
      <c r="C1886" t="s">
        <v>3168</v>
      </c>
      <c r="D1886" t="s">
        <v>3169</v>
      </c>
      <c r="E1886" t="s">
        <v>14</v>
      </c>
      <c r="F1886" t="s">
        <v>23</v>
      </c>
      <c r="G1886" t="s">
        <v>24</v>
      </c>
      <c r="H1886" t="s">
        <v>4160</v>
      </c>
      <c r="I1886" s="2">
        <v>133.84</v>
      </c>
      <c r="J1886">
        <v>3</v>
      </c>
      <c r="K1886" s="2">
        <v>3.4668000000000001</v>
      </c>
      <c r="L1886" s="3">
        <f>(Table1[[#This Row],[Profit]]/Table1[[#This Row],[Sales]])*100</f>
        <v>2.5902570233114166</v>
      </c>
    </row>
    <row r="1887" spans="1:12" x14ac:dyDescent="0.3">
      <c r="A1887" t="s">
        <v>2693</v>
      </c>
      <c r="B1887" s="1">
        <v>43718</v>
      </c>
      <c r="C1887" t="s">
        <v>569</v>
      </c>
      <c r="D1887" t="s">
        <v>570</v>
      </c>
      <c r="E1887" t="s">
        <v>14</v>
      </c>
      <c r="F1887" t="s">
        <v>23</v>
      </c>
      <c r="G1887" t="s">
        <v>24</v>
      </c>
      <c r="H1887" t="s">
        <v>1684</v>
      </c>
      <c r="I1887" s="2">
        <v>7.38</v>
      </c>
      <c r="J1887">
        <v>2</v>
      </c>
      <c r="K1887" s="2">
        <v>3.4685999999999999</v>
      </c>
      <c r="L1887" s="3">
        <f>(Table1[[#This Row],[Profit]]/Table1[[#This Row],[Sales]])*100</f>
        <v>47</v>
      </c>
    </row>
    <row r="1888" spans="1:12" x14ac:dyDescent="0.3">
      <c r="A1888" t="s">
        <v>3420</v>
      </c>
      <c r="B1888" s="1">
        <v>43783</v>
      </c>
      <c r="C1888" t="s">
        <v>3421</v>
      </c>
      <c r="D1888" t="s">
        <v>3422</v>
      </c>
      <c r="E1888" t="s">
        <v>14</v>
      </c>
      <c r="F1888" t="s">
        <v>23</v>
      </c>
      <c r="G1888" t="s">
        <v>24</v>
      </c>
      <c r="H1888" t="s">
        <v>1831</v>
      </c>
      <c r="I1888" s="2">
        <v>7.38</v>
      </c>
      <c r="J1888">
        <v>2</v>
      </c>
      <c r="K1888" s="2">
        <v>3.4685999999999999</v>
      </c>
      <c r="L1888" s="3">
        <f>(Table1[[#This Row],[Profit]]/Table1[[#This Row],[Sales]])*100</f>
        <v>47</v>
      </c>
    </row>
    <row r="1889" spans="1:12" x14ac:dyDescent="0.3">
      <c r="A1889" t="s">
        <v>4488</v>
      </c>
      <c r="B1889" s="1">
        <v>43938</v>
      </c>
      <c r="C1889" t="s">
        <v>558</v>
      </c>
      <c r="D1889" t="s">
        <v>559</v>
      </c>
      <c r="E1889" t="s">
        <v>14</v>
      </c>
      <c r="F1889" t="s">
        <v>23</v>
      </c>
      <c r="G1889" t="s">
        <v>24</v>
      </c>
      <c r="H1889" t="s">
        <v>3756</v>
      </c>
      <c r="I1889" s="2">
        <v>114.38</v>
      </c>
      <c r="J1889">
        <v>2</v>
      </c>
      <c r="K1889" s="2">
        <v>3.4685999999999999</v>
      </c>
      <c r="L1889" s="3">
        <f>(Table1[[#This Row],[Profit]]/Table1[[#This Row],[Sales]])*100</f>
        <v>3.0325231683860818</v>
      </c>
    </row>
    <row r="1890" spans="1:12" x14ac:dyDescent="0.3">
      <c r="A1890" t="s">
        <v>5935</v>
      </c>
      <c r="B1890" s="1">
        <v>44153</v>
      </c>
      <c r="C1890" t="s">
        <v>1168</v>
      </c>
      <c r="D1890" t="s">
        <v>1169</v>
      </c>
      <c r="E1890" t="s">
        <v>14</v>
      </c>
      <c r="F1890" t="s">
        <v>29</v>
      </c>
      <c r="G1890" t="s">
        <v>24</v>
      </c>
      <c r="H1890" t="s">
        <v>1684</v>
      </c>
      <c r="I1890" s="2">
        <v>117.38</v>
      </c>
      <c r="J1890">
        <v>2</v>
      </c>
      <c r="K1890" s="2">
        <v>3.4685999999999999</v>
      </c>
      <c r="L1890" s="3">
        <f>(Table1[[#This Row],[Profit]]/Table1[[#This Row],[Sales]])*100</f>
        <v>2.9550178906116886</v>
      </c>
    </row>
    <row r="1891" spans="1:12" x14ac:dyDescent="0.3">
      <c r="A1891" t="s">
        <v>3225</v>
      </c>
      <c r="B1891" s="1">
        <v>43769</v>
      </c>
      <c r="C1891" t="s">
        <v>2359</v>
      </c>
      <c r="D1891" t="s">
        <v>2360</v>
      </c>
      <c r="E1891" t="s">
        <v>14</v>
      </c>
      <c r="F1891" t="s">
        <v>29</v>
      </c>
      <c r="G1891" t="s">
        <v>24</v>
      </c>
      <c r="H1891" t="s">
        <v>3226</v>
      </c>
      <c r="I1891" s="2">
        <v>12.39</v>
      </c>
      <c r="J1891">
        <v>3</v>
      </c>
      <c r="K1891" s="2">
        <v>3.4691999999999998</v>
      </c>
      <c r="L1891" s="3">
        <f>(Table1[[#This Row],[Profit]]/Table1[[#This Row],[Sales]])*100</f>
        <v>27.999999999999996</v>
      </c>
    </row>
    <row r="1892" spans="1:12" x14ac:dyDescent="0.3">
      <c r="A1892" t="s">
        <v>4092</v>
      </c>
      <c r="B1892" s="1">
        <v>43860</v>
      </c>
      <c r="C1892" t="s">
        <v>401</v>
      </c>
      <c r="D1892" t="s">
        <v>402</v>
      </c>
      <c r="E1892" t="s">
        <v>14</v>
      </c>
      <c r="F1892" t="s">
        <v>29</v>
      </c>
      <c r="G1892" t="s">
        <v>24</v>
      </c>
      <c r="H1892" t="s">
        <v>1709</v>
      </c>
      <c r="I1892" s="2">
        <v>111.71</v>
      </c>
      <c r="J1892">
        <v>1</v>
      </c>
      <c r="K1892" s="2">
        <v>3.4695</v>
      </c>
      <c r="L1892" s="3">
        <f>(Table1[[#This Row],[Profit]]/Table1[[#This Row],[Sales]])*100</f>
        <v>3.1058096857935729</v>
      </c>
    </row>
    <row r="1893" spans="1:12" x14ac:dyDescent="0.3">
      <c r="A1893" t="s">
        <v>4656</v>
      </c>
      <c r="B1893" s="1">
        <v>43966</v>
      </c>
      <c r="C1893" t="s">
        <v>4657</v>
      </c>
      <c r="D1893" t="s">
        <v>4658</v>
      </c>
      <c r="E1893" t="s">
        <v>14</v>
      </c>
      <c r="F1893" t="s">
        <v>29</v>
      </c>
      <c r="G1893" t="s">
        <v>18</v>
      </c>
      <c r="H1893" t="s">
        <v>4659</v>
      </c>
      <c r="I1893" s="2">
        <v>86.12</v>
      </c>
      <c r="J1893">
        <v>2</v>
      </c>
      <c r="K1893" s="2">
        <v>3.4750000000000001</v>
      </c>
      <c r="L1893" s="3">
        <f>(Table1[[#This Row],[Profit]]/Table1[[#This Row],[Sales]])*100</f>
        <v>4.0350673478866703</v>
      </c>
    </row>
    <row r="1894" spans="1:12" x14ac:dyDescent="0.3">
      <c r="A1894" t="s">
        <v>4689</v>
      </c>
      <c r="B1894" s="1">
        <v>43971</v>
      </c>
      <c r="C1894" t="s">
        <v>3539</v>
      </c>
      <c r="D1894" t="s">
        <v>3540</v>
      </c>
      <c r="E1894" t="s">
        <v>14</v>
      </c>
      <c r="F1894" t="s">
        <v>29</v>
      </c>
      <c r="G1894" t="s">
        <v>24</v>
      </c>
      <c r="H1894" t="s">
        <v>449</v>
      </c>
      <c r="I1894" s="2">
        <v>95.41</v>
      </c>
      <c r="J1894">
        <v>3</v>
      </c>
      <c r="K1894" s="2">
        <v>3.4826999999999999</v>
      </c>
      <c r="L1894" s="3">
        <f>(Table1[[#This Row],[Profit]]/Table1[[#This Row],[Sales]])*100</f>
        <v>3.6502463054187197</v>
      </c>
    </row>
    <row r="1895" spans="1:12" x14ac:dyDescent="0.3">
      <c r="A1895" t="s">
        <v>6172</v>
      </c>
      <c r="B1895" s="1">
        <v>44176</v>
      </c>
      <c r="C1895" t="s">
        <v>1665</v>
      </c>
      <c r="D1895" t="s">
        <v>1666</v>
      </c>
      <c r="E1895" t="s">
        <v>14</v>
      </c>
      <c r="F1895" t="s">
        <v>29</v>
      </c>
      <c r="G1895" t="s">
        <v>24</v>
      </c>
      <c r="H1895" t="s">
        <v>6173</v>
      </c>
      <c r="I1895" s="2">
        <v>252.28</v>
      </c>
      <c r="J1895">
        <v>1</v>
      </c>
      <c r="K1895" s="2">
        <v>3.4944000000000002</v>
      </c>
      <c r="L1895" s="3">
        <f>(Table1[[#This Row],[Profit]]/Table1[[#This Row],[Sales]])*100</f>
        <v>1.3851276359600444</v>
      </c>
    </row>
    <row r="1896" spans="1:12" x14ac:dyDescent="0.3">
      <c r="A1896" t="s">
        <v>6016</v>
      </c>
      <c r="B1896" s="1">
        <v>44160</v>
      </c>
      <c r="C1896" t="s">
        <v>942</v>
      </c>
      <c r="D1896" t="s">
        <v>943</v>
      </c>
      <c r="E1896" t="s">
        <v>14</v>
      </c>
      <c r="F1896" t="s">
        <v>23</v>
      </c>
      <c r="G1896" t="s">
        <v>18</v>
      </c>
      <c r="H1896" t="s">
        <v>2845</v>
      </c>
      <c r="I1896" s="2">
        <v>146.96</v>
      </c>
      <c r="J1896">
        <v>5</v>
      </c>
      <c r="K1896" s="2">
        <v>3.4965000000000002</v>
      </c>
      <c r="L1896" s="3">
        <f>(Table1[[#This Row],[Profit]]/Table1[[#This Row],[Sales]])*100</f>
        <v>2.3792188350571584</v>
      </c>
    </row>
    <row r="1897" spans="1:12" x14ac:dyDescent="0.3">
      <c r="A1897" t="s">
        <v>1664</v>
      </c>
      <c r="B1897" s="1">
        <v>43623</v>
      </c>
      <c r="C1897" t="s">
        <v>1665</v>
      </c>
      <c r="D1897" t="s">
        <v>1666</v>
      </c>
      <c r="E1897" t="s">
        <v>14</v>
      </c>
      <c r="F1897" t="s">
        <v>15</v>
      </c>
      <c r="G1897" t="s">
        <v>24</v>
      </c>
      <c r="H1897" t="s">
        <v>1018</v>
      </c>
      <c r="I1897" s="2">
        <v>9.6479999999999997</v>
      </c>
      <c r="J1897">
        <v>6</v>
      </c>
      <c r="K1897" s="2">
        <v>3.4973999999999998</v>
      </c>
      <c r="L1897" s="3">
        <f>(Table1[[#This Row],[Profit]]/Table1[[#This Row],[Sales]])*100</f>
        <v>36.25</v>
      </c>
    </row>
    <row r="1898" spans="1:12" x14ac:dyDescent="0.3">
      <c r="A1898" t="s">
        <v>2099</v>
      </c>
      <c r="B1898" s="1">
        <v>43664</v>
      </c>
      <c r="C1898" t="s">
        <v>2100</v>
      </c>
      <c r="D1898" t="s">
        <v>2101</v>
      </c>
      <c r="E1898" t="s">
        <v>14</v>
      </c>
      <c r="F1898" t="s">
        <v>23</v>
      </c>
      <c r="G1898" t="s">
        <v>18</v>
      </c>
      <c r="H1898" t="s">
        <v>2102</v>
      </c>
      <c r="I1898" s="2">
        <v>55.991999999999997</v>
      </c>
      <c r="J1898">
        <v>1</v>
      </c>
      <c r="K1898" s="2">
        <v>3.4994999999999998</v>
      </c>
      <c r="L1898" s="3">
        <f>(Table1[[#This Row],[Profit]]/Table1[[#This Row],[Sales]])*100</f>
        <v>6.25</v>
      </c>
    </row>
    <row r="1899" spans="1:12" x14ac:dyDescent="0.3">
      <c r="A1899" t="s">
        <v>4186</v>
      </c>
      <c r="B1899" s="1">
        <v>43889</v>
      </c>
      <c r="C1899" t="s">
        <v>3968</v>
      </c>
      <c r="D1899" t="s">
        <v>3969</v>
      </c>
      <c r="E1899" t="s">
        <v>14</v>
      </c>
      <c r="F1899" t="s">
        <v>15</v>
      </c>
      <c r="G1899" t="s">
        <v>24</v>
      </c>
      <c r="H1899" t="s">
        <v>4187</v>
      </c>
      <c r="I1899" s="2">
        <v>943.78</v>
      </c>
      <c r="J1899">
        <v>1</v>
      </c>
      <c r="K1899" s="2">
        <v>3.5009999999999999</v>
      </c>
      <c r="L1899" s="3">
        <f>(Table1[[#This Row],[Profit]]/Table1[[#This Row],[Sales]])*100</f>
        <v>0.37095509546716399</v>
      </c>
    </row>
    <row r="1900" spans="1:12" x14ac:dyDescent="0.3">
      <c r="A1900" t="s">
        <v>6004</v>
      </c>
      <c r="B1900" s="1">
        <v>44159</v>
      </c>
      <c r="C1900" t="s">
        <v>5192</v>
      </c>
      <c r="D1900" t="s">
        <v>5193</v>
      </c>
      <c r="E1900" t="s">
        <v>14</v>
      </c>
      <c r="F1900" t="s">
        <v>23</v>
      </c>
      <c r="G1900" t="s">
        <v>24</v>
      </c>
      <c r="H1900" t="s">
        <v>4187</v>
      </c>
      <c r="I1900" s="2">
        <v>105.78</v>
      </c>
      <c r="J1900">
        <v>1</v>
      </c>
      <c r="K1900" s="2">
        <v>3.5009999999999999</v>
      </c>
      <c r="L1900" s="3">
        <f>(Table1[[#This Row],[Profit]]/Table1[[#This Row],[Sales]])*100</f>
        <v>3.309699376063528</v>
      </c>
    </row>
    <row r="1901" spans="1:12" x14ac:dyDescent="0.3">
      <c r="A1901" t="s">
        <v>4465</v>
      </c>
      <c r="B1901" s="1">
        <v>43935</v>
      </c>
      <c r="C1901" t="s">
        <v>684</v>
      </c>
      <c r="D1901" t="s">
        <v>685</v>
      </c>
      <c r="E1901" t="s">
        <v>14</v>
      </c>
      <c r="F1901" t="s">
        <v>15</v>
      </c>
      <c r="G1901" t="s">
        <v>24</v>
      </c>
      <c r="H1901" t="s">
        <v>845</v>
      </c>
      <c r="I1901" s="2">
        <v>110.776</v>
      </c>
      <c r="J1901">
        <v>3</v>
      </c>
      <c r="K1901" s="2">
        <v>3.5022000000000002</v>
      </c>
      <c r="L1901" s="3">
        <f>(Table1[[#This Row],[Profit]]/Table1[[#This Row],[Sales]])*100</f>
        <v>3.1615151296309674</v>
      </c>
    </row>
    <row r="1902" spans="1:12" x14ac:dyDescent="0.3">
      <c r="A1902" t="s">
        <v>5425</v>
      </c>
      <c r="B1902" s="1">
        <v>44091</v>
      </c>
      <c r="C1902" t="s">
        <v>3665</v>
      </c>
      <c r="D1902" t="s">
        <v>3666</v>
      </c>
      <c r="E1902" t="s">
        <v>14</v>
      </c>
      <c r="F1902" t="s">
        <v>23</v>
      </c>
      <c r="G1902" t="s">
        <v>24</v>
      </c>
      <c r="H1902" t="s">
        <v>845</v>
      </c>
      <c r="I1902" s="2">
        <v>119.776</v>
      </c>
      <c r="J1902">
        <v>3</v>
      </c>
      <c r="K1902" s="2">
        <v>3.5022000000000002</v>
      </c>
      <c r="L1902" s="3">
        <f>(Table1[[#This Row],[Profit]]/Table1[[#This Row],[Sales]])*100</f>
        <v>2.9239580550360675</v>
      </c>
    </row>
    <row r="1903" spans="1:12" x14ac:dyDescent="0.3">
      <c r="A1903" t="s">
        <v>1306</v>
      </c>
      <c r="B1903" s="1">
        <v>43594</v>
      </c>
      <c r="C1903" t="s">
        <v>1307</v>
      </c>
      <c r="D1903" t="s">
        <v>1308</v>
      </c>
      <c r="E1903" t="s">
        <v>14</v>
      </c>
      <c r="F1903" t="s">
        <v>15</v>
      </c>
      <c r="G1903" t="s">
        <v>24</v>
      </c>
      <c r="H1903" t="s">
        <v>242</v>
      </c>
      <c r="I1903" s="2">
        <v>9.3439999999999994</v>
      </c>
      <c r="J1903">
        <v>1</v>
      </c>
      <c r="K1903" s="2">
        <v>3.504</v>
      </c>
      <c r="L1903" s="3">
        <f>(Table1[[#This Row],[Profit]]/Table1[[#This Row],[Sales]])*100</f>
        <v>37.5</v>
      </c>
    </row>
    <row r="1904" spans="1:12" x14ac:dyDescent="0.3">
      <c r="A1904" t="s">
        <v>3215</v>
      </c>
      <c r="B1904" s="1">
        <v>43768</v>
      </c>
      <c r="C1904" t="s">
        <v>981</v>
      </c>
      <c r="D1904" t="s">
        <v>982</v>
      </c>
      <c r="E1904" t="s">
        <v>14</v>
      </c>
      <c r="F1904" t="s">
        <v>29</v>
      </c>
      <c r="G1904" t="s">
        <v>24</v>
      </c>
      <c r="H1904" t="s">
        <v>46</v>
      </c>
      <c r="I1904" s="2">
        <v>11.68</v>
      </c>
      <c r="J1904">
        <v>2</v>
      </c>
      <c r="K1904" s="2">
        <v>3.504</v>
      </c>
      <c r="L1904" s="3">
        <f>(Table1[[#This Row],[Profit]]/Table1[[#This Row],[Sales]])*100</f>
        <v>30</v>
      </c>
    </row>
    <row r="1905" spans="1:12" x14ac:dyDescent="0.3">
      <c r="A1905" t="s">
        <v>4140</v>
      </c>
      <c r="B1905" s="1">
        <v>43877</v>
      </c>
      <c r="C1905" t="s">
        <v>2108</v>
      </c>
      <c r="D1905" t="s">
        <v>2109</v>
      </c>
      <c r="E1905" t="s">
        <v>14</v>
      </c>
      <c r="F1905" t="s">
        <v>29</v>
      </c>
      <c r="G1905" t="s">
        <v>24</v>
      </c>
      <c r="H1905" t="s">
        <v>46</v>
      </c>
      <c r="I1905" s="2">
        <v>134.03200000000001</v>
      </c>
      <c r="J1905">
        <v>6</v>
      </c>
      <c r="K1905" s="2">
        <v>3.504</v>
      </c>
      <c r="L1905" s="3">
        <f>(Table1[[#This Row],[Profit]]/Table1[[#This Row],[Sales]])*100</f>
        <v>2.6143010624328515</v>
      </c>
    </row>
    <row r="1906" spans="1:12" x14ac:dyDescent="0.3">
      <c r="A1906" t="s">
        <v>6055</v>
      </c>
      <c r="B1906" s="1">
        <v>44166</v>
      </c>
      <c r="C1906" t="s">
        <v>2695</v>
      </c>
      <c r="D1906" t="s">
        <v>2696</v>
      </c>
      <c r="E1906" t="s">
        <v>14</v>
      </c>
      <c r="F1906" t="s">
        <v>23</v>
      </c>
      <c r="G1906" t="s">
        <v>24</v>
      </c>
      <c r="H1906" t="s">
        <v>2647</v>
      </c>
      <c r="I1906" s="2">
        <v>112.152</v>
      </c>
      <c r="J1906">
        <v>3</v>
      </c>
      <c r="K1906" s="2">
        <v>3.5045999999999999</v>
      </c>
      <c r="L1906" s="3">
        <f>(Table1[[#This Row],[Profit]]/Table1[[#This Row],[Sales]])*100</f>
        <v>3.1248662529424354</v>
      </c>
    </row>
    <row r="1907" spans="1:12" x14ac:dyDescent="0.3">
      <c r="A1907" t="s">
        <v>4082</v>
      </c>
      <c r="B1907" s="1">
        <v>43859</v>
      </c>
      <c r="C1907" t="s">
        <v>4039</v>
      </c>
      <c r="D1907" t="s">
        <v>4040</v>
      </c>
      <c r="E1907" t="s">
        <v>14</v>
      </c>
      <c r="F1907" t="s">
        <v>29</v>
      </c>
      <c r="G1907" t="s">
        <v>24</v>
      </c>
      <c r="H1907" t="s">
        <v>2655</v>
      </c>
      <c r="I1907" s="2">
        <v>140.47999999999999</v>
      </c>
      <c r="J1907">
        <v>1</v>
      </c>
      <c r="K1907" s="2">
        <v>3.5047999999999999</v>
      </c>
      <c r="L1907" s="3">
        <f>(Table1[[#This Row],[Profit]]/Table1[[#This Row],[Sales]])*100</f>
        <v>2.4948747152619593</v>
      </c>
    </row>
    <row r="1908" spans="1:12" x14ac:dyDescent="0.3">
      <c r="A1908" t="s">
        <v>2377</v>
      </c>
      <c r="B1908" s="1">
        <v>43698</v>
      </c>
      <c r="C1908" t="s">
        <v>1935</v>
      </c>
      <c r="D1908" t="s">
        <v>1936</v>
      </c>
      <c r="E1908" t="s">
        <v>14</v>
      </c>
      <c r="F1908" t="s">
        <v>41</v>
      </c>
      <c r="G1908" t="s">
        <v>24</v>
      </c>
      <c r="H1908" t="s">
        <v>2251</v>
      </c>
      <c r="I1908" s="2">
        <v>28.047999999999998</v>
      </c>
      <c r="J1908">
        <v>2</v>
      </c>
      <c r="K1908" s="2">
        <v>3.5059999999999998</v>
      </c>
      <c r="L1908" s="3">
        <f>(Table1[[#This Row],[Profit]]/Table1[[#This Row],[Sales]])*100</f>
        <v>12.5</v>
      </c>
    </row>
    <row r="1909" spans="1:12" x14ac:dyDescent="0.3">
      <c r="A1909" t="s">
        <v>3924</v>
      </c>
      <c r="B1909" s="1">
        <v>43825</v>
      </c>
      <c r="C1909" t="s">
        <v>1456</v>
      </c>
      <c r="D1909" t="s">
        <v>1457</v>
      </c>
      <c r="E1909" t="s">
        <v>14</v>
      </c>
      <c r="F1909" t="s">
        <v>23</v>
      </c>
      <c r="G1909" t="s">
        <v>24</v>
      </c>
      <c r="H1909" t="s">
        <v>3768</v>
      </c>
      <c r="I1909" s="2">
        <v>18.72</v>
      </c>
      <c r="J1909">
        <v>2</v>
      </c>
      <c r="K1909" s="2">
        <v>3.51</v>
      </c>
      <c r="L1909" s="3">
        <f>(Table1[[#This Row],[Profit]]/Table1[[#This Row],[Sales]])*100</f>
        <v>18.75</v>
      </c>
    </row>
    <row r="1910" spans="1:12" x14ac:dyDescent="0.3">
      <c r="A1910" t="s">
        <v>5597</v>
      </c>
      <c r="B1910" s="1">
        <v>44113</v>
      </c>
      <c r="C1910" t="s">
        <v>3283</v>
      </c>
      <c r="D1910" t="s">
        <v>3284</v>
      </c>
      <c r="E1910" t="s">
        <v>14</v>
      </c>
      <c r="F1910" t="s">
        <v>41</v>
      </c>
      <c r="G1910" t="s">
        <v>24</v>
      </c>
      <c r="H1910" t="s">
        <v>5315</v>
      </c>
      <c r="I1910" s="2">
        <v>111.816</v>
      </c>
      <c r="J1910">
        <v>4</v>
      </c>
      <c r="K1910" s="2">
        <v>3.5152000000000001</v>
      </c>
      <c r="L1910" s="3">
        <f>(Table1[[#This Row],[Profit]]/Table1[[#This Row],[Sales]])*100</f>
        <v>3.1437361379409028</v>
      </c>
    </row>
    <row r="1911" spans="1:12" x14ac:dyDescent="0.3">
      <c r="A1911" t="s">
        <v>5976</v>
      </c>
      <c r="B1911" s="1">
        <v>44156</v>
      </c>
      <c r="C1911" t="s">
        <v>1243</v>
      </c>
      <c r="D1911" t="s">
        <v>1244</v>
      </c>
      <c r="E1911" t="s">
        <v>14</v>
      </c>
      <c r="F1911" t="s">
        <v>23</v>
      </c>
      <c r="G1911" t="s">
        <v>24</v>
      </c>
      <c r="H1911" t="s">
        <v>1269</v>
      </c>
      <c r="I1911" s="2">
        <v>129.02000000000001</v>
      </c>
      <c r="J1911">
        <v>2</v>
      </c>
      <c r="K1911" s="2">
        <v>3.5177999999999998</v>
      </c>
      <c r="L1911" s="3">
        <f>(Table1[[#This Row],[Profit]]/Table1[[#This Row],[Sales]])*100</f>
        <v>2.7265540226321496</v>
      </c>
    </row>
    <row r="1912" spans="1:12" x14ac:dyDescent="0.3">
      <c r="A1912" t="s">
        <v>5876</v>
      </c>
      <c r="B1912" s="1">
        <v>44147</v>
      </c>
      <c r="C1912" t="s">
        <v>3229</v>
      </c>
      <c r="D1912" t="s">
        <v>3230</v>
      </c>
      <c r="E1912" t="s">
        <v>14</v>
      </c>
      <c r="F1912" t="s">
        <v>15</v>
      </c>
      <c r="G1912" t="s">
        <v>24</v>
      </c>
      <c r="H1912" t="s">
        <v>3864</v>
      </c>
      <c r="I1912" s="2">
        <v>146.84800000000001</v>
      </c>
      <c r="J1912">
        <v>2</v>
      </c>
      <c r="K1912" s="2">
        <v>3.5255999999999998</v>
      </c>
      <c r="L1912" s="3">
        <f>(Table1[[#This Row],[Profit]]/Table1[[#This Row],[Sales]])*100</f>
        <v>2.4008498583569402</v>
      </c>
    </row>
    <row r="1913" spans="1:12" x14ac:dyDescent="0.3">
      <c r="A1913" t="s">
        <v>496</v>
      </c>
      <c r="B1913" s="1">
        <v>43528</v>
      </c>
      <c r="C1913" t="s">
        <v>497</v>
      </c>
      <c r="D1913" t="s">
        <v>498</v>
      </c>
      <c r="E1913" t="s">
        <v>14</v>
      </c>
      <c r="F1913" t="s">
        <v>41</v>
      </c>
      <c r="G1913" t="s">
        <v>24</v>
      </c>
      <c r="H1913" t="s">
        <v>499</v>
      </c>
      <c r="I1913" s="2">
        <v>10.08</v>
      </c>
      <c r="J1913">
        <v>4</v>
      </c>
      <c r="K1913" s="2">
        <v>3.528</v>
      </c>
      <c r="L1913" s="3">
        <f>(Table1[[#This Row],[Profit]]/Table1[[#This Row],[Sales]])*100</f>
        <v>35</v>
      </c>
    </row>
    <row r="1914" spans="1:12" x14ac:dyDescent="0.3">
      <c r="A1914" t="s">
        <v>5433</v>
      </c>
      <c r="B1914" s="1">
        <v>44092</v>
      </c>
      <c r="C1914" t="s">
        <v>2915</v>
      </c>
      <c r="D1914" t="s">
        <v>2916</v>
      </c>
      <c r="E1914" t="s">
        <v>14</v>
      </c>
      <c r="F1914" t="s">
        <v>23</v>
      </c>
      <c r="G1914" t="s">
        <v>24</v>
      </c>
      <c r="H1914" t="s">
        <v>2146</v>
      </c>
      <c r="I1914" s="2">
        <v>108.08</v>
      </c>
      <c r="J1914">
        <v>7</v>
      </c>
      <c r="K1914" s="2">
        <v>3.528</v>
      </c>
      <c r="L1914" s="3">
        <f>(Table1[[#This Row],[Profit]]/Table1[[#This Row],[Sales]])*100</f>
        <v>3.2642487046632125</v>
      </c>
    </row>
    <row r="1915" spans="1:12" x14ac:dyDescent="0.3">
      <c r="A1915" t="s">
        <v>4495</v>
      </c>
      <c r="B1915" s="1">
        <v>43941</v>
      </c>
      <c r="C1915" t="s">
        <v>2976</v>
      </c>
      <c r="D1915" t="s">
        <v>2977</v>
      </c>
      <c r="E1915" t="s">
        <v>14</v>
      </c>
      <c r="F1915" t="s">
        <v>29</v>
      </c>
      <c r="G1915" t="s">
        <v>24</v>
      </c>
      <c r="H1915" t="s">
        <v>4286</v>
      </c>
      <c r="I1915" s="2">
        <v>93.76</v>
      </c>
      <c r="J1915">
        <v>2</v>
      </c>
      <c r="K1915" s="2">
        <v>3.5459999999999998</v>
      </c>
      <c r="L1915" s="3">
        <f>(Table1[[#This Row],[Profit]]/Table1[[#This Row],[Sales]])*100</f>
        <v>3.7819965870307164</v>
      </c>
    </row>
    <row r="1916" spans="1:12" x14ac:dyDescent="0.3">
      <c r="A1916" t="s">
        <v>5383</v>
      </c>
      <c r="B1916" s="1">
        <v>44088</v>
      </c>
      <c r="C1916" t="s">
        <v>5384</v>
      </c>
      <c r="D1916" t="s">
        <v>5385</v>
      </c>
      <c r="E1916" t="s">
        <v>14</v>
      </c>
      <c r="F1916" t="s">
        <v>15</v>
      </c>
      <c r="G1916" t="s">
        <v>24</v>
      </c>
      <c r="H1916" t="s">
        <v>2895</v>
      </c>
      <c r="I1916" s="2">
        <v>102.98</v>
      </c>
      <c r="J1916">
        <v>1</v>
      </c>
      <c r="K1916" s="2">
        <v>3.5489999999999999</v>
      </c>
      <c r="L1916" s="3">
        <f>(Table1[[#This Row],[Profit]]/Table1[[#This Row],[Sales]])*100</f>
        <v>3.4463002524762087</v>
      </c>
    </row>
    <row r="1917" spans="1:12" x14ac:dyDescent="0.3">
      <c r="A1917" t="s">
        <v>3990</v>
      </c>
      <c r="B1917" s="1">
        <v>43837</v>
      </c>
      <c r="C1917" t="s">
        <v>3662</v>
      </c>
      <c r="D1917" t="s">
        <v>3663</v>
      </c>
      <c r="E1917" t="s">
        <v>14</v>
      </c>
      <c r="F1917" t="s">
        <v>23</v>
      </c>
      <c r="G1917" t="s">
        <v>24</v>
      </c>
      <c r="H1917" t="s">
        <v>449</v>
      </c>
      <c r="I1917" s="2">
        <v>107.89</v>
      </c>
      <c r="J1917">
        <v>1</v>
      </c>
      <c r="K1917" s="2">
        <v>3.5505</v>
      </c>
      <c r="L1917" s="3">
        <f>(Table1[[#This Row],[Profit]]/Table1[[#This Row],[Sales]])*100</f>
        <v>3.2908517934933728</v>
      </c>
    </row>
    <row r="1918" spans="1:12" x14ac:dyDescent="0.3">
      <c r="A1918" t="s">
        <v>3131</v>
      </c>
      <c r="B1918" s="1">
        <v>43759</v>
      </c>
      <c r="C1918" t="s">
        <v>679</v>
      </c>
      <c r="D1918" t="s">
        <v>680</v>
      </c>
      <c r="E1918" t="s">
        <v>14</v>
      </c>
      <c r="F1918" t="s">
        <v>15</v>
      </c>
      <c r="G1918" t="s">
        <v>24</v>
      </c>
      <c r="H1918" t="s">
        <v>3132</v>
      </c>
      <c r="I1918" s="2">
        <v>7.92</v>
      </c>
      <c r="J1918">
        <v>4</v>
      </c>
      <c r="K1918" s="2">
        <v>3.5640000000000001</v>
      </c>
      <c r="L1918" s="3">
        <f>(Table1[[#This Row],[Profit]]/Table1[[#This Row],[Sales]])*100</f>
        <v>45</v>
      </c>
    </row>
    <row r="1919" spans="1:12" x14ac:dyDescent="0.3">
      <c r="A1919" t="s">
        <v>1989</v>
      </c>
      <c r="B1919" s="1">
        <v>43654</v>
      </c>
      <c r="C1919" t="s">
        <v>1642</v>
      </c>
      <c r="D1919" t="s">
        <v>1643</v>
      </c>
      <c r="E1919" t="s">
        <v>14</v>
      </c>
      <c r="F1919" t="s">
        <v>29</v>
      </c>
      <c r="G1919" t="s">
        <v>24</v>
      </c>
      <c r="H1919" t="s">
        <v>204</v>
      </c>
      <c r="I1919" s="2">
        <v>47.616</v>
      </c>
      <c r="J1919">
        <v>3</v>
      </c>
      <c r="K1919" s="2">
        <v>3.5712000000000002</v>
      </c>
      <c r="L1919" s="3">
        <f>(Table1[[#This Row],[Profit]]/Table1[[#This Row],[Sales]])*100</f>
        <v>7.5</v>
      </c>
    </row>
    <row r="1920" spans="1:12" x14ac:dyDescent="0.3">
      <c r="A1920" t="s">
        <v>3970</v>
      </c>
      <c r="B1920" s="1">
        <v>43830</v>
      </c>
      <c r="C1920" t="s">
        <v>3064</v>
      </c>
      <c r="D1920" t="s">
        <v>3065</v>
      </c>
      <c r="E1920" t="s">
        <v>14</v>
      </c>
      <c r="F1920" t="s">
        <v>41</v>
      </c>
      <c r="G1920" t="s">
        <v>24</v>
      </c>
      <c r="H1920" t="s">
        <v>204</v>
      </c>
      <c r="I1920" s="2">
        <v>47.616</v>
      </c>
      <c r="J1920">
        <v>3</v>
      </c>
      <c r="K1920" s="2">
        <v>3.5712000000000002</v>
      </c>
      <c r="L1920" s="3">
        <f>(Table1[[#This Row],[Profit]]/Table1[[#This Row],[Sales]])*100</f>
        <v>7.5</v>
      </c>
    </row>
    <row r="1921" spans="1:12" x14ac:dyDescent="0.3">
      <c r="A1921" t="s">
        <v>1868</v>
      </c>
      <c r="B1921" s="1">
        <v>43642</v>
      </c>
      <c r="C1921" t="s">
        <v>1869</v>
      </c>
      <c r="D1921" t="s">
        <v>1870</v>
      </c>
      <c r="E1921" t="s">
        <v>14</v>
      </c>
      <c r="F1921" t="s">
        <v>29</v>
      </c>
      <c r="G1921" t="s">
        <v>18</v>
      </c>
      <c r="H1921" t="s">
        <v>1871</v>
      </c>
      <c r="I1921" s="2">
        <v>13.616</v>
      </c>
      <c r="J1921">
        <v>2</v>
      </c>
      <c r="K1921" s="2">
        <v>3.5741999999999998</v>
      </c>
      <c r="L1921" s="3">
        <f>(Table1[[#This Row],[Profit]]/Table1[[#This Row],[Sales]])*100</f>
        <v>26.25</v>
      </c>
    </row>
    <row r="1922" spans="1:12" x14ac:dyDescent="0.3">
      <c r="A1922" t="s">
        <v>355</v>
      </c>
      <c r="B1922" s="1">
        <v>43511</v>
      </c>
      <c r="C1922" t="s">
        <v>356</v>
      </c>
      <c r="D1922" t="s">
        <v>357</v>
      </c>
      <c r="E1922" t="s">
        <v>14</v>
      </c>
      <c r="F1922" t="s">
        <v>15</v>
      </c>
      <c r="G1922" t="s">
        <v>24</v>
      </c>
      <c r="H1922" t="s">
        <v>359</v>
      </c>
      <c r="I1922" s="2">
        <v>8.7200000000000006</v>
      </c>
      <c r="J1922">
        <v>4</v>
      </c>
      <c r="K1922" s="2">
        <v>3.5752000000000002</v>
      </c>
      <c r="L1922" s="3">
        <f>(Table1[[#This Row],[Profit]]/Table1[[#This Row],[Sales]])*100</f>
        <v>41</v>
      </c>
    </row>
    <row r="1923" spans="1:12" x14ac:dyDescent="0.3">
      <c r="A1923" t="s">
        <v>2697</v>
      </c>
      <c r="B1923" s="1">
        <v>43719</v>
      </c>
      <c r="C1923" t="s">
        <v>2698</v>
      </c>
      <c r="D1923" t="s">
        <v>2699</v>
      </c>
      <c r="E1923" t="s">
        <v>14</v>
      </c>
      <c r="F1923" t="s">
        <v>23</v>
      </c>
      <c r="G1923" t="s">
        <v>24</v>
      </c>
      <c r="H1923" t="s">
        <v>2700</v>
      </c>
      <c r="I1923" s="2">
        <v>7.61</v>
      </c>
      <c r="J1923">
        <v>1</v>
      </c>
      <c r="K1923" s="2">
        <v>3.5767000000000002</v>
      </c>
      <c r="L1923" s="3">
        <f>(Table1[[#This Row],[Profit]]/Table1[[#This Row],[Sales]])*100</f>
        <v>47</v>
      </c>
    </row>
    <row r="1924" spans="1:12" x14ac:dyDescent="0.3">
      <c r="A1924" t="s">
        <v>4444</v>
      </c>
      <c r="B1924" s="1">
        <v>43931</v>
      </c>
      <c r="C1924" t="s">
        <v>544</v>
      </c>
      <c r="D1924" t="s">
        <v>545</v>
      </c>
      <c r="E1924" t="s">
        <v>14</v>
      </c>
      <c r="F1924" t="s">
        <v>15</v>
      </c>
      <c r="G1924" t="s">
        <v>24</v>
      </c>
      <c r="H1924" t="s">
        <v>2700</v>
      </c>
      <c r="I1924" s="2">
        <v>96.61</v>
      </c>
      <c r="J1924">
        <v>1</v>
      </c>
      <c r="K1924" s="2">
        <v>3.5767000000000002</v>
      </c>
      <c r="L1924" s="3">
        <f>(Table1[[#This Row],[Profit]]/Table1[[#This Row],[Sales]])*100</f>
        <v>3.7022047407100716</v>
      </c>
    </row>
    <row r="1925" spans="1:12" x14ac:dyDescent="0.3">
      <c r="A1925" t="s">
        <v>4444</v>
      </c>
      <c r="B1925" s="1">
        <v>43931</v>
      </c>
      <c r="C1925" t="s">
        <v>544</v>
      </c>
      <c r="D1925" t="s">
        <v>545</v>
      </c>
      <c r="E1925" t="s">
        <v>14</v>
      </c>
      <c r="F1925" t="s">
        <v>15</v>
      </c>
      <c r="G1925" t="s">
        <v>24</v>
      </c>
      <c r="H1925" t="s">
        <v>1885</v>
      </c>
      <c r="I1925" s="2">
        <v>106.16</v>
      </c>
      <c r="J1925">
        <v>2</v>
      </c>
      <c r="K1925" s="2">
        <v>3.58</v>
      </c>
      <c r="L1925" s="3">
        <f>(Table1[[#This Row],[Profit]]/Table1[[#This Row],[Sales]])*100</f>
        <v>3.3722682743029391</v>
      </c>
    </row>
    <row r="1926" spans="1:12" x14ac:dyDescent="0.3">
      <c r="A1926" t="s">
        <v>2722</v>
      </c>
      <c r="B1926" s="1">
        <v>43720</v>
      </c>
      <c r="C1926" t="s">
        <v>44</v>
      </c>
      <c r="D1926" t="s">
        <v>45</v>
      </c>
      <c r="E1926" t="s">
        <v>14</v>
      </c>
      <c r="F1926" t="s">
        <v>23</v>
      </c>
      <c r="G1926" t="s">
        <v>16</v>
      </c>
      <c r="H1926" t="s">
        <v>2723</v>
      </c>
      <c r="I1926" s="2">
        <v>15.135999999999999</v>
      </c>
      <c r="J1926">
        <v>4</v>
      </c>
      <c r="K1926" s="2">
        <v>3.5948000000000002</v>
      </c>
      <c r="L1926" s="3">
        <f>(Table1[[#This Row],[Profit]]/Table1[[#This Row],[Sales]])*100</f>
        <v>23.75</v>
      </c>
    </row>
    <row r="1927" spans="1:12" x14ac:dyDescent="0.3">
      <c r="A1927" t="s">
        <v>2658</v>
      </c>
      <c r="B1927" s="1">
        <v>43716</v>
      </c>
      <c r="C1927" t="s">
        <v>103</v>
      </c>
      <c r="D1927" t="s">
        <v>104</v>
      </c>
      <c r="E1927" t="s">
        <v>14</v>
      </c>
      <c r="F1927" t="s">
        <v>29</v>
      </c>
      <c r="G1927" t="s">
        <v>24</v>
      </c>
      <c r="H1927" t="s">
        <v>1205</v>
      </c>
      <c r="I1927" s="2">
        <v>35.951999999999998</v>
      </c>
      <c r="J1927">
        <v>3</v>
      </c>
      <c r="K1927" s="2">
        <v>3.5952000000000002</v>
      </c>
      <c r="L1927" s="3">
        <f>(Table1[[#This Row],[Profit]]/Table1[[#This Row],[Sales]])*100</f>
        <v>10</v>
      </c>
    </row>
    <row r="1928" spans="1:12" x14ac:dyDescent="0.3">
      <c r="A1928" t="s">
        <v>5186</v>
      </c>
      <c r="B1928" s="1">
        <v>44063</v>
      </c>
      <c r="C1928" t="s">
        <v>1119</v>
      </c>
      <c r="D1928" t="s">
        <v>1120</v>
      </c>
      <c r="E1928" t="s">
        <v>14</v>
      </c>
      <c r="F1928" t="s">
        <v>41</v>
      </c>
      <c r="G1928" t="s">
        <v>18</v>
      </c>
      <c r="H1928" t="s">
        <v>473</v>
      </c>
      <c r="I1928" s="2">
        <v>144.96</v>
      </c>
      <c r="J1928">
        <v>1</v>
      </c>
      <c r="K1928" s="2">
        <v>3.5960000000000001</v>
      </c>
      <c r="L1928" s="3">
        <f>(Table1[[#This Row],[Profit]]/Table1[[#This Row],[Sales]])*100</f>
        <v>2.4806843267108167</v>
      </c>
    </row>
    <row r="1929" spans="1:12" x14ac:dyDescent="0.3">
      <c r="A1929" t="s">
        <v>4488</v>
      </c>
      <c r="B1929" s="1">
        <v>43938</v>
      </c>
      <c r="C1929" t="s">
        <v>558</v>
      </c>
      <c r="D1929" t="s">
        <v>559</v>
      </c>
      <c r="E1929" t="s">
        <v>14</v>
      </c>
      <c r="F1929" t="s">
        <v>23</v>
      </c>
      <c r="G1929" t="s">
        <v>24</v>
      </c>
      <c r="H1929" t="s">
        <v>3243</v>
      </c>
      <c r="I1929" s="2">
        <v>114.9</v>
      </c>
      <c r="J1929">
        <v>5</v>
      </c>
      <c r="K1929" s="2">
        <v>3.597</v>
      </c>
      <c r="L1929" s="3">
        <f>(Table1[[#This Row],[Profit]]/Table1[[#This Row],[Sales]])*100</f>
        <v>3.1305483028720626</v>
      </c>
    </row>
    <row r="1930" spans="1:12" x14ac:dyDescent="0.3">
      <c r="A1930" t="s">
        <v>308</v>
      </c>
      <c r="B1930" s="1">
        <v>43503</v>
      </c>
      <c r="C1930" t="s">
        <v>309</v>
      </c>
      <c r="D1930" t="s">
        <v>310</v>
      </c>
      <c r="E1930" t="s">
        <v>14</v>
      </c>
      <c r="F1930" t="s">
        <v>41</v>
      </c>
      <c r="G1930" t="s">
        <v>24</v>
      </c>
      <c r="H1930" t="s">
        <v>312</v>
      </c>
      <c r="I1930" s="2">
        <v>7.83</v>
      </c>
      <c r="J1930">
        <v>3</v>
      </c>
      <c r="K1930" s="2">
        <v>3.6017999999999999</v>
      </c>
      <c r="L1930" s="3">
        <f>(Table1[[#This Row],[Profit]]/Table1[[#This Row],[Sales]])*100</f>
        <v>46</v>
      </c>
    </row>
    <row r="1931" spans="1:12" x14ac:dyDescent="0.3">
      <c r="A1931" t="s">
        <v>2929</v>
      </c>
      <c r="B1931" s="1">
        <v>43734</v>
      </c>
      <c r="C1931" t="s">
        <v>2930</v>
      </c>
      <c r="D1931" t="s">
        <v>2931</v>
      </c>
      <c r="E1931" t="s">
        <v>14</v>
      </c>
      <c r="F1931" t="s">
        <v>23</v>
      </c>
      <c r="G1931" t="s">
        <v>24</v>
      </c>
      <c r="H1931" t="s">
        <v>2127</v>
      </c>
      <c r="I1931" s="2">
        <v>7.83</v>
      </c>
      <c r="J1931">
        <v>3</v>
      </c>
      <c r="K1931" s="2">
        <v>3.6017999999999999</v>
      </c>
      <c r="L1931" s="3">
        <f>(Table1[[#This Row],[Profit]]/Table1[[#This Row],[Sales]])*100</f>
        <v>46</v>
      </c>
    </row>
    <row r="1932" spans="1:12" x14ac:dyDescent="0.3">
      <c r="A1932" t="s">
        <v>5017</v>
      </c>
      <c r="B1932" s="1">
        <v>44027</v>
      </c>
      <c r="C1932" t="s">
        <v>4608</v>
      </c>
      <c r="D1932" t="s">
        <v>4609</v>
      </c>
      <c r="E1932" t="s">
        <v>14</v>
      </c>
      <c r="F1932" t="s">
        <v>15</v>
      </c>
      <c r="G1932" t="s">
        <v>24</v>
      </c>
      <c r="H1932" t="s">
        <v>2724</v>
      </c>
      <c r="I1932" s="2">
        <v>93.83</v>
      </c>
      <c r="J1932">
        <v>3</v>
      </c>
      <c r="K1932" s="2">
        <v>3.6017999999999999</v>
      </c>
      <c r="L1932" s="3">
        <f>(Table1[[#This Row],[Profit]]/Table1[[#This Row],[Sales]])*100</f>
        <v>3.8386443568155175</v>
      </c>
    </row>
    <row r="1933" spans="1:12" x14ac:dyDescent="0.3">
      <c r="A1933" t="s">
        <v>3791</v>
      </c>
      <c r="B1933" s="1">
        <v>43811</v>
      </c>
      <c r="C1933" t="s">
        <v>3535</v>
      </c>
      <c r="D1933" t="s">
        <v>3536</v>
      </c>
      <c r="E1933" t="s">
        <v>14</v>
      </c>
      <c r="F1933" t="s">
        <v>29</v>
      </c>
      <c r="G1933" t="s">
        <v>24</v>
      </c>
      <c r="H1933" t="s">
        <v>1551</v>
      </c>
      <c r="I1933" s="2">
        <v>13.9</v>
      </c>
      <c r="J1933">
        <v>5</v>
      </c>
      <c r="K1933" s="2">
        <v>3.6139999999999999</v>
      </c>
      <c r="L1933" s="3">
        <f>(Table1[[#This Row],[Profit]]/Table1[[#This Row],[Sales]])*100</f>
        <v>26</v>
      </c>
    </row>
    <row r="1934" spans="1:12" x14ac:dyDescent="0.3">
      <c r="A1934" t="s">
        <v>5804</v>
      </c>
      <c r="B1934" s="1">
        <v>44141</v>
      </c>
      <c r="C1934" t="s">
        <v>133</v>
      </c>
      <c r="D1934" t="s">
        <v>134</v>
      </c>
      <c r="E1934" t="s">
        <v>14</v>
      </c>
      <c r="F1934" t="s">
        <v>29</v>
      </c>
      <c r="G1934" t="s">
        <v>24</v>
      </c>
      <c r="H1934" t="s">
        <v>2155</v>
      </c>
      <c r="I1934" s="2">
        <v>88.9</v>
      </c>
      <c r="J1934">
        <v>5</v>
      </c>
      <c r="K1934" s="2">
        <v>3.6139999999999999</v>
      </c>
      <c r="L1934" s="3">
        <f>(Table1[[#This Row],[Profit]]/Table1[[#This Row],[Sales]])*100</f>
        <v>4.0652418447694041</v>
      </c>
    </row>
    <row r="1935" spans="1:12" x14ac:dyDescent="0.3">
      <c r="A1935" t="s">
        <v>5073</v>
      </c>
      <c r="B1935" s="1">
        <v>44040</v>
      </c>
      <c r="C1935" t="s">
        <v>2569</v>
      </c>
      <c r="D1935" t="s">
        <v>2570</v>
      </c>
      <c r="E1935" t="s">
        <v>14</v>
      </c>
      <c r="F1935" t="s">
        <v>23</v>
      </c>
      <c r="G1935" t="s">
        <v>24</v>
      </c>
      <c r="H1935" t="s">
        <v>1943</v>
      </c>
      <c r="I1935" s="2">
        <v>132.98400000000001</v>
      </c>
      <c r="J1935">
        <v>4</v>
      </c>
      <c r="K1935" s="2">
        <v>3.6192000000000002</v>
      </c>
      <c r="L1935" s="3">
        <f>(Table1[[#This Row],[Profit]]/Table1[[#This Row],[Sales]])*100</f>
        <v>2.7215304096733441</v>
      </c>
    </row>
    <row r="1936" spans="1:12" x14ac:dyDescent="0.3">
      <c r="A1936" t="s">
        <v>722</v>
      </c>
      <c r="B1936" s="1">
        <v>43544</v>
      </c>
      <c r="C1936" t="s">
        <v>528</v>
      </c>
      <c r="D1936" t="s">
        <v>529</v>
      </c>
      <c r="E1936" t="s">
        <v>14</v>
      </c>
      <c r="F1936" t="s">
        <v>23</v>
      </c>
      <c r="G1936" t="s">
        <v>24</v>
      </c>
      <c r="H1936" t="s">
        <v>725</v>
      </c>
      <c r="I1936" s="2">
        <v>10.368</v>
      </c>
      <c r="J1936">
        <v>2</v>
      </c>
      <c r="K1936" s="2">
        <v>3.6288</v>
      </c>
      <c r="L1936" s="3">
        <f>(Table1[[#This Row],[Profit]]/Table1[[#This Row],[Sales]])*100</f>
        <v>35</v>
      </c>
    </row>
    <row r="1937" spans="1:12" x14ac:dyDescent="0.3">
      <c r="A1937" t="s">
        <v>1291</v>
      </c>
      <c r="B1937" s="1">
        <v>43593</v>
      </c>
      <c r="C1937" t="s">
        <v>1292</v>
      </c>
      <c r="D1937" t="s">
        <v>1293</v>
      </c>
      <c r="E1937" t="s">
        <v>14</v>
      </c>
      <c r="F1937" t="s">
        <v>15</v>
      </c>
      <c r="G1937" t="s">
        <v>24</v>
      </c>
      <c r="H1937" t="s">
        <v>1296</v>
      </c>
      <c r="I1937" s="2">
        <v>10.368</v>
      </c>
      <c r="J1937">
        <v>2</v>
      </c>
      <c r="K1937" s="2">
        <v>3.6288</v>
      </c>
      <c r="L1937" s="3">
        <f>(Table1[[#This Row],[Profit]]/Table1[[#This Row],[Sales]])*100</f>
        <v>35</v>
      </c>
    </row>
    <row r="1938" spans="1:12" x14ac:dyDescent="0.3">
      <c r="A1938" t="s">
        <v>1479</v>
      </c>
      <c r="B1938" s="1">
        <v>43608</v>
      </c>
      <c r="C1938" t="s">
        <v>1480</v>
      </c>
      <c r="D1938" t="s">
        <v>1481</v>
      </c>
      <c r="E1938" t="s">
        <v>14</v>
      </c>
      <c r="F1938" t="s">
        <v>15</v>
      </c>
      <c r="G1938" t="s">
        <v>24</v>
      </c>
      <c r="H1938" t="s">
        <v>1484</v>
      </c>
      <c r="I1938" s="2">
        <v>10.368</v>
      </c>
      <c r="J1938">
        <v>2</v>
      </c>
      <c r="K1938" s="2">
        <v>3.6288</v>
      </c>
      <c r="L1938" s="3">
        <f>(Table1[[#This Row],[Profit]]/Table1[[#This Row],[Sales]])*100</f>
        <v>35</v>
      </c>
    </row>
    <row r="1939" spans="1:12" x14ac:dyDescent="0.3">
      <c r="A1939" t="s">
        <v>1495</v>
      </c>
      <c r="B1939" s="1">
        <v>43611</v>
      </c>
      <c r="C1939" t="s">
        <v>1496</v>
      </c>
      <c r="D1939" t="s">
        <v>1497</v>
      </c>
      <c r="E1939" t="s">
        <v>14</v>
      </c>
      <c r="F1939" t="s">
        <v>29</v>
      </c>
      <c r="G1939" t="s">
        <v>24</v>
      </c>
      <c r="H1939" t="s">
        <v>62</v>
      </c>
      <c r="I1939" s="2">
        <v>10.368</v>
      </c>
      <c r="J1939">
        <v>2</v>
      </c>
      <c r="K1939" s="2">
        <v>3.6288</v>
      </c>
      <c r="L1939" s="3">
        <f>(Table1[[#This Row],[Profit]]/Table1[[#This Row],[Sales]])*100</f>
        <v>35</v>
      </c>
    </row>
    <row r="1940" spans="1:12" x14ac:dyDescent="0.3">
      <c r="A1940" t="s">
        <v>1592</v>
      </c>
      <c r="B1940" s="1">
        <v>43616</v>
      </c>
      <c r="C1940" t="s">
        <v>977</v>
      </c>
      <c r="D1940" t="s">
        <v>978</v>
      </c>
      <c r="E1940" t="s">
        <v>14</v>
      </c>
      <c r="F1940" t="s">
        <v>29</v>
      </c>
      <c r="G1940" t="s">
        <v>24</v>
      </c>
      <c r="H1940" t="s">
        <v>62</v>
      </c>
      <c r="I1940" s="2">
        <v>10.368</v>
      </c>
      <c r="J1940">
        <v>2</v>
      </c>
      <c r="K1940" s="2">
        <v>3.6288</v>
      </c>
      <c r="L1940" s="3">
        <f>(Table1[[#This Row],[Profit]]/Table1[[#This Row],[Sales]])*100</f>
        <v>35</v>
      </c>
    </row>
    <row r="1941" spans="1:12" x14ac:dyDescent="0.3">
      <c r="A1941" t="s">
        <v>1820</v>
      </c>
      <c r="B1941" s="1">
        <v>43636</v>
      </c>
      <c r="C1941" t="s">
        <v>361</v>
      </c>
      <c r="D1941" t="s">
        <v>362</v>
      </c>
      <c r="E1941" t="s">
        <v>14</v>
      </c>
      <c r="F1941" t="s">
        <v>29</v>
      </c>
      <c r="G1941" t="s">
        <v>24</v>
      </c>
      <c r="H1941" t="s">
        <v>365</v>
      </c>
      <c r="I1941" s="2">
        <v>10.368</v>
      </c>
      <c r="J1941">
        <v>2</v>
      </c>
      <c r="K1941" s="2">
        <v>3.6288</v>
      </c>
      <c r="L1941" s="3">
        <f>(Table1[[#This Row],[Profit]]/Table1[[#This Row],[Sales]])*100</f>
        <v>35</v>
      </c>
    </row>
    <row r="1942" spans="1:12" x14ac:dyDescent="0.3">
      <c r="A1942" t="s">
        <v>3467</v>
      </c>
      <c r="B1942" s="1">
        <v>43788</v>
      </c>
      <c r="C1942" t="s">
        <v>128</v>
      </c>
      <c r="D1942" t="s">
        <v>129</v>
      </c>
      <c r="E1942" t="s">
        <v>14</v>
      </c>
      <c r="F1942" t="s">
        <v>29</v>
      </c>
      <c r="G1942" t="s">
        <v>24</v>
      </c>
      <c r="H1942" t="s">
        <v>2934</v>
      </c>
      <c r="I1942" s="2">
        <v>10.368</v>
      </c>
      <c r="J1942">
        <v>2</v>
      </c>
      <c r="K1942" s="2">
        <v>3.6288</v>
      </c>
      <c r="L1942" s="3">
        <f>(Table1[[#This Row],[Profit]]/Table1[[#This Row],[Sales]])*100</f>
        <v>35</v>
      </c>
    </row>
    <row r="1943" spans="1:12" x14ac:dyDescent="0.3">
      <c r="A1943" t="s">
        <v>3931</v>
      </c>
      <c r="B1943" s="1">
        <v>43826</v>
      </c>
      <c r="C1943" t="s">
        <v>2182</v>
      </c>
      <c r="D1943" t="s">
        <v>2183</v>
      </c>
      <c r="E1943" t="s">
        <v>14</v>
      </c>
      <c r="F1943" t="s">
        <v>29</v>
      </c>
      <c r="G1943" t="s">
        <v>24</v>
      </c>
      <c r="H1943" t="s">
        <v>3832</v>
      </c>
      <c r="I1943" s="2">
        <v>10.368</v>
      </c>
      <c r="J1943">
        <v>2</v>
      </c>
      <c r="K1943" s="2">
        <v>3.6288</v>
      </c>
      <c r="L1943" s="3">
        <f>(Table1[[#This Row],[Profit]]/Table1[[#This Row],[Sales]])*100</f>
        <v>35</v>
      </c>
    </row>
    <row r="1944" spans="1:12" x14ac:dyDescent="0.3">
      <c r="A1944" t="s">
        <v>4440</v>
      </c>
      <c r="B1944" s="1">
        <v>43931</v>
      </c>
      <c r="C1944" t="s">
        <v>4441</v>
      </c>
      <c r="D1944" t="s">
        <v>4442</v>
      </c>
      <c r="E1944" t="s">
        <v>14</v>
      </c>
      <c r="F1944" t="s">
        <v>29</v>
      </c>
      <c r="G1944" t="s">
        <v>24</v>
      </c>
      <c r="H1944" t="s">
        <v>725</v>
      </c>
      <c r="I1944" s="2">
        <v>118.36799999999999</v>
      </c>
      <c r="J1944">
        <v>2</v>
      </c>
      <c r="K1944" s="2">
        <v>3.6288</v>
      </c>
      <c r="L1944" s="3">
        <f>(Table1[[#This Row],[Profit]]/Table1[[#This Row],[Sales]])*100</f>
        <v>3.0656934306569341</v>
      </c>
    </row>
    <row r="1945" spans="1:12" x14ac:dyDescent="0.3">
      <c r="A1945" t="s">
        <v>4561</v>
      </c>
      <c r="B1945" s="1">
        <v>43951</v>
      </c>
      <c r="C1945" t="s">
        <v>206</v>
      </c>
      <c r="D1945" t="s">
        <v>207</v>
      </c>
      <c r="E1945" t="s">
        <v>14</v>
      </c>
      <c r="F1945" t="s">
        <v>15</v>
      </c>
      <c r="G1945" t="s">
        <v>24</v>
      </c>
      <c r="H1945" t="s">
        <v>1296</v>
      </c>
      <c r="I1945" s="2">
        <v>119.36799999999999</v>
      </c>
      <c r="J1945">
        <v>2</v>
      </c>
      <c r="K1945" s="2">
        <v>3.6288</v>
      </c>
      <c r="L1945" s="3">
        <f>(Table1[[#This Row],[Profit]]/Table1[[#This Row],[Sales]])*100</f>
        <v>3.0400107231418807</v>
      </c>
    </row>
    <row r="1946" spans="1:12" x14ac:dyDescent="0.3">
      <c r="A1946" t="s">
        <v>5277</v>
      </c>
      <c r="B1946" s="1">
        <v>44078</v>
      </c>
      <c r="C1946" t="s">
        <v>5181</v>
      </c>
      <c r="D1946" t="s">
        <v>5182</v>
      </c>
      <c r="E1946" t="s">
        <v>14</v>
      </c>
      <c r="F1946" t="s">
        <v>41</v>
      </c>
      <c r="G1946" t="s">
        <v>24</v>
      </c>
      <c r="H1946" t="s">
        <v>2001</v>
      </c>
      <c r="I1946" s="2">
        <v>133.36799999999999</v>
      </c>
      <c r="J1946">
        <v>2</v>
      </c>
      <c r="K1946" s="2">
        <v>3.6288</v>
      </c>
      <c r="L1946" s="3">
        <f>(Table1[[#This Row],[Profit]]/Table1[[#This Row],[Sales]])*100</f>
        <v>2.7208925679323377</v>
      </c>
    </row>
    <row r="1947" spans="1:12" x14ac:dyDescent="0.3">
      <c r="A1947" t="s">
        <v>5519</v>
      </c>
      <c r="B1947" s="1">
        <v>44102</v>
      </c>
      <c r="C1947" t="s">
        <v>3557</v>
      </c>
      <c r="D1947" t="s">
        <v>3558</v>
      </c>
      <c r="E1947" t="s">
        <v>14</v>
      </c>
      <c r="F1947" t="s">
        <v>41</v>
      </c>
      <c r="G1947" t="s">
        <v>24</v>
      </c>
      <c r="H1947" t="s">
        <v>5288</v>
      </c>
      <c r="I1947" s="2">
        <v>108.36799999999999</v>
      </c>
      <c r="J1947">
        <v>2</v>
      </c>
      <c r="K1947" s="2">
        <v>3.6288</v>
      </c>
      <c r="L1947" s="3">
        <f>(Table1[[#This Row],[Profit]]/Table1[[#This Row],[Sales]])*100</f>
        <v>3.3485899896648457</v>
      </c>
    </row>
    <row r="1948" spans="1:12" x14ac:dyDescent="0.3">
      <c r="A1948" t="s">
        <v>5852</v>
      </c>
      <c r="B1948" s="1">
        <v>44146</v>
      </c>
      <c r="C1948" t="s">
        <v>2249</v>
      </c>
      <c r="D1948" t="s">
        <v>2250</v>
      </c>
      <c r="E1948" t="s">
        <v>14</v>
      </c>
      <c r="F1948" t="s">
        <v>15</v>
      </c>
      <c r="G1948" t="s">
        <v>24</v>
      </c>
      <c r="H1948" t="s">
        <v>1296</v>
      </c>
      <c r="I1948" s="2">
        <v>111.36799999999999</v>
      </c>
      <c r="J1948">
        <v>2</v>
      </c>
      <c r="K1948" s="2">
        <v>3.6288</v>
      </c>
      <c r="L1948" s="3">
        <f>(Table1[[#This Row],[Profit]]/Table1[[#This Row],[Sales]])*100</f>
        <v>3.2583866101573165</v>
      </c>
    </row>
    <row r="1949" spans="1:12" x14ac:dyDescent="0.3">
      <c r="A1949" t="s">
        <v>6063</v>
      </c>
      <c r="B1949" s="1">
        <v>44166</v>
      </c>
      <c r="C1949" t="s">
        <v>1554</v>
      </c>
      <c r="D1949" t="s">
        <v>1555</v>
      </c>
      <c r="E1949" t="s">
        <v>14</v>
      </c>
      <c r="F1949" t="s">
        <v>29</v>
      </c>
      <c r="G1949" t="s">
        <v>24</v>
      </c>
      <c r="H1949" t="s">
        <v>1951</v>
      </c>
      <c r="I1949" s="2">
        <v>118.36799999999999</v>
      </c>
      <c r="J1949">
        <v>2</v>
      </c>
      <c r="K1949" s="2">
        <v>3.6288</v>
      </c>
      <c r="L1949" s="3">
        <f>(Table1[[#This Row],[Profit]]/Table1[[#This Row],[Sales]])*100</f>
        <v>3.0656934306569341</v>
      </c>
    </row>
    <row r="1950" spans="1:12" x14ac:dyDescent="0.3">
      <c r="A1950" t="s">
        <v>6091</v>
      </c>
      <c r="B1950" s="1">
        <v>44168</v>
      </c>
      <c r="C1950" t="s">
        <v>4837</v>
      </c>
      <c r="D1950" t="s">
        <v>4838</v>
      </c>
      <c r="E1950" t="s">
        <v>14</v>
      </c>
      <c r="F1950" t="s">
        <v>29</v>
      </c>
      <c r="G1950" t="s">
        <v>24</v>
      </c>
      <c r="H1950" t="s">
        <v>5098</v>
      </c>
      <c r="I1950" s="2">
        <v>117.36799999999999</v>
      </c>
      <c r="J1950">
        <v>2</v>
      </c>
      <c r="K1950" s="2">
        <v>3.6288</v>
      </c>
      <c r="L1950" s="3">
        <f>(Table1[[#This Row],[Profit]]/Table1[[#This Row],[Sales]])*100</f>
        <v>3.0918137822915961</v>
      </c>
    </row>
    <row r="1951" spans="1:12" x14ac:dyDescent="0.3">
      <c r="A1951" t="s">
        <v>6156</v>
      </c>
      <c r="B1951" s="1">
        <v>44175</v>
      </c>
      <c r="C1951" t="s">
        <v>5246</v>
      </c>
      <c r="D1951" t="s">
        <v>5247</v>
      </c>
      <c r="E1951" t="s">
        <v>14</v>
      </c>
      <c r="F1951" t="s">
        <v>15</v>
      </c>
      <c r="G1951" t="s">
        <v>24</v>
      </c>
      <c r="H1951" t="s">
        <v>1931</v>
      </c>
      <c r="I1951" s="2">
        <v>103.36799999999999</v>
      </c>
      <c r="J1951">
        <v>2</v>
      </c>
      <c r="K1951" s="2">
        <v>3.6288</v>
      </c>
      <c r="L1951" s="3">
        <f>(Table1[[#This Row],[Profit]]/Table1[[#This Row],[Sales]])*100</f>
        <v>3.5105641978175068</v>
      </c>
    </row>
    <row r="1952" spans="1:12" x14ac:dyDescent="0.3">
      <c r="A1952" t="s">
        <v>6170</v>
      </c>
      <c r="B1952" s="1">
        <v>44176</v>
      </c>
      <c r="C1952" t="s">
        <v>3421</v>
      </c>
      <c r="D1952" t="s">
        <v>3422</v>
      </c>
      <c r="E1952" t="s">
        <v>14</v>
      </c>
      <c r="F1952" t="s">
        <v>29</v>
      </c>
      <c r="G1952" t="s">
        <v>24</v>
      </c>
      <c r="H1952" t="s">
        <v>5722</v>
      </c>
      <c r="I1952" s="2">
        <v>271.36799999999999</v>
      </c>
      <c r="J1952">
        <v>2</v>
      </c>
      <c r="K1952" s="2">
        <v>3.6288</v>
      </c>
      <c r="L1952" s="3">
        <f>(Table1[[#This Row],[Profit]]/Table1[[#This Row],[Sales]])*100</f>
        <v>1.3372247280445742</v>
      </c>
    </row>
    <row r="1953" spans="1:12" x14ac:dyDescent="0.3">
      <c r="A1953" t="s">
        <v>2273</v>
      </c>
      <c r="B1953" s="1">
        <v>43685</v>
      </c>
      <c r="C1953" t="s">
        <v>376</v>
      </c>
      <c r="D1953" t="s">
        <v>377</v>
      </c>
      <c r="E1953" t="s">
        <v>14</v>
      </c>
      <c r="F1953" t="s">
        <v>29</v>
      </c>
      <c r="G1953" t="s">
        <v>24</v>
      </c>
      <c r="H1953" t="s">
        <v>2274</v>
      </c>
      <c r="I1953" s="2">
        <v>11.167999999999999</v>
      </c>
      <c r="J1953">
        <v>4</v>
      </c>
      <c r="K1953" s="2">
        <v>3.6295999999999999</v>
      </c>
      <c r="L1953" s="3">
        <f>(Table1[[#This Row],[Profit]]/Table1[[#This Row],[Sales]])*100</f>
        <v>32.5</v>
      </c>
    </row>
    <row r="1954" spans="1:12" x14ac:dyDescent="0.3">
      <c r="A1954" t="s">
        <v>6200</v>
      </c>
      <c r="B1954" s="1">
        <v>44182</v>
      </c>
      <c r="C1954" t="s">
        <v>27</v>
      </c>
      <c r="D1954" t="s">
        <v>28</v>
      </c>
      <c r="E1954" t="s">
        <v>14</v>
      </c>
      <c r="F1954" t="s">
        <v>23</v>
      </c>
      <c r="G1954" t="s">
        <v>24</v>
      </c>
      <c r="H1954" t="s">
        <v>3951</v>
      </c>
      <c r="I1954" s="2">
        <v>1150.98</v>
      </c>
      <c r="J1954">
        <v>1</v>
      </c>
      <c r="K1954" s="2">
        <v>3.6347999999999998</v>
      </c>
      <c r="L1954" s="3">
        <f>(Table1[[#This Row],[Profit]]/Table1[[#This Row],[Sales]])*100</f>
        <v>0.31580044831361098</v>
      </c>
    </row>
    <row r="1955" spans="1:12" x14ac:dyDescent="0.3">
      <c r="A1955" t="s">
        <v>6131</v>
      </c>
      <c r="B1955" s="1">
        <v>44173</v>
      </c>
      <c r="C1955" t="s">
        <v>1139</v>
      </c>
      <c r="D1955" t="s">
        <v>1140</v>
      </c>
      <c r="E1955" t="s">
        <v>14</v>
      </c>
      <c r="F1955" t="s">
        <v>15</v>
      </c>
      <c r="G1955" t="s">
        <v>24</v>
      </c>
      <c r="H1955" t="s">
        <v>2910</v>
      </c>
      <c r="I1955" s="2">
        <v>113.248</v>
      </c>
      <c r="J1955">
        <v>4</v>
      </c>
      <c r="K1955" s="2">
        <v>3.6432000000000002</v>
      </c>
      <c r="L1955" s="3">
        <f>(Table1[[#This Row],[Profit]]/Table1[[#This Row],[Sales]])*100</f>
        <v>3.2170104549307714</v>
      </c>
    </row>
    <row r="1956" spans="1:12" x14ac:dyDescent="0.3">
      <c r="A1956" t="s">
        <v>6285</v>
      </c>
      <c r="B1956" s="1">
        <v>44192</v>
      </c>
      <c r="C1956" t="s">
        <v>754</v>
      </c>
      <c r="D1956" t="s">
        <v>755</v>
      </c>
      <c r="E1956" t="s">
        <v>14</v>
      </c>
      <c r="F1956" t="s">
        <v>15</v>
      </c>
      <c r="G1956" t="s">
        <v>24</v>
      </c>
      <c r="H1956" t="s">
        <v>2910</v>
      </c>
      <c r="I1956" s="2">
        <v>1267.248</v>
      </c>
      <c r="J1956">
        <v>4</v>
      </c>
      <c r="K1956" s="2">
        <v>3.6432000000000002</v>
      </c>
      <c r="L1956" s="3">
        <f>(Table1[[#This Row],[Profit]]/Table1[[#This Row],[Sales]])*100</f>
        <v>0.28748911026097496</v>
      </c>
    </row>
    <row r="1957" spans="1:12" x14ac:dyDescent="0.3">
      <c r="A1957" t="s">
        <v>3694</v>
      </c>
      <c r="B1957" s="1">
        <v>43803</v>
      </c>
      <c r="C1957" t="s">
        <v>2548</v>
      </c>
      <c r="D1957" t="s">
        <v>2549</v>
      </c>
      <c r="E1957" t="s">
        <v>14</v>
      </c>
      <c r="F1957" t="s">
        <v>15</v>
      </c>
      <c r="G1957" t="s">
        <v>24</v>
      </c>
      <c r="H1957" t="s">
        <v>3695</v>
      </c>
      <c r="I1957" s="2">
        <v>182.94</v>
      </c>
      <c r="J1957">
        <v>3</v>
      </c>
      <c r="K1957" s="2">
        <v>3.6587999999999998</v>
      </c>
      <c r="L1957" s="3">
        <f>(Table1[[#This Row],[Profit]]/Table1[[#This Row],[Sales]])*100</f>
        <v>2</v>
      </c>
    </row>
    <row r="1958" spans="1:12" x14ac:dyDescent="0.3">
      <c r="A1958" t="s">
        <v>4242</v>
      </c>
      <c r="B1958" s="1">
        <v>43900</v>
      </c>
      <c r="C1958" t="s">
        <v>4243</v>
      </c>
      <c r="D1958" t="s">
        <v>4244</v>
      </c>
      <c r="E1958" t="s">
        <v>14</v>
      </c>
      <c r="F1958" t="s">
        <v>41</v>
      </c>
      <c r="G1958" t="s">
        <v>24</v>
      </c>
      <c r="H1958" t="s">
        <v>1328</v>
      </c>
      <c r="I1958" s="2">
        <v>141.78399999999999</v>
      </c>
      <c r="J1958">
        <v>1</v>
      </c>
      <c r="K1958" s="2">
        <v>3.6587999999999998</v>
      </c>
      <c r="L1958" s="3">
        <f>(Table1[[#This Row],[Profit]]/Table1[[#This Row],[Sales]])*100</f>
        <v>2.5805450544490212</v>
      </c>
    </row>
    <row r="1959" spans="1:12" x14ac:dyDescent="0.3">
      <c r="A1959" t="s">
        <v>5734</v>
      </c>
      <c r="B1959" s="1">
        <v>44134</v>
      </c>
      <c r="C1959" t="s">
        <v>2808</v>
      </c>
      <c r="D1959" t="s">
        <v>2809</v>
      </c>
      <c r="E1959" t="s">
        <v>14</v>
      </c>
      <c r="F1959" t="s">
        <v>23</v>
      </c>
      <c r="G1959" t="s">
        <v>16</v>
      </c>
      <c r="H1959" t="s">
        <v>3019</v>
      </c>
      <c r="I1959" s="2">
        <v>115.64</v>
      </c>
      <c r="J1959">
        <v>2</v>
      </c>
      <c r="K1959" s="2">
        <v>3.6631999999999998</v>
      </c>
      <c r="L1959" s="3">
        <f>(Table1[[#This Row],[Profit]]/Table1[[#This Row],[Sales]])*100</f>
        <v>3.1677620200622618</v>
      </c>
    </row>
    <row r="1960" spans="1:12" x14ac:dyDescent="0.3">
      <c r="A1960" t="s">
        <v>2592</v>
      </c>
      <c r="B1960" s="1">
        <v>43713</v>
      </c>
      <c r="C1960" t="s">
        <v>1038</v>
      </c>
      <c r="D1960" t="s">
        <v>1039</v>
      </c>
      <c r="E1960" t="s">
        <v>14</v>
      </c>
      <c r="F1960" t="s">
        <v>29</v>
      </c>
      <c r="G1960" t="s">
        <v>16</v>
      </c>
      <c r="H1960" t="s">
        <v>2593</v>
      </c>
      <c r="I1960" s="2">
        <v>12.22</v>
      </c>
      <c r="J1960">
        <v>1</v>
      </c>
      <c r="K1960" s="2">
        <v>3.6659999999999999</v>
      </c>
      <c r="L1960" s="3">
        <f>(Table1[[#This Row],[Profit]]/Table1[[#This Row],[Sales]])*100</f>
        <v>30</v>
      </c>
    </row>
    <row r="1961" spans="1:12" x14ac:dyDescent="0.3">
      <c r="A1961" t="s">
        <v>5492</v>
      </c>
      <c r="B1961" s="1">
        <v>44097</v>
      </c>
      <c r="C1961" t="s">
        <v>1563</v>
      </c>
      <c r="D1961" t="s">
        <v>1564</v>
      </c>
      <c r="E1961" t="s">
        <v>14</v>
      </c>
      <c r="F1961" t="s">
        <v>23</v>
      </c>
      <c r="G1961" t="s">
        <v>16</v>
      </c>
      <c r="H1961" t="s">
        <v>2593</v>
      </c>
      <c r="I1961" s="2">
        <v>133.328</v>
      </c>
      <c r="J1961">
        <v>3</v>
      </c>
      <c r="K1961" s="2">
        <v>3.6659999999999999</v>
      </c>
      <c r="L1961" s="3">
        <f>(Table1[[#This Row],[Profit]]/Table1[[#This Row],[Sales]])*100</f>
        <v>2.7496099843993758</v>
      </c>
    </row>
    <row r="1962" spans="1:12" x14ac:dyDescent="0.3">
      <c r="A1962" t="s">
        <v>3545</v>
      </c>
      <c r="B1962" s="1">
        <v>43793</v>
      </c>
      <c r="C1962" t="s">
        <v>3546</v>
      </c>
      <c r="D1962" t="s">
        <v>3547</v>
      </c>
      <c r="E1962" t="s">
        <v>14</v>
      </c>
      <c r="F1962" t="s">
        <v>29</v>
      </c>
      <c r="G1962" t="s">
        <v>24</v>
      </c>
      <c r="H1962" t="s">
        <v>2007</v>
      </c>
      <c r="I1962" s="2">
        <v>41.92</v>
      </c>
      <c r="J1962">
        <v>5</v>
      </c>
      <c r="K1962" s="2">
        <v>3.6680000000000001</v>
      </c>
      <c r="L1962" s="3">
        <f>(Table1[[#This Row],[Profit]]/Table1[[#This Row],[Sales]])*100</f>
        <v>8.75</v>
      </c>
    </row>
    <row r="1963" spans="1:12" x14ac:dyDescent="0.3">
      <c r="A1963" t="s">
        <v>6065</v>
      </c>
      <c r="B1963" s="1">
        <v>44166</v>
      </c>
      <c r="C1963" t="s">
        <v>4837</v>
      </c>
      <c r="D1963" t="s">
        <v>4838</v>
      </c>
      <c r="E1963" t="s">
        <v>14</v>
      </c>
      <c r="F1963" t="s">
        <v>23</v>
      </c>
      <c r="G1963" t="s">
        <v>24</v>
      </c>
      <c r="H1963" t="s">
        <v>1458</v>
      </c>
      <c r="I1963" s="2">
        <v>138.12799999999999</v>
      </c>
      <c r="J1963">
        <v>2</v>
      </c>
      <c r="K1963" s="2">
        <v>3.6714000000000002</v>
      </c>
      <c r="L1963" s="3">
        <f>(Table1[[#This Row],[Profit]]/Table1[[#This Row],[Sales]])*100</f>
        <v>2.6579694196687136</v>
      </c>
    </row>
    <row r="1964" spans="1:12" x14ac:dyDescent="0.3">
      <c r="A1964" t="s">
        <v>902</v>
      </c>
      <c r="B1964" s="1">
        <v>43562</v>
      </c>
      <c r="C1964" t="s">
        <v>903</v>
      </c>
      <c r="D1964" t="s">
        <v>904</v>
      </c>
      <c r="E1964" t="s">
        <v>14</v>
      </c>
      <c r="F1964" t="s">
        <v>15</v>
      </c>
      <c r="G1964" t="s">
        <v>24</v>
      </c>
      <c r="H1964" t="s">
        <v>906</v>
      </c>
      <c r="I1964" s="2">
        <v>36.744</v>
      </c>
      <c r="J1964">
        <v>3</v>
      </c>
      <c r="K1964" s="2">
        <v>3.6743999999999999</v>
      </c>
      <c r="L1964" s="3">
        <f>(Table1[[#This Row],[Profit]]/Table1[[#This Row],[Sales]])*100</f>
        <v>10</v>
      </c>
    </row>
    <row r="1965" spans="1:12" x14ac:dyDescent="0.3">
      <c r="A1965" t="s">
        <v>6053</v>
      </c>
      <c r="B1965" s="1">
        <v>44166</v>
      </c>
      <c r="C1965" t="s">
        <v>2616</v>
      </c>
      <c r="D1965" t="s">
        <v>2617</v>
      </c>
      <c r="E1965" t="s">
        <v>14</v>
      </c>
      <c r="F1965" t="s">
        <v>29</v>
      </c>
      <c r="G1965" t="s">
        <v>24</v>
      </c>
      <c r="H1965" t="s">
        <v>772</v>
      </c>
      <c r="I1965" s="2">
        <v>103.99</v>
      </c>
      <c r="J1965">
        <v>1</v>
      </c>
      <c r="K1965" s="2">
        <v>3.6796000000000002</v>
      </c>
      <c r="L1965" s="3">
        <f>(Table1[[#This Row],[Profit]]/Table1[[#This Row],[Sales]])*100</f>
        <v>3.5384171554957211</v>
      </c>
    </row>
    <row r="1966" spans="1:12" x14ac:dyDescent="0.3">
      <c r="A1966" t="s">
        <v>2879</v>
      </c>
      <c r="B1966" s="1">
        <v>43731</v>
      </c>
      <c r="C1966" t="s">
        <v>1056</v>
      </c>
      <c r="D1966" t="s">
        <v>1057</v>
      </c>
      <c r="E1966" t="s">
        <v>14</v>
      </c>
      <c r="F1966" t="s">
        <v>15</v>
      </c>
      <c r="G1966" t="s">
        <v>24</v>
      </c>
      <c r="H1966" t="s">
        <v>2880</v>
      </c>
      <c r="I1966" s="2">
        <v>10.528</v>
      </c>
      <c r="J1966">
        <v>7</v>
      </c>
      <c r="K1966" s="2">
        <v>3.6848000000000001</v>
      </c>
      <c r="L1966" s="3">
        <f>(Table1[[#This Row],[Profit]]/Table1[[#This Row],[Sales]])*100</f>
        <v>35</v>
      </c>
    </row>
    <row r="1967" spans="1:12" x14ac:dyDescent="0.3">
      <c r="A1967" t="s">
        <v>5622</v>
      </c>
      <c r="B1967" s="1">
        <v>44118</v>
      </c>
      <c r="C1967" t="s">
        <v>3936</v>
      </c>
      <c r="D1967" t="s">
        <v>3937</v>
      </c>
      <c r="E1967" t="s">
        <v>14</v>
      </c>
      <c r="F1967" t="s">
        <v>23</v>
      </c>
      <c r="G1967" t="s">
        <v>16</v>
      </c>
      <c r="H1967" t="s">
        <v>2723</v>
      </c>
      <c r="I1967" s="2">
        <v>102.46</v>
      </c>
      <c r="J1967">
        <v>2</v>
      </c>
      <c r="K1967" s="2">
        <v>3.6894</v>
      </c>
      <c r="L1967" s="3">
        <f>(Table1[[#This Row],[Profit]]/Table1[[#This Row],[Sales]])*100</f>
        <v>3.6008198321296119</v>
      </c>
    </row>
    <row r="1968" spans="1:12" x14ac:dyDescent="0.3">
      <c r="A1968" t="s">
        <v>2874</v>
      </c>
      <c r="B1968" s="1">
        <v>43731</v>
      </c>
      <c r="C1968" t="s">
        <v>2875</v>
      </c>
      <c r="D1968" t="s">
        <v>2876</v>
      </c>
      <c r="E1968" t="s">
        <v>14</v>
      </c>
      <c r="F1968" t="s">
        <v>23</v>
      </c>
      <c r="G1968" t="s">
        <v>24</v>
      </c>
      <c r="H1968" t="s">
        <v>2877</v>
      </c>
      <c r="I1968" s="2">
        <v>13.68</v>
      </c>
      <c r="J1968">
        <v>2</v>
      </c>
      <c r="K1968" s="2">
        <v>3.6936</v>
      </c>
      <c r="L1968" s="3">
        <f>(Table1[[#This Row],[Profit]]/Table1[[#This Row],[Sales]])*100</f>
        <v>27</v>
      </c>
    </row>
    <row r="1969" spans="1:12" x14ac:dyDescent="0.3">
      <c r="A1969" t="s">
        <v>5731</v>
      </c>
      <c r="B1969" s="1">
        <v>44134</v>
      </c>
      <c r="C1969" t="s">
        <v>2985</v>
      </c>
      <c r="D1969" t="s">
        <v>2986</v>
      </c>
      <c r="E1969" t="s">
        <v>14</v>
      </c>
      <c r="F1969" t="s">
        <v>23</v>
      </c>
      <c r="G1969" t="s">
        <v>24</v>
      </c>
      <c r="H1969" t="s">
        <v>5271</v>
      </c>
      <c r="I1969" s="2">
        <v>120.42</v>
      </c>
      <c r="J1969">
        <v>2</v>
      </c>
      <c r="K1969" s="2">
        <v>3.71</v>
      </c>
      <c r="L1969" s="3">
        <f>(Table1[[#This Row],[Profit]]/Table1[[#This Row],[Sales]])*100</f>
        <v>3.0808835741571166</v>
      </c>
    </row>
    <row r="1970" spans="1:12" x14ac:dyDescent="0.3">
      <c r="A1970" t="s">
        <v>5502</v>
      </c>
      <c r="B1970" s="1">
        <v>44098</v>
      </c>
      <c r="C1970" t="s">
        <v>702</v>
      </c>
      <c r="D1970" t="s">
        <v>703</v>
      </c>
      <c r="E1970" t="s">
        <v>14</v>
      </c>
      <c r="F1970" t="s">
        <v>29</v>
      </c>
      <c r="G1970" t="s">
        <v>24</v>
      </c>
      <c r="H1970" t="s">
        <v>5505</v>
      </c>
      <c r="I1970" s="2">
        <v>113.42400000000001</v>
      </c>
      <c r="J1970">
        <v>3</v>
      </c>
      <c r="K1970" s="2">
        <v>3.7128000000000001</v>
      </c>
      <c r="L1970" s="3">
        <f>(Table1[[#This Row],[Profit]]/Table1[[#This Row],[Sales]])*100</f>
        <v>3.2733812949640284</v>
      </c>
    </row>
    <row r="1971" spans="1:12" x14ac:dyDescent="0.3">
      <c r="A1971" t="s">
        <v>5493</v>
      </c>
      <c r="B1971" s="1">
        <v>44098</v>
      </c>
      <c r="C1971" t="s">
        <v>573</v>
      </c>
      <c r="D1971" t="s">
        <v>574</v>
      </c>
      <c r="E1971" t="s">
        <v>14</v>
      </c>
      <c r="F1971" t="s">
        <v>41</v>
      </c>
      <c r="G1971" t="s">
        <v>24</v>
      </c>
      <c r="H1971" t="s">
        <v>1127</v>
      </c>
      <c r="I1971" s="2">
        <v>103.28</v>
      </c>
      <c r="J1971">
        <v>4</v>
      </c>
      <c r="K1971" s="2">
        <v>3.7128000000000001</v>
      </c>
      <c r="L1971" s="3">
        <f>(Table1[[#This Row],[Profit]]/Table1[[#This Row],[Sales]])*100</f>
        <v>3.5948876839659181</v>
      </c>
    </row>
    <row r="1972" spans="1:12" x14ac:dyDescent="0.3">
      <c r="A1972" t="s">
        <v>5786</v>
      </c>
      <c r="B1972" s="1">
        <v>44140</v>
      </c>
      <c r="C1972" t="s">
        <v>5787</v>
      </c>
      <c r="D1972" t="s">
        <v>5788</v>
      </c>
      <c r="E1972" t="s">
        <v>14</v>
      </c>
      <c r="F1972" t="s">
        <v>15</v>
      </c>
      <c r="G1972" t="s">
        <v>24</v>
      </c>
      <c r="H1972" t="s">
        <v>3193</v>
      </c>
      <c r="I1972" s="2">
        <v>114.42400000000001</v>
      </c>
      <c r="J1972">
        <v>1</v>
      </c>
      <c r="K1972" s="2">
        <v>3.7128000000000001</v>
      </c>
      <c r="L1972" s="3">
        <f>(Table1[[#This Row],[Profit]]/Table1[[#This Row],[Sales]])*100</f>
        <v>3.2447738236733552</v>
      </c>
    </row>
    <row r="1973" spans="1:12" x14ac:dyDescent="0.3">
      <c r="A1973" t="s">
        <v>2676</v>
      </c>
      <c r="B1973" s="1">
        <v>43716</v>
      </c>
      <c r="C1973" t="s">
        <v>1656</v>
      </c>
      <c r="D1973" t="s">
        <v>1657</v>
      </c>
      <c r="E1973" t="s">
        <v>14</v>
      </c>
      <c r="F1973" t="s">
        <v>23</v>
      </c>
      <c r="G1973" t="s">
        <v>24</v>
      </c>
      <c r="H1973" t="s">
        <v>2062</v>
      </c>
      <c r="I1973" s="2">
        <v>14.88</v>
      </c>
      <c r="J1973">
        <v>2</v>
      </c>
      <c r="K1973" s="2">
        <v>3.72</v>
      </c>
      <c r="L1973" s="3">
        <f>(Table1[[#This Row],[Profit]]/Table1[[#This Row],[Sales]])*100</f>
        <v>25</v>
      </c>
    </row>
    <row r="1974" spans="1:12" x14ac:dyDescent="0.3">
      <c r="A1974" t="s">
        <v>5359</v>
      </c>
      <c r="B1974" s="1">
        <v>44084</v>
      </c>
      <c r="C1974" t="s">
        <v>5331</v>
      </c>
      <c r="D1974" t="s">
        <v>5332</v>
      </c>
      <c r="E1974" t="s">
        <v>14</v>
      </c>
      <c r="F1974" t="s">
        <v>15</v>
      </c>
      <c r="G1974" t="s">
        <v>24</v>
      </c>
      <c r="H1974" t="s">
        <v>2062</v>
      </c>
      <c r="I1974" s="2">
        <v>145.88</v>
      </c>
      <c r="J1974">
        <v>2</v>
      </c>
      <c r="K1974" s="2">
        <v>3.72</v>
      </c>
      <c r="L1974" s="3">
        <f>(Table1[[#This Row],[Profit]]/Table1[[#This Row],[Sales]])*100</f>
        <v>2.5500411296956402</v>
      </c>
    </row>
    <row r="1975" spans="1:12" x14ac:dyDescent="0.3">
      <c r="A1975" t="s">
        <v>281</v>
      </c>
      <c r="B1975" s="1">
        <v>43500</v>
      </c>
      <c r="C1975" t="s">
        <v>282</v>
      </c>
      <c r="D1975" t="s">
        <v>283</v>
      </c>
      <c r="E1975" t="s">
        <v>14</v>
      </c>
      <c r="F1975" t="s">
        <v>23</v>
      </c>
      <c r="G1975" t="s">
        <v>24</v>
      </c>
      <c r="H1975" t="s">
        <v>284</v>
      </c>
      <c r="I1975" s="2">
        <v>93.02</v>
      </c>
      <c r="J1975">
        <v>2</v>
      </c>
      <c r="K1975" s="2">
        <v>3.7208000000000001</v>
      </c>
      <c r="L1975" s="3">
        <f>(Table1[[#This Row],[Profit]]/Table1[[#This Row],[Sales]])*100</f>
        <v>4</v>
      </c>
    </row>
    <row r="1976" spans="1:12" x14ac:dyDescent="0.3">
      <c r="A1976" t="s">
        <v>2053</v>
      </c>
      <c r="B1976" s="1">
        <v>43662</v>
      </c>
      <c r="C1976" t="s">
        <v>2054</v>
      </c>
      <c r="D1976" t="s">
        <v>2055</v>
      </c>
      <c r="E1976" t="s">
        <v>14</v>
      </c>
      <c r="F1976" t="s">
        <v>29</v>
      </c>
      <c r="G1976" t="s">
        <v>24</v>
      </c>
      <c r="H1976" t="s">
        <v>2056</v>
      </c>
      <c r="I1976" s="2">
        <v>37.223999999999997</v>
      </c>
      <c r="J1976">
        <v>3</v>
      </c>
      <c r="K1976" s="2">
        <v>3.7223999999999999</v>
      </c>
      <c r="L1976" s="3">
        <f>(Table1[[#This Row],[Profit]]/Table1[[#This Row],[Sales]])*100</f>
        <v>10</v>
      </c>
    </row>
    <row r="1977" spans="1:12" x14ac:dyDescent="0.3">
      <c r="A1977" t="s">
        <v>1023</v>
      </c>
      <c r="B1977" s="1">
        <v>43571</v>
      </c>
      <c r="C1977" t="s">
        <v>1024</v>
      </c>
      <c r="D1977" t="s">
        <v>1025</v>
      </c>
      <c r="E1977" t="s">
        <v>14</v>
      </c>
      <c r="F1977" t="s">
        <v>41</v>
      </c>
      <c r="G1977" t="s">
        <v>24</v>
      </c>
      <c r="H1977" t="s">
        <v>1026</v>
      </c>
      <c r="I1977" s="2">
        <v>12.84</v>
      </c>
      <c r="J1977">
        <v>3</v>
      </c>
      <c r="K1977" s="2">
        <v>3.7235999999999998</v>
      </c>
      <c r="L1977" s="3">
        <f>(Table1[[#This Row],[Profit]]/Table1[[#This Row],[Sales]])*100</f>
        <v>28.999999999999996</v>
      </c>
    </row>
    <row r="1978" spans="1:12" x14ac:dyDescent="0.3">
      <c r="A1978" t="s">
        <v>6024</v>
      </c>
      <c r="B1978" s="1">
        <v>44161</v>
      </c>
      <c r="C1978" t="s">
        <v>1883</v>
      </c>
      <c r="D1978" t="s">
        <v>1884</v>
      </c>
      <c r="E1978" t="s">
        <v>14</v>
      </c>
      <c r="F1978" t="s">
        <v>41</v>
      </c>
      <c r="G1978" t="s">
        <v>24</v>
      </c>
      <c r="H1978" t="s">
        <v>4024</v>
      </c>
      <c r="I1978" s="2">
        <v>97.84</v>
      </c>
      <c r="J1978">
        <v>3</v>
      </c>
      <c r="K1978" s="2">
        <v>3.7235999999999998</v>
      </c>
      <c r="L1978" s="3">
        <f>(Table1[[#This Row],[Profit]]/Table1[[#This Row],[Sales]])*100</f>
        <v>3.8058053965658214</v>
      </c>
    </row>
    <row r="1979" spans="1:12" x14ac:dyDescent="0.3">
      <c r="A1979" t="s">
        <v>6010</v>
      </c>
      <c r="B1979" s="1">
        <v>44160</v>
      </c>
      <c r="C1979" t="s">
        <v>702</v>
      </c>
      <c r="D1979" t="s">
        <v>703</v>
      </c>
      <c r="E1979" t="s">
        <v>14</v>
      </c>
      <c r="F1979" t="s">
        <v>29</v>
      </c>
      <c r="G1979" t="s">
        <v>24</v>
      </c>
      <c r="H1979" t="s">
        <v>2137</v>
      </c>
      <c r="I1979" s="2">
        <v>130.68799999999999</v>
      </c>
      <c r="J1979">
        <v>4</v>
      </c>
      <c r="K1979" s="2">
        <v>3.7376</v>
      </c>
      <c r="L1979" s="3">
        <f>(Table1[[#This Row],[Profit]]/Table1[[#This Row],[Sales]])*100</f>
        <v>2.8599412340842312</v>
      </c>
    </row>
    <row r="1980" spans="1:12" x14ac:dyDescent="0.3">
      <c r="A1980" t="s">
        <v>1291</v>
      </c>
      <c r="B1980" s="1">
        <v>43593</v>
      </c>
      <c r="C1980" t="s">
        <v>1292</v>
      </c>
      <c r="D1980" t="s">
        <v>1293</v>
      </c>
      <c r="E1980" t="s">
        <v>14</v>
      </c>
      <c r="F1980" t="s">
        <v>15</v>
      </c>
      <c r="G1980" t="s">
        <v>24</v>
      </c>
      <c r="H1980" t="s">
        <v>1295</v>
      </c>
      <c r="I1980" s="2">
        <v>10.688000000000001</v>
      </c>
      <c r="J1980">
        <v>2</v>
      </c>
      <c r="K1980" s="2">
        <v>3.7408000000000001</v>
      </c>
      <c r="L1980" s="3">
        <f>(Table1[[#This Row],[Profit]]/Table1[[#This Row],[Sales]])*100</f>
        <v>35</v>
      </c>
    </row>
    <row r="1981" spans="1:12" x14ac:dyDescent="0.3">
      <c r="A1981" t="s">
        <v>4762</v>
      </c>
      <c r="B1981" s="1">
        <v>43984</v>
      </c>
      <c r="C1981" t="s">
        <v>367</v>
      </c>
      <c r="D1981" t="s">
        <v>368</v>
      </c>
      <c r="E1981" t="s">
        <v>14</v>
      </c>
      <c r="F1981" t="s">
        <v>29</v>
      </c>
      <c r="G1981" t="s">
        <v>24</v>
      </c>
      <c r="H1981" t="s">
        <v>3724</v>
      </c>
      <c r="I1981" s="2">
        <v>144.68799999999999</v>
      </c>
      <c r="J1981">
        <v>2</v>
      </c>
      <c r="K1981" s="2">
        <v>3.7408000000000001</v>
      </c>
      <c r="L1981" s="3">
        <f>(Table1[[#This Row],[Profit]]/Table1[[#This Row],[Sales]])*100</f>
        <v>2.5854251907552808</v>
      </c>
    </row>
    <row r="1982" spans="1:12" x14ac:dyDescent="0.3">
      <c r="A1982" t="s">
        <v>5758</v>
      </c>
      <c r="B1982" s="1">
        <v>44138</v>
      </c>
      <c r="C1982" t="s">
        <v>345</v>
      </c>
      <c r="D1982" t="s">
        <v>346</v>
      </c>
      <c r="E1982" t="s">
        <v>14</v>
      </c>
      <c r="F1982" t="s">
        <v>41</v>
      </c>
      <c r="G1982" t="s">
        <v>24</v>
      </c>
      <c r="H1982" t="s">
        <v>916</v>
      </c>
      <c r="I1982" s="2">
        <v>110.688</v>
      </c>
      <c r="J1982">
        <v>2</v>
      </c>
      <c r="K1982" s="2">
        <v>3.7408000000000001</v>
      </c>
      <c r="L1982" s="3">
        <f>(Table1[[#This Row],[Profit]]/Table1[[#This Row],[Sales]])*100</f>
        <v>3.3795894767273778</v>
      </c>
    </row>
    <row r="1983" spans="1:12" x14ac:dyDescent="0.3">
      <c r="A1983" t="s">
        <v>5993</v>
      </c>
      <c r="B1983" s="1">
        <v>44158</v>
      </c>
      <c r="C1983" t="s">
        <v>1907</v>
      </c>
      <c r="D1983" t="s">
        <v>1908</v>
      </c>
      <c r="E1983" t="s">
        <v>14</v>
      </c>
      <c r="F1983" t="s">
        <v>29</v>
      </c>
      <c r="G1983" t="s">
        <v>24</v>
      </c>
      <c r="H1983" t="s">
        <v>121</v>
      </c>
      <c r="I1983" s="2">
        <v>116.688</v>
      </c>
      <c r="J1983">
        <v>2</v>
      </c>
      <c r="K1983" s="2">
        <v>3.7408000000000001</v>
      </c>
      <c r="L1983" s="3">
        <f>(Table1[[#This Row],[Profit]]/Table1[[#This Row],[Sales]])*100</f>
        <v>3.2058137940490878</v>
      </c>
    </row>
    <row r="1984" spans="1:12" x14ac:dyDescent="0.3">
      <c r="A1984" t="s">
        <v>6086</v>
      </c>
      <c r="B1984" s="1">
        <v>44168</v>
      </c>
      <c r="C1984" t="s">
        <v>443</v>
      </c>
      <c r="D1984" t="s">
        <v>444</v>
      </c>
      <c r="E1984" t="s">
        <v>14</v>
      </c>
      <c r="F1984" t="s">
        <v>23</v>
      </c>
      <c r="G1984" t="s">
        <v>24</v>
      </c>
      <c r="H1984" t="s">
        <v>2483</v>
      </c>
      <c r="I1984" s="2">
        <v>100.32</v>
      </c>
      <c r="J1984">
        <v>2</v>
      </c>
      <c r="K1984" s="2">
        <v>3.7410000000000001</v>
      </c>
      <c r="L1984" s="3">
        <f>(Table1[[#This Row],[Profit]]/Table1[[#This Row],[Sales]])*100</f>
        <v>3.7290669856459333</v>
      </c>
    </row>
    <row r="1985" spans="1:12" x14ac:dyDescent="0.3">
      <c r="A1985" t="s">
        <v>1789</v>
      </c>
      <c r="B1985" s="1">
        <v>43633</v>
      </c>
      <c r="C1985" t="s">
        <v>1448</v>
      </c>
      <c r="D1985" t="s">
        <v>1449</v>
      </c>
      <c r="E1985" t="s">
        <v>14</v>
      </c>
      <c r="F1985" t="s">
        <v>15</v>
      </c>
      <c r="G1985" t="s">
        <v>24</v>
      </c>
      <c r="H1985" t="s">
        <v>1790</v>
      </c>
      <c r="I1985" s="2">
        <v>7.96</v>
      </c>
      <c r="J1985">
        <v>2</v>
      </c>
      <c r="K1985" s="2">
        <v>3.7412000000000001</v>
      </c>
      <c r="L1985" s="3">
        <f>(Table1[[#This Row],[Profit]]/Table1[[#This Row],[Sales]])*100</f>
        <v>47</v>
      </c>
    </row>
    <row r="1986" spans="1:12" x14ac:dyDescent="0.3">
      <c r="A1986" t="s">
        <v>1910</v>
      </c>
      <c r="B1986" s="1">
        <v>43644</v>
      </c>
      <c r="C1986" t="s">
        <v>1911</v>
      </c>
      <c r="D1986" t="s">
        <v>1912</v>
      </c>
      <c r="E1986" t="s">
        <v>14</v>
      </c>
      <c r="F1986" t="s">
        <v>15</v>
      </c>
      <c r="G1986" t="s">
        <v>24</v>
      </c>
      <c r="H1986" t="s">
        <v>1790</v>
      </c>
      <c r="I1986" s="2">
        <v>7.96</v>
      </c>
      <c r="J1986">
        <v>2</v>
      </c>
      <c r="K1986" s="2">
        <v>3.7412000000000001</v>
      </c>
      <c r="L1986" s="3">
        <f>(Table1[[#This Row],[Profit]]/Table1[[#This Row],[Sales]])*100</f>
        <v>47</v>
      </c>
    </row>
    <row r="1987" spans="1:12" x14ac:dyDescent="0.3">
      <c r="A1987" t="s">
        <v>2072</v>
      </c>
      <c r="B1987" s="1">
        <v>43663</v>
      </c>
      <c r="C1987" t="s">
        <v>2073</v>
      </c>
      <c r="D1987" t="s">
        <v>2074</v>
      </c>
      <c r="E1987" t="s">
        <v>14</v>
      </c>
      <c r="F1987" t="s">
        <v>29</v>
      </c>
      <c r="G1987" t="s">
        <v>24</v>
      </c>
      <c r="H1987" t="s">
        <v>468</v>
      </c>
      <c r="I1987" s="2">
        <v>7.64</v>
      </c>
      <c r="J1987">
        <v>1</v>
      </c>
      <c r="K1987" s="2">
        <v>3.7435999999999998</v>
      </c>
      <c r="L1987" s="3">
        <f>(Table1[[#This Row],[Profit]]/Table1[[#This Row],[Sales]])*100</f>
        <v>49</v>
      </c>
    </row>
    <row r="1988" spans="1:12" x14ac:dyDescent="0.3">
      <c r="A1988" t="s">
        <v>5285</v>
      </c>
      <c r="B1988" s="1">
        <v>44078</v>
      </c>
      <c r="C1988" t="s">
        <v>2633</v>
      </c>
      <c r="D1988" t="s">
        <v>2634</v>
      </c>
      <c r="E1988" t="s">
        <v>14</v>
      </c>
      <c r="F1988" t="s">
        <v>15</v>
      </c>
      <c r="G1988" t="s">
        <v>24</v>
      </c>
      <c r="H1988" t="s">
        <v>195</v>
      </c>
      <c r="I1988" s="2">
        <v>107.52</v>
      </c>
      <c r="J1988">
        <v>4</v>
      </c>
      <c r="K1988" s="2">
        <v>3.7440000000000002</v>
      </c>
      <c r="L1988" s="3">
        <f>(Table1[[#This Row],[Profit]]/Table1[[#This Row],[Sales]])*100</f>
        <v>3.4821428571428572</v>
      </c>
    </row>
    <row r="1989" spans="1:12" x14ac:dyDescent="0.3">
      <c r="A1989" t="s">
        <v>2706</v>
      </c>
      <c r="B1989" s="1">
        <v>43719</v>
      </c>
      <c r="C1989" t="s">
        <v>1941</v>
      </c>
      <c r="D1989" t="s">
        <v>1942</v>
      </c>
      <c r="E1989" t="s">
        <v>14</v>
      </c>
      <c r="F1989" t="s">
        <v>15</v>
      </c>
      <c r="G1989" t="s">
        <v>24</v>
      </c>
      <c r="H1989" t="s">
        <v>1733</v>
      </c>
      <c r="I1989" s="2">
        <v>37.520000000000003</v>
      </c>
      <c r="J1989">
        <v>5</v>
      </c>
      <c r="K1989" s="2">
        <v>3.7519999999999998</v>
      </c>
      <c r="L1989" s="3">
        <f>(Table1[[#This Row],[Profit]]/Table1[[#This Row],[Sales]])*100</f>
        <v>10</v>
      </c>
    </row>
    <row r="1990" spans="1:12" x14ac:dyDescent="0.3">
      <c r="A1990" t="s">
        <v>549</v>
      </c>
      <c r="B1990" s="1">
        <v>43532</v>
      </c>
      <c r="C1990" t="s">
        <v>550</v>
      </c>
      <c r="D1990" t="s">
        <v>551</v>
      </c>
      <c r="E1990" t="s">
        <v>14</v>
      </c>
      <c r="F1990" t="s">
        <v>29</v>
      </c>
      <c r="G1990" t="s">
        <v>24</v>
      </c>
      <c r="H1990" t="s">
        <v>552</v>
      </c>
      <c r="I1990" s="2">
        <v>13.9</v>
      </c>
      <c r="J1990">
        <v>5</v>
      </c>
      <c r="K1990" s="2">
        <v>3.7530000000000001</v>
      </c>
      <c r="L1990" s="3">
        <f>(Table1[[#This Row],[Profit]]/Table1[[#This Row],[Sales]])*100</f>
        <v>27</v>
      </c>
    </row>
    <row r="1991" spans="1:12" x14ac:dyDescent="0.3">
      <c r="A1991" t="s">
        <v>4291</v>
      </c>
      <c r="B1991" s="1">
        <v>43908</v>
      </c>
      <c r="C1991" t="s">
        <v>3571</v>
      </c>
      <c r="D1991" t="s">
        <v>3572</v>
      </c>
      <c r="E1991" t="s">
        <v>14</v>
      </c>
      <c r="F1991" t="s">
        <v>23</v>
      </c>
      <c r="G1991" t="s">
        <v>24</v>
      </c>
      <c r="H1991" t="s">
        <v>552</v>
      </c>
      <c r="I1991" s="2">
        <v>108.9</v>
      </c>
      <c r="J1991">
        <v>5</v>
      </c>
      <c r="K1991" s="2">
        <v>3.7530000000000001</v>
      </c>
      <c r="L1991" s="3">
        <f>(Table1[[#This Row],[Profit]]/Table1[[#This Row],[Sales]])*100</f>
        <v>3.446280991735537</v>
      </c>
    </row>
    <row r="1992" spans="1:12" x14ac:dyDescent="0.3">
      <c r="A1992" t="s">
        <v>3867</v>
      </c>
      <c r="B1992" s="1">
        <v>43821</v>
      </c>
      <c r="C1992" t="s">
        <v>3168</v>
      </c>
      <c r="D1992" t="s">
        <v>3169</v>
      </c>
      <c r="E1992" t="s">
        <v>14</v>
      </c>
      <c r="F1992" t="s">
        <v>23</v>
      </c>
      <c r="G1992" t="s">
        <v>18</v>
      </c>
      <c r="H1992" t="s">
        <v>3514</v>
      </c>
      <c r="I1992" s="2">
        <v>11.56</v>
      </c>
      <c r="J1992">
        <v>1</v>
      </c>
      <c r="K1992" s="2">
        <v>3.7570000000000001</v>
      </c>
      <c r="L1992" s="3">
        <f>(Table1[[#This Row],[Profit]]/Table1[[#This Row],[Sales]])*100</f>
        <v>32.5</v>
      </c>
    </row>
    <row r="1993" spans="1:12" x14ac:dyDescent="0.3">
      <c r="A1993" t="s">
        <v>2619</v>
      </c>
      <c r="B1993" s="1">
        <v>43713</v>
      </c>
      <c r="C1993" t="s">
        <v>2620</v>
      </c>
      <c r="D1993" t="s">
        <v>2621</v>
      </c>
      <c r="E1993" t="s">
        <v>14</v>
      </c>
      <c r="F1993" t="s">
        <v>29</v>
      </c>
      <c r="G1993" t="s">
        <v>24</v>
      </c>
      <c r="H1993" t="s">
        <v>2622</v>
      </c>
      <c r="I1993" s="2">
        <v>10.368</v>
      </c>
      <c r="J1993">
        <v>2</v>
      </c>
      <c r="K1993" s="2">
        <v>3.7584</v>
      </c>
      <c r="L1993" s="3">
        <f>(Table1[[#This Row],[Profit]]/Table1[[#This Row],[Sales]])*100</f>
        <v>36.25</v>
      </c>
    </row>
    <row r="1994" spans="1:12" x14ac:dyDescent="0.3">
      <c r="A1994" t="s">
        <v>5204</v>
      </c>
      <c r="B1994" s="1">
        <v>44067</v>
      </c>
      <c r="C1994" t="s">
        <v>1248</v>
      </c>
      <c r="D1994" t="s">
        <v>1249</v>
      </c>
      <c r="E1994" t="s">
        <v>14</v>
      </c>
      <c r="F1994" t="s">
        <v>15</v>
      </c>
      <c r="G1994" t="s">
        <v>24</v>
      </c>
      <c r="H1994" t="s">
        <v>2758</v>
      </c>
      <c r="I1994" s="2">
        <v>138.36799999999999</v>
      </c>
      <c r="J1994">
        <v>2</v>
      </c>
      <c r="K1994" s="2">
        <v>3.7584</v>
      </c>
      <c r="L1994" s="3">
        <f>(Table1[[#This Row],[Profit]]/Table1[[#This Row],[Sales]])*100</f>
        <v>2.7162349676225714</v>
      </c>
    </row>
    <row r="1995" spans="1:12" x14ac:dyDescent="0.3">
      <c r="A1995" t="s">
        <v>5606</v>
      </c>
      <c r="B1995" s="1">
        <v>44116</v>
      </c>
      <c r="C1995" t="s">
        <v>3535</v>
      </c>
      <c r="D1995" t="s">
        <v>3536</v>
      </c>
      <c r="E1995" t="s">
        <v>14</v>
      </c>
      <c r="F1995" t="s">
        <v>29</v>
      </c>
      <c r="G1995" t="s">
        <v>24</v>
      </c>
      <c r="H1995" t="s">
        <v>541</v>
      </c>
      <c r="I1995" s="2">
        <v>109.36799999999999</v>
      </c>
      <c r="J1995">
        <v>2</v>
      </c>
      <c r="K1995" s="2">
        <v>3.7584</v>
      </c>
      <c r="L1995" s="3">
        <f>(Table1[[#This Row],[Profit]]/Table1[[#This Row],[Sales]])*100</f>
        <v>3.4364713627386441</v>
      </c>
    </row>
    <row r="1996" spans="1:12" x14ac:dyDescent="0.3">
      <c r="A1996" t="s">
        <v>4864</v>
      </c>
      <c r="B1996" s="1">
        <v>44001</v>
      </c>
      <c r="C1996" t="s">
        <v>1750</v>
      </c>
      <c r="D1996" t="s">
        <v>1751</v>
      </c>
      <c r="E1996" t="s">
        <v>14</v>
      </c>
      <c r="F1996" t="s">
        <v>15</v>
      </c>
      <c r="G1996" t="s">
        <v>24</v>
      </c>
      <c r="H1996" t="s">
        <v>1434</v>
      </c>
      <c r="I1996" s="2">
        <v>137.56800000000001</v>
      </c>
      <c r="J1996">
        <v>3</v>
      </c>
      <c r="K1996" s="2">
        <v>3.7595999999999998</v>
      </c>
      <c r="L1996" s="3">
        <f>(Table1[[#This Row],[Profit]]/Table1[[#This Row],[Sales]])*100</f>
        <v>2.7329030006978363</v>
      </c>
    </row>
    <row r="1997" spans="1:12" x14ac:dyDescent="0.3">
      <c r="A1997" t="s">
        <v>5250</v>
      </c>
      <c r="B1997" s="1">
        <v>44076</v>
      </c>
      <c r="C1997" t="s">
        <v>4172</v>
      </c>
      <c r="D1997" t="s">
        <v>4173</v>
      </c>
      <c r="E1997" t="s">
        <v>14</v>
      </c>
      <c r="F1997" t="s">
        <v>15</v>
      </c>
      <c r="G1997" t="s">
        <v>24</v>
      </c>
      <c r="H1997" t="s">
        <v>2647</v>
      </c>
      <c r="I1997" s="2">
        <v>110.98</v>
      </c>
      <c r="J1997">
        <v>1</v>
      </c>
      <c r="K1997" s="2">
        <v>3.7642000000000002</v>
      </c>
      <c r="L1997" s="3">
        <f>(Table1[[#This Row],[Profit]]/Table1[[#This Row],[Sales]])*100</f>
        <v>3.391782303117679</v>
      </c>
    </row>
    <row r="1998" spans="1:12" x14ac:dyDescent="0.3">
      <c r="A1998" t="s">
        <v>1878</v>
      </c>
      <c r="B1998" s="1">
        <v>43642</v>
      </c>
      <c r="C1998" t="s">
        <v>1879</v>
      </c>
      <c r="D1998" t="s">
        <v>1880</v>
      </c>
      <c r="E1998" t="s">
        <v>14</v>
      </c>
      <c r="F1998" t="s">
        <v>29</v>
      </c>
      <c r="G1998" t="s">
        <v>24</v>
      </c>
      <c r="H1998" t="s">
        <v>1273</v>
      </c>
      <c r="I1998" s="2">
        <v>8.02</v>
      </c>
      <c r="J1998">
        <v>1</v>
      </c>
      <c r="K1998" s="2">
        <v>3.7694000000000001</v>
      </c>
      <c r="L1998" s="3">
        <f>(Table1[[#This Row],[Profit]]/Table1[[#This Row],[Sales]])*100</f>
        <v>47</v>
      </c>
    </row>
    <row r="1999" spans="1:12" x14ac:dyDescent="0.3">
      <c r="A1999" t="s">
        <v>5286</v>
      </c>
      <c r="B1999" s="1">
        <v>44078</v>
      </c>
      <c r="C1999" t="s">
        <v>367</v>
      </c>
      <c r="D1999" t="s">
        <v>368</v>
      </c>
      <c r="E1999" t="s">
        <v>14</v>
      </c>
      <c r="F1999" t="s">
        <v>29</v>
      </c>
      <c r="G1999" t="s">
        <v>24</v>
      </c>
      <c r="H1999" t="s">
        <v>5292</v>
      </c>
      <c r="I1999" s="2">
        <v>105.12</v>
      </c>
      <c r="J1999">
        <v>5</v>
      </c>
      <c r="K1999" s="2">
        <v>3.7719999999999998</v>
      </c>
      <c r="L1999" s="3">
        <f>(Table1[[#This Row],[Profit]]/Table1[[#This Row],[Sales]])*100</f>
        <v>3.5882800608828003</v>
      </c>
    </row>
    <row r="2000" spans="1:12" x14ac:dyDescent="0.3">
      <c r="A2000" t="s">
        <v>1651</v>
      </c>
      <c r="B2000" s="1">
        <v>43622</v>
      </c>
      <c r="C2000" t="s">
        <v>795</v>
      </c>
      <c r="D2000" t="s">
        <v>796</v>
      </c>
      <c r="E2000" t="s">
        <v>14</v>
      </c>
      <c r="F2000" t="s">
        <v>23</v>
      </c>
      <c r="G2000" t="s">
        <v>18</v>
      </c>
      <c r="H2000" t="s">
        <v>1653</v>
      </c>
      <c r="I2000" s="2">
        <v>26.96</v>
      </c>
      <c r="J2000">
        <v>2</v>
      </c>
      <c r="K2000" s="2">
        <v>3.7744</v>
      </c>
      <c r="L2000" s="3">
        <f>(Table1[[#This Row],[Profit]]/Table1[[#This Row],[Sales]])*100</f>
        <v>13.999999999999998</v>
      </c>
    </row>
    <row r="2001" spans="1:12" x14ac:dyDescent="0.3">
      <c r="A2001" t="s">
        <v>3844</v>
      </c>
      <c r="B2001" s="1">
        <v>43817</v>
      </c>
      <c r="C2001" t="s">
        <v>1926</v>
      </c>
      <c r="D2001" t="s">
        <v>1927</v>
      </c>
      <c r="E2001" t="s">
        <v>14</v>
      </c>
      <c r="F2001" t="s">
        <v>23</v>
      </c>
      <c r="G2001" t="s">
        <v>24</v>
      </c>
      <c r="H2001" t="s">
        <v>3851</v>
      </c>
      <c r="I2001" s="2">
        <v>11.648</v>
      </c>
      <c r="J2001">
        <v>2</v>
      </c>
      <c r="K2001" s="2">
        <v>3.7856000000000001</v>
      </c>
      <c r="L2001" s="3">
        <f>(Table1[[#This Row],[Profit]]/Table1[[#This Row],[Sales]])*100</f>
        <v>32.5</v>
      </c>
    </row>
    <row r="2002" spans="1:12" x14ac:dyDescent="0.3">
      <c r="A2002" t="s">
        <v>79</v>
      </c>
      <c r="B2002" s="1">
        <v>43474</v>
      </c>
      <c r="C2002" t="s">
        <v>80</v>
      </c>
      <c r="D2002" t="s">
        <v>81</v>
      </c>
      <c r="E2002" t="s">
        <v>14</v>
      </c>
      <c r="F2002" t="s">
        <v>15</v>
      </c>
      <c r="G2002" t="s">
        <v>16</v>
      </c>
      <c r="H2002" t="s">
        <v>82</v>
      </c>
      <c r="I2002" s="2">
        <v>15.167999999999999</v>
      </c>
      <c r="J2002">
        <v>2</v>
      </c>
      <c r="K2002" s="2">
        <v>3.7919999999999998</v>
      </c>
      <c r="L2002" s="3">
        <f>(Table1[[#This Row],[Profit]]/Table1[[#This Row],[Sales]])*100</f>
        <v>25</v>
      </c>
    </row>
    <row r="2003" spans="1:12" x14ac:dyDescent="0.3">
      <c r="A2003" t="s">
        <v>5290</v>
      </c>
      <c r="B2003" s="1">
        <v>44078</v>
      </c>
      <c r="C2003" t="s">
        <v>1020</v>
      </c>
      <c r="D2003" t="s">
        <v>1021</v>
      </c>
      <c r="E2003" t="s">
        <v>14</v>
      </c>
      <c r="F2003" t="s">
        <v>29</v>
      </c>
      <c r="G2003" t="s">
        <v>24</v>
      </c>
      <c r="H2003" t="s">
        <v>3235</v>
      </c>
      <c r="I2003" s="2">
        <v>108.384</v>
      </c>
      <c r="J2003">
        <v>1</v>
      </c>
      <c r="K2003" s="2">
        <v>3.798</v>
      </c>
      <c r="L2003" s="3">
        <f>(Table1[[#This Row],[Profit]]/Table1[[#This Row],[Sales]])*100</f>
        <v>3.504207263064659</v>
      </c>
    </row>
    <row r="2004" spans="1:12" x14ac:dyDescent="0.3">
      <c r="A2004" t="s">
        <v>907</v>
      </c>
      <c r="B2004" s="1">
        <v>43563</v>
      </c>
      <c r="C2004" t="s">
        <v>908</v>
      </c>
      <c r="D2004" t="s">
        <v>909</v>
      </c>
      <c r="E2004" t="s">
        <v>14</v>
      </c>
      <c r="F2004" t="s">
        <v>15</v>
      </c>
      <c r="G2004" t="s">
        <v>24</v>
      </c>
      <c r="H2004" t="s">
        <v>120</v>
      </c>
      <c r="I2004" s="2">
        <v>8.26</v>
      </c>
      <c r="J2004">
        <v>2</v>
      </c>
      <c r="K2004" s="2">
        <v>3.7995999999999999</v>
      </c>
      <c r="L2004" s="3">
        <f>(Table1[[#This Row],[Profit]]/Table1[[#This Row],[Sales]])*100</f>
        <v>46</v>
      </c>
    </row>
    <row r="2005" spans="1:12" x14ac:dyDescent="0.3">
      <c r="A2005" t="s">
        <v>2439</v>
      </c>
      <c r="B2005" s="1">
        <v>43703</v>
      </c>
      <c r="C2005" t="s">
        <v>2440</v>
      </c>
      <c r="D2005" t="s">
        <v>2441</v>
      </c>
      <c r="E2005" t="s">
        <v>14</v>
      </c>
      <c r="F2005" t="s">
        <v>23</v>
      </c>
      <c r="G2005" t="s">
        <v>24</v>
      </c>
      <c r="H2005" t="s">
        <v>2442</v>
      </c>
      <c r="I2005" s="2">
        <v>8.26</v>
      </c>
      <c r="J2005">
        <v>2</v>
      </c>
      <c r="K2005" s="2">
        <v>3.7995999999999999</v>
      </c>
      <c r="L2005" s="3">
        <f>(Table1[[#This Row],[Profit]]/Table1[[#This Row],[Sales]])*100</f>
        <v>46</v>
      </c>
    </row>
    <row r="2006" spans="1:12" x14ac:dyDescent="0.3">
      <c r="A2006" t="s">
        <v>4358</v>
      </c>
      <c r="B2006" s="1">
        <v>43917</v>
      </c>
      <c r="C2006" t="s">
        <v>443</v>
      </c>
      <c r="D2006" t="s">
        <v>444</v>
      </c>
      <c r="E2006" t="s">
        <v>14</v>
      </c>
      <c r="F2006" t="s">
        <v>41</v>
      </c>
      <c r="G2006" t="s">
        <v>24</v>
      </c>
      <c r="H2006" t="s">
        <v>4362</v>
      </c>
      <c r="I2006" s="2">
        <v>117.26</v>
      </c>
      <c r="J2006">
        <v>2</v>
      </c>
      <c r="K2006" s="2">
        <v>3.7995999999999999</v>
      </c>
      <c r="L2006" s="3">
        <f>(Table1[[#This Row],[Profit]]/Table1[[#This Row],[Sales]])*100</f>
        <v>3.2403206549548007</v>
      </c>
    </row>
    <row r="2007" spans="1:12" x14ac:dyDescent="0.3">
      <c r="A2007" t="s">
        <v>3214</v>
      </c>
      <c r="B2007" s="1">
        <v>43767</v>
      </c>
      <c r="C2007" t="s">
        <v>1355</v>
      </c>
      <c r="D2007" t="s">
        <v>1356</v>
      </c>
      <c r="E2007" t="s">
        <v>14</v>
      </c>
      <c r="F2007" t="s">
        <v>23</v>
      </c>
      <c r="G2007" t="s">
        <v>24</v>
      </c>
      <c r="H2007" t="s">
        <v>71</v>
      </c>
      <c r="I2007" s="2">
        <v>11.744</v>
      </c>
      <c r="J2007">
        <v>1</v>
      </c>
      <c r="K2007" s="2">
        <v>3.8168000000000002</v>
      </c>
      <c r="L2007" s="3">
        <f>(Table1[[#This Row],[Profit]]/Table1[[#This Row],[Sales]])*100</f>
        <v>32.5</v>
      </c>
    </row>
    <row r="2008" spans="1:12" x14ac:dyDescent="0.3">
      <c r="A2008" t="s">
        <v>2821</v>
      </c>
      <c r="B2008" s="1">
        <v>43727</v>
      </c>
      <c r="C2008" t="s">
        <v>1476</v>
      </c>
      <c r="D2008" t="s">
        <v>1477</v>
      </c>
      <c r="E2008" t="s">
        <v>14</v>
      </c>
      <c r="F2008" t="s">
        <v>15</v>
      </c>
      <c r="G2008" t="s">
        <v>16</v>
      </c>
      <c r="H2008" t="s">
        <v>2822</v>
      </c>
      <c r="I2008" s="2">
        <v>25.632000000000001</v>
      </c>
      <c r="J2008">
        <v>3</v>
      </c>
      <c r="K2008" s="2">
        <v>3.8448000000000002</v>
      </c>
      <c r="L2008" s="3">
        <f>(Table1[[#This Row],[Profit]]/Table1[[#This Row],[Sales]])*100</f>
        <v>15</v>
      </c>
    </row>
    <row r="2009" spans="1:12" x14ac:dyDescent="0.3">
      <c r="A2009" t="s">
        <v>3004</v>
      </c>
      <c r="B2009" s="1">
        <v>43741</v>
      </c>
      <c r="C2009" t="s">
        <v>847</v>
      </c>
      <c r="D2009" t="s">
        <v>848</v>
      </c>
      <c r="E2009" t="s">
        <v>14</v>
      </c>
      <c r="F2009" t="s">
        <v>23</v>
      </c>
      <c r="G2009" t="s">
        <v>24</v>
      </c>
      <c r="H2009" t="s">
        <v>1800</v>
      </c>
      <c r="I2009" s="2">
        <v>8.56</v>
      </c>
      <c r="J2009">
        <v>2</v>
      </c>
      <c r="K2009" s="2">
        <v>3.8519999999999999</v>
      </c>
      <c r="L2009" s="3">
        <f>(Table1[[#This Row],[Profit]]/Table1[[#This Row],[Sales]])*100</f>
        <v>44.999999999999993</v>
      </c>
    </row>
    <row r="2010" spans="1:12" x14ac:dyDescent="0.3">
      <c r="A2010" t="s">
        <v>5156</v>
      </c>
      <c r="B2010" s="1">
        <v>44060</v>
      </c>
      <c r="C2010" t="s">
        <v>4601</v>
      </c>
      <c r="D2010" t="s">
        <v>4602</v>
      </c>
      <c r="E2010" t="s">
        <v>14</v>
      </c>
      <c r="F2010" t="s">
        <v>23</v>
      </c>
      <c r="G2010" t="s">
        <v>24</v>
      </c>
      <c r="H2010" t="s">
        <v>863</v>
      </c>
      <c r="I2010" s="2">
        <v>119.56</v>
      </c>
      <c r="J2010">
        <v>2</v>
      </c>
      <c r="K2010" s="2">
        <v>3.8519999999999999</v>
      </c>
      <c r="L2010" s="3">
        <f>(Table1[[#This Row],[Profit]]/Table1[[#This Row],[Sales]])*100</f>
        <v>3.2218133154901305</v>
      </c>
    </row>
    <row r="2011" spans="1:12" x14ac:dyDescent="0.3">
      <c r="A2011" t="s">
        <v>5390</v>
      </c>
      <c r="B2011" s="1">
        <v>44088</v>
      </c>
      <c r="C2011" t="s">
        <v>652</v>
      </c>
      <c r="D2011" t="s">
        <v>653</v>
      </c>
      <c r="E2011" t="s">
        <v>14</v>
      </c>
      <c r="F2011" t="s">
        <v>15</v>
      </c>
      <c r="G2011" t="s">
        <v>24</v>
      </c>
      <c r="H2011" t="s">
        <v>4325</v>
      </c>
      <c r="I2011" s="2">
        <v>90.56</v>
      </c>
      <c r="J2011">
        <v>2</v>
      </c>
      <c r="K2011" s="2">
        <v>3.8519999999999999</v>
      </c>
      <c r="L2011" s="3">
        <f>(Table1[[#This Row],[Profit]]/Table1[[#This Row],[Sales]])*100</f>
        <v>4.2535335689045928</v>
      </c>
    </row>
    <row r="2012" spans="1:12" x14ac:dyDescent="0.3">
      <c r="A2012" t="s">
        <v>5759</v>
      </c>
      <c r="B2012" s="1">
        <v>44138</v>
      </c>
      <c r="C2012" t="s">
        <v>5760</v>
      </c>
      <c r="D2012" t="s">
        <v>5761</v>
      </c>
      <c r="E2012" t="s">
        <v>14</v>
      </c>
      <c r="F2012" t="s">
        <v>29</v>
      </c>
      <c r="G2012" t="s">
        <v>24</v>
      </c>
      <c r="H2012" t="s">
        <v>2612</v>
      </c>
      <c r="I2012" s="2">
        <v>103.56</v>
      </c>
      <c r="J2012">
        <v>2</v>
      </c>
      <c r="K2012" s="2">
        <v>3.8519999999999999</v>
      </c>
      <c r="L2012" s="3">
        <f>(Table1[[#This Row],[Profit]]/Table1[[#This Row],[Sales]])*100</f>
        <v>3.7195828505214363</v>
      </c>
    </row>
    <row r="2013" spans="1:12" x14ac:dyDescent="0.3">
      <c r="A2013" t="s">
        <v>6068</v>
      </c>
      <c r="B2013" s="1">
        <v>44167</v>
      </c>
      <c r="C2013" t="s">
        <v>3138</v>
      </c>
      <c r="D2013" t="s">
        <v>3139</v>
      </c>
      <c r="E2013" t="s">
        <v>14</v>
      </c>
      <c r="F2013" t="s">
        <v>23</v>
      </c>
      <c r="G2013" t="s">
        <v>24</v>
      </c>
      <c r="H2013" t="s">
        <v>863</v>
      </c>
      <c r="I2013" s="2">
        <v>84.56</v>
      </c>
      <c r="J2013">
        <v>2</v>
      </c>
      <c r="K2013" s="2">
        <v>3.8519999999999999</v>
      </c>
      <c r="L2013" s="3">
        <f>(Table1[[#This Row],[Profit]]/Table1[[#This Row],[Sales]])*100</f>
        <v>4.5553453169347202</v>
      </c>
    </row>
    <row r="2014" spans="1:12" x14ac:dyDescent="0.3">
      <c r="A2014" t="s">
        <v>3834</v>
      </c>
      <c r="B2014" s="1">
        <v>43816</v>
      </c>
      <c r="C2014" t="s">
        <v>267</v>
      </c>
      <c r="D2014" t="s">
        <v>268</v>
      </c>
      <c r="E2014" t="s">
        <v>14</v>
      </c>
      <c r="F2014" t="s">
        <v>23</v>
      </c>
      <c r="G2014" t="s">
        <v>24</v>
      </c>
      <c r="H2014" t="s">
        <v>2153</v>
      </c>
      <c r="I2014" s="2">
        <v>11.416</v>
      </c>
      <c r="J2014">
        <v>1</v>
      </c>
      <c r="K2014" s="2">
        <v>3.8529</v>
      </c>
      <c r="L2014" s="3">
        <f>(Table1[[#This Row],[Profit]]/Table1[[#This Row],[Sales]])*100</f>
        <v>33.75</v>
      </c>
    </row>
    <row r="2015" spans="1:12" x14ac:dyDescent="0.3">
      <c r="A2015" t="s">
        <v>4162</v>
      </c>
      <c r="B2015" s="1">
        <v>43881</v>
      </c>
      <c r="C2015" t="s">
        <v>2186</v>
      </c>
      <c r="D2015" t="s">
        <v>2187</v>
      </c>
      <c r="E2015" t="s">
        <v>14</v>
      </c>
      <c r="F2015" t="s">
        <v>23</v>
      </c>
      <c r="G2015" t="s">
        <v>24</v>
      </c>
      <c r="H2015" t="s">
        <v>4165</v>
      </c>
      <c r="I2015" s="2">
        <v>838.64</v>
      </c>
      <c r="J2015">
        <v>5</v>
      </c>
      <c r="K2015" s="2">
        <v>3.8570000000000002</v>
      </c>
      <c r="L2015" s="3">
        <f>(Table1[[#This Row],[Profit]]/Table1[[#This Row],[Sales]])*100</f>
        <v>0.45991128493751793</v>
      </c>
    </row>
    <row r="2016" spans="1:12" x14ac:dyDescent="0.3">
      <c r="A2016" t="s">
        <v>6169</v>
      </c>
      <c r="B2016" s="1">
        <v>44176</v>
      </c>
      <c r="C2016" t="s">
        <v>4503</v>
      </c>
      <c r="D2016" t="s">
        <v>4504</v>
      </c>
      <c r="E2016" t="s">
        <v>14</v>
      </c>
      <c r="F2016" t="s">
        <v>15</v>
      </c>
      <c r="G2016" t="s">
        <v>18</v>
      </c>
      <c r="H2016" t="s">
        <v>4268</v>
      </c>
      <c r="I2016" s="2">
        <v>418.85</v>
      </c>
      <c r="J2016">
        <v>3</v>
      </c>
      <c r="K2016" s="2">
        <v>3.8654999999999999</v>
      </c>
      <c r="L2016" s="3">
        <f>(Table1[[#This Row],[Profit]]/Table1[[#This Row],[Sales]])*100</f>
        <v>0.92288408738211769</v>
      </c>
    </row>
    <row r="2017" spans="1:12" x14ac:dyDescent="0.3">
      <c r="A2017" t="s">
        <v>4021</v>
      </c>
      <c r="B2017" s="1">
        <v>43845</v>
      </c>
      <c r="C2017" t="s">
        <v>1559</v>
      </c>
      <c r="D2017" t="s">
        <v>1560</v>
      </c>
      <c r="E2017" t="s">
        <v>14</v>
      </c>
      <c r="F2017" t="s">
        <v>15</v>
      </c>
      <c r="G2017" t="s">
        <v>24</v>
      </c>
      <c r="H2017" t="s">
        <v>2537</v>
      </c>
      <c r="I2017" s="2">
        <v>136.38399999999999</v>
      </c>
      <c r="J2017">
        <v>1</v>
      </c>
      <c r="K2017" s="2">
        <v>3.8681999999999999</v>
      </c>
      <c r="L2017" s="3">
        <f>(Table1[[#This Row],[Profit]]/Table1[[#This Row],[Sales]])*100</f>
        <v>2.8362564523697795</v>
      </c>
    </row>
    <row r="2018" spans="1:12" x14ac:dyDescent="0.3">
      <c r="A2018" t="s">
        <v>5037</v>
      </c>
      <c r="B2018" s="1">
        <v>44033</v>
      </c>
      <c r="C2018" t="s">
        <v>2796</v>
      </c>
      <c r="D2018" t="s">
        <v>2797</v>
      </c>
      <c r="E2018" t="s">
        <v>14</v>
      </c>
      <c r="F2018" t="s">
        <v>41</v>
      </c>
      <c r="G2018" t="s">
        <v>16</v>
      </c>
      <c r="H2018" t="s">
        <v>350</v>
      </c>
      <c r="I2018" s="2">
        <v>99.8</v>
      </c>
      <c r="J2018">
        <v>5</v>
      </c>
      <c r="K2018" s="2">
        <v>3.8719999999999999</v>
      </c>
      <c r="L2018" s="3">
        <f>(Table1[[#This Row],[Profit]]/Table1[[#This Row],[Sales]])*100</f>
        <v>3.8797595190380765</v>
      </c>
    </row>
    <row r="2019" spans="1:12" x14ac:dyDescent="0.3">
      <c r="A2019" t="s">
        <v>5459</v>
      </c>
      <c r="B2019" s="1">
        <v>44095</v>
      </c>
      <c r="C2019" t="s">
        <v>12</v>
      </c>
      <c r="D2019" t="s">
        <v>13</v>
      </c>
      <c r="E2019" t="s">
        <v>14</v>
      </c>
      <c r="F2019" t="s">
        <v>23</v>
      </c>
      <c r="G2019" t="s">
        <v>24</v>
      </c>
      <c r="H2019" t="s">
        <v>3143</v>
      </c>
      <c r="I2019" s="2">
        <v>146.51</v>
      </c>
      <c r="J2019">
        <v>1</v>
      </c>
      <c r="K2019" s="2">
        <v>3.8774999999999999</v>
      </c>
      <c r="L2019" s="3">
        <f>(Table1[[#This Row],[Profit]]/Table1[[#This Row],[Sales]])*100</f>
        <v>2.6465770254590133</v>
      </c>
    </row>
    <row r="2020" spans="1:12" x14ac:dyDescent="0.3">
      <c r="A2020" t="s">
        <v>5493</v>
      </c>
      <c r="B2020" s="1">
        <v>44098</v>
      </c>
      <c r="C2020" t="s">
        <v>573</v>
      </c>
      <c r="D2020" t="s">
        <v>574</v>
      </c>
      <c r="E2020" t="s">
        <v>14</v>
      </c>
      <c r="F2020" t="s">
        <v>41</v>
      </c>
      <c r="G2020" t="s">
        <v>24</v>
      </c>
      <c r="H2020" t="s">
        <v>3143</v>
      </c>
      <c r="I2020" s="2">
        <v>127.51</v>
      </c>
      <c r="J2020">
        <v>1</v>
      </c>
      <c r="K2020" s="2">
        <v>3.8774999999999999</v>
      </c>
      <c r="L2020" s="3">
        <f>(Table1[[#This Row],[Profit]]/Table1[[#This Row],[Sales]])*100</f>
        <v>3.0409379656497526</v>
      </c>
    </row>
    <row r="2021" spans="1:12" x14ac:dyDescent="0.3">
      <c r="A2021" t="s">
        <v>2524</v>
      </c>
      <c r="B2021" s="1">
        <v>43710</v>
      </c>
      <c r="C2021" t="s">
        <v>1303</v>
      </c>
      <c r="D2021" t="s">
        <v>1304</v>
      </c>
      <c r="E2021" t="s">
        <v>14</v>
      </c>
      <c r="F2021" t="s">
        <v>29</v>
      </c>
      <c r="G2021" t="s">
        <v>24</v>
      </c>
      <c r="H2021" t="s">
        <v>2526</v>
      </c>
      <c r="I2021" s="2">
        <v>8.26</v>
      </c>
      <c r="J2021">
        <v>2</v>
      </c>
      <c r="K2021" s="2">
        <v>3.8822000000000001</v>
      </c>
      <c r="L2021" s="3">
        <f>(Table1[[#This Row],[Profit]]/Table1[[#This Row],[Sales]])*100</f>
        <v>47</v>
      </c>
    </row>
    <row r="2022" spans="1:12" x14ac:dyDescent="0.3">
      <c r="A2022" t="s">
        <v>3418</v>
      </c>
      <c r="B2022" s="1">
        <v>43783</v>
      </c>
      <c r="C2022" t="s">
        <v>2005</v>
      </c>
      <c r="D2022" t="s">
        <v>2006</v>
      </c>
      <c r="E2022" t="s">
        <v>14</v>
      </c>
      <c r="F2022" t="s">
        <v>41</v>
      </c>
      <c r="G2022" t="s">
        <v>24</v>
      </c>
      <c r="H2022" t="s">
        <v>2526</v>
      </c>
      <c r="I2022" s="2">
        <v>8.26</v>
      </c>
      <c r="J2022">
        <v>2</v>
      </c>
      <c r="K2022" s="2">
        <v>3.8822000000000001</v>
      </c>
      <c r="L2022" s="3">
        <f>(Table1[[#This Row],[Profit]]/Table1[[#This Row],[Sales]])*100</f>
        <v>47</v>
      </c>
    </row>
    <row r="2023" spans="1:12" x14ac:dyDescent="0.3">
      <c r="A2023" t="s">
        <v>5510</v>
      </c>
      <c r="B2023" s="1">
        <v>44099</v>
      </c>
      <c r="C2023" t="s">
        <v>2320</v>
      </c>
      <c r="D2023" t="s">
        <v>2321</v>
      </c>
      <c r="E2023" t="s">
        <v>14</v>
      </c>
      <c r="F2023" t="s">
        <v>29</v>
      </c>
      <c r="G2023" t="s">
        <v>24</v>
      </c>
      <c r="H2023" t="s">
        <v>3617</v>
      </c>
      <c r="I2023" s="2">
        <v>109.26</v>
      </c>
      <c r="J2023">
        <v>2</v>
      </c>
      <c r="K2023" s="2">
        <v>3.8822000000000001</v>
      </c>
      <c r="L2023" s="3">
        <f>(Table1[[#This Row],[Profit]]/Table1[[#This Row],[Sales]])*100</f>
        <v>3.5531759106717922</v>
      </c>
    </row>
    <row r="2024" spans="1:12" x14ac:dyDescent="0.3">
      <c r="A2024" t="s">
        <v>3712</v>
      </c>
      <c r="B2024" s="1">
        <v>43804</v>
      </c>
      <c r="C2024" t="s">
        <v>497</v>
      </c>
      <c r="D2024" t="s">
        <v>498</v>
      </c>
      <c r="E2024" t="s">
        <v>14</v>
      </c>
      <c r="F2024" t="s">
        <v>29</v>
      </c>
      <c r="G2024" t="s">
        <v>24</v>
      </c>
      <c r="H2024" t="s">
        <v>2959</v>
      </c>
      <c r="I2024" s="2">
        <v>11.952</v>
      </c>
      <c r="J2024">
        <v>3</v>
      </c>
      <c r="K2024" s="2">
        <v>3.8843999999999999</v>
      </c>
      <c r="L2024" s="3">
        <f>(Table1[[#This Row],[Profit]]/Table1[[#This Row],[Sales]])*100</f>
        <v>32.5</v>
      </c>
    </row>
    <row r="2025" spans="1:12" x14ac:dyDescent="0.3">
      <c r="A2025" t="s">
        <v>4554</v>
      </c>
      <c r="B2025" s="1">
        <v>43951</v>
      </c>
      <c r="C2025" t="s">
        <v>2854</v>
      </c>
      <c r="D2025" t="s">
        <v>2855</v>
      </c>
      <c r="E2025" t="s">
        <v>14</v>
      </c>
      <c r="F2025" t="s">
        <v>41</v>
      </c>
      <c r="G2025" t="s">
        <v>24</v>
      </c>
      <c r="H2025" t="s">
        <v>1193</v>
      </c>
      <c r="I2025" s="2">
        <v>119.952</v>
      </c>
      <c r="J2025">
        <v>3</v>
      </c>
      <c r="K2025" s="2">
        <v>3.8843999999999999</v>
      </c>
      <c r="L2025" s="3">
        <f>(Table1[[#This Row],[Profit]]/Table1[[#This Row],[Sales]])*100</f>
        <v>3.2382953181272511</v>
      </c>
    </row>
    <row r="2026" spans="1:12" x14ac:dyDescent="0.3">
      <c r="A2026" t="s">
        <v>5344</v>
      </c>
      <c r="B2026" s="1">
        <v>44083</v>
      </c>
      <c r="C2026" t="s">
        <v>914</v>
      </c>
      <c r="D2026" t="s">
        <v>915</v>
      </c>
      <c r="E2026" t="s">
        <v>14</v>
      </c>
      <c r="F2026" t="s">
        <v>15</v>
      </c>
      <c r="G2026" t="s">
        <v>24</v>
      </c>
      <c r="H2026" t="s">
        <v>4692</v>
      </c>
      <c r="I2026" s="2">
        <v>104.92</v>
      </c>
      <c r="J2026">
        <v>5</v>
      </c>
      <c r="K2026" s="2">
        <v>3.8879999999999999</v>
      </c>
      <c r="L2026" s="3">
        <f>(Table1[[#This Row],[Profit]]/Table1[[#This Row],[Sales]])*100</f>
        <v>3.7056805184902779</v>
      </c>
    </row>
    <row r="2027" spans="1:12" x14ac:dyDescent="0.3">
      <c r="A2027" t="s">
        <v>2065</v>
      </c>
      <c r="B2027" s="1">
        <v>43663</v>
      </c>
      <c r="C2027" t="s">
        <v>2066</v>
      </c>
      <c r="D2027" t="s">
        <v>2067</v>
      </c>
      <c r="E2027" t="s">
        <v>14</v>
      </c>
      <c r="F2027" t="s">
        <v>23</v>
      </c>
      <c r="G2027" t="s">
        <v>24</v>
      </c>
      <c r="H2027" t="s">
        <v>1624</v>
      </c>
      <c r="I2027" s="2">
        <v>77.88</v>
      </c>
      <c r="J2027">
        <v>2</v>
      </c>
      <c r="K2027" s="2">
        <v>3.8940000000000001</v>
      </c>
      <c r="L2027" s="3">
        <f>(Table1[[#This Row],[Profit]]/Table1[[#This Row],[Sales]])*100</f>
        <v>5</v>
      </c>
    </row>
    <row r="2028" spans="1:12" x14ac:dyDescent="0.3">
      <c r="A2028" t="s">
        <v>4795</v>
      </c>
      <c r="B2028" s="1">
        <v>43992</v>
      </c>
      <c r="C2028" t="s">
        <v>1013</v>
      </c>
      <c r="D2028" t="s">
        <v>1014</v>
      </c>
      <c r="E2028" t="s">
        <v>14</v>
      </c>
      <c r="F2028" t="s">
        <v>23</v>
      </c>
      <c r="G2028" t="s">
        <v>24</v>
      </c>
      <c r="H2028" t="s">
        <v>4800</v>
      </c>
      <c r="I2028" s="2">
        <v>125.58</v>
      </c>
      <c r="J2028">
        <v>1</v>
      </c>
      <c r="K2028" s="2">
        <v>3.895</v>
      </c>
      <c r="L2028" s="3">
        <f>(Table1[[#This Row],[Profit]]/Table1[[#This Row],[Sales]])*100</f>
        <v>3.101608536391145</v>
      </c>
    </row>
    <row r="2029" spans="1:12" x14ac:dyDescent="0.3">
      <c r="A2029" t="s">
        <v>3509</v>
      </c>
      <c r="B2029" s="1">
        <v>43789</v>
      </c>
      <c r="C2029" t="s">
        <v>12</v>
      </c>
      <c r="D2029" t="s">
        <v>13</v>
      </c>
      <c r="E2029" t="s">
        <v>14</v>
      </c>
      <c r="F2029" t="s">
        <v>23</v>
      </c>
      <c r="G2029" t="s">
        <v>18</v>
      </c>
      <c r="H2029" t="s">
        <v>2247</v>
      </c>
      <c r="I2029" s="2">
        <v>27.88</v>
      </c>
      <c r="J2029">
        <v>2</v>
      </c>
      <c r="K2029" s="2">
        <v>3.9032</v>
      </c>
      <c r="L2029" s="3">
        <f>(Table1[[#This Row],[Profit]]/Table1[[#This Row],[Sales]])*100</f>
        <v>14.000000000000002</v>
      </c>
    </row>
    <row r="2030" spans="1:12" x14ac:dyDescent="0.3">
      <c r="A2030" t="s">
        <v>5530</v>
      </c>
      <c r="B2030" s="1">
        <v>44103</v>
      </c>
      <c r="C2030" t="s">
        <v>3649</v>
      </c>
      <c r="D2030" t="s">
        <v>3650</v>
      </c>
      <c r="E2030" t="s">
        <v>14</v>
      </c>
      <c r="F2030" t="s">
        <v>15</v>
      </c>
      <c r="G2030" t="s">
        <v>24</v>
      </c>
      <c r="H2030" t="s">
        <v>4165</v>
      </c>
      <c r="I2030" s="2">
        <v>122.98</v>
      </c>
      <c r="J2030">
        <v>3</v>
      </c>
      <c r="K2030" s="2">
        <v>3.9102000000000001</v>
      </c>
      <c r="L2030" s="3">
        <f>(Table1[[#This Row],[Profit]]/Table1[[#This Row],[Sales]])*100</f>
        <v>3.1795413888437145</v>
      </c>
    </row>
    <row r="2031" spans="1:12" x14ac:dyDescent="0.3">
      <c r="A2031" t="s">
        <v>5944</v>
      </c>
      <c r="B2031" s="1">
        <v>44154</v>
      </c>
      <c r="C2031" t="s">
        <v>3083</v>
      </c>
      <c r="D2031" t="s">
        <v>3084</v>
      </c>
      <c r="E2031" t="s">
        <v>14</v>
      </c>
      <c r="F2031" t="s">
        <v>29</v>
      </c>
      <c r="G2031" t="s">
        <v>24</v>
      </c>
      <c r="H2031" t="s">
        <v>5952</v>
      </c>
      <c r="I2031" s="2">
        <v>112.04</v>
      </c>
      <c r="J2031">
        <v>5</v>
      </c>
      <c r="K2031" s="2">
        <v>3.9119999999999999</v>
      </c>
      <c r="L2031" s="3">
        <f>(Table1[[#This Row],[Profit]]/Table1[[#This Row],[Sales]])*100</f>
        <v>3.4916101392359873</v>
      </c>
    </row>
    <row r="2032" spans="1:12" x14ac:dyDescent="0.3">
      <c r="A2032" t="s">
        <v>4985</v>
      </c>
      <c r="B2032" s="1">
        <v>44021</v>
      </c>
      <c r="C2032" t="s">
        <v>3662</v>
      </c>
      <c r="D2032" t="s">
        <v>3663</v>
      </c>
      <c r="E2032" t="s">
        <v>14</v>
      </c>
      <c r="F2032" t="s">
        <v>15</v>
      </c>
      <c r="G2032" t="s">
        <v>24</v>
      </c>
      <c r="H2032" t="s">
        <v>1229</v>
      </c>
      <c r="I2032" s="2">
        <v>221.64</v>
      </c>
      <c r="J2032">
        <v>4</v>
      </c>
      <c r="K2032" s="2">
        <v>3.9127999999999998</v>
      </c>
      <c r="L2032" s="3">
        <f>(Table1[[#This Row],[Profit]]/Table1[[#This Row],[Sales]])*100</f>
        <v>1.7653853095109184</v>
      </c>
    </row>
    <row r="2033" spans="1:12" x14ac:dyDescent="0.3">
      <c r="A2033" t="s">
        <v>3432</v>
      </c>
      <c r="B2033" s="1">
        <v>43783</v>
      </c>
      <c r="C2033" t="s">
        <v>1380</v>
      </c>
      <c r="D2033" t="s">
        <v>1381</v>
      </c>
      <c r="E2033" t="s">
        <v>14</v>
      </c>
      <c r="F2033" t="s">
        <v>15</v>
      </c>
      <c r="G2033" t="s">
        <v>18</v>
      </c>
      <c r="H2033" t="s">
        <v>2923</v>
      </c>
      <c r="I2033" s="2">
        <v>13.98</v>
      </c>
      <c r="J2033">
        <v>2</v>
      </c>
      <c r="K2033" s="2">
        <v>3.9144000000000001</v>
      </c>
      <c r="L2033" s="3">
        <f>(Table1[[#This Row],[Profit]]/Table1[[#This Row],[Sales]])*100</f>
        <v>27.999999999999996</v>
      </c>
    </row>
    <row r="2034" spans="1:12" x14ac:dyDescent="0.3">
      <c r="A2034" t="s">
        <v>5979</v>
      </c>
      <c r="B2034" s="1">
        <v>44156</v>
      </c>
      <c r="C2034" t="s">
        <v>1203</v>
      </c>
      <c r="D2034" t="s">
        <v>1204</v>
      </c>
      <c r="E2034" t="s">
        <v>14</v>
      </c>
      <c r="F2034" t="s">
        <v>15</v>
      </c>
      <c r="G2034" t="s">
        <v>24</v>
      </c>
      <c r="H2034" t="s">
        <v>5981</v>
      </c>
      <c r="I2034" s="2">
        <v>148.29599999999999</v>
      </c>
      <c r="J2034">
        <v>4</v>
      </c>
      <c r="K2034" s="2">
        <v>3.9296000000000002</v>
      </c>
      <c r="L2034" s="3">
        <f>(Table1[[#This Row],[Profit]]/Table1[[#This Row],[Sales]])*100</f>
        <v>2.6498354642067219</v>
      </c>
    </row>
    <row r="2035" spans="1:12" x14ac:dyDescent="0.3">
      <c r="A2035" t="s">
        <v>1602</v>
      </c>
      <c r="B2035" s="1">
        <v>43618</v>
      </c>
      <c r="C2035" t="s">
        <v>633</v>
      </c>
      <c r="D2035" t="s">
        <v>634</v>
      </c>
      <c r="E2035" t="s">
        <v>14</v>
      </c>
      <c r="F2035" t="s">
        <v>23</v>
      </c>
      <c r="G2035" t="s">
        <v>24</v>
      </c>
      <c r="H2035" t="s">
        <v>1605</v>
      </c>
      <c r="I2035" s="2">
        <v>11.231999999999999</v>
      </c>
      <c r="J2035">
        <v>3</v>
      </c>
      <c r="K2035" s="2">
        <v>3.9312</v>
      </c>
      <c r="L2035" s="3">
        <f>(Table1[[#This Row],[Profit]]/Table1[[#This Row],[Sales]])*100</f>
        <v>35</v>
      </c>
    </row>
    <row r="2036" spans="1:12" x14ac:dyDescent="0.3">
      <c r="A2036" t="s">
        <v>3955</v>
      </c>
      <c r="B2036" s="1">
        <v>43828</v>
      </c>
      <c r="C2036" t="s">
        <v>1894</v>
      </c>
      <c r="D2036" t="s">
        <v>1895</v>
      </c>
      <c r="E2036" t="s">
        <v>14</v>
      </c>
      <c r="F2036" t="s">
        <v>23</v>
      </c>
      <c r="G2036" t="s">
        <v>24</v>
      </c>
      <c r="H2036" t="s">
        <v>1605</v>
      </c>
      <c r="I2036" s="2">
        <v>11.231999999999999</v>
      </c>
      <c r="J2036">
        <v>3</v>
      </c>
      <c r="K2036" s="2">
        <v>3.9312</v>
      </c>
      <c r="L2036" s="3">
        <f>(Table1[[#This Row],[Profit]]/Table1[[#This Row],[Sales]])*100</f>
        <v>35</v>
      </c>
    </row>
    <row r="2037" spans="1:12" x14ac:dyDescent="0.3">
      <c r="A2037" t="s">
        <v>2615</v>
      </c>
      <c r="B2037" s="1">
        <v>43713</v>
      </c>
      <c r="C2037" t="s">
        <v>2616</v>
      </c>
      <c r="D2037" t="s">
        <v>2617</v>
      </c>
      <c r="E2037" t="s">
        <v>14</v>
      </c>
      <c r="F2037" t="s">
        <v>23</v>
      </c>
      <c r="G2037" t="s">
        <v>24</v>
      </c>
      <c r="H2037" t="s">
        <v>1083</v>
      </c>
      <c r="I2037" s="2">
        <v>11.68</v>
      </c>
      <c r="J2037">
        <v>2</v>
      </c>
      <c r="K2037" s="2">
        <v>3.9420000000000002</v>
      </c>
      <c r="L2037" s="3">
        <f>(Table1[[#This Row],[Profit]]/Table1[[#This Row],[Sales]])*100</f>
        <v>33.75</v>
      </c>
    </row>
    <row r="2038" spans="1:12" x14ac:dyDescent="0.3">
      <c r="A2038" t="s">
        <v>1725</v>
      </c>
      <c r="B2038" s="1">
        <v>43628</v>
      </c>
      <c r="C2038" t="s">
        <v>1726</v>
      </c>
      <c r="D2038" t="s">
        <v>1727</v>
      </c>
      <c r="E2038" t="s">
        <v>14</v>
      </c>
      <c r="F2038" t="s">
        <v>29</v>
      </c>
      <c r="G2038" t="s">
        <v>24</v>
      </c>
      <c r="H2038" t="s">
        <v>1730</v>
      </c>
      <c r="I2038" s="2">
        <v>11.263999999999999</v>
      </c>
      <c r="J2038">
        <v>8</v>
      </c>
      <c r="K2038" s="2">
        <v>3.9424000000000001</v>
      </c>
      <c r="L2038" s="3">
        <f>(Table1[[#This Row],[Profit]]/Table1[[#This Row],[Sales]])*100</f>
        <v>35</v>
      </c>
    </row>
    <row r="2039" spans="1:12" x14ac:dyDescent="0.3">
      <c r="A2039" t="s">
        <v>5262</v>
      </c>
      <c r="B2039" s="1">
        <v>44076</v>
      </c>
      <c r="C2039" t="s">
        <v>1408</v>
      </c>
      <c r="D2039" t="s">
        <v>1409</v>
      </c>
      <c r="E2039" t="s">
        <v>14</v>
      </c>
      <c r="F2039" t="s">
        <v>23</v>
      </c>
      <c r="G2039" t="s">
        <v>24</v>
      </c>
      <c r="H2039" t="s">
        <v>1406</v>
      </c>
      <c r="I2039" s="2">
        <v>126.696</v>
      </c>
      <c r="J2039">
        <v>2</v>
      </c>
      <c r="K2039" s="2">
        <v>3.9474</v>
      </c>
      <c r="L2039" s="3">
        <f>(Table1[[#This Row],[Profit]]/Table1[[#This Row],[Sales]])*100</f>
        <v>3.1156469028225042</v>
      </c>
    </row>
    <row r="2040" spans="1:12" x14ac:dyDescent="0.3">
      <c r="A2040" t="s">
        <v>4315</v>
      </c>
      <c r="B2040" s="1">
        <v>43911</v>
      </c>
      <c r="C2040" t="s">
        <v>210</v>
      </c>
      <c r="D2040" t="s">
        <v>211</v>
      </c>
      <c r="E2040" t="s">
        <v>14</v>
      </c>
      <c r="F2040" t="s">
        <v>23</v>
      </c>
      <c r="G2040" t="s">
        <v>24</v>
      </c>
      <c r="H2040" t="s">
        <v>3106</v>
      </c>
      <c r="I2040" s="2">
        <v>129.89599999999999</v>
      </c>
      <c r="J2040">
        <v>3</v>
      </c>
      <c r="K2040" s="2">
        <v>3.9498000000000002</v>
      </c>
      <c r="L2040" s="3">
        <f>(Table1[[#This Row],[Profit]]/Table1[[#This Row],[Sales]])*100</f>
        <v>3.0407402845353211</v>
      </c>
    </row>
    <row r="2041" spans="1:12" x14ac:dyDescent="0.3">
      <c r="A2041" t="s">
        <v>274</v>
      </c>
      <c r="B2041" s="1">
        <v>43500</v>
      </c>
      <c r="C2041" t="s">
        <v>275</v>
      </c>
      <c r="D2041" t="s">
        <v>276</v>
      </c>
      <c r="E2041" t="s">
        <v>14</v>
      </c>
      <c r="F2041" t="s">
        <v>23</v>
      </c>
      <c r="G2041" t="s">
        <v>16</v>
      </c>
      <c r="H2041" t="s">
        <v>277</v>
      </c>
      <c r="I2041" s="2">
        <v>14.368</v>
      </c>
      <c r="J2041">
        <v>2</v>
      </c>
      <c r="K2041" s="2">
        <v>3.9512</v>
      </c>
      <c r="L2041" s="3">
        <f>(Table1[[#This Row],[Profit]]/Table1[[#This Row],[Sales]])*100</f>
        <v>27.500000000000004</v>
      </c>
    </row>
    <row r="2042" spans="1:12" x14ac:dyDescent="0.3">
      <c r="A2042" t="s">
        <v>3531</v>
      </c>
      <c r="B2042" s="1">
        <v>43792</v>
      </c>
      <c r="C2042" t="s">
        <v>3532</v>
      </c>
      <c r="D2042" t="s">
        <v>3533</v>
      </c>
      <c r="E2042" t="s">
        <v>14</v>
      </c>
      <c r="F2042" t="s">
        <v>15</v>
      </c>
      <c r="G2042" t="s">
        <v>16</v>
      </c>
      <c r="H2042" t="s">
        <v>277</v>
      </c>
      <c r="I2042" s="2">
        <v>14.368</v>
      </c>
      <c r="J2042">
        <v>2</v>
      </c>
      <c r="K2042" s="2">
        <v>3.9512</v>
      </c>
      <c r="L2042" s="3">
        <f>(Table1[[#This Row],[Profit]]/Table1[[#This Row],[Sales]])*100</f>
        <v>27.500000000000004</v>
      </c>
    </row>
    <row r="2043" spans="1:12" x14ac:dyDescent="0.3">
      <c r="A2043" t="s">
        <v>3269</v>
      </c>
      <c r="B2043" s="1">
        <v>43773</v>
      </c>
      <c r="C2043" t="s">
        <v>2645</v>
      </c>
      <c r="D2043" t="s">
        <v>2646</v>
      </c>
      <c r="E2043" t="s">
        <v>14</v>
      </c>
      <c r="F2043" t="s">
        <v>41</v>
      </c>
      <c r="G2043" t="s">
        <v>24</v>
      </c>
      <c r="H2043" t="s">
        <v>878</v>
      </c>
      <c r="I2043" s="2">
        <v>45.247999999999998</v>
      </c>
      <c r="J2043">
        <v>2</v>
      </c>
      <c r="K2043" s="2">
        <v>3.9592000000000001</v>
      </c>
      <c r="L2043" s="3">
        <f>(Table1[[#This Row],[Profit]]/Table1[[#This Row],[Sales]])*100</f>
        <v>8.75</v>
      </c>
    </row>
    <row r="2044" spans="1:12" x14ac:dyDescent="0.3">
      <c r="A2044" t="s">
        <v>5217</v>
      </c>
      <c r="B2044" s="1">
        <v>44070</v>
      </c>
      <c r="C2044" t="s">
        <v>44</v>
      </c>
      <c r="D2044" t="s">
        <v>45</v>
      </c>
      <c r="E2044" t="s">
        <v>14</v>
      </c>
      <c r="F2044" t="s">
        <v>15</v>
      </c>
      <c r="G2044" t="s">
        <v>24</v>
      </c>
      <c r="H2044" t="s">
        <v>5223</v>
      </c>
      <c r="I2044" s="2">
        <v>116.672</v>
      </c>
      <c r="J2044">
        <v>3</v>
      </c>
      <c r="K2044" s="2">
        <v>3.96</v>
      </c>
      <c r="L2044" s="3">
        <f>(Table1[[#This Row],[Profit]]/Table1[[#This Row],[Sales]])*100</f>
        <v>3.3941305540318156</v>
      </c>
    </row>
    <row r="2045" spans="1:12" x14ac:dyDescent="0.3">
      <c r="A2045" t="s">
        <v>3981</v>
      </c>
      <c r="B2045" s="1">
        <v>43832</v>
      </c>
      <c r="C2045" t="s">
        <v>3904</v>
      </c>
      <c r="D2045" t="s">
        <v>3905</v>
      </c>
      <c r="E2045" t="s">
        <v>14</v>
      </c>
      <c r="F2045" t="s">
        <v>29</v>
      </c>
      <c r="G2045" t="s">
        <v>24</v>
      </c>
      <c r="H2045" t="s">
        <v>72</v>
      </c>
      <c r="I2045" s="2">
        <v>119.744</v>
      </c>
      <c r="J2045">
        <v>2</v>
      </c>
      <c r="K2045" s="2">
        <v>3.968</v>
      </c>
      <c r="L2045" s="3">
        <f>(Table1[[#This Row],[Profit]]/Table1[[#This Row],[Sales]])*100</f>
        <v>3.3137359700694811</v>
      </c>
    </row>
    <row r="2046" spans="1:12" x14ac:dyDescent="0.3">
      <c r="A2046" t="s">
        <v>1576</v>
      </c>
      <c r="B2046" s="1">
        <v>43615</v>
      </c>
      <c r="C2046" t="s">
        <v>1577</v>
      </c>
      <c r="D2046" t="s">
        <v>1578</v>
      </c>
      <c r="E2046" t="s">
        <v>14</v>
      </c>
      <c r="F2046" t="s">
        <v>29</v>
      </c>
      <c r="G2046" t="s">
        <v>24</v>
      </c>
      <c r="H2046" t="s">
        <v>1581</v>
      </c>
      <c r="I2046" s="2">
        <v>14.7</v>
      </c>
      <c r="J2046">
        <v>5</v>
      </c>
      <c r="K2046" s="2">
        <v>3.9689999999999999</v>
      </c>
      <c r="L2046" s="3">
        <f>(Table1[[#This Row],[Profit]]/Table1[[#This Row],[Sales]])*100</f>
        <v>27</v>
      </c>
    </row>
    <row r="2047" spans="1:12" x14ac:dyDescent="0.3">
      <c r="A2047" t="s">
        <v>3352</v>
      </c>
      <c r="B2047" s="1">
        <v>43779</v>
      </c>
      <c r="C2047" t="s">
        <v>3353</v>
      </c>
      <c r="D2047" t="s">
        <v>3354</v>
      </c>
      <c r="E2047" t="s">
        <v>14</v>
      </c>
      <c r="F2047" t="s">
        <v>23</v>
      </c>
      <c r="G2047" t="s">
        <v>24</v>
      </c>
      <c r="H2047" t="s">
        <v>3358</v>
      </c>
      <c r="I2047" s="2">
        <v>14.7</v>
      </c>
      <c r="J2047">
        <v>5</v>
      </c>
      <c r="K2047" s="2">
        <v>3.9689999999999999</v>
      </c>
      <c r="L2047" s="3">
        <f>(Table1[[#This Row],[Profit]]/Table1[[#This Row],[Sales]])*100</f>
        <v>27</v>
      </c>
    </row>
    <row r="2048" spans="1:12" x14ac:dyDescent="0.3">
      <c r="A2048" t="s">
        <v>2257</v>
      </c>
      <c r="B2048" s="1">
        <v>43681</v>
      </c>
      <c r="C2048" t="s">
        <v>1444</v>
      </c>
      <c r="D2048" t="s">
        <v>1445</v>
      </c>
      <c r="E2048" t="s">
        <v>14</v>
      </c>
      <c r="F2048" t="s">
        <v>23</v>
      </c>
      <c r="G2048" t="s">
        <v>24</v>
      </c>
      <c r="H2048" t="s">
        <v>1453</v>
      </c>
      <c r="I2048" s="2">
        <v>11.784000000000001</v>
      </c>
      <c r="J2048">
        <v>3</v>
      </c>
      <c r="K2048" s="2">
        <v>3.9771000000000001</v>
      </c>
      <c r="L2048" s="3">
        <f>(Table1[[#This Row],[Profit]]/Table1[[#This Row],[Sales]])*100</f>
        <v>33.75</v>
      </c>
    </row>
    <row r="2049" spans="1:12" x14ac:dyDescent="0.3">
      <c r="A2049" t="s">
        <v>5450</v>
      </c>
      <c r="B2049" s="1">
        <v>44094</v>
      </c>
      <c r="C2049" t="s">
        <v>1698</v>
      </c>
      <c r="D2049" t="s">
        <v>1699</v>
      </c>
      <c r="E2049" t="s">
        <v>14</v>
      </c>
      <c r="F2049" t="s">
        <v>15</v>
      </c>
      <c r="G2049" t="s">
        <v>24</v>
      </c>
      <c r="H2049" t="s">
        <v>1453</v>
      </c>
      <c r="I2049" s="2">
        <v>119.78400000000001</v>
      </c>
      <c r="J2049">
        <v>3</v>
      </c>
      <c r="K2049" s="2">
        <v>3.9771000000000001</v>
      </c>
      <c r="L2049" s="3">
        <f>(Table1[[#This Row],[Profit]]/Table1[[#This Row],[Sales]])*100</f>
        <v>3.3202264075335601</v>
      </c>
    </row>
    <row r="2050" spans="1:12" x14ac:dyDescent="0.3">
      <c r="A2050" t="s">
        <v>3605</v>
      </c>
      <c r="B2050" s="1">
        <v>43796</v>
      </c>
      <c r="C2050" t="s">
        <v>1197</v>
      </c>
      <c r="D2050" t="s">
        <v>1198</v>
      </c>
      <c r="E2050" t="s">
        <v>14</v>
      </c>
      <c r="F2050" t="s">
        <v>23</v>
      </c>
      <c r="G2050" t="s">
        <v>24</v>
      </c>
      <c r="H2050" t="s">
        <v>1580</v>
      </c>
      <c r="I2050" s="2">
        <v>39.808</v>
      </c>
      <c r="J2050">
        <v>4</v>
      </c>
      <c r="K2050" s="2">
        <v>3.9807999999999999</v>
      </c>
      <c r="L2050" s="3">
        <f>(Table1[[#This Row],[Profit]]/Table1[[#This Row],[Sales]])*100</f>
        <v>10</v>
      </c>
    </row>
    <row r="2051" spans="1:12" x14ac:dyDescent="0.3">
      <c r="A2051" t="s">
        <v>5470</v>
      </c>
      <c r="B2051" s="1">
        <v>44096</v>
      </c>
      <c r="C2051" t="s">
        <v>914</v>
      </c>
      <c r="D2051" t="s">
        <v>915</v>
      </c>
      <c r="E2051" t="s">
        <v>14</v>
      </c>
      <c r="F2051" t="s">
        <v>15</v>
      </c>
      <c r="G2051" t="s">
        <v>16</v>
      </c>
      <c r="H2051" t="s">
        <v>2240</v>
      </c>
      <c r="I2051" s="2">
        <v>140.07</v>
      </c>
      <c r="J2051">
        <v>1</v>
      </c>
      <c r="K2051" s="2">
        <v>3.9830999999999999</v>
      </c>
      <c r="L2051" s="3">
        <f>(Table1[[#This Row],[Profit]]/Table1[[#This Row],[Sales]])*100</f>
        <v>2.8436496037695438</v>
      </c>
    </row>
    <row r="2052" spans="1:12" x14ac:dyDescent="0.3">
      <c r="A2052" t="s">
        <v>4735</v>
      </c>
      <c r="B2052" s="1">
        <v>43980</v>
      </c>
      <c r="C2052" t="s">
        <v>2973</v>
      </c>
      <c r="D2052" t="s">
        <v>2974</v>
      </c>
      <c r="E2052" t="s">
        <v>14</v>
      </c>
      <c r="F2052" t="s">
        <v>29</v>
      </c>
      <c r="G2052" t="s">
        <v>24</v>
      </c>
      <c r="H2052" t="s">
        <v>4737</v>
      </c>
      <c r="I2052" s="2">
        <v>120.98</v>
      </c>
      <c r="J2052">
        <v>1</v>
      </c>
      <c r="K2052" s="2">
        <v>3.99</v>
      </c>
      <c r="L2052" s="3">
        <f>(Table1[[#This Row],[Profit]]/Table1[[#This Row],[Sales]])*100</f>
        <v>3.2980657959993387</v>
      </c>
    </row>
    <row r="2053" spans="1:12" x14ac:dyDescent="0.3">
      <c r="A2053" t="s">
        <v>2376</v>
      </c>
      <c r="B2053" s="1">
        <v>43697</v>
      </c>
      <c r="C2053" t="s">
        <v>55</v>
      </c>
      <c r="D2053" t="s">
        <v>56</v>
      </c>
      <c r="E2053" t="s">
        <v>14</v>
      </c>
      <c r="F2053" t="s">
        <v>29</v>
      </c>
      <c r="G2053" t="s">
        <v>18</v>
      </c>
      <c r="H2053" t="s">
        <v>1064</v>
      </c>
      <c r="I2053" s="2">
        <v>14.78</v>
      </c>
      <c r="J2053">
        <v>2</v>
      </c>
      <c r="K2053" s="2">
        <v>3.9906000000000001</v>
      </c>
      <c r="L2053" s="3">
        <f>(Table1[[#This Row],[Profit]]/Table1[[#This Row],[Sales]])*100</f>
        <v>27</v>
      </c>
    </row>
    <row r="2054" spans="1:12" x14ac:dyDescent="0.3">
      <c r="A2054" t="s">
        <v>5786</v>
      </c>
      <c r="B2054" s="1">
        <v>44140</v>
      </c>
      <c r="C2054" t="s">
        <v>5787</v>
      </c>
      <c r="D2054" t="s">
        <v>5788</v>
      </c>
      <c r="E2054" t="s">
        <v>14</v>
      </c>
      <c r="F2054" t="s">
        <v>15</v>
      </c>
      <c r="G2054" t="s">
        <v>18</v>
      </c>
      <c r="H2054" t="s">
        <v>303</v>
      </c>
      <c r="I2054" s="2">
        <v>124.98</v>
      </c>
      <c r="J2054">
        <v>2</v>
      </c>
      <c r="K2054" s="2">
        <v>3.9992000000000001</v>
      </c>
      <c r="L2054" s="3">
        <f>(Table1[[#This Row],[Profit]]/Table1[[#This Row],[Sales]])*100</f>
        <v>3.1998719795167228</v>
      </c>
    </row>
    <row r="2055" spans="1:12" x14ac:dyDescent="0.3">
      <c r="A2055" t="s">
        <v>6215</v>
      </c>
      <c r="B2055" s="1">
        <v>44184</v>
      </c>
      <c r="C2055" t="s">
        <v>2915</v>
      </c>
      <c r="D2055" t="s">
        <v>2916</v>
      </c>
      <c r="E2055" t="s">
        <v>14</v>
      </c>
      <c r="F2055" t="s">
        <v>23</v>
      </c>
      <c r="G2055" t="s">
        <v>16</v>
      </c>
      <c r="H2055" t="s">
        <v>1349</v>
      </c>
      <c r="I2055" s="2">
        <v>423.36</v>
      </c>
      <c r="J2055">
        <v>5</v>
      </c>
      <c r="K2055" s="2">
        <v>4.008</v>
      </c>
      <c r="L2055" s="3">
        <f>(Table1[[#This Row],[Profit]]/Table1[[#This Row],[Sales]])*100</f>
        <v>0.94671201814058958</v>
      </c>
    </row>
    <row r="2056" spans="1:12" x14ac:dyDescent="0.3">
      <c r="A2056" t="s">
        <v>6286</v>
      </c>
      <c r="B2056" s="1">
        <v>44193</v>
      </c>
      <c r="C2056" t="s">
        <v>5362</v>
      </c>
      <c r="D2056" t="s">
        <v>5363</v>
      </c>
      <c r="E2056" t="s">
        <v>14</v>
      </c>
      <c r="F2056" t="s">
        <v>15</v>
      </c>
      <c r="G2056" t="s">
        <v>18</v>
      </c>
      <c r="H2056" t="s">
        <v>4758</v>
      </c>
      <c r="I2056" s="2">
        <v>381.85</v>
      </c>
      <c r="J2056">
        <v>3</v>
      </c>
      <c r="K2056" s="2">
        <v>4.0095000000000001</v>
      </c>
      <c r="L2056" s="3">
        <f>(Table1[[#This Row],[Profit]]/Table1[[#This Row],[Sales]])*100</f>
        <v>1.0500196412203744</v>
      </c>
    </row>
    <row r="2057" spans="1:12" x14ac:dyDescent="0.3">
      <c r="A2057" t="s">
        <v>4558</v>
      </c>
      <c r="B2057" s="1">
        <v>43951</v>
      </c>
      <c r="C2057" t="s">
        <v>361</v>
      </c>
      <c r="D2057" t="s">
        <v>362</v>
      </c>
      <c r="E2057" t="s">
        <v>14</v>
      </c>
      <c r="F2057" t="s">
        <v>23</v>
      </c>
      <c r="G2057" t="s">
        <v>24</v>
      </c>
      <c r="H2057" t="s">
        <v>2572</v>
      </c>
      <c r="I2057" s="2">
        <v>117.78</v>
      </c>
      <c r="J2057">
        <v>2</v>
      </c>
      <c r="K2057" s="2">
        <v>4.0098000000000003</v>
      </c>
      <c r="L2057" s="3">
        <f>(Table1[[#This Row],[Profit]]/Table1[[#This Row],[Sales]])*100</f>
        <v>3.4044829342842586</v>
      </c>
    </row>
    <row r="2058" spans="1:12" x14ac:dyDescent="0.3">
      <c r="A2058" t="s">
        <v>1217</v>
      </c>
      <c r="B2058" s="1">
        <v>43587</v>
      </c>
      <c r="C2058" t="s">
        <v>633</v>
      </c>
      <c r="D2058" t="s">
        <v>634</v>
      </c>
      <c r="E2058" t="s">
        <v>14</v>
      </c>
      <c r="F2058" t="s">
        <v>15</v>
      </c>
      <c r="G2058" t="s">
        <v>16</v>
      </c>
      <c r="H2058" t="s">
        <v>1218</v>
      </c>
      <c r="I2058" s="2">
        <v>12.56</v>
      </c>
      <c r="J2058">
        <v>2</v>
      </c>
      <c r="K2058" s="2">
        <v>4.0191999999999997</v>
      </c>
      <c r="L2058" s="3">
        <f>(Table1[[#This Row],[Profit]]/Table1[[#This Row],[Sales]])*100</f>
        <v>31.999999999999996</v>
      </c>
    </row>
    <row r="2059" spans="1:12" x14ac:dyDescent="0.3">
      <c r="A2059" t="s">
        <v>5071</v>
      </c>
      <c r="B2059" s="1">
        <v>44039</v>
      </c>
      <c r="C2059" t="s">
        <v>4377</v>
      </c>
      <c r="D2059" t="s">
        <v>4378</v>
      </c>
      <c r="E2059" t="s">
        <v>14</v>
      </c>
      <c r="F2059" t="s">
        <v>15</v>
      </c>
      <c r="G2059" t="s">
        <v>16</v>
      </c>
      <c r="H2059" t="s">
        <v>4161</v>
      </c>
      <c r="I2059" s="2">
        <v>112.89</v>
      </c>
      <c r="J2059">
        <v>1</v>
      </c>
      <c r="K2059" s="2">
        <v>4.0202999999999998</v>
      </c>
      <c r="L2059" s="3">
        <f>(Table1[[#This Row],[Profit]]/Table1[[#This Row],[Sales]])*100</f>
        <v>3.5612543183630079</v>
      </c>
    </row>
    <row r="2060" spans="1:12" x14ac:dyDescent="0.3">
      <c r="A2060" t="s">
        <v>2881</v>
      </c>
      <c r="B2060" s="1">
        <v>43731</v>
      </c>
      <c r="C2060" t="s">
        <v>1622</v>
      </c>
      <c r="D2060" t="s">
        <v>1623</v>
      </c>
      <c r="E2060" t="s">
        <v>14</v>
      </c>
      <c r="F2060" t="s">
        <v>15</v>
      </c>
      <c r="G2060" t="s">
        <v>24</v>
      </c>
      <c r="H2060" t="s">
        <v>2882</v>
      </c>
      <c r="I2060" s="2">
        <v>11.952</v>
      </c>
      <c r="J2060">
        <v>3</v>
      </c>
      <c r="K2060" s="2">
        <v>4.0338000000000003</v>
      </c>
      <c r="L2060" s="3">
        <f>(Table1[[#This Row],[Profit]]/Table1[[#This Row],[Sales]])*100</f>
        <v>33.75</v>
      </c>
    </row>
    <row r="2061" spans="1:12" x14ac:dyDescent="0.3">
      <c r="A2061" t="s">
        <v>2107</v>
      </c>
      <c r="B2061" s="1">
        <v>43665</v>
      </c>
      <c r="C2061" t="s">
        <v>2108</v>
      </c>
      <c r="D2061" t="s">
        <v>2109</v>
      </c>
      <c r="E2061" t="s">
        <v>14</v>
      </c>
      <c r="F2061" t="s">
        <v>41</v>
      </c>
      <c r="G2061" t="s">
        <v>24</v>
      </c>
      <c r="H2061" t="s">
        <v>2111</v>
      </c>
      <c r="I2061" s="2">
        <v>8.6</v>
      </c>
      <c r="J2061">
        <v>1</v>
      </c>
      <c r="K2061" s="2">
        <v>4.0419999999999998</v>
      </c>
      <c r="L2061" s="3">
        <f>(Table1[[#This Row],[Profit]]/Table1[[#This Row],[Sales]])*100</f>
        <v>47</v>
      </c>
    </row>
    <row r="2062" spans="1:12" x14ac:dyDescent="0.3">
      <c r="A2062" t="s">
        <v>5417</v>
      </c>
      <c r="B2062" s="1">
        <v>44090</v>
      </c>
      <c r="C2062" t="s">
        <v>831</v>
      </c>
      <c r="D2062" t="s">
        <v>832</v>
      </c>
      <c r="E2062" t="s">
        <v>14</v>
      </c>
      <c r="F2062" t="s">
        <v>23</v>
      </c>
      <c r="G2062" t="s">
        <v>24</v>
      </c>
      <c r="H2062" t="s">
        <v>2469</v>
      </c>
      <c r="I2062" s="2">
        <v>115.82</v>
      </c>
      <c r="J2062">
        <v>2</v>
      </c>
      <c r="K2062" s="2">
        <v>4.0571999999999999</v>
      </c>
      <c r="L2062" s="3">
        <f>(Table1[[#This Row],[Profit]]/Table1[[#This Row],[Sales]])*100</f>
        <v>3.5030219305819377</v>
      </c>
    </row>
    <row r="2063" spans="1:12" x14ac:dyDescent="0.3">
      <c r="A2063" t="s">
        <v>5732</v>
      </c>
      <c r="B2063" s="1">
        <v>44134</v>
      </c>
      <c r="C2063" t="s">
        <v>4851</v>
      </c>
      <c r="D2063" t="s">
        <v>4852</v>
      </c>
      <c r="E2063" t="s">
        <v>14</v>
      </c>
      <c r="F2063" t="s">
        <v>29</v>
      </c>
      <c r="G2063" t="s">
        <v>24</v>
      </c>
      <c r="H2063" t="s">
        <v>251</v>
      </c>
      <c r="I2063" s="2">
        <v>157.19200000000001</v>
      </c>
      <c r="J2063">
        <v>6</v>
      </c>
      <c r="K2063" s="2">
        <v>4.0644</v>
      </c>
      <c r="L2063" s="3">
        <f>(Table1[[#This Row],[Profit]]/Table1[[#This Row],[Sales]])*100</f>
        <v>2.585627767316403</v>
      </c>
    </row>
    <row r="2064" spans="1:12" x14ac:dyDescent="0.3">
      <c r="A2064" t="s">
        <v>4676</v>
      </c>
      <c r="B2064" s="1">
        <v>43970</v>
      </c>
      <c r="C2064" t="s">
        <v>2937</v>
      </c>
      <c r="D2064" t="s">
        <v>2938</v>
      </c>
      <c r="E2064" t="s">
        <v>14</v>
      </c>
      <c r="F2064" t="s">
        <v>41</v>
      </c>
      <c r="G2064" t="s">
        <v>18</v>
      </c>
      <c r="H2064" t="s">
        <v>3619</v>
      </c>
      <c r="I2064" s="2">
        <v>179.8</v>
      </c>
      <c r="J2064">
        <v>4</v>
      </c>
      <c r="K2064" s="2">
        <v>4.0679999999999996</v>
      </c>
      <c r="L2064" s="3">
        <f>(Table1[[#This Row],[Profit]]/Table1[[#This Row],[Sales]])*100</f>
        <v>2.262513904338153</v>
      </c>
    </row>
    <row r="2065" spans="1:12" x14ac:dyDescent="0.3">
      <c r="A2065" t="s">
        <v>3950</v>
      </c>
      <c r="B2065" s="1">
        <v>43828</v>
      </c>
      <c r="C2065" t="s">
        <v>3223</v>
      </c>
      <c r="D2065" t="s">
        <v>3224</v>
      </c>
      <c r="E2065" t="s">
        <v>14</v>
      </c>
      <c r="F2065" t="s">
        <v>23</v>
      </c>
      <c r="G2065" t="s">
        <v>24</v>
      </c>
      <c r="H2065" t="s">
        <v>3954</v>
      </c>
      <c r="I2065" s="2">
        <v>14.03</v>
      </c>
      <c r="J2065">
        <v>1</v>
      </c>
      <c r="K2065" s="2">
        <v>4.0686999999999998</v>
      </c>
      <c r="L2065" s="3">
        <f>(Table1[[#This Row],[Profit]]/Table1[[#This Row],[Sales]])*100</f>
        <v>28.999999999999996</v>
      </c>
    </row>
    <row r="2066" spans="1:12" x14ac:dyDescent="0.3">
      <c r="A2066" t="s">
        <v>4849</v>
      </c>
      <c r="B2066" s="1">
        <v>43999</v>
      </c>
      <c r="C2066" t="s">
        <v>1921</v>
      </c>
      <c r="D2066" t="s">
        <v>1922</v>
      </c>
      <c r="E2066" t="s">
        <v>14</v>
      </c>
      <c r="F2066" t="s">
        <v>23</v>
      </c>
      <c r="G2066" t="s">
        <v>24</v>
      </c>
      <c r="H2066" t="s">
        <v>3954</v>
      </c>
      <c r="I2066" s="2">
        <v>124.03</v>
      </c>
      <c r="J2066">
        <v>1</v>
      </c>
      <c r="K2066" s="2">
        <v>4.0686999999999998</v>
      </c>
      <c r="L2066" s="3">
        <f>(Table1[[#This Row],[Profit]]/Table1[[#This Row],[Sales]])*100</f>
        <v>3.2804160283802308</v>
      </c>
    </row>
    <row r="2067" spans="1:12" x14ac:dyDescent="0.3">
      <c r="A2067" t="s">
        <v>384</v>
      </c>
      <c r="B2067" s="1">
        <v>43515</v>
      </c>
      <c r="C2067" t="s">
        <v>249</v>
      </c>
      <c r="D2067" t="s">
        <v>250</v>
      </c>
      <c r="E2067" t="s">
        <v>14</v>
      </c>
      <c r="F2067" t="s">
        <v>15</v>
      </c>
      <c r="G2067" t="s">
        <v>24</v>
      </c>
      <c r="H2067" t="s">
        <v>385</v>
      </c>
      <c r="I2067" s="2">
        <v>8.67</v>
      </c>
      <c r="J2067">
        <v>3</v>
      </c>
      <c r="K2067" s="2">
        <v>4.0749000000000004</v>
      </c>
      <c r="L2067" s="3">
        <f>(Table1[[#This Row],[Profit]]/Table1[[#This Row],[Sales]])*100</f>
        <v>47</v>
      </c>
    </row>
    <row r="2068" spans="1:12" x14ac:dyDescent="0.3">
      <c r="A2068" t="s">
        <v>5003</v>
      </c>
      <c r="B2068" s="1">
        <v>44023</v>
      </c>
      <c r="C2068" t="s">
        <v>4503</v>
      </c>
      <c r="D2068" t="s">
        <v>4504</v>
      </c>
      <c r="E2068" t="s">
        <v>14</v>
      </c>
      <c r="F2068" t="s">
        <v>23</v>
      </c>
      <c r="G2068" t="s">
        <v>24</v>
      </c>
      <c r="H2068" t="s">
        <v>5004</v>
      </c>
      <c r="I2068" s="2">
        <v>117.67</v>
      </c>
      <c r="J2068">
        <v>3</v>
      </c>
      <c r="K2068" s="2">
        <v>4.0749000000000004</v>
      </c>
      <c r="L2068" s="3">
        <f>(Table1[[#This Row],[Profit]]/Table1[[#This Row],[Sales]])*100</f>
        <v>3.462989717005184</v>
      </c>
    </row>
    <row r="2069" spans="1:12" x14ac:dyDescent="0.3">
      <c r="A2069" t="s">
        <v>5619</v>
      </c>
      <c r="B2069" s="1">
        <v>44117</v>
      </c>
      <c r="C2069" t="s">
        <v>3124</v>
      </c>
      <c r="D2069" t="s">
        <v>3125</v>
      </c>
      <c r="E2069" t="s">
        <v>14</v>
      </c>
      <c r="F2069" t="s">
        <v>15</v>
      </c>
      <c r="G2069" t="s">
        <v>24</v>
      </c>
      <c r="H2069" t="s">
        <v>5442</v>
      </c>
      <c r="I2069" s="2">
        <v>101.648</v>
      </c>
      <c r="J2069">
        <v>2</v>
      </c>
      <c r="K2069" s="2">
        <v>4.0768000000000004</v>
      </c>
      <c r="L2069" s="3">
        <f>(Table1[[#This Row],[Profit]]/Table1[[#This Row],[Sales]])*100</f>
        <v>4.0107036045962543</v>
      </c>
    </row>
    <row r="2070" spans="1:12" x14ac:dyDescent="0.3">
      <c r="A2070" t="s">
        <v>4734</v>
      </c>
      <c r="B2070" s="1">
        <v>43979</v>
      </c>
      <c r="C2070" t="s">
        <v>3021</v>
      </c>
      <c r="D2070" t="s">
        <v>3022</v>
      </c>
      <c r="E2070" t="s">
        <v>14</v>
      </c>
      <c r="F2070" t="s">
        <v>29</v>
      </c>
      <c r="G2070" t="s">
        <v>18</v>
      </c>
      <c r="H2070" t="s">
        <v>4385</v>
      </c>
      <c r="I2070" s="2">
        <v>128.36799999999999</v>
      </c>
      <c r="J2070">
        <v>4</v>
      </c>
      <c r="K2070" s="2">
        <v>4.0776000000000003</v>
      </c>
      <c r="L2070" s="3">
        <f>(Table1[[#This Row],[Profit]]/Table1[[#This Row],[Sales]])*100</f>
        <v>3.1764925838215134</v>
      </c>
    </row>
    <row r="2071" spans="1:12" x14ac:dyDescent="0.3">
      <c r="A2071" t="s">
        <v>3492</v>
      </c>
      <c r="B2071" s="1">
        <v>43789</v>
      </c>
      <c r="C2071" t="s">
        <v>3493</v>
      </c>
      <c r="D2071" t="s">
        <v>3494</v>
      </c>
      <c r="E2071" t="s">
        <v>14</v>
      </c>
      <c r="F2071" t="s">
        <v>29</v>
      </c>
      <c r="G2071" t="s">
        <v>24</v>
      </c>
      <c r="H2071" t="s">
        <v>3495</v>
      </c>
      <c r="I2071" s="2">
        <v>9.08</v>
      </c>
      <c r="J2071">
        <v>2</v>
      </c>
      <c r="K2071" s="2">
        <v>4.0860000000000003</v>
      </c>
      <c r="L2071" s="3">
        <f>(Table1[[#This Row],[Profit]]/Table1[[#This Row],[Sales]])*100</f>
        <v>45</v>
      </c>
    </row>
    <row r="2072" spans="1:12" x14ac:dyDescent="0.3">
      <c r="A2072" t="s">
        <v>4580</v>
      </c>
      <c r="B2072" s="1">
        <v>43955</v>
      </c>
      <c r="C2072" t="s">
        <v>3673</v>
      </c>
      <c r="D2072" t="s">
        <v>3674</v>
      </c>
      <c r="E2072" t="s">
        <v>14</v>
      </c>
      <c r="F2072" t="s">
        <v>41</v>
      </c>
      <c r="G2072" t="s">
        <v>24</v>
      </c>
      <c r="H2072" t="s">
        <v>3120</v>
      </c>
      <c r="I2072" s="2">
        <v>97.11</v>
      </c>
      <c r="J2072">
        <v>1</v>
      </c>
      <c r="K2072" s="2">
        <v>4.0994999999999999</v>
      </c>
      <c r="L2072" s="3">
        <f>(Table1[[#This Row],[Profit]]/Table1[[#This Row],[Sales]])*100</f>
        <v>4.2215013901760887</v>
      </c>
    </row>
    <row r="2073" spans="1:12" x14ac:dyDescent="0.3">
      <c r="A2073" t="s">
        <v>1741</v>
      </c>
      <c r="B2073" s="1">
        <v>43630</v>
      </c>
      <c r="C2073" t="s">
        <v>414</v>
      </c>
      <c r="D2073" t="s">
        <v>415</v>
      </c>
      <c r="E2073" t="s">
        <v>14</v>
      </c>
      <c r="F2073" t="s">
        <v>23</v>
      </c>
      <c r="G2073" t="s">
        <v>16</v>
      </c>
      <c r="H2073" t="s">
        <v>1044</v>
      </c>
      <c r="I2073" s="2">
        <v>8.73</v>
      </c>
      <c r="J2073">
        <v>3</v>
      </c>
      <c r="K2073" s="2">
        <v>4.1031000000000004</v>
      </c>
      <c r="L2073" s="3">
        <f>(Table1[[#This Row],[Profit]]/Table1[[#This Row],[Sales]])*100</f>
        <v>47</v>
      </c>
    </row>
    <row r="2074" spans="1:12" x14ac:dyDescent="0.3">
      <c r="A2074" t="s">
        <v>5570</v>
      </c>
      <c r="B2074" s="1">
        <v>44109</v>
      </c>
      <c r="C2074" t="s">
        <v>2363</v>
      </c>
      <c r="D2074" t="s">
        <v>2364</v>
      </c>
      <c r="E2074" t="s">
        <v>14</v>
      </c>
      <c r="F2074" t="s">
        <v>23</v>
      </c>
      <c r="G2074" t="s">
        <v>24</v>
      </c>
      <c r="H2074" t="s">
        <v>2206</v>
      </c>
      <c r="I2074" s="2">
        <v>88.8</v>
      </c>
      <c r="J2074">
        <v>4</v>
      </c>
      <c r="K2074" s="2">
        <v>4.1079999999999997</v>
      </c>
      <c r="L2074" s="3">
        <f>(Table1[[#This Row],[Profit]]/Table1[[#This Row],[Sales]])*100</f>
        <v>4.6261261261261257</v>
      </c>
    </row>
    <row r="2075" spans="1:12" x14ac:dyDescent="0.3">
      <c r="A2075" t="s">
        <v>5551</v>
      </c>
      <c r="B2075" s="1">
        <v>44106</v>
      </c>
      <c r="C2075" t="s">
        <v>4994</v>
      </c>
      <c r="D2075" t="s">
        <v>4995</v>
      </c>
      <c r="E2075" t="s">
        <v>14</v>
      </c>
      <c r="F2075" t="s">
        <v>23</v>
      </c>
      <c r="G2075" t="s">
        <v>24</v>
      </c>
      <c r="H2075" t="s">
        <v>449</v>
      </c>
      <c r="I2075" s="2">
        <v>84.94</v>
      </c>
      <c r="J2075">
        <v>3</v>
      </c>
      <c r="K2075" s="2">
        <v>4.1124000000000001</v>
      </c>
      <c r="L2075" s="3">
        <f>(Table1[[#This Row],[Profit]]/Table1[[#This Row],[Sales]])*100</f>
        <v>4.8415352013185782</v>
      </c>
    </row>
    <row r="2076" spans="1:12" x14ac:dyDescent="0.3">
      <c r="A2076" t="s">
        <v>2577</v>
      </c>
      <c r="B2076" s="1">
        <v>43712</v>
      </c>
      <c r="C2076" t="s">
        <v>2578</v>
      </c>
      <c r="D2076" t="s">
        <v>2579</v>
      </c>
      <c r="E2076" t="s">
        <v>14</v>
      </c>
      <c r="F2076" t="s">
        <v>41</v>
      </c>
      <c r="G2076" t="s">
        <v>24</v>
      </c>
      <c r="H2076" t="s">
        <v>2580</v>
      </c>
      <c r="I2076" s="2">
        <v>12.192</v>
      </c>
      <c r="J2076">
        <v>3</v>
      </c>
      <c r="K2076" s="2">
        <v>4.1147999999999998</v>
      </c>
      <c r="L2076" s="3">
        <f>(Table1[[#This Row],[Profit]]/Table1[[#This Row],[Sales]])*100</f>
        <v>33.75</v>
      </c>
    </row>
    <row r="2077" spans="1:12" x14ac:dyDescent="0.3">
      <c r="A2077" t="s">
        <v>3521</v>
      </c>
      <c r="B2077" s="1">
        <v>43791</v>
      </c>
      <c r="C2077" t="s">
        <v>192</v>
      </c>
      <c r="D2077" t="s">
        <v>193</v>
      </c>
      <c r="E2077" t="s">
        <v>14</v>
      </c>
      <c r="F2077" t="s">
        <v>15</v>
      </c>
      <c r="G2077" t="s">
        <v>24</v>
      </c>
      <c r="H2077" t="s">
        <v>3523</v>
      </c>
      <c r="I2077" s="2">
        <v>12.192</v>
      </c>
      <c r="J2077">
        <v>4</v>
      </c>
      <c r="K2077" s="2">
        <v>4.1147999999999998</v>
      </c>
      <c r="L2077" s="3">
        <f>(Table1[[#This Row],[Profit]]/Table1[[#This Row],[Sales]])*100</f>
        <v>33.75</v>
      </c>
    </row>
    <row r="2078" spans="1:12" x14ac:dyDescent="0.3">
      <c r="A2078" t="s">
        <v>5257</v>
      </c>
      <c r="B2078" s="1">
        <v>44076</v>
      </c>
      <c r="C2078" t="s">
        <v>5258</v>
      </c>
      <c r="D2078" t="s">
        <v>5259</v>
      </c>
      <c r="E2078" t="s">
        <v>14</v>
      </c>
      <c r="F2078" t="s">
        <v>15</v>
      </c>
      <c r="G2078" t="s">
        <v>24</v>
      </c>
      <c r="H2078" t="s">
        <v>2580</v>
      </c>
      <c r="I2078" s="2">
        <v>112.19199999999999</v>
      </c>
      <c r="J2078">
        <v>3</v>
      </c>
      <c r="K2078" s="2">
        <v>4.1147999999999998</v>
      </c>
      <c r="L2078" s="3">
        <f>(Table1[[#This Row],[Profit]]/Table1[[#This Row],[Sales]])*100</f>
        <v>3.6676411865373648</v>
      </c>
    </row>
    <row r="2079" spans="1:12" x14ac:dyDescent="0.3">
      <c r="A2079" t="s">
        <v>4799</v>
      </c>
      <c r="B2079" s="1">
        <v>43992</v>
      </c>
      <c r="C2079" t="s">
        <v>4300</v>
      </c>
      <c r="D2079" t="s">
        <v>4301</v>
      </c>
      <c r="E2079" t="s">
        <v>14</v>
      </c>
      <c r="F2079" t="s">
        <v>23</v>
      </c>
      <c r="G2079" t="s">
        <v>24</v>
      </c>
      <c r="H2079" t="s">
        <v>3886</v>
      </c>
      <c r="I2079" s="2">
        <v>113.7</v>
      </c>
      <c r="J2079">
        <v>7</v>
      </c>
      <c r="K2079" s="2">
        <v>4.1159999999999997</v>
      </c>
      <c r="L2079" s="3">
        <f>(Table1[[#This Row],[Profit]]/Table1[[#This Row],[Sales]])*100</f>
        <v>3.6200527704485488</v>
      </c>
    </row>
    <row r="2080" spans="1:12" x14ac:dyDescent="0.3">
      <c r="A2080" t="s">
        <v>5291</v>
      </c>
      <c r="B2080" s="1">
        <v>44078</v>
      </c>
      <c r="C2080" t="s">
        <v>1324</v>
      </c>
      <c r="D2080" t="s">
        <v>1325</v>
      </c>
      <c r="E2080" t="s">
        <v>14</v>
      </c>
      <c r="F2080" t="s">
        <v>23</v>
      </c>
      <c r="G2080" t="s">
        <v>24</v>
      </c>
      <c r="H2080" t="s">
        <v>546</v>
      </c>
      <c r="I2080" s="2">
        <v>124.80800000000001</v>
      </c>
      <c r="J2080">
        <v>3</v>
      </c>
      <c r="K2080" s="2">
        <v>4.1327999999999996</v>
      </c>
      <c r="L2080" s="3">
        <f>(Table1[[#This Row],[Profit]]/Table1[[#This Row],[Sales]])*100</f>
        <v>3.3113261970386505</v>
      </c>
    </row>
    <row r="2081" spans="1:12" x14ac:dyDescent="0.3">
      <c r="A2081" t="s">
        <v>1042</v>
      </c>
      <c r="B2081" s="1">
        <v>43572</v>
      </c>
      <c r="C2081" t="s">
        <v>244</v>
      </c>
      <c r="D2081" t="s">
        <v>245</v>
      </c>
      <c r="E2081" t="s">
        <v>14</v>
      </c>
      <c r="F2081" t="s">
        <v>41</v>
      </c>
      <c r="G2081" t="s">
        <v>18</v>
      </c>
      <c r="H2081" t="s">
        <v>1043</v>
      </c>
      <c r="I2081" s="2">
        <v>36.792000000000002</v>
      </c>
      <c r="J2081">
        <v>1</v>
      </c>
      <c r="K2081" s="2">
        <v>4.1391</v>
      </c>
      <c r="L2081" s="3">
        <f>(Table1[[#This Row],[Profit]]/Table1[[#This Row],[Sales]])*100</f>
        <v>11.249999999999998</v>
      </c>
    </row>
    <row r="2082" spans="1:12" x14ac:dyDescent="0.3">
      <c r="A2082" t="s">
        <v>5090</v>
      </c>
      <c r="B2082" s="1">
        <v>44043</v>
      </c>
      <c r="C2082" t="s">
        <v>3212</v>
      </c>
      <c r="D2082" t="s">
        <v>3213</v>
      </c>
      <c r="E2082" t="s">
        <v>14</v>
      </c>
      <c r="F2082" t="s">
        <v>29</v>
      </c>
      <c r="G2082" t="s">
        <v>18</v>
      </c>
      <c r="H2082" t="s">
        <v>1043</v>
      </c>
      <c r="I2082" s="2">
        <v>159.792</v>
      </c>
      <c r="J2082">
        <v>1</v>
      </c>
      <c r="K2082" s="2">
        <v>4.1391</v>
      </c>
      <c r="L2082" s="3">
        <f>(Table1[[#This Row],[Profit]]/Table1[[#This Row],[Sales]])*100</f>
        <v>2.5903048963652751</v>
      </c>
    </row>
    <row r="2083" spans="1:12" x14ac:dyDescent="0.3">
      <c r="A2083" t="s">
        <v>5663</v>
      </c>
      <c r="B2083" s="1">
        <v>44124</v>
      </c>
      <c r="C2083" t="s">
        <v>1776</v>
      </c>
      <c r="D2083" t="s">
        <v>1777</v>
      </c>
      <c r="E2083" t="s">
        <v>14</v>
      </c>
      <c r="F2083" t="s">
        <v>41</v>
      </c>
      <c r="G2083" t="s">
        <v>24</v>
      </c>
      <c r="H2083" t="s">
        <v>2800</v>
      </c>
      <c r="I2083" s="2">
        <v>75.36</v>
      </c>
      <c r="J2083">
        <v>4</v>
      </c>
      <c r="K2083" s="2">
        <v>4.1416000000000004</v>
      </c>
      <c r="L2083" s="3">
        <f>(Table1[[#This Row],[Profit]]/Table1[[#This Row],[Sales]])*100</f>
        <v>5.4957537154989389</v>
      </c>
    </row>
    <row r="2084" spans="1:12" x14ac:dyDescent="0.3">
      <c r="A2084" t="s">
        <v>5261</v>
      </c>
      <c r="B2084" s="1">
        <v>44076</v>
      </c>
      <c r="C2084" t="s">
        <v>892</v>
      </c>
      <c r="D2084" t="s">
        <v>893</v>
      </c>
      <c r="E2084" t="s">
        <v>14</v>
      </c>
      <c r="F2084" t="s">
        <v>15</v>
      </c>
      <c r="G2084" t="s">
        <v>16</v>
      </c>
      <c r="H2084" t="s">
        <v>4770</v>
      </c>
      <c r="I2084" s="2">
        <v>131.072</v>
      </c>
      <c r="J2084">
        <v>3</v>
      </c>
      <c r="K2084" s="2">
        <v>4.1448</v>
      </c>
      <c r="L2084" s="3">
        <f>(Table1[[#This Row],[Profit]]/Table1[[#This Row],[Sales]])*100</f>
        <v>3.1622314453125</v>
      </c>
    </row>
    <row r="2085" spans="1:12" x14ac:dyDescent="0.3">
      <c r="A2085" t="s">
        <v>4979</v>
      </c>
      <c r="B2085" s="1">
        <v>44020</v>
      </c>
      <c r="C2085" t="s">
        <v>143</v>
      </c>
      <c r="D2085" t="s">
        <v>144</v>
      </c>
      <c r="E2085" t="s">
        <v>14</v>
      </c>
      <c r="F2085" t="s">
        <v>15</v>
      </c>
      <c r="G2085" t="s">
        <v>24</v>
      </c>
      <c r="H2085" t="s">
        <v>4692</v>
      </c>
      <c r="I2085" s="2">
        <v>118.96</v>
      </c>
      <c r="J2085">
        <v>2</v>
      </c>
      <c r="K2085" s="2">
        <v>4.1471999999999998</v>
      </c>
      <c r="L2085" s="3">
        <f>(Table1[[#This Row],[Profit]]/Table1[[#This Row],[Sales]])*100</f>
        <v>3.4862138533960993</v>
      </c>
    </row>
    <row r="2086" spans="1:12" x14ac:dyDescent="0.3">
      <c r="A2086" t="s">
        <v>2077</v>
      </c>
      <c r="B2086" s="1">
        <v>43663</v>
      </c>
      <c r="C2086" t="s">
        <v>2078</v>
      </c>
      <c r="D2086" t="s">
        <v>2079</v>
      </c>
      <c r="E2086" t="s">
        <v>14</v>
      </c>
      <c r="F2086" t="s">
        <v>23</v>
      </c>
      <c r="G2086" t="s">
        <v>24</v>
      </c>
      <c r="H2086" t="s">
        <v>2084</v>
      </c>
      <c r="I2086" s="2">
        <v>12.816000000000001</v>
      </c>
      <c r="J2086">
        <v>3</v>
      </c>
      <c r="K2086" s="2">
        <v>4.1651999999999996</v>
      </c>
      <c r="L2086" s="3">
        <f>(Table1[[#This Row],[Profit]]/Table1[[#This Row],[Sales]])*100</f>
        <v>32.499999999999993</v>
      </c>
    </row>
    <row r="2087" spans="1:12" x14ac:dyDescent="0.3">
      <c r="A2087" t="s">
        <v>2122</v>
      </c>
      <c r="B2087" s="1">
        <v>43667</v>
      </c>
      <c r="C2087" t="s">
        <v>466</v>
      </c>
      <c r="D2087" t="s">
        <v>467</v>
      </c>
      <c r="E2087" t="s">
        <v>14</v>
      </c>
      <c r="F2087" t="s">
        <v>15</v>
      </c>
      <c r="G2087" t="s">
        <v>24</v>
      </c>
      <c r="H2087" t="s">
        <v>2125</v>
      </c>
      <c r="I2087" s="2">
        <v>66.688000000000002</v>
      </c>
      <c r="J2087">
        <v>1</v>
      </c>
      <c r="K2087" s="2">
        <v>4.1680000000000001</v>
      </c>
      <c r="L2087" s="3">
        <f>(Table1[[#This Row],[Profit]]/Table1[[#This Row],[Sales]])*100</f>
        <v>6.25</v>
      </c>
    </row>
    <row r="2088" spans="1:12" x14ac:dyDescent="0.3">
      <c r="A2088" t="s">
        <v>2312</v>
      </c>
      <c r="B2088" s="1">
        <v>43690</v>
      </c>
      <c r="C2088" t="s">
        <v>481</v>
      </c>
      <c r="D2088" t="s">
        <v>482</v>
      </c>
      <c r="E2088" t="s">
        <v>14</v>
      </c>
      <c r="F2088" t="s">
        <v>29</v>
      </c>
      <c r="G2088" t="s">
        <v>24</v>
      </c>
      <c r="H2088" t="s">
        <v>674</v>
      </c>
      <c r="I2088" s="2">
        <v>8.52</v>
      </c>
      <c r="J2088">
        <v>3</v>
      </c>
      <c r="K2088" s="2">
        <v>4.1748000000000003</v>
      </c>
      <c r="L2088" s="3">
        <f>(Table1[[#This Row],[Profit]]/Table1[[#This Row],[Sales]])*100</f>
        <v>49.000000000000007</v>
      </c>
    </row>
    <row r="2089" spans="1:12" x14ac:dyDescent="0.3">
      <c r="A2089" t="s">
        <v>5105</v>
      </c>
      <c r="B2089" s="1">
        <v>44046</v>
      </c>
      <c r="C2089" t="s">
        <v>1642</v>
      </c>
      <c r="D2089" t="s">
        <v>1643</v>
      </c>
      <c r="E2089" t="s">
        <v>14</v>
      </c>
      <c r="F2089" t="s">
        <v>23</v>
      </c>
      <c r="G2089" t="s">
        <v>24</v>
      </c>
      <c r="H2089" t="s">
        <v>5106</v>
      </c>
      <c r="I2089" s="2">
        <v>100.06</v>
      </c>
      <c r="J2089">
        <v>1</v>
      </c>
      <c r="K2089" s="2">
        <v>4.1756000000000002</v>
      </c>
      <c r="L2089" s="3">
        <f>(Table1[[#This Row],[Profit]]/Table1[[#This Row],[Sales]])*100</f>
        <v>4.1730961423146109</v>
      </c>
    </row>
    <row r="2090" spans="1:12" x14ac:dyDescent="0.3">
      <c r="A2090" t="s">
        <v>4042</v>
      </c>
      <c r="B2090" s="1">
        <v>43850</v>
      </c>
      <c r="C2090" t="s">
        <v>2973</v>
      </c>
      <c r="D2090" t="s">
        <v>2974</v>
      </c>
      <c r="E2090" t="s">
        <v>14</v>
      </c>
      <c r="F2090" t="s">
        <v>29</v>
      </c>
      <c r="G2090" t="s">
        <v>24</v>
      </c>
      <c r="H2090" t="s">
        <v>3340</v>
      </c>
      <c r="I2090" s="2">
        <v>115.52</v>
      </c>
      <c r="J2090">
        <v>5</v>
      </c>
      <c r="K2090" s="2">
        <v>4.1760000000000002</v>
      </c>
      <c r="L2090" s="3">
        <f>(Table1[[#This Row],[Profit]]/Table1[[#This Row],[Sales]])*100</f>
        <v>3.6149584487534629</v>
      </c>
    </row>
    <row r="2091" spans="1:12" x14ac:dyDescent="0.3">
      <c r="A2091" t="s">
        <v>5988</v>
      </c>
      <c r="B2091" s="1">
        <v>44158</v>
      </c>
      <c r="C2091" t="s">
        <v>3986</v>
      </c>
      <c r="D2091" t="s">
        <v>3987</v>
      </c>
      <c r="E2091" t="s">
        <v>14</v>
      </c>
      <c r="F2091" t="s">
        <v>29</v>
      </c>
      <c r="G2091" t="s">
        <v>24</v>
      </c>
      <c r="H2091" t="s">
        <v>3340</v>
      </c>
      <c r="I2091" s="2">
        <v>146.52000000000001</v>
      </c>
      <c r="J2091">
        <v>5</v>
      </c>
      <c r="K2091" s="2">
        <v>4.1760000000000002</v>
      </c>
      <c r="L2091" s="3">
        <f>(Table1[[#This Row],[Profit]]/Table1[[#This Row],[Sales]])*100</f>
        <v>2.8501228501228502</v>
      </c>
    </row>
    <row r="2092" spans="1:12" x14ac:dyDescent="0.3">
      <c r="A2092" t="s">
        <v>4068</v>
      </c>
      <c r="B2092" s="1">
        <v>43856</v>
      </c>
      <c r="C2092" t="s">
        <v>3873</v>
      </c>
      <c r="D2092" t="s">
        <v>3874</v>
      </c>
      <c r="E2092" t="s">
        <v>14</v>
      </c>
      <c r="F2092" t="s">
        <v>41</v>
      </c>
      <c r="G2092" t="s">
        <v>24</v>
      </c>
      <c r="H2092" t="s">
        <v>1877</v>
      </c>
      <c r="I2092" s="2">
        <v>106.47</v>
      </c>
      <c r="J2092">
        <v>7</v>
      </c>
      <c r="K2092" s="2">
        <v>4.1768999999999998</v>
      </c>
      <c r="L2092" s="3">
        <f>(Table1[[#This Row],[Profit]]/Table1[[#This Row],[Sales]])*100</f>
        <v>3.9230769230769229</v>
      </c>
    </row>
    <row r="2093" spans="1:12" x14ac:dyDescent="0.3">
      <c r="A2093" t="s">
        <v>2823</v>
      </c>
      <c r="B2093" s="1">
        <v>43727</v>
      </c>
      <c r="C2093" t="s">
        <v>133</v>
      </c>
      <c r="D2093" t="s">
        <v>134</v>
      </c>
      <c r="E2093" t="s">
        <v>14</v>
      </c>
      <c r="F2093" t="s">
        <v>23</v>
      </c>
      <c r="G2093" t="s">
        <v>24</v>
      </c>
      <c r="H2093" t="s">
        <v>1155</v>
      </c>
      <c r="I2093" s="2">
        <v>11.952</v>
      </c>
      <c r="J2093">
        <v>3</v>
      </c>
      <c r="K2093" s="2">
        <v>4.1832000000000003</v>
      </c>
      <c r="L2093" s="3">
        <f>(Table1[[#This Row],[Profit]]/Table1[[#This Row],[Sales]])*100</f>
        <v>35</v>
      </c>
    </row>
    <row r="2094" spans="1:12" x14ac:dyDescent="0.3">
      <c r="A2094" t="s">
        <v>5119</v>
      </c>
      <c r="B2094" s="1">
        <v>44050</v>
      </c>
      <c r="C2094" t="s">
        <v>908</v>
      </c>
      <c r="D2094" t="s">
        <v>909</v>
      </c>
      <c r="E2094" t="s">
        <v>14</v>
      </c>
      <c r="F2094" t="s">
        <v>23</v>
      </c>
      <c r="G2094" t="s">
        <v>24</v>
      </c>
      <c r="H2094" t="s">
        <v>1155</v>
      </c>
      <c r="I2094" s="2">
        <v>103.952</v>
      </c>
      <c r="J2094">
        <v>3</v>
      </c>
      <c r="K2094" s="2">
        <v>4.1832000000000003</v>
      </c>
      <c r="L2094" s="3">
        <f>(Table1[[#This Row],[Profit]]/Table1[[#This Row],[Sales]])*100</f>
        <v>4.0241649992304147</v>
      </c>
    </row>
    <row r="2095" spans="1:12" x14ac:dyDescent="0.3">
      <c r="A2095" t="s">
        <v>2425</v>
      </c>
      <c r="B2095" s="1">
        <v>43700</v>
      </c>
      <c r="C2095" t="s">
        <v>2370</v>
      </c>
      <c r="D2095" t="s">
        <v>2371</v>
      </c>
      <c r="E2095" t="s">
        <v>14</v>
      </c>
      <c r="F2095" t="s">
        <v>29</v>
      </c>
      <c r="G2095" t="s">
        <v>24</v>
      </c>
      <c r="H2095" t="s">
        <v>1121</v>
      </c>
      <c r="I2095" s="2">
        <v>14.97</v>
      </c>
      <c r="J2095">
        <v>1</v>
      </c>
      <c r="K2095" s="2">
        <v>4.1916000000000002</v>
      </c>
      <c r="L2095" s="3">
        <f>(Table1[[#This Row],[Profit]]/Table1[[#This Row],[Sales]])*100</f>
        <v>28.000000000000004</v>
      </c>
    </row>
    <row r="2096" spans="1:12" x14ac:dyDescent="0.3">
      <c r="A2096" t="s">
        <v>5073</v>
      </c>
      <c r="B2096" s="1">
        <v>44040</v>
      </c>
      <c r="C2096" t="s">
        <v>2569</v>
      </c>
      <c r="D2096" t="s">
        <v>2570</v>
      </c>
      <c r="E2096" t="s">
        <v>14</v>
      </c>
      <c r="F2096" t="s">
        <v>23</v>
      </c>
      <c r="G2096" t="s">
        <v>24</v>
      </c>
      <c r="H2096" t="s">
        <v>1205</v>
      </c>
      <c r="I2096" s="2">
        <v>134.97999999999999</v>
      </c>
      <c r="J2096">
        <v>1</v>
      </c>
      <c r="K2096" s="2">
        <v>4.1943999999999999</v>
      </c>
      <c r="L2096" s="3">
        <f>(Table1[[#This Row],[Profit]]/Table1[[#This Row],[Sales]])*100</f>
        <v>3.1074233219736258</v>
      </c>
    </row>
    <row r="2097" spans="1:12" x14ac:dyDescent="0.3">
      <c r="A2097" t="s">
        <v>6081</v>
      </c>
      <c r="B2097" s="1">
        <v>44167</v>
      </c>
      <c r="C2097" t="s">
        <v>1359</v>
      </c>
      <c r="D2097" t="s">
        <v>1360</v>
      </c>
      <c r="E2097" t="s">
        <v>14</v>
      </c>
      <c r="F2097" t="s">
        <v>41</v>
      </c>
      <c r="G2097" t="s">
        <v>24</v>
      </c>
      <c r="H2097" t="s">
        <v>1923</v>
      </c>
      <c r="I2097" s="2">
        <v>118.96</v>
      </c>
      <c r="J2097">
        <v>5</v>
      </c>
      <c r="K2097" s="2">
        <v>4.1965000000000003</v>
      </c>
      <c r="L2097" s="3">
        <f>(Table1[[#This Row],[Profit]]/Table1[[#This Row],[Sales]])*100</f>
        <v>3.5276563550773377</v>
      </c>
    </row>
    <row r="2098" spans="1:12" x14ac:dyDescent="0.3">
      <c r="A2098" t="s">
        <v>3906</v>
      </c>
      <c r="B2098" s="1">
        <v>43824</v>
      </c>
      <c r="C2098" t="s">
        <v>3907</v>
      </c>
      <c r="D2098" t="s">
        <v>3908</v>
      </c>
      <c r="E2098" t="s">
        <v>14</v>
      </c>
      <c r="F2098" t="s">
        <v>23</v>
      </c>
      <c r="G2098" t="s">
        <v>16</v>
      </c>
      <c r="H2098" t="s">
        <v>364</v>
      </c>
      <c r="I2098" s="2">
        <v>47.968000000000004</v>
      </c>
      <c r="J2098">
        <v>2</v>
      </c>
      <c r="K2098" s="2">
        <v>4.1971999999999996</v>
      </c>
      <c r="L2098" s="3">
        <f>(Table1[[#This Row],[Profit]]/Table1[[#This Row],[Sales]])*100</f>
        <v>8.7499999999999982</v>
      </c>
    </row>
    <row r="2099" spans="1:12" x14ac:dyDescent="0.3">
      <c r="A2099" t="s">
        <v>5758</v>
      </c>
      <c r="B2099" s="1">
        <v>44138</v>
      </c>
      <c r="C2099" t="s">
        <v>345</v>
      </c>
      <c r="D2099" t="s">
        <v>346</v>
      </c>
      <c r="E2099" t="s">
        <v>14</v>
      </c>
      <c r="F2099" t="s">
        <v>41</v>
      </c>
      <c r="G2099" t="s">
        <v>24</v>
      </c>
      <c r="H2099" t="s">
        <v>4007</v>
      </c>
      <c r="I2099" s="2">
        <v>152.98400000000001</v>
      </c>
      <c r="J2099">
        <v>2</v>
      </c>
      <c r="K2099" s="2">
        <v>4.1988000000000003</v>
      </c>
      <c r="L2099" s="3">
        <f>(Table1[[#This Row],[Profit]]/Table1[[#This Row],[Sales]])*100</f>
        <v>2.7446007425613135</v>
      </c>
    </row>
    <row r="2100" spans="1:12" x14ac:dyDescent="0.3">
      <c r="A2100" t="s">
        <v>4801</v>
      </c>
      <c r="B2100" s="1">
        <v>43992</v>
      </c>
      <c r="C2100" t="s">
        <v>1444</v>
      </c>
      <c r="D2100" t="s">
        <v>1445</v>
      </c>
      <c r="E2100" t="s">
        <v>14</v>
      </c>
      <c r="F2100" t="s">
        <v>15</v>
      </c>
      <c r="G2100" t="s">
        <v>24</v>
      </c>
      <c r="H2100" t="s">
        <v>747</v>
      </c>
      <c r="I2100" s="2">
        <v>102.4</v>
      </c>
      <c r="J2100">
        <v>5</v>
      </c>
      <c r="K2100" s="2">
        <v>4.2</v>
      </c>
      <c r="L2100" s="3">
        <f>(Table1[[#This Row],[Profit]]/Table1[[#This Row],[Sales]])*100</f>
        <v>4.1015625</v>
      </c>
    </row>
    <row r="2101" spans="1:12" x14ac:dyDescent="0.3">
      <c r="A2101" t="s">
        <v>4466</v>
      </c>
      <c r="B2101" s="1">
        <v>43935</v>
      </c>
      <c r="C2101" t="s">
        <v>1157</v>
      </c>
      <c r="D2101" t="s">
        <v>1158</v>
      </c>
      <c r="E2101" t="s">
        <v>14</v>
      </c>
      <c r="F2101" t="s">
        <v>29</v>
      </c>
      <c r="G2101" t="s">
        <v>24</v>
      </c>
      <c r="H2101" t="s">
        <v>3487</v>
      </c>
      <c r="I2101" s="2">
        <v>96.76</v>
      </c>
      <c r="J2101">
        <v>2</v>
      </c>
      <c r="K2101" s="2">
        <v>4.2047999999999996</v>
      </c>
      <c r="L2101" s="3">
        <f>(Table1[[#This Row],[Profit]]/Table1[[#This Row],[Sales]])*100</f>
        <v>4.3455973542786266</v>
      </c>
    </row>
    <row r="2102" spans="1:12" x14ac:dyDescent="0.3">
      <c r="A2102" t="s">
        <v>5635</v>
      </c>
      <c r="B2102" s="1">
        <v>44119</v>
      </c>
      <c r="C2102" t="s">
        <v>2462</v>
      </c>
      <c r="D2102" t="s">
        <v>2463</v>
      </c>
      <c r="E2102" t="s">
        <v>14</v>
      </c>
      <c r="F2102" t="s">
        <v>23</v>
      </c>
      <c r="G2102" t="s">
        <v>24</v>
      </c>
      <c r="H2102" t="s">
        <v>2137</v>
      </c>
      <c r="I2102" s="2">
        <v>123.68</v>
      </c>
      <c r="J2102">
        <v>2</v>
      </c>
      <c r="K2102" s="2">
        <v>4.2047999999999996</v>
      </c>
      <c r="L2102" s="3">
        <f>(Table1[[#This Row],[Profit]]/Table1[[#This Row],[Sales]])*100</f>
        <v>3.3997412677878391</v>
      </c>
    </row>
    <row r="2103" spans="1:12" x14ac:dyDescent="0.3">
      <c r="A2103" t="s">
        <v>127</v>
      </c>
      <c r="B2103" s="1">
        <v>43481</v>
      </c>
      <c r="C2103" t="s">
        <v>128</v>
      </c>
      <c r="D2103" t="s">
        <v>129</v>
      </c>
      <c r="E2103" t="s">
        <v>14</v>
      </c>
      <c r="F2103" t="s">
        <v>23</v>
      </c>
      <c r="G2103" t="s">
        <v>24</v>
      </c>
      <c r="H2103" t="s">
        <v>130</v>
      </c>
      <c r="I2103" s="2">
        <v>11.648</v>
      </c>
      <c r="J2103">
        <v>2</v>
      </c>
      <c r="K2103" s="2">
        <v>4.2224000000000004</v>
      </c>
      <c r="L2103" s="3">
        <f>(Table1[[#This Row],[Profit]]/Table1[[#This Row],[Sales]])*100</f>
        <v>36.250000000000007</v>
      </c>
    </row>
    <row r="2104" spans="1:12" x14ac:dyDescent="0.3">
      <c r="A2104" t="s">
        <v>5745</v>
      </c>
      <c r="B2104" s="1">
        <v>44137</v>
      </c>
      <c r="C2104" t="s">
        <v>1573</v>
      </c>
      <c r="D2104" t="s">
        <v>1574</v>
      </c>
      <c r="E2104" t="s">
        <v>14</v>
      </c>
      <c r="F2104" t="s">
        <v>23</v>
      </c>
      <c r="G2104" t="s">
        <v>24</v>
      </c>
      <c r="H2104" t="s">
        <v>1730</v>
      </c>
      <c r="I2104" s="2">
        <v>102.8</v>
      </c>
      <c r="J2104">
        <v>5</v>
      </c>
      <c r="K2104" s="2">
        <v>4.2240000000000002</v>
      </c>
      <c r="L2104" s="3">
        <f>(Table1[[#This Row],[Profit]]/Table1[[#This Row],[Sales]])*100</f>
        <v>4.108949416342413</v>
      </c>
    </row>
    <row r="2105" spans="1:12" x14ac:dyDescent="0.3">
      <c r="A2105" t="s">
        <v>2094</v>
      </c>
      <c r="B2105" s="1">
        <v>43664</v>
      </c>
      <c r="C2105" t="s">
        <v>2095</v>
      </c>
      <c r="D2105" t="s">
        <v>2096</v>
      </c>
      <c r="E2105" t="s">
        <v>14</v>
      </c>
      <c r="F2105" t="s">
        <v>23</v>
      </c>
      <c r="G2105" t="s">
        <v>24</v>
      </c>
      <c r="H2105" t="s">
        <v>483</v>
      </c>
      <c r="I2105" s="2">
        <v>33.799999999999997</v>
      </c>
      <c r="J2105">
        <v>5</v>
      </c>
      <c r="K2105" s="2">
        <v>4.2249999999999996</v>
      </c>
      <c r="L2105" s="3">
        <f>(Table1[[#This Row],[Profit]]/Table1[[#This Row],[Sales]])*100</f>
        <v>12.5</v>
      </c>
    </row>
    <row r="2106" spans="1:12" x14ac:dyDescent="0.3">
      <c r="A2106" t="s">
        <v>4428</v>
      </c>
      <c r="B2106" s="1">
        <v>43930</v>
      </c>
      <c r="C2106" t="s">
        <v>4429</v>
      </c>
      <c r="D2106" t="s">
        <v>4430</v>
      </c>
      <c r="E2106" t="s">
        <v>14</v>
      </c>
      <c r="F2106" t="s">
        <v>15</v>
      </c>
      <c r="G2106" t="s">
        <v>24</v>
      </c>
      <c r="H2106" t="s">
        <v>3340</v>
      </c>
      <c r="I2106" s="2">
        <v>96.64</v>
      </c>
      <c r="J2106">
        <v>3</v>
      </c>
      <c r="K2106" s="2">
        <v>4.2336</v>
      </c>
      <c r="L2106" s="3">
        <f>(Table1[[#This Row],[Profit]]/Table1[[#This Row],[Sales]])*100</f>
        <v>4.3807947019867548</v>
      </c>
    </row>
    <row r="2107" spans="1:12" x14ac:dyDescent="0.3">
      <c r="A2107" t="s">
        <v>5884</v>
      </c>
      <c r="B2107" s="1">
        <v>44148</v>
      </c>
      <c r="C2107" t="s">
        <v>1339</v>
      </c>
      <c r="D2107" t="s">
        <v>1340</v>
      </c>
      <c r="E2107" t="s">
        <v>14</v>
      </c>
      <c r="F2107" t="s">
        <v>23</v>
      </c>
      <c r="G2107" t="s">
        <v>24</v>
      </c>
      <c r="H2107" t="s">
        <v>3340</v>
      </c>
      <c r="I2107" s="2">
        <v>112.64</v>
      </c>
      <c r="J2107">
        <v>3</v>
      </c>
      <c r="K2107" s="2">
        <v>4.2336</v>
      </c>
      <c r="L2107" s="3">
        <f>(Table1[[#This Row],[Profit]]/Table1[[#This Row],[Sales]])*100</f>
        <v>3.7585227272727271</v>
      </c>
    </row>
    <row r="2108" spans="1:12" x14ac:dyDescent="0.3">
      <c r="A2108" t="s">
        <v>6179</v>
      </c>
      <c r="B2108" s="1">
        <v>44178</v>
      </c>
      <c r="C2108" t="s">
        <v>3064</v>
      </c>
      <c r="D2108" t="s">
        <v>3065</v>
      </c>
      <c r="E2108" t="s">
        <v>14</v>
      </c>
      <c r="F2108" t="s">
        <v>23</v>
      </c>
      <c r="G2108" t="s">
        <v>24</v>
      </c>
      <c r="H2108" t="s">
        <v>2378</v>
      </c>
      <c r="I2108" s="2">
        <v>505.64</v>
      </c>
      <c r="J2108">
        <v>3</v>
      </c>
      <c r="K2108" s="2">
        <v>4.2336</v>
      </c>
      <c r="L2108" s="3">
        <f>(Table1[[#This Row],[Profit]]/Table1[[#This Row],[Sales]])*100</f>
        <v>0.83727553199905069</v>
      </c>
    </row>
    <row r="2109" spans="1:12" x14ac:dyDescent="0.3">
      <c r="A2109" t="s">
        <v>3566</v>
      </c>
      <c r="B2109" s="1">
        <v>43793</v>
      </c>
      <c r="C2109" t="s">
        <v>231</v>
      </c>
      <c r="D2109" t="s">
        <v>232</v>
      </c>
      <c r="E2109" t="s">
        <v>14</v>
      </c>
      <c r="F2109" t="s">
        <v>41</v>
      </c>
      <c r="G2109" t="s">
        <v>24</v>
      </c>
      <c r="H2109" t="s">
        <v>3568</v>
      </c>
      <c r="I2109" s="2">
        <v>42.384</v>
      </c>
      <c r="J2109">
        <v>2</v>
      </c>
      <c r="K2109" s="2">
        <v>4.2384000000000004</v>
      </c>
      <c r="L2109" s="3">
        <f>(Table1[[#This Row],[Profit]]/Table1[[#This Row],[Sales]])*100</f>
        <v>10</v>
      </c>
    </row>
    <row r="2110" spans="1:12" x14ac:dyDescent="0.3">
      <c r="A2110" t="s">
        <v>5729</v>
      </c>
      <c r="B2110" s="1">
        <v>44134</v>
      </c>
      <c r="C2110" t="s">
        <v>341</v>
      </c>
      <c r="D2110" t="s">
        <v>342</v>
      </c>
      <c r="E2110" t="s">
        <v>14</v>
      </c>
      <c r="F2110" t="s">
        <v>41</v>
      </c>
      <c r="G2110" t="s">
        <v>24</v>
      </c>
      <c r="H2110" t="s">
        <v>2917</v>
      </c>
      <c r="I2110" s="2">
        <v>118.98</v>
      </c>
      <c r="J2110">
        <v>7</v>
      </c>
      <c r="K2110" s="2">
        <v>4.2392000000000003</v>
      </c>
      <c r="L2110" s="3">
        <f>(Table1[[#This Row],[Profit]]/Table1[[#This Row],[Sales]])*100</f>
        <v>3.562951756597748</v>
      </c>
    </row>
    <row r="2111" spans="1:12" x14ac:dyDescent="0.3">
      <c r="A2111" t="s">
        <v>3592</v>
      </c>
      <c r="B2111" s="1">
        <v>43795</v>
      </c>
      <c r="C2111" t="s">
        <v>3554</v>
      </c>
      <c r="D2111" t="s">
        <v>3555</v>
      </c>
      <c r="E2111" t="s">
        <v>14</v>
      </c>
      <c r="F2111" t="s">
        <v>29</v>
      </c>
      <c r="G2111" t="s">
        <v>24</v>
      </c>
      <c r="H2111" t="s">
        <v>1200</v>
      </c>
      <c r="I2111" s="2">
        <v>17.856000000000002</v>
      </c>
      <c r="J2111">
        <v>4</v>
      </c>
      <c r="K2111" s="2">
        <v>4.2408000000000001</v>
      </c>
      <c r="L2111" s="3">
        <f>(Table1[[#This Row],[Profit]]/Table1[[#This Row],[Sales]])*100</f>
        <v>23.75</v>
      </c>
    </row>
    <row r="2112" spans="1:12" x14ac:dyDescent="0.3">
      <c r="A2112" t="s">
        <v>5337</v>
      </c>
      <c r="B2112" s="1">
        <v>44083</v>
      </c>
      <c r="C2112" t="s">
        <v>4011</v>
      </c>
      <c r="D2112" t="s">
        <v>4012</v>
      </c>
      <c r="E2112" t="s">
        <v>14</v>
      </c>
      <c r="F2112" t="s">
        <v>41</v>
      </c>
      <c r="G2112" t="s">
        <v>16</v>
      </c>
      <c r="H2112" t="s">
        <v>1109</v>
      </c>
      <c r="I2112" s="2">
        <v>151.136</v>
      </c>
      <c r="J2112">
        <v>3</v>
      </c>
      <c r="K2112" s="2">
        <v>4.2408000000000001</v>
      </c>
      <c r="L2112" s="3">
        <f>(Table1[[#This Row],[Profit]]/Table1[[#This Row],[Sales]])*100</f>
        <v>2.8059496082998097</v>
      </c>
    </row>
    <row r="2113" spans="1:12" x14ac:dyDescent="0.3">
      <c r="A2113" t="s">
        <v>5061</v>
      </c>
      <c r="B2113" s="1">
        <v>44037</v>
      </c>
      <c r="C2113" t="s">
        <v>2341</v>
      </c>
      <c r="D2113" t="s">
        <v>2342</v>
      </c>
      <c r="E2113" t="s">
        <v>14</v>
      </c>
      <c r="F2113" t="s">
        <v>15</v>
      </c>
      <c r="G2113" t="s">
        <v>24</v>
      </c>
      <c r="H2113" t="s">
        <v>3991</v>
      </c>
      <c r="I2113" s="2">
        <v>146.75200000000001</v>
      </c>
      <c r="J2113">
        <v>3</v>
      </c>
      <c r="K2113" s="2">
        <v>4.2470999999999997</v>
      </c>
      <c r="L2113" s="3">
        <f>(Table1[[#This Row],[Profit]]/Table1[[#This Row],[Sales]])*100</f>
        <v>2.8940661796772784</v>
      </c>
    </row>
    <row r="2114" spans="1:12" x14ac:dyDescent="0.3">
      <c r="A2114" t="s">
        <v>4653</v>
      </c>
      <c r="B2114" s="1">
        <v>43966</v>
      </c>
      <c r="C2114" t="s">
        <v>981</v>
      </c>
      <c r="D2114" t="s">
        <v>982</v>
      </c>
      <c r="E2114" t="s">
        <v>14</v>
      </c>
      <c r="F2114" t="s">
        <v>23</v>
      </c>
      <c r="G2114" t="s">
        <v>16</v>
      </c>
      <c r="H2114" t="s">
        <v>4604</v>
      </c>
      <c r="I2114" s="2">
        <v>152.624</v>
      </c>
      <c r="J2114">
        <v>2</v>
      </c>
      <c r="K2114" s="2">
        <v>4.2624000000000004</v>
      </c>
      <c r="L2114" s="3">
        <f>(Table1[[#This Row],[Profit]]/Table1[[#This Row],[Sales]])*100</f>
        <v>2.7927455708145512</v>
      </c>
    </row>
    <row r="2115" spans="1:12" x14ac:dyDescent="0.3">
      <c r="A2115" t="s">
        <v>2613</v>
      </c>
      <c r="B2115" s="1">
        <v>43713</v>
      </c>
      <c r="C2115" t="s">
        <v>2292</v>
      </c>
      <c r="D2115" t="s">
        <v>2293</v>
      </c>
      <c r="E2115" t="s">
        <v>14</v>
      </c>
      <c r="F2115" t="s">
        <v>29</v>
      </c>
      <c r="G2115" t="s">
        <v>24</v>
      </c>
      <c r="H2115" t="s">
        <v>2614</v>
      </c>
      <c r="I2115" s="2">
        <v>28.44</v>
      </c>
      <c r="J2115">
        <v>9</v>
      </c>
      <c r="K2115" s="2">
        <v>4.266</v>
      </c>
      <c r="L2115" s="3">
        <f>(Table1[[#This Row],[Profit]]/Table1[[#This Row],[Sales]])*100</f>
        <v>15</v>
      </c>
    </row>
    <row r="2116" spans="1:12" x14ac:dyDescent="0.3">
      <c r="A2116" t="s">
        <v>4817</v>
      </c>
      <c r="B2116" s="1">
        <v>43994</v>
      </c>
      <c r="C2116" t="s">
        <v>4118</v>
      </c>
      <c r="D2116" t="s">
        <v>4119</v>
      </c>
      <c r="E2116" t="s">
        <v>14</v>
      </c>
      <c r="F2116" t="s">
        <v>15</v>
      </c>
      <c r="G2116" t="s">
        <v>24</v>
      </c>
      <c r="H2116" t="s">
        <v>1561</v>
      </c>
      <c r="I2116" s="2">
        <v>124.128</v>
      </c>
      <c r="J2116">
        <v>3</v>
      </c>
      <c r="K2116" s="2">
        <v>4.2666000000000004</v>
      </c>
      <c r="L2116" s="3">
        <f>(Table1[[#This Row],[Profit]]/Table1[[#This Row],[Sales]])*100</f>
        <v>3.4372583139984538</v>
      </c>
    </row>
    <row r="2117" spans="1:12" x14ac:dyDescent="0.3">
      <c r="A2117" t="s">
        <v>5057</v>
      </c>
      <c r="B2117" s="1">
        <v>44035</v>
      </c>
      <c r="C2117" t="s">
        <v>1448</v>
      </c>
      <c r="D2117" t="s">
        <v>1449</v>
      </c>
      <c r="E2117" t="s">
        <v>14</v>
      </c>
      <c r="F2117" t="s">
        <v>15</v>
      </c>
      <c r="G2117" t="s">
        <v>24</v>
      </c>
      <c r="H2117" t="s">
        <v>1561</v>
      </c>
      <c r="I2117" s="2">
        <v>116.128</v>
      </c>
      <c r="J2117">
        <v>3</v>
      </c>
      <c r="K2117" s="2">
        <v>4.2666000000000004</v>
      </c>
      <c r="L2117" s="3">
        <f>(Table1[[#This Row],[Profit]]/Table1[[#This Row],[Sales]])*100</f>
        <v>3.6740493248828878</v>
      </c>
    </row>
    <row r="2118" spans="1:12" x14ac:dyDescent="0.3">
      <c r="A2118" t="s">
        <v>5425</v>
      </c>
      <c r="B2118" s="1">
        <v>44091</v>
      </c>
      <c r="C2118" t="s">
        <v>3665</v>
      </c>
      <c r="D2118" t="s">
        <v>3666</v>
      </c>
      <c r="E2118" t="s">
        <v>14</v>
      </c>
      <c r="F2118" t="s">
        <v>23</v>
      </c>
      <c r="G2118" t="s">
        <v>24</v>
      </c>
      <c r="H2118" t="s">
        <v>944</v>
      </c>
      <c r="I2118" s="2">
        <v>117.78400000000001</v>
      </c>
      <c r="J2118">
        <v>3</v>
      </c>
      <c r="K2118" s="2">
        <v>4.2717000000000001</v>
      </c>
      <c r="L2118" s="3">
        <f>(Table1[[#This Row],[Profit]]/Table1[[#This Row],[Sales]])*100</f>
        <v>3.6267234938531545</v>
      </c>
    </row>
    <row r="2119" spans="1:12" x14ac:dyDescent="0.3">
      <c r="A2119" t="s">
        <v>2564</v>
      </c>
      <c r="B2119" s="1">
        <v>43711</v>
      </c>
      <c r="C2119" t="s">
        <v>950</v>
      </c>
      <c r="D2119" t="s">
        <v>951</v>
      </c>
      <c r="E2119" t="s">
        <v>14</v>
      </c>
      <c r="F2119" t="s">
        <v>15</v>
      </c>
      <c r="G2119" t="s">
        <v>16</v>
      </c>
      <c r="H2119" t="s">
        <v>1873</v>
      </c>
      <c r="I2119" s="2">
        <v>14.76</v>
      </c>
      <c r="J2119">
        <v>2</v>
      </c>
      <c r="K2119" s="2">
        <v>4.2804000000000002</v>
      </c>
      <c r="L2119" s="3">
        <f>(Table1[[#This Row],[Profit]]/Table1[[#This Row],[Sales]])*100</f>
        <v>29.000000000000004</v>
      </c>
    </row>
    <row r="2120" spans="1:12" x14ac:dyDescent="0.3">
      <c r="A2120" t="s">
        <v>3816</v>
      </c>
      <c r="B2120" s="1">
        <v>43814</v>
      </c>
      <c r="C2120" t="s">
        <v>2897</v>
      </c>
      <c r="D2120" t="s">
        <v>2898</v>
      </c>
      <c r="E2120" t="s">
        <v>14</v>
      </c>
      <c r="F2120" t="s">
        <v>23</v>
      </c>
      <c r="G2120" t="s">
        <v>16</v>
      </c>
      <c r="H2120" t="s">
        <v>1873</v>
      </c>
      <c r="I2120" s="2">
        <v>14.76</v>
      </c>
      <c r="J2120">
        <v>2</v>
      </c>
      <c r="K2120" s="2">
        <v>4.2804000000000002</v>
      </c>
      <c r="L2120" s="3">
        <f>(Table1[[#This Row],[Profit]]/Table1[[#This Row],[Sales]])*100</f>
        <v>29.000000000000004</v>
      </c>
    </row>
    <row r="2121" spans="1:12" x14ac:dyDescent="0.3">
      <c r="A2121" t="s">
        <v>6161</v>
      </c>
      <c r="B2121" s="1">
        <v>44175</v>
      </c>
      <c r="C2121" t="s">
        <v>3699</v>
      </c>
      <c r="D2121" t="s">
        <v>3700</v>
      </c>
      <c r="E2121" t="s">
        <v>14</v>
      </c>
      <c r="F2121" t="s">
        <v>41</v>
      </c>
      <c r="G2121" t="s">
        <v>16</v>
      </c>
      <c r="H2121" t="s">
        <v>1873</v>
      </c>
      <c r="I2121" s="2">
        <v>372.76</v>
      </c>
      <c r="J2121">
        <v>2</v>
      </c>
      <c r="K2121" s="2">
        <v>4.2804000000000002</v>
      </c>
      <c r="L2121" s="3">
        <f>(Table1[[#This Row],[Profit]]/Table1[[#This Row],[Sales]])*100</f>
        <v>1.1482991737310873</v>
      </c>
    </row>
    <row r="2122" spans="1:12" x14ac:dyDescent="0.3">
      <c r="A2122" t="s">
        <v>6204</v>
      </c>
      <c r="B2122" s="1">
        <v>44182</v>
      </c>
      <c r="C2122" t="s">
        <v>4014</v>
      </c>
      <c r="D2122" t="s">
        <v>4015</v>
      </c>
      <c r="E2122" t="s">
        <v>14</v>
      </c>
      <c r="F2122" t="s">
        <v>23</v>
      </c>
      <c r="G2122" t="s">
        <v>24</v>
      </c>
      <c r="H2122" t="s">
        <v>805</v>
      </c>
      <c r="I2122" s="2">
        <v>431.80799999999999</v>
      </c>
      <c r="J2122">
        <v>2</v>
      </c>
      <c r="K2122" s="2">
        <v>4.2804000000000002</v>
      </c>
      <c r="L2122" s="3">
        <f>(Table1[[#This Row],[Profit]]/Table1[[#This Row],[Sales]])*100</f>
        <v>0.99127389951089384</v>
      </c>
    </row>
    <row r="2123" spans="1:12" x14ac:dyDescent="0.3">
      <c r="A2123" t="s">
        <v>151</v>
      </c>
      <c r="B2123" s="1">
        <v>43487</v>
      </c>
      <c r="C2123" t="s">
        <v>152</v>
      </c>
      <c r="D2123" t="s">
        <v>153</v>
      </c>
      <c r="E2123" t="s">
        <v>14</v>
      </c>
      <c r="F2123" t="s">
        <v>41</v>
      </c>
      <c r="G2123" t="s">
        <v>16</v>
      </c>
      <c r="H2123" t="s">
        <v>154</v>
      </c>
      <c r="I2123" s="2">
        <v>14.272</v>
      </c>
      <c r="J2123">
        <v>8</v>
      </c>
      <c r="K2123" s="2">
        <v>4.2816000000000001</v>
      </c>
      <c r="L2123" s="3">
        <f>(Table1[[#This Row],[Profit]]/Table1[[#This Row],[Sales]])*100</f>
        <v>30</v>
      </c>
    </row>
    <row r="2124" spans="1:12" x14ac:dyDescent="0.3">
      <c r="A2124" t="s">
        <v>4672</v>
      </c>
      <c r="B2124" s="1">
        <v>43970</v>
      </c>
      <c r="C2124" t="s">
        <v>981</v>
      </c>
      <c r="D2124" t="s">
        <v>982</v>
      </c>
      <c r="E2124" t="s">
        <v>14</v>
      </c>
      <c r="F2124" t="s">
        <v>29</v>
      </c>
      <c r="G2124" t="s">
        <v>24</v>
      </c>
      <c r="H2124" t="s">
        <v>4682</v>
      </c>
      <c r="I2124" s="2">
        <v>92.215999999999994</v>
      </c>
      <c r="J2124">
        <v>4</v>
      </c>
      <c r="K2124" s="2">
        <v>4.2952000000000004</v>
      </c>
      <c r="L2124" s="3">
        <f>(Table1[[#This Row],[Profit]]/Table1[[#This Row],[Sales]])*100</f>
        <v>4.6577600416413647</v>
      </c>
    </row>
    <row r="2125" spans="1:12" x14ac:dyDescent="0.3">
      <c r="A2125" t="s">
        <v>996</v>
      </c>
      <c r="B2125" s="1">
        <v>43569</v>
      </c>
      <c r="C2125" t="s">
        <v>738</v>
      </c>
      <c r="D2125" t="s">
        <v>739</v>
      </c>
      <c r="E2125" t="s">
        <v>14</v>
      </c>
      <c r="F2125" t="s">
        <v>23</v>
      </c>
      <c r="G2125" t="s">
        <v>24</v>
      </c>
      <c r="H2125" t="s">
        <v>998</v>
      </c>
      <c r="I2125" s="2">
        <v>42.975999999999999</v>
      </c>
      <c r="J2125">
        <v>4</v>
      </c>
      <c r="K2125" s="2">
        <v>4.2976000000000001</v>
      </c>
      <c r="L2125" s="3">
        <f>(Table1[[#This Row],[Profit]]/Table1[[#This Row],[Sales]])*100</f>
        <v>10</v>
      </c>
    </row>
    <row r="2126" spans="1:12" x14ac:dyDescent="0.3">
      <c r="A2126" t="s">
        <v>5655</v>
      </c>
      <c r="B2126" s="1">
        <v>44123</v>
      </c>
      <c r="C2126" t="s">
        <v>5656</v>
      </c>
      <c r="D2126" t="s">
        <v>5657</v>
      </c>
      <c r="E2126" t="s">
        <v>14</v>
      </c>
      <c r="F2126" t="s">
        <v>23</v>
      </c>
      <c r="G2126" t="s">
        <v>24</v>
      </c>
      <c r="H2126" t="s">
        <v>931</v>
      </c>
      <c r="I2126" s="2">
        <v>112.96</v>
      </c>
      <c r="J2126">
        <v>2</v>
      </c>
      <c r="K2126" s="2">
        <v>4.3007999999999997</v>
      </c>
      <c r="L2126" s="3">
        <f>(Table1[[#This Row],[Profit]]/Table1[[#This Row],[Sales]])*100</f>
        <v>3.8073654390934846</v>
      </c>
    </row>
    <row r="2127" spans="1:12" x14ac:dyDescent="0.3">
      <c r="A2127" t="s">
        <v>5595</v>
      </c>
      <c r="B2127" s="1">
        <v>44113</v>
      </c>
      <c r="C2127" t="s">
        <v>4308</v>
      </c>
      <c r="D2127" t="s">
        <v>4309</v>
      </c>
      <c r="E2127" t="s">
        <v>14</v>
      </c>
      <c r="F2127" t="s">
        <v>15</v>
      </c>
      <c r="G2127" t="s">
        <v>24</v>
      </c>
      <c r="H2127" t="s">
        <v>2028</v>
      </c>
      <c r="I2127" s="2">
        <v>125.816</v>
      </c>
      <c r="J2127">
        <v>3</v>
      </c>
      <c r="K2127" s="2">
        <v>4.3254000000000001</v>
      </c>
      <c r="L2127" s="3">
        <f>(Table1[[#This Row],[Profit]]/Table1[[#This Row],[Sales]])*100</f>
        <v>3.4378775354485915</v>
      </c>
    </row>
    <row r="2128" spans="1:12" x14ac:dyDescent="0.3">
      <c r="A2128" t="s">
        <v>4973</v>
      </c>
      <c r="B2128" s="1">
        <v>44020</v>
      </c>
      <c r="C2128" t="s">
        <v>4702</v>
      </c>
      <c r="D2128" t="s">
        <v>4703</v>
      </c>
      <c r="E2128" t="s">
        <v>14</v>
      </c>
      <c r="F2128" t="s">
        <v>23</v>
      </c>
      <c r="G2128" t="s">
        <v>24</v>
      </c>
      <c r="H2128" t="s">
        <v>3805</v>
      </c>
      <c r="I2128" s="2">
        <v>130.12</v>
      </c>
      <c r="J2128">
        <v>4</v>
      </c>
      <c r="K2128" s="2">
        <v>4.3296000000000001</v>
      </c>
      <c r="L2128" s="3">
        <f>(Table1[[#This Row],[Profit]]/Table1[[#This Row],[Sales]])*100</f>
        <v>3.3273901014448199</v>
      </c>
    </row>
    <row r="2129" spans="1:12" x14ac:dyDescent="0.3">
      <c r="A2129" t="s">
        <v>4841</v>
      </c>
      <c r="B2129" s="1">
        <v>43998</v>
      </c>
      <c r="C2129" t="s">
        <v>1869</v>
      </c>
      <c r="D2129" t="s">
        <v>1870</v>
      </c>
      <c r="E2129" t="s">
        <v>14</v>
      </c>
      <c r="F2129" t="s">
        <v>23</v>
      </c>
      <c r="G2129" t="s">
        <v>24</v>
      </c>
      <c r="H2129" t="s">
        <v>2157</v>
      </c>
      <c r="I2129" s="2">
        <v>135.68</v>
      </c>
      <c r="J2129">
        <v>2</v>
      </c>
      <c r="K2129" s="2">
        <v>4.3368000000000002</v>
      </c>
      <c r="L2129" s="3">
        <f>(Table1[[#This Row],[Profit]]/Table1[[#This Row],[Sales]])*100</f>
        <v>3.1963443396226414</v>
      </c>
    </row>
    <row r="2130" spans="1:12" x14ac:dyDescent="0.3">
      <c r="A2130" t="s">
        <v>5149</v>
      </c>
      <c r="B2130" s="1">
        <v>44057</v>
      </c>
      <c r="C2130" t="s">
        <v>2304</v>
      </c>
      <c r="D2130" t="s">
        <v>2305</v>
      </c>
      <c r="E2130" t="s">
        <v>14</v>
      </c>
      <c r="F2130" t="s">
        <v>23</v>
      </c>
      <c r="G2130" t="s">
        <v>24</v>
      </c>
      <c r="H2130" t="s">
        <v>3753</v>
      </c>
      <c r="I2130" s="2">
        <v>135.68</v>
      </c>
      <c r="J2130">
        <v>6</v>
      </c>
      <c r="K2130" s="2">
        <v>4.3368000000000002</v>
      </c>
      <c r="L2130" s="3">
        <f>(Table1[[#This Row],[Profit]]/Table1[[#This Row],[Sales]])*100</f>
        <v>3.1963443396226414</v>
      </c>
    </row>
    <row r="2131" spans="1:12" x14ac:dyDescent="0.3">
      <c r="A2131" t="s">
        <v>5284</v>
      </c>
      <c r="B2131" s="1">
        <v>44078</v>
      </c>
      <c r="C2131" t="s">
        <v>1038</v>
      </c>
      <c r="D2131" t="s">
        <v>1039</v>
      </c>
      <c r="E2131" t="s">
        <v>14</v>
      </c>
      <c r="F2131" t="s">
        <v>23</v>
      </c>
      <c r="G2131" t="s">
        <v>24</v>
      </c>
      <c r="H2131" t="s">
        <v>2851</v>
      </c>
      <c r="I2131" s="2">
        <v>119.34399999999999</v>
      </c>
      <c r="J2131">
        <v>6</v>
      </c>
      <c r="K2131" s="2">
        <v>4.3368000000000002</v>
      </c>
      <c r="L2131" s="3">
        <f>(Table1[[#This Row],[Profit]]/Table1[[#This Row],[Sales]])*100</f>
        <v>3.6338651293739108</v>
      </c>
    </row>
    <row r="2132" spans="1:12" x14ac:dyDescent="0.3">
      <c r="A2132" t="s">
        <v>5053</v>
      </c>
      <c r="B2132" s="1">
        <v>44035</v>
      </c>
      <c r="C2132" t="s">
        <v>5054</v>
      </c>
      <c r="D2132" t="s">
        <v>5055</v>
      </c>
      <c r="E2132" t="s">
        <v>14</v>
      </c>
      <c r="F2132" t="s">
        <v>15</v>
      </c>
      <c r="G2132" t="s">
        <v>24</v>
      </c>
      <c r="H2132" t="s">
        <v>374</v>
      </c>
      <c r="I2132" s="2">
        <v>120.92</v>
      </c>
      <c r="J2132">
        <v>3</v>
      </c>
      <c r="K2132" s="2">
        <v>4.3499999999999996</v>
      </c>
      <c r="L2132" s="3">
        <f>(Table1[[#This Row],[Profit]]/Table1[[#This Row],[Sales]])*100</f>
        <v>3.5974197816738336</v>
      </c>
    </row>
    <row r="2133" spans="1:12" x14ac:dyDescent="0.3">
      <c r="A2133" t="s">
        <v>663</v>
      </c>
      <c r="B2133" s="1">
        <v>43538</v>
      </c>
      <c r="C2133" t="s">
        <v>664</v>
      </c>
      <c r="D2133" t="s">
        <v>665</v>
      </c>
      <c r="E2133" t="s">
        <v>14</v>
      </c>
      <c r="F2133" t="s">
        <v>29</v>
      </c>
      <c r="G2133" t="s">
        <v>16</v>
      </c>
      <c r="H2133" t="s">
        <v>666</v>
      </c>
      <c r="I2133" s="2">
        <v>16.739999999999998</v>
      </c>
      <c r="J2133">
        <v>2</v>
      </c>
      <c r="K2133" s="2">
        <v>4.3524000000000003</v>
      </c>
      <c r="L2133" s="3">
        <f>(Table1[[#This Row],[Profit]]/Table1[[#This Row],[Sales]])*100</f>
        <v>26.000000000000007</v>
      </c>
    </row>
    <row r="2134" spans="1:12" x14ac:dyDescent="0.3">
      <c r="A2134" t="s">
        <v>1196</v>
      </c>
      <c r="B2134" s="1">
        <v>43586</v>
      </c>
      <c r="C2134" t="s">
        <v>1197</v>
      </c>
      <c r="D2134" t="s">
        <v>1198</v>
      </c>
      <c r="E2134" t="s">
        <v>14</v>
      </c>
      <c r="F2134" t="s">
        <v>41</v>
      </c>
      <c r="G2134" t="s">
        <v>24</v>
      </c>
      <c r="H2134" t="s">
        <v>1200</v>
      </c>
      <c r="I2134" s="2">
        <v>11.16</v>
      </c>
      <c r="J2134">
        <v>2</v>
      </c>
      <c r="K2134" s="2">
        <v>4.3524000000000003</v>
      </c>
      <c r="L2134" s="3">
        <f>(Table1[[#This Row],[Profit]]/Table1[[#This Row],[Sales]])*100</f>
        <v>39</v>
      </c>
    </row>
    <row r="2135" spans="1:12" x14ac:dyDescent="0.3">
      <c r="A2135" t="s">
        <v>3653</v>
      </c>
      <c r="B2135" s="1">
        <v>43800</v>
      </c>
      <c r="C2135" t="s">
        <v>3654</v>
      </c>
      <c r="D2135" t="s">
        <v>3655</v>
      </c>
      <c r="E2135" t="s">
        <v>14</v>
      </c>
      <c r="F2135" t="s">
        <v>23</v>
      </c>
      <c r="G2135" t="s">
        <v>16</v>
      </c>
      <c r="H2135" t="s">
        <v>666</v>
      </c>
      <c r="I2135" s="2">
        <v>16.739999999999998</v>
      </c>
      <c r="J2135">
        <v>2</v>
      </c>
      <c r="K2135" s="2">
        <v>4.3524000000000003</v>
      </c>
      <c r="L2135" s="3">
        <f>(Table1[[#This Row],[Profit]]/Table1[[#This Row],[Sales]])*100</f>
        <v>26.000000000000007</v>
      </c>
    </row>
    <row r="2136" spans="1:12" x14ac:dyDescent="0.3">
      <c r="A2136" t="s">
        <v>6031</v>
      </c>
      <c r="B2136" s="1">
        <v>44162</v>
      </c>
      <c r="C2136" t="s">
        <v>3047</v>
      </c>
      <c r="D2136" t="s">
        <v>3048</v>
      </c>
      <c r="E2136" t="s">
        <v>14</v>
      </c>
      <c r="F2136" t="s">
        <v>41</v>
      </c>
      <c r="G2136" t="s">
        <v>24</v>
      </c>
      <c r="H2136" t="s">
        <v>416</v>
      </c>
      <c r="I2136" s="2">
        <v>144.584</v>
      </c>
      <c r="J2136">
        <v>1</v>
      </c>
      <c r="K2136" s="2">
        <v>4.3583999999999996</v>
      </c>
      <c r="L2136" s="3">
        <f>(Table1[[#This Row],[Profit]]/Table1[[#This Row],[Sales]])*100</f>
        <v>3.0144414319703423</v>
      </c>
    </row>
    <row r="2137" spans="1:12" x14ac:dyDescent="0.3">
      <c r="A2137" t="s">
        <v>1358</v>
      </c>
      <c r="B2137" s="1">
        <v>43599</v>
      </c>
      <c r="C2137" t="s">
        <v>1359</v>
      </c>
      <c r="D2137" t="s">
        <v>1360</v>
      </c>
      <c r="E2137" t="s">
        <v>14</v>
      </c>
      <c r="F2137" t="s">
        <v>41</v>
      </c>
      <c r="G2137" t="s">
        <v>18</v>
      </c>
      <c r="H2137" t="s">
        <v>1364</v>
      </c>
      <c r="I2137" s="2">
        <v>43.6</v>
      </c>
      <c r="J2137">
        <v>5</v>
      </c>
      <c r="K2137" s="2">
        <v>4.3600000000000003</v>
      </c>
      <c r="L2137" s="3">
        <f>(Table1[[#This Row],[Profit]]/Table1[[#This Row],[Sales]])*100</f>
        <v>10</v>
      </c>
    </row>
    <row r="2138" spans="1:12" x14ac:dyDescent="0.3">
      <c r="A2138" t="s">
        <v>3071</v>
      </c>
      <c r="B2138" s="1">
        <v>43751</v>
      </c>
      <c r="C2138" t="s">
        <v>3072</v>
      </c>
      <c r="D2138" t="s">
        <v>3073</v>
      </c>
      <c r="E2138" t="s">
        <v>14</v>
      </c>
      <c r="F2138" t="s">
        <v>23</v>
      </c>
      <c r="G2138" t="s">
        <v>16</v>
      </c>
      <c r="H2138" t="s">
        <v>1279</v>
      </c>
      <c r="I2138" s="2">
        <v>24.96</v>
      </c>
      <c r="J2138">
        <v>3</v>
      </c>
      <c r="K2138" s="2">
        <v>4.3680000000000003</v>
      </c>
      <c r="L2138" s="3">
        <f>(Table1[[#This Row],[Profit]]/Table1[[#This Row],[Sales]])*100</f>
        <v>17.5</v>
      </c>
    </row>
    <row r="2139" spans="1:12" x14ac:dyDescent="0.3">
      <c r="A2139" t="s">
        <v>3834</v>
      </c>
      <c r="B2139" s="1">
        <v>43816</v>
      </c>
      <c r="C2139" t="s">
        <v>267</v>
      </c>
      <c r="D2139" t="s">
        <v>268</v>
      </c>
      <c r="E2139" t="s">
        <v>14</v>
      </c>
      <c r="F2139" t="s">
        <v>23</v>
      </c>
      <c r="G2139" t="s">
        <v>24</v>
      </c>
      <c r="H2139" t="s">
        <v>3304</v>
      </c>
      <c r="I2139" s="2">
        <v>13.488</v>
      </c>
      <c r="J2139">
        <v>2</v>
      </c>
      <c r="K2139" s="2">
        <v>4.3836000000000004</v>
      </c>
      <c r="L2139" s="3">
        <f>(Table1[[#This Row],[Profit]]/Table1[[#This Row],[Sales]])*100</f>
        <v>32.500000000000007</v>
      </c>
    </row>
    <row r="2140" spans="1:12" x14ac:dyDescent="0.3">
      <c r="A2140" t="s">
        <v>4771</v>
      </c>
      <c r="B2140" s="1">
        <v>43986</v>
      </c>
      <c r="C2140" t="s">
        <v>1173</v>
      </c>
      <c r="D2140" t="s">
        <v>1174</v>
      </c>
      <c r="E2140" t="s">
        <v>14</v>
      </c>
      <c r="F2140" t="s">
        <v>41</v>
      </c>
      <c r="G2140" t="s">
        <v>24</v>
      </c>
      <c r="H2140" t="s">
        <v>624</v>
      </c>
      <c r="I2140" s="2">
        <v>115.54</v>
      </c>
      <c r="J2140">
        <v>3</v>
      </c>
      <c r="K2140" s="2">
        <v>4.3883999999999999</v>
      </c>
      <c r="L2140" s="3">
        <f>(Table1[[#This Row],[Profit]]/Table1[[#This Row],[Sales]])*100</f>
        <v>3.7981651376146788</v>
      </c>
    </row>
    <row r="2141" spans="1:12" x14ac:dyDescent="0.3">
      <c r="A2141" t="s">
        <v>5017</v>
      </c>
      <c r="B2141" s="1">
        <v>44027</v>
      </c>
      <c r="C2141" t="s">
        <v>4608</v>
      </c>
      <c r="D2141" t="s">
        <v>4609</v>
      </c>
      <c r="E2141" t="s">
        <v>14</v>
      </c>
      <c r="F2141" t="s">
        <v>15</v>
      </c>
      <c r="G2141" t="s">
        <v>24</v>
      </c>
      <c r="H2141" t="s">
        <v>5018</v>
      </c>
      <c r="I2141" s="2">
        <v>93.96</v>
      </c>
      <c r="J2141">
        <v>2</v>
      </c>
      <c r="K2141" s="2">
        <v>4.3903999999999996</v>
      </c>
      <c r="L2141" s="3">
        <f>(Table1[[#This Row],[Profit]]/Table1[[#This Row],[Sales]])*100</f>
        <v>4.6726266496381434</v>
      </c>
    </row>
    <row r="2142" spans="1:12" x14ac:dyDescent="0.3">
      <c r="A2142" t="s">
        <v>5552</v>
      </c>
      <c r="B2142" s="1">
        <v>44106</v>
      </c>
      <c r="C2142" t="s">
        <v>5553</v>
      </c>
      <c r="D2142" t="s">
        <v>5554</v>
      </c>
      <c r="E2142" t="s">
        <v>14</v>
      </c>
      <c r="F2142" t="s">
        <v>23</v>
      </c>
      <c r="G2142" t="s">
        <v>24</v>
      </c>
      <c r="H2142" t="s">
        <v>1972</v>
      </c>
      <c r="I2142" s="2">
        <v>136.072</v>
      </c>
      <c r="J2142">
        <v>6</v>
      </c>
      <c r="K2142" s="2">
        <v>4.3956</v>
      </c>
      <c r="L2142" s="3">
        <f>(Table1[[#This Row],[Profit]]/Table1[[#This Row],[Sales]])*100</f>
        <v>3.2303486389558467</v>
      </c>
    </row>
    <row r="2143" spans="1:12" x14ac:dyDescent="0.3">
      <c r="A2143" t="s">
        <v>5643</v>
      </c>
      <c r="B2143" s="1">
        <v>44120</v>
      </c>
      <c r="C2143" t="s">
        <v>1888</v>
      </c>
      <c r="D2143" t="s">
        <v>1889</v>
      </c>
      <c r="E2143" t="s">
        <v>14</v>
      </c>
      <c r="F2143" t="s">
        <v>41</v>
      </c>
      <c r="G2143" t="s">
        <v>18</v>
      </c>
      <c r="H2143" t="s">
        <v>5360</v>
      </c>
      <c r="I2143" s="2">
        <v>124.52800000000001</v>
      </c>
      <c r="J2143">
        <v>2</v>
      </c>
      <c r="K2143" s="2">
        <v>4.4004000000000003</v>
      </c>
      <c r="L2143" s="3">
        <f>(Table1[[#This Row],[Profit]]/Table1[[#This Row],[Sales]])*100</f>
        <v>3.5336631119105748</v>
      </c>
    </row>
    <row r="2144" spans="1:12" x14ac:dyDescent="0.3">
      <c r="A2144" t="s">
        <v>1346</v>
      </c>
      <c r="B2144" s="1">
        <v>43597</v>
      </c>
      <c r="C2144" t="s">
        <v>1347</v>
      </c>
      <c r="D2144" t="s">
        <v>1348</v>
      </c>
      <c r="E2144" t="s">
        <v>14</v>
      </c>
      <c r="F2144" t="s">
        <v>15</v>
      </c>
      <c r="G2144" t="s">
        <v>16</v>
      </c>
      <c r="H2144" t="s">
        <v>1349</v>
      </c>
      <c r="I2144" s="2">
        <v>10.02</v>
      </c>
      <c r="J2144">
        <v>3</v>
      </c>
      <c r="K2144" s="2">
        <v>4.4088000000000003</v>
      </c>
      <c r="L2144" s="3">
        <f>(Table1[[#This Row],[Profit]]/Table1[[#This Row],[Sales]])*100</f>
        <v>44.000000000000007</v>
      </c>
    </row>
    <row r="2145" spans="1:12" x14ac:dyDescent="0.3">
      <c r="A2145" t="s">
        <v>4626</v>
      </c>
      <c r="B2145" s="1">
        <v>43963</v>
      </c>
      <c r="C2145" t="s">
        <v>3788</v>
      </c>
      <c r="D2145" t="s">
        <v>3789</v>
      </c>
      <c r="E2145" t="s">
        <v>14</v>
      </c>
      <c r="F2145" t="s">
        <v>15</v>
      </c>
      <c r="G2145" t="s">
        <v>24</v>
      </c>
      <c r="H2145" t="s">
        <v>4634</v>
      </c>
      <c r="I2145" s="2">
        <v>118</v>
      </c>
      <c r="J2145">
        <v>2</v>
      </c>
      <c r="K2145" s="2">
        <v>4.42</v>
      </c>
      <c r="L2145" s="3">
        <f>(Table1[[#This Row],[Profit]]/Table1[[#This Row],[Sales]])*100</f>
        <v>3.7457627118644066</v>
      </c>
    </row>
    <row r="2146" spans="1:12" x14ac:dyDescent="0.3">
      <c r="A2146" t="s">
        <v>4854</v>
      </c>
      <c r="B2146" s="1">
        <v>43999</v>
      </c>
      <c r="C2146" t="s">
        <v>3532</v>
      </c>
      <c r="D2146" t="s">
        <v>3533</v>
      </c>
      <c r="E2146" t="s">
        <v>14</v>
      </c>
      <c r="F2146" t="s">
        <v>29</v>
      </c>
      <c r="G2146" t="s">
        <v>24</v>
      </c>
      <c r="H2146" t="s">
        <v>468</v>
      </c>
      <c r="I2146" s="2">
        <v>110.224</v>
      </c>
      <c r="J2146">
        <v>2</v>
      </c>
      <c r="K2146" s="2">
        <v>4.4311999999999996</v>
      </c>
      <c r="L2146" s="3">
        <f>(Table1[[#This Row],[Profit]]/Table1[[#This Row],[Sales]])*100</f>
        <v>4.0201770939178392</v>
      </c>
    </row>
    <row r="2147" spans="1:12" x14ac:dyDescent="0.3">
      <c r="A2147" t="s">
        <v>5860</v>
      </c>
      <c r="B2147" s="1">
        <v>44147</v>
      </c>
      <c r="C2147" t="s">
        <v>2220</v>
      </c>
      <c r="D2147" t="s">
        <v>2221</v>
      </c>
      <c r="E2147" t="s">
        <v>14</v>
      </c>
      <c r="F2147" t="s">
        <v>29</v>
      </c>
      <c r="G2147" t="s">
        <v>24</v>
      </c>
      <c r="H2147" t="s">
        <v>3651</v>
      </c>
      <c r="I2147" s="2">
        <v>110.224</v>
      </c>
      <c r="J2147">
        <v>2</v>
      </c>
      <c r="K2147" s="2">
        <v>4.4311999999999996</v>
      </c>
      <c r="L2147" s="3">
        <f>(Table1[[#This Row],[Profit]]/Table1[[#This Row],[Sales]])*100</f>
        <v>4.0201770939178392</v>
      </c>
    </row>
    <row r="2148" spans="1:12" x14ac:dyDescent="0.3">
      <c r="A2148" t="s">
        <v>1500</v>
      </c>
      <c r="B2148" s="1">
        <v>43611</v>
      </c>
      <c r="C2148" t="s">
        <v>174</v>
      </c>
      <c r="D2148" t="s">
        <v>175</v>
      </c>
      <c r="E2148" t="s">
        <v>14</v>
      </c>
      <c r="F2148" t="s">
        <v>15</v>
      </c>
      <c r="G2148" t="s">
        <v>24</v>
      </c>
      <c r="H2148" t="s">
        <v>1434</v>
      </c>
      <c r="I2148" s="2">
        <v>9.64</v>
      </c>
      <c r="J2148">
        <v>2</v>
      </c>
      <c r="K2148" s="2">
        <v>4.4344000000000001</v>
      </c>
      <c r="L2148" s="3">
        <f>(Table1[[#This Row],[Profit]]/Table1[[#This Row],[Sales]])*100</f>
        <v>46</v>
      </c>
    </row>
    <row r="2149" spans="1:12" x14ac:dyDescent="0.3">
      <c r="A2149" t="s">
        <v>5828</v>
      </c>
      <c r="B2149" s="1">
        <v>44144</v>
      </c>
      <c r="C2149" t="s">
        <v>2950</v>
      </c>
      <c r="D2149" t="s">
        <v>2951</v>
      </c>
      <c r="E2149" t="s">
        <v>14</v>
      </c>
      <c r="F2149" t="s">
        <v>15</v>
      </c>
      <c r="G2149" t="s">
        <v>24</v>
      </c>
      <c r="H2149" t="s">
        <v>1434</v>
      </c>
      <c r="I2149" s="2">
        <v>101.64</v>
      </c>
      <c r="J2149">
        <v>2</v>
      </c>
      <c r="K2149" s="2">
        <v>4.4344000000000001</v>
      </c>
      <c r="L2149" s="3">
        <f>(Table1[[#This Row],[Profit]]/Table1[[#This Row],[Sales]])*100</f>
        <v>4.3628492719401812</v>
      </c>
    </row>
    <row r="2150" spans="1:12" x14ac:dyDescent="0.3">
      <c r="A2150" t="s">
        <v>5518</v>
      </c>
      <c r="B2150" s="1">
        <v>44102</v>
      </c>
      <c r="C2150" t="s">
        <v>428</v>
      </c>
      <c r="D2150" t="s">
        <v>429</v>
      </c>
      <c r="E2150" t="s">
        <v>14</v>
      </c>
      <c r="F2150" t="s">
        <v>23</v>
      </c>
      <c r="G2150" t="s">
        <v>16</v>
      </c>
      <c r="H2150" t="s">
        <v>3070</v>
      </c>
      <c r="I2150" s="2">
        <v>80.239999999999995</v>
      </c>
      <c r="J2150">
        <v>3</v>
      </c>
      <c r="K2150" s="2">
        <v>4.4352</v>
      </c>
      <c r="L2150" s="3">
        <f>(Table1[[#This Row],[Profit]]/Table1[[#This Row],[Sales]])*100</f>
        <v>5.5274177467597214</v>
      </c>
    </row>
    <row r="2151" spans="1:12" x14ac:dyDescent="0.3">
      <c r="A2151" t="s">
        <v>3282</v>
      </c>
      <c r="B2151" s="1">
        <v>43774</v>
      </c>
      <c r="C2151" t="s">
        <v>3283</v>
      </c>
      <c r="D2151" t="s">
        <v>3284</v>
      </c>
      <c r="E2151" t="s">
        <v>14</v>
      </c>
      <c r="F2151" t="s">
        <v>29</v>
      </c>
      <c r="G2151" t="s">
        <v>24</v>
      </c>
      <c r="H2151" t="s">
        <v>3285</v>
      </c>
      <c r="I2151" s="2">
        <v>11.84</v>
      </c>
      <c r="J2151">
        <v>1</v>
      </c>
      <c r="K2151" s="2">
        <v>4.4400000000000004</v>
      </c>
      <c r="L2151" s="3">
        <f>(Table1[[#This Row],[Profit]]/Table1[[#This Row],[Sales]])*100</f>
        <v>37.500000000000007</v>
      </c>
    </row>
    <row r="2152" spans="1:12" x14ac:dyDescent="0.3">
      <c r="A2152" t="s">
        <v>3824</v>
      </c>
      <c r="B2152" s="1">
        <v>43815</v>
      </c>
      <c r="C2152" t="s">
        <v>1107</v>
      </c>
      <c r="D2152" t="s">
        <v>1108</v>
      </c>
      <c r="E2152" t="s">
        <v>14</v>
      </c>
      <c r="F2152" t="s">
        <v>23</v>
      </c>
      <c r="G2152" t="s">
        <v>18</v>
      </c>
      <c r="H2152" t="s">
        <v>3825</v>
      </c>
      <c r="I2152" s="2">
        <v>21.21</v>
      </c>
      <c r="J2152">
        <v>7</v>
      </c>
      <c r="K2152" s="2">
        <v>4.4541000000000004</v>
      </c>
      <c r="L2152" s="3">
        <f>(Table1[[#This Row],[Profit]]/Table1[[#This Row],[Sales]])*100</f>
        <v>21.000000000000004</v>
      </c>
    </row>
    <row r="2153" spans="1:12" x14ac:dyDescent="0.3">
      <c r="A2153" t="s">
        <v>2693</v>
      </c>
      <c r="B2153" s="1">
        <v>43718</v>
      </c>
      <c r="C2153" t="s">
        <v>569</v>
      </c>
      <c r="D2153" t="s">
        <v>570</v>
      </c>
      <c r="E2153" t="s">
        <v>14</v>
      </c>
      <c r="F2153" t="s">
        <v>23</v>
      </c>
      <c r="G2153" t="s">
        <v>24</v>
      </c>
      <c r="H2153" t="s">
        <v>37</v>
      </c>
      <c r="I2153" s="2">
        <v>14.256</v>
      </c>
      <c r="J2153">
        <v>3</v>
      </c>
      <c r="K2153" s="2">
        <v>4.4550000000000001</v>
      </c>
      <c r="L2153" s="3">
        <f>(Table1[[#This Row],[Profit]]/Table1[[#This Row],[Sales]])*100</f>
        <v>31.25</v>
      </c>
    </row>
    <row r="2154" spans="1:12" x14ac:dyDescent="0.3">
      <c r="A2154" t="s">
        <v>2884</v>
      </c>
      <c r="B2154" s="1">
        <v>43731</v>
      </c>
      <c r="C2154" t="s">
        <v>1808</v>
      </c>
      <c r="D2154" t="s">
        <v>1809</v>
      </c>
      <c r="E2154" t="s">
        <v>14</v>
      </c>
      <c r="F2154" t="s">
        <v>23</v>
      </c>
      <c r="G2154" t="s">
        <v>24</v>
      </c>
      <c r="H2154" t="s">
        <v>2526</v>
      </c>
      <c r="I2154" s="2">
        <v>13.215999999999999</v>
      </c>
      <c r="J2154">
        <v>4</v>
      </c>
      <c r="K2154" s="2">
        <v>4.4603999999999999</v>
      </c>
      <c r="L2154" s="3">
        <f>(Table1[[#This Row],[Profit]]/Table1[[#This Row],[Sales]])*100</f>
        <v>33.75</v>
      </c>
    </row>
    <row r="2155" spans="1:12" x14ac:dyDescent="0.3">
      <c r="A2155" t="s">
        <v>3331</v>
      </c>
      <c r="B2155" s="1">
        <v>43779</v>
      </c>
      <c r="C2155" t="s">
        <v>133</v>
      </c>
      <c r="D2155" t="s">
        <v>134</v>
      </c>
      <c r="E2155" t="s">
        <v>14</v>
      </c>
      <c r="F2155" t="s">
        <v>23</v>
      </c>
      <c r="G2155" t="s">
        <v>24</v>
      </c>
      <c r="H2155" t="s">
        <v>2526</v>
      </c>
      <c r="I2155" s="2">
        <v>13.215999999999999</v>
      </c>
      <c r="J2155">
        <v>4</v>
      </c>
      <c r="K2155" s="2">
        <v>4.4603999999999999</v>
      </c>
      <c r="L2155" s="3">
        <f>(Table1[[#This Row],[Profit]]/Table1[[#This Row],[Sales]])*100</f>
        <v>33.75</v>
      </c>
    </row>
    <row r="2156" spans="1:12" x14ac:dyDescent="0.3">
      <c r="A2156" t="s">
        <v>3360</v>
      </c>
      <c r="B2156" s="1">
        <v>43779</v>
      </c>
      <c r="C2156" t="s">
        <v>702</v>
      </c>
      <c r="D2156" t="s">
        <v>703</v>
      </c>
      <c r="E2156" t="s">
        <v>14</v>
      </c>
      <c r="F2156" t="s">
        <v>23</v>
      </c>
      <c r="G2156" t="s">
        <v>24</v>
      </c>
      <c r="H2156" t="s">
        <v>2687</v>
      </c>
      <c r="I2156" s="2">
        <v>29.74</v>
      </c>
      <c r="J2156">
        <v>1</v>
      </c>
      <c r="K2156" s="2">
        <v>4.4610000000000003</v>
      </c>
      <c r="L2156" s="3">
        <f>(Table1[[#This Row],[Profit]]/Table1[[#This Row],[Sales]])*100</f>
        <v>15.000000000000002</v>
      </c>
    </row>
    <row r="2157" spans="1:12" x14ac:dyDescent="0.3">
      <c r="A2157" t="s">
        <v>3505</v>
      </c>
      <c r="B2157" s="1">
        <v>43789</v>
      </c>
      <c r="C2157" t="s">
        <v>3506</v>
      </c>
      <c r="D2157" t="s">
        <v>3507</v>
      </c>
      <c r="E2157" t="s">
        <v>14</v>
      </c>
      <c r="F2157" t="s">
        <v>41</v>
      </c>
      <c r="G2157" t="s">
        <v>24</v>
      </c>
      <c r="H2157" t="s">
        <v>3508</v>
      </c>
      <c r="I2157" s="2">
        <v>39.72</v>
      </c>
      <c r="J2157">
        <v>5</v>
      </c>
      <c r="K2157" s="2">
        <v>4.4684999999999997</v>
      </c>
      <c r="L2157" s="3">
        <f>(Table1[[#This Row],[Profit]]/Table1[[#This Row],[Sales]])*100</f>
        <v>11.249999999999998</v>
      </c>
    </row>
    <row r="2158" spans="1:12" x14ac:dyDescent="0.3">
      <c r="A2158" t="s">
        <v>2077</v>
      </c>
      <c r="B2158" s="1">
        <v>43663</v>
      </c>
      <c r="C2158" t="s">
        <v>2078</v>
      </c>
      <c r="D2158" t="s">
        <v>2079</v>
      </c>
      <c r="E2158" t="s">
        <v>14</v>
      </c>
      <c r="F2158" t="s">
        <v>23</v>
      </c>
      <c r="G2158" t="s">
        <v>16</v>
      </c>
      <c r="H2158" t="s">
        <v>2080</v>
      </c>
      <c r="I2158" s="2">
        <v>12.42</v>
      </c>
      <c r="J2158">
        <v>3</v>
      </c>
      <c r="K2158" s="2">
        <v>4.4711999999999996</v>
      </c>
      <c r="L2158" s="3">
        <f>(Table1[[#This Row],[Profit]]/Table1[[#This Row],[Sales]])*100</f>
        <v>36</v>
      </c>
    </row>
    <row r="2159" spans="1:12" x14ac:dyDescent="0.3">
      <c r="A2159" t="s">
        <v>5905</v>
      </c>
      <c r="B2159" s="1">
        <v>44151</v>
      </c>
      <c r="C2159" t="s">
        <v>1785</v>
      </c>
      <c r="D2159" t="s">
        <v>1786</v>
      </c>
      <c r="E2159" t="s">
        <v>14</v>
      </c>
      <c r="F2159" t="s">
        <v>23</v>
      </c>
      <c r="G2159" t="s">
        <v>16</v>
      </c>
      <c r="H2159" t="s">
        <v>2080</v>
      </c>
      <c r="I2159" s="2">
        <v>94.42</v>
      </c>
      <c r="J2159">
        <v>3</v>
      </c>
      <c r="K2159" s="2">
        <v>4.4711999999999996</v>
      </c>
      <c r="L2159" s="3">
        <f>(Table1[[#This Row],[Profit]]/Table1[[#This Row],[Sales]])*100</f>
        <v>4.7354374073289556</v>
      </c>
    </row>
    <row r="2160" spans="1:12" x14ac:dyDescent="0.3">
      <c r="A2160" t="s">
        <v>2920</v>
      </c>
      <c r="B2160" s="1">
        <v>43733</v>
      </c>
      <c r="C2160" t="s">
        <v>431</v>
      </c>
      <c r="D2160" t="s">
        <v>432</v>
      </c>
      <c r="E2160" t="s">
        <v>14</v>
      </c>
      <c r="F2160" t="s">
        <v>23</v>
      </c>
      <c r="G2160" t="s">
        <v>18</v>
      </c>
      <c r="H2160" t="s">
        <v>2923</v>
      </c>
      <c r="I2160" s="2">
        <v>44.735999999999997</v>
      </c>
      <c r="J2160">
        <v>8</v>
      </c>
      <c r="K2160" s="2">
        <v>4.4736000000000002</v>
      </c>
      <c r="L2160" s="3">
        <f>(Table1[[#This Row],[Profit]]/Table1[[#This Row],[Sales]])*100</f>
        <v>10</v>
      </c>
    </row>
    <row r="2161" spans="1:12" x14ac:dyDescent="0.3">
      <c r="A2161" t="s">
        <v>1375</v>
      </c>
      <c r="B2161" s="1">
        <v>43600</v>
      </c>
      <c r="C2161" t="s">
        <v>1376</v>
      </c>
      <c r="D2161" t="s">
        <v>1377</v>
      </c>
      <c r="E2161" t="s">
        <v>14</v>
      </c>
      <c r="F2161" t="s">
        <v>15</v>
      </c>
      <c r="G2161" t="s">
        <v>24</v>
      </c>
      <c r="H2161" t="s">
        <v>1378</v>
      </c>
      <c r="I2161" s="2">
        <v>13.776</v>
      </c>
      <c r="J2161">
        <v>3</v>
      </c>
      <c r="K2161" s="2">
        <v>4.4771999999999998</v>
      </c>
      <c r="L2161" s="3">
        <f>(Table1[[#This Row],[Profit]]/Table1[[#This Row],[Sales]])*100</f>
        <v>32.5</v>
      </c>
    </row>
    <row r="2162" spans="1:12" x14ac:dyDescent="0.3">
      <c r="A2162" t="s">
        <v>2285</v>
      </c>
      <c r="B2162" s="1">
        <v>43686</v>
      </c>
      <c r="C2162" t="s">
        <v>2286</v>
      </c>
      <c r="D2162" t="s">
        <v>2287</v>
      </c>
      <c r="E2162" t="s">
        <v>14</v>
      </c>
      <c r="F2162" t="s">
        <v>41</v>
      </c>
      <c r="G2162" t="s">
        <v>18</v>
      </c>
      <c r="H2162" t="s">
        <v>2289</v>
      </c>
      <c r="I2162" s="2">
        <v>44.783999999999999</v>
      </c>
      <c r="J2162">
        <v>2</v>
      </c>
      <c r="K2162" s="2">
        <v>4.4783999999999997</v>
      </c>
      <c r="L2162" s="3">
        <f>(Table1[[#This Row],[Profit]]/Table1[[#This Row],[Sales]])*100</f>
        <v>10</v>
      </c>
    </row>
    <row r="2163" spans="1:12" x14ac:dyDescent="0.3">
      <c r="A2163" t="s">
        <v>5444</v>
      </c>
      <c r="B2163" s="1">
        <v>44093</v>
      </c>
      <c r="C2163" t="s">
        <v>257</v>
      </c>
      <c r="D2163" t="s">
        <v>258</v>
      </c>
      <c r="E2163" t="s">
        <v>14</v>
      </c>
      <c r="F2163" t="s">
        <v>23</v>
      </c>
      <c r="G2163" t="s">
        <v>18</v>
      </c>
      <c r="H2163" t="s">
        <v>1587</v>
      </c>
      <c r="I2163" s="2">
        <v>113.584</v>
      </c>
      <c r="J2163">
        <v>2</v>
      </c>
      <c r="K2163" s="2">
        <v>4.4791999999999996</v>
      </c>
      <c r="L2163" s="3">
        <f>(Table1[[#This Row],[Profit]]/Table1[[#This Row],[Sales]])*100</f>
        <v>3.943513170869136</v>
      </c>
    </row>
    <row r="2164" spans="1:12" x14ac:dyDescent="0.3">
      <c r="A2164" t="s">
        <v>4661</v>
      </c>
      <c r="B2164" s="1">
        <v>43969</v>
      </c>
      <c r="C2164" t="s">
        <v>192</v>
      </c>
      <c r="D2164" t="s">
        <v>193</v>
      </c>
      <c r="E2164" t="s">
        <v>14</v>
      </c>
      <c r="F2164" t="s">
        <v>41</v>
      </c>
      <c r="G2164" t="s">
        <v>24</v>
      </c>
      <c r="H2164" t="s">
        <v>2421</v>
      </c>
      <c r="I2164" s="2">
        <v>103.24</v>
      </c>
      <c r="J2164">
        <v>2</v>
      </c>
      <c r="K2164" s="2">
        <v>4.4824000000000002</v>
      </c>
      <c r="L2164" s="3">
        <f>(Table1[[#This Row],[Profit]]/Table1[[#This Row],[Sales]])*100</f>
        <v>4.3417280123982955</v>
      </c>
    </row>
    <row r="2165" spans="1:12" x14ac:dyDescent="0.3">
      <c r="A2165" t="s">
        <v>5667</v>
      </c>
      <c r="B2165" s="1">
        <v>44124</v>
      </c>
      <c r="C2165" t="s">
        <v>679</v>
      </c>
      <c r="D2165" t="s">
        <v>680</v>
      </c>
      <c r="E2165" t="s">
        <v>14</v>
      </c>
      <c r="F2165" t="s">
        <v>41</v>
      </c>
      <c r="G2165" t="s">
        <v>24</v>
      </c>
      <c r="H2165" t="s">
        <v>1538</v>
      </c>
      <c r="I2165" s="2">
        <v>131.352</v>
      </c>
      <c r="J2165">
        <v>3</v>
      </c>
      <c r="K2165" s="2">
        <v>4.4850000000000003</v>
      </c>
      <c r="L2165" s="3">
        <f>(Table1[[#This Row],[Profit]]/Table1[[#This Row],[Sales]])*100</f>
        <v>3.4144893111638956</v>
      </c>
    </row>
    <row r="2166" spans="1:12" x14ac:dyDescent="0.3">
      <c r="A2166" t="s">
        <v>4336</v>
      </c>
      <c r="B2166" s="1">
        <v>43915</v>
      </c>
      <c r="C2166" t="s">
        <v>2574</v>
      </c>
      <c r="D2166" t="s">
        <v>2575</v>
      </c>
      <c r="E2166" t="s">
        <v>14</v>
      </c>
      <c r="F2166" t="s">
        <v>23</v>
      </c>
      <c r="G2166" t="s">
        <v>24</v>
      </c>
      <c r="H2166" t="s">
        <v>2987</v>
      </c>
      <c r="I2166" s="2">
        <v>117.02</v>
      </c>
      <c r="J2166">
        <v>9</v>
      </c>
      <c r="K2166" s="2">
        <v>4.4855999999999998</v>
      </c>
      <c r="L2166" s="3">
        <f>(Table1[[#This Row],[Profit]]/Table1[[#This Row],[Sales]])*100</f>
        <v>3.8331909075371735</v>
      </c>
    </row>
    <row r="2167" spans="1:12" x14ac:dyDescent="0.3">
      <c r="A2167" t="s">
        <v>1103</v>
      </c>
      <c r="B2167" s="1">
        <v>43576</v>
      </c>
      <c r="C2167" t="s">
        <v>960</v>
      </c>
      <c r="D2167" t="s">
        <v>961</v>
      </c>
      <c r="E2167" t="s">
        <v>14</v>
      </c>
      <c r="F2167" t="s">
        <v>15</v>
      </c>
      <c r="G2167" t="s">
        <v>24</v>
      </c>
      <c r="H2167" t="s">
        <v>1104</v>
      </c>
      <c r="I2167" s="2">
        <v>15.48</v>
      </c>
      <c r="J2167">
        <v>3</v>
      </c>
      <c r="K2167" s="2">
        <v>4.4892000000000003</v>
      </c>
      <c r="L2167" s="3">
        <f>(Table1[[#This Row],[Profit]]/Table1[[#This Row],[Sales]])*100</f>
        <v>29.000000000000004</v>
      </c>
    </row>
    <row r="2168" spans="1:12" x14ac:dyDescent="0.3">
      <c r="A2168" t="s">
        <v>2928</v>
      </c>
      <c r="B2168" s="1">
        <v>43734</v>
      </c>
      <c r="C2168" t="s">
        <v>1052</v>
      </c>
      <c r="D2168" t="s">
        <v>1053</v>
      </c>
      <c r="E2168" t="s">
        <v>14</v>
      </c>
      <c r="F2168" t="s">
        <v>29</v>
      </c>
      <c r="G2168" t="s">
        <v>24</v>
      </c>
      <c r="H2168" t="s">
        <v>614</v>
      </c>
      <c r="I2168" s="2">
        <v>9.99</v>
      </c>
      <c r="J2168">
        <v>1</v>
      </c>
      <c r="K2168" s="2">
        <v>4.4954999999999998</v>
      </c>
      <c r="L2168" s="3">
        <f>(Table1[[#This Row],[Profit]]/Table1[[#This Row],[Sales]])*100</f>
        <v>44.999999999999993</v>
      </c>
    </row>
    <row r="2169" spans="1:12" x14ac:dyDescent="0.3">
      <c r="A2169" t="s">
        <v>2113</v>
      </c>
      <c r="B2169" s="1">
        <v>43665</v>
      </c>
      <c r="C2169" t="s">
        <v>2114</v>
      </c>
      <c r="D2169" t="s">
        <v>2115</v>
      </c>
      <c r="E2169" t="s">
        <v>14</v>
      </c>
      <c r="F2169" t="s">
        <v>23</v>
      </c>
      <c r="G2169" t="s">
        <v>18</v>
      </c>
      <c r="H2169" t="s">
        <v>2116</v>
      </c>
      <c r="I2169" s="2">
        <v>35.984000000000002</v>
      </c>
      <c r="J2169">
        <v>2</v>
      </c>
      <c r="K2169" s="2">
        <v>4.4980000000000002</v>
      </c>
      <c r="L2169" s="3">
        <f>(Table1[[#This Row],[Profit]]/Table1[[#This Row],[Sales]])*100</f>
        <v>12.5</v>
      </c>
    </row>
    <row r="2170" spans="1:12" x14ac:dyDescent="0.3">
      <c r="A2170" t="s">
        <v>5896</v>
      </c>
      <c r="B2170" s="1">
        <v>44149</v>
      </c>
      <c r="C2170" t="s">
        <v>2456</v>
      </c>
      <c r="D2170" t="s">
        <v>2457</v>
      </c>
      <c r="E2170" t="s">
        <v>14</v>
      </c>
      <c r="F2170" t="s">
        <v>29</v>
      </c>
      <c r="G2170" t="s">
        <v>24</v>
      </c>
      <c r="H2170" t="s">
        <v>3411</v>
      </c>
      <c r="I2170" s="2">
        <v>159.04</v>
      </c>
      <c r="J2170">
        <v>2</v>
      </c>
      <c r="K2170" s="2">
        <v>4.5039999999999996</v>
      </c>
      <c r="L2170" s="3">
        <f>(Table1[[#This Row],[Profit]]/Table1[[#This Row],[Sales]])*100</f>
        <v>2.8319919517102612</v>
      </c>
    </row>
    <row r="2171" spans="1:12" x14ac:dyDescent="0.3">
      <c r="A2171" t="s">
        <v>4536</v>
      </c>
      <c r="B2171" s="1">
        <v>43946</v>
      </c>
      <c r="C2171" t="s">
        <v>589</v>
      </c>
      <c r="D2171" t="s">
        <v>590</v>
      </c>
      <c r="E2171" t="s">
        <v>14</v>
      </c>
      <c r="F2171" t="s">
        <v>23</v>
      </c>
      <c r="G2171" t="s">
        <v>24</v>
      </c>
      <c r="H2171" t="s">
        <v>2748</v>
      </c>
      <c r="I2171" s="2">
        <v>104.904</v>
      </c>
      <c r="J2171">
        <v>2</v>
      </c>
      <c r="K2171" s="2">
        <v>4.5187999999999997</v>
      </c>
      <c r="L2171" s="3">
        <f>(Table1[[#This Row],[Profit]]/Table1[[#This Row],[Sales]])*100</f>
        <v>4.3075573858003509</v>
      </c>
    </row>
    <row r="2172" spans="1:12" x14ac:dyDescent="0.3">
      <c r="A2172" t="s">
        <v>5928</v>
      </c>
      <c r="B2172" s="1">
        <v>44152</v>
      </c>
      <c r="C2172" t="s">
        <v>2363</v>
      </c>
      <c r="D2172" t="s">
        <v>2364</v>
      </c>
      <c r="E2172" t="s">
        <v>14</v>
      </c>
      <c r="F2172" t="s">
        <v>23</v>
      </c>
      <c r="G2172" t="s">
        <v>24</v>
      </c>
      <c r="H2172" t="s">
        <v>2748</v>
      </c>
      <c r="I2172" s="2">
        <v>77.903999999999996</v>
      </c>
      <c r="J2172">
        <v>2</v>
      </c>
      <c r="K2172" s="2">
        <v>4.5187999999999997</v>
      </c>
      <c r="L2172" s="3">
        <f>(Table1[[#This Row],[Profit]]/Table1[[#This Row],[Sales]])*100</f>
        <v>5.8004723762579582</v>
      </c>
    </row>
    <row r="2173" spans="1:12" x14ac:dyDescent="0.3">
      <c r="A2173" t="s">
        <v>6307</v>
      </c>
      <c r="B2173" s="1">
        <v>44195</v>
      </c>
      <c r="C2173" t="s">
        <v>39</v>
      </c>
      <c r="D2173" t="s">
        <v>40</v>
      </c>
      <c r="E2173" t="s">
        <v>14</v>
      </c>
      <c r="F2173" t="s">
        <v>23</v>
      </c>
      <c r="G2173" t="s">
        <v>24</v>
      </c>
      <c r="H2173" t="s">
        <v>2748</v>
      </c>
      <c r="I2173" s="2">
        <v>295.904</v>
      </c>
      <c r="J2173">
        <v>2</v>
      </c>
      <c r="K2173" s="2">
        <v>4.5187999999999997</v>
      </c>
      <c r="L2173" s="3">
        <f>(Table1[[#This Row],[Profit]]/Table1[[#This Row],[Sales]])*100</f>
        <v>1.5271169027792797</v>
      </c>
    </row>
    <row r="2174" spans="1:12" x14ac:dyDescent="0.3">
      <c r="A2174" t="s">
        <v>4287</v>
      </c>
      <c r="B2174" s="1">
        <v>43908</v>
      </c>
      <c r="C2174" t="s">
        <v>3551</v>
      </c>
      <c r="D2174" t="s">
        <v>3552</v>
      </c>
      <c r="E2174" t="s">
        <v>14</v>
      </c>
      <c r="F2174" t="s">
        <v>29</v>
      </c>
      <c r="G2174" t="s">
        <v>18</v>
      </c>
      <c r="H2174" t="s">
        <v>4296</v>
      </c>
      <c r="I2174" s="2">
        <v>153.816</v>
      </c>
      <c r="J2174">
        <v>3</v>
      </c>
      <c r="K2174" s="2">
        <v>4.5201000000000002</v>
      </c>
      <c r="L2174" s="3">
        <f>(Table1[[#This Row],[Profit]]/Table1[[#This Row],[Sales]])*100</f>
        <v>2.9386409736308319</v>
      </c>
    </row>
    <row r="2175" spans="1:12" x14ac:dyDescent="0.3">
      <c r="A2175" t="s">
        <v>6089</v>
      </c>
      <c r="B2175" s="1">
        <v>44168</v>
      </c>
      <c r="C2175" t="s">
        <v>3862</v>
      </c>
      <c r="D2175" t="s">
        <v>3863</v>
      </c>
      <c r="E2175" t="s">
        <v>14</v>
      </c>
      <c r="F2175" t="s">
        <v>41</v>
      </c>
      <c r="G2175" t="s">
        <v>24</v>
      </c>
      <c r="H2175" t="s">
        <v>833</v>
      </c>
      <c r="I2175" s="2">
        <v>177.21600000000001</v>
      </c>
      <c r="J2175">
        <v>3</v>
      </c>
      <c r="K2175" s="2">
        <v>4.5216000000000003</v>
      </c>
      <c r="L2175" s="3">
        <f>(Table1[[#This Row],[Profit]]/Table1[[#This Row],[Sales]])*100</f>
        <v>2.551462621885157</v>
      </c>
    </row>
    <row r="2176" spans="1:12" x14ac:dyDescent="0.3">
      <c r="A2176" t="s">
        <v>1765</v>
      </c>
      <c r="B2176" s="1">
        <v>43632</v>
      </c>
      <c r="C2176" t="s">
        <v>1766</v>
      </c>
      <c r="D2176" t="s">
        <v>1767</v>
      </c>
      <c r="E2176" t="s">
        <v>14</v>
      </c>
      <c r="F2176" t="s">
        <v>15</v>
      </c>
      <c r="G2176" t="s">
        <v>24</v>
      </c>
      <c r="H2176" t="s">
        <v>499</v>
      </c>
      <c r="I2176" s="2">
        <v>9.4499999999999993</v>
      </c>
      <c r="J2176">
        <v>3</v>
      </c>
      <c r="K2176" s="2">
        <v>4.5359999999999996</v>
      </c>
      <c r="L2176" s="3">
        <f>(Table1[[#This Row],[Profit]]/Table1[[#This Row],[Sales]])*100</f>
        <v>48</v>
      </c>
    </row>
    <row r="2177" spans="1:12" x14ac:dyDescent="0.3">
      <c r="A2177" t="s">
        <v>6120</v>
      </c>
      <c r="B2177" s="1">
        <v>44170</v>
      </c>
      <c r="C2177" t="s">
        <v>815</v>
      </c>
      <c r="D2177" t="s">
        <v>816</v>
      </c>
      <c r="E2177" t="s">
        <v>14</v>
      </c>
      <c r="F2177" t="s">
        <v>15</v>
      </c>
      <c r="G2177" t="s">
        <v>24</v>
      </c>
      <c r="H2177" t="s">
        <v>2130</v>
      </c>
      <c r="I2177" s="2">
        <v>132.44999999999999</v>
      </c>
      <c r="J2177">
        <v>3</v>
      </c>
      <c r="K2177" s="2">
        <v>4.5359999999999996</v>
      </c>
      <c r="L2177" s="3">
        <f>(Table1[[#This Row],[Profit]]/Table1[[#This Row],[Sales]])*100</f>
        <v>3.4246885617214042</v>
      </c>
    </row>
    <row r="2178" spans="1:12" x14ac:dyDescent="0.3">
      <c r="A2178" t="s">
        <v>2759</v>
      </c>
      <c r="B2178" s="1">
        <v>43724</v>
      </c>
      <c r="C2178" t="s">
        <v>2760</v>
      </c>
      <c r="D2178" t="s">
        <v>2761</v>
      </c>
      <c r="E2178" t="s">
        <v>14</v>
      </c>
      <c r="F2178" t="s">
        <v>23</v>
      </c>
      <c r="G2178" t="s">
        <v>24</v>
      </c>
      <c r="H2178" t="s">
        <v>2763</v>
      </c>
      <c r="I2178" s="2">
        <v>17.48</v>
      </c>
      <c r="J2178">
        <v>4</v>
      </c>
      <c r="K2178" s="2">
        <v>4.5448000000000004</v>
      </c>
      <c r="L2178" s="3">
        <f>(Table1[[#This Row],[Profit]]/Table1[[#This Row],[Sales]])*100</f>
        <v>26</v>
      </c>
    </row>
    <row r="2179" spans="1:12" x14ac:dyDescent="0.3">
      <c r="A2179" t="s">
        <v>5047</v>
      </c>
      <c r="B2179" s="1">
        <v>44033</v>
      </c>
      <c r="C2179" t="s">
        <v>4760</v>
      </c>
      <c r="D2179" t="s">
        <v>4761</v>
      </c>
      <c r="E2179" t="s">
        <v>14</v>
      </c>
      <c r="F2179" t="s">
        <v>15</v>
      </c>
      <c r="G2179" t="s">
        <v>24</v>
      </c>
      <c r="H2179" t="s">
        <v>2763</v>
      </c>
      <c r="I2179" s="2">
        <v>123.48</v>
      </c>
      <c r="J2179">
        <v>4</v>
      </c>
      <c r="K2179" s="2">
        <v>4.5448000000000004</v>
      </c>
      <c r="L2179" s="3">
        <f>(Table1[[#This Row],[Profit]]/Table1[[#This Row],[Sales]])*100</f>
        <v>3.6805960479429869</v>
      </c>
    </row>
    <row r="2180" spans="1:12" x14ac:dyDescent="0.3">
      <c r="A2180" t="s">
        <v>4580</v>
      </c>
      <c r="B2180" s="1">
        <v>43955</v>
      </c>
      <c r="C2180" t="s">
        <v>3673</v>
      </c>
      <c r="D2180" t="s">
        <v>3674</v>
      </c>
      <c r="E2180" t="s">
        <v>14</v>
      </c>
      <c r="F2180" t="s">
        <v>41</v>
      </c>
      <c r="G2180" t="s">
        <v>24</v>
      </c>
      <c r="H2180" t="s">
        <v>776</v>
      </c>
      <c r="I2180" s="2">
        <v>123.91</v>
      </c>
      <c r="J2180">
        <v>1</v>
      </c>
      <c r="K2180" s="2">
        <v>4.5656999999999996</v>
      </c>
      <c r="L2180" s="3">
        <f>(Table1[[#This Row],[Profit]]/Table1[[#This Row],[Sales]])*100</f>
        <v>3.6846905011702042</v>
      </c>
    </row>
    <row r="2181" spans="1:12" x14ac:dyDescent="0.3">
      <c r="A2181" t="s">
        <v>5871</v>
      </c>
      <c r="B2181" s="1">
        <v>44147</v>
      </c>
      <c r="C2181" t="s">
        <v>684</v>
      </c>
      <c r="D2181" t="s">
        <v>685</v>
      </c>
      <c r="E2181" t="s">
        <v>14</v>
      </c>
      <c r="F2181" t="s">
        <v>23</v>
      </c>
      <c r="G2181" t="s">
        <v>24</v>
      </c>
      <c r="H2181" t="s">
        <v>2959</v>
      </c>
      <c r="I2181" s="2">
        <v>119.96</v>
      </c>
      <c r="J2181">
        <v>2</v>
      </c>
      <c r="K2181" s="2">
        <v>4.5815999999999999</v>
      </c>
      <c r="L2181" s="3">
        <f>(Table1[[#This Row],[Profit]]/Table1[[#This Row],[Sales]])*100</f>
        <v>3.8192730910303436</v>
      </c>
    </row>
    <row r="2182" spans="1:12" x14ac:dyDescent="0.3">
      <c r="A2182" t="s">
        <v>2956</v>
      </c>
      <c r="B2182" s="1">
        <v>43735</v>
      </c>
      <c r="C2182" t="s">
        <v>2167</v>
      </c>
      <c r="D2182" t="s">
        <v>2168</v>
      </c>
      <c r="E2182" t="s">
        <v>14</v>
      </c>
      <c r="F2182" t="s">
        <v>41</v>
      </c>
      <c r="G2182" t="s">
        <v>24</v>
      </c>
      <c r="H2182" t="s">
        <v>1614</v>
      </c>
      <c r="I2182" s="2">
        <v>13.89</v>
      </c>
      <c r="J2182">
        <v>3</v>
      </c>
      <c r="K2182" s="2">
        <v>4.5837000000000003</v>
      </c>
      <c r="L2182" s="3">
        <f>(Table1[[#This Row],[Profit]]/Table1[[#This Row],[Sales]])*100</f>
        <v>33</v>
      </c>
    </row>
    <row r="2183" spans="1:12" x14ac:dyDescent="0.3">
      <c r="A2183" t="s">
        <v>2844</v>
      </c>
      <c r="B2183" s="1">
        <v>43730</v>
      </c>
      <c r="C2183" t="s">
        <v>1456</v>
      </c>
      <c r="D2183" t="s">
        <v>1457</v>
      </c>
      <c r="E2183" t="s">
        <v>14</v>
      </c>
      <c r="F2183" t="s">
        <v>41</v>
      </c>
      <c r="G2183" t="s">
        <v>24</v>
      </c>
      <c r="H2183" t="s">
        <v>495</v>
      </c>
      <c r="I2183" s="2">
        <v>40.776000000000003</v>
      </c>
      <c r="J2183">
        <v>3</v>
      </c>
      <c r="K2183" s="2">
        <v>4.5872999999999999</v>
      </c>
      <c r="L2183" s="3">
        <f>(Table1[[#This Row],[Profit]]/Table1[[#This Row],[Sales]])*100</f>
        <v>11.249999999999998</v>
      </c>
    </row>
    <row r="2184" spans="1:12" x14ac:dyDescent="0.3">
      <c r="A2184" t="s">
        <v>6106</v>
      </c>
      <c r="B2184" s="1">
        <v>44169</v>
      </c>
      <c r="C2184" t="s">
        <v>178</v>
      </c>
      <c r="D2184" t="s">
        <v>179</v>
      </c>
      <c r="E2184" t="s">
        <v>14</v>
      </c>
      <c r="F2184" t="s">
        <v>29</v>
      </c>
      <c r="G2184" t="s">
        <v>24</v>
      </c>
      <c r="H2184" t="s">
        <v>1515</v>
      </c>
      <c r="I2184" s="2">
        <v>126.568</v>
      </c>
      <c r="J2184">
        <v>2</v>
      </c>
      <c r="K2184" s="2">
        <v>4.6176000000000004</v>
      </c>
      <c r="L2184" s="3">
        <f>(Table1[[#This Row],[Profit]]/Table1[[#This Row],[Sales]])*100</f>
        <v>3.6483155299917835</v>
      </c>
    </row>
    <row r="2185" spans="1:12" x14ac:dyDescent="0.3">
      <c r="A2185" t="s">
        <v>5649</v>
      </c>
      <c r="B2185" s="1">
        <v>44121</v>
      </c>
      <c r="C2185" t="s">
        <v>1976</v>
      </c>
      <c r="D2185" t="s">
        <v>1977</v>
      </c>
      <c r="E2185" t="s">
        <v>14</v>
      </c>
      <c r="F2185" t="s">
        <v>23</v>
      </c>
      <c r="G2185" t="s">
        <v>18</v>
      </c>
      <c r="H2185" t="s">
        <v>2265</v>
      </c>
      <c r="I2185" s="2">
        <v>158.792</v>
      </c>
      <c r="J2185">
        <v>1</v>
      </c>
      <c r="K2185" s="2">
        <v>4.6193</v>
      </c>
      <c r="L2185" s="3">
        <f>(Table1[[#This Row],[Profit]]/Table1[[#This Row],[Sales]])*100</f>
        <v>2.9090256436092496</v>
      </c>
    </row>
    <row r="2186" spans="1:12" x14ac:dyDescent="0.3">
      <c r="A2186" t="s">
        <v>4082</v>
      </c>
      <c r="B2186" s="1">
        <v>43859</v>
      </c>
      <c r="C2186" t="s">
        <v>4039</v>
      </c>
      <c r="D2186" t="s">
        <v>4040</v>
      </c>
      <c r="E2186" t="s">
        <v>14</v>
      </c>
      <c r="F2186" t="s">
        <v>29</v>
      </c>
      <c r="G2186" t="s">
        <v>16</v>
      </c>
      <c r="H2186" t="s">
        <v>91</v>
      </c>
      <c r="I2186" s="2">
        <v>127.91</v>
      </c>
      <c r="J2186">
        <v>3</v>
      </c>
      <c r="K2186" s="2">
        <v>4.6220999999999997</v>
      </c>
      <c r="L2186" s="3">
        <f>(Table1[[#This Row],[Profit]]/Table1[[#This Row],[Sales]])*100</f>
        <v>3.6135564068485651</v>
      </c>
    </row>
    <row r="2187" spans="1:12" x14ac:dyDescent="0.3">
      <c r="A2187" t="s">
        <v>976</v>
      </c>
      <c r="B2187" s="1">
        <v>43567</v>
      </c>
      <c r="C2187" t="s">
        <v>977</v>
      </c>
      <c r="D2187" t="s">
        <v>978</v>
      </c>
      <c r="E2187" t="s">
        <v>14</v>
      </c>
      <c r="F2187" t="s">
        <v>23</v>
      </c>
      <c r="G2187" t="s">
        <v>24</v>
      </c>
      <c r="H2187" t="s">
        <v>979</v>
      </c>
      <c r="I2187" s="2">
        <v>13.208</v>
      </c>
      <c r="J2187">
        <v>1</v>
      </c>
      <c r="K2187" s="2">
        <v>4.6227999999999998</v>
      </c>
      <c r="L2187" s="3">
        <f>(Table1[[#This Row],[Profit]]/Table1[[#This Row],[Sales]])*100</f>
        <v>35</v>
      </c>
    </row>
    <row r="2188" spans="1:12" x14ac:dyDescent="0.3">
      <c r="A2188" t="s">
        <v>3807</v>
      </c>
      <c r="B2188" s="1">
        <v>43813</v>
      </c>
      <c r="C2188" t="s">
        <v>1038</v>
      </c>
      <c r="D2188" t="s">
        <v>1039</v>
      </c>
      <c r="E2188" t="s">
        <v>14</v>
      </c>
      <c r="F2188" t="s">
        <v>15</v>
      </c>
      <c r="G2188" t="s">
        <v>24</v>
      </c>
      <c r="H2188" t="s">
        <v>2932</v>
      </c>
      <c r="I2188" s="2">
        <v>17.149999999999999</v>
      </c>
      <c r="J2188">
        <v>1</v>
      </c>
      <c r="K2188" s="2">
        <v>4.6304999999999996</v>
      </c>
      <c r="L2188" s="3">
        <f>(Table1[[#This Row],[Profit]]/Table1[[#This Row],[Sales]])*100</f>
        <v>27</v>
      </c>
    </row>
    <row r="2189" spans="1:12" x14ac:dyDescent="0.3">
      <c r="A2189" t="s">
        <v>5124</v>
      </c>
      <c r="B2189" s="1">
        <v>44050</v>
      </c>
      <c r="C2189" t="s">
        <v>2390</v>
      </c>
      <c r="D2189" t="s">
        <v>2391</v>
      </c>
      <c r="E2189" t="s">
        <v>14</v>
      </c>
      <c r="F2189" t="s">
        <v>23</v>
      </c>
      <c r="G2189" t="s">
        <v>24</v>
      </c>
      <c r="H2189" t="s">
        <v>2111</v>
      </c>
      <c r="I2189" s="2">
        <v>88.76</v>
      </c>
      <c r="J2189">
        <v>2</v>
      </c>
      <c r="K2189" s="2">
        <v>4.6440000000000001</v>
      </c>
      <c r="L2189" s="3">
        <f>(Table1[[#This Row],[Profit]]/Table1[[#This Row],[Sales]])*100</f>
        <v>5.2320865254619191</v>
      </c>
    </row>
    <row r="2190" spans="1:12" x14ac:dyDescent="0.3">
      <c r="A2190" t="s">
        <v>344</v>
      </c>
      <c r="B2190" s="1">
        <v>43510</v>
      </c>
      <c r="C2190" t="s">
        <v>345</v>
      </c>
      <c r="D2190" t="s">
        <v>346</v>
      </c>
      <c r="E2190" t="s">
        <v>14</v>
      </c>
      <c r="F2190" t="s">
        <v>15</v>
      </c>
      <c r="G2190" t="s">
        <v>16</v>
      </c>
      <c r="H2190" t="s">
        <v>350</v>
      </c>
      <c r="I2190" s="2">
        <v>10.56</v>
      </c>
      <c r="J2190">
        <v>6</v>
      </c>
      <c r="K2190" s="2">
        <v>4.6463999999999999</v>
      </c>
      <c r="L2190" s="3">
        <f>(Table1[[#This Row],[Profit]]/Table1[[#This Row],[Sales]])*100</f>
        <v>43.999999999999993</v>
      </c>
    </row>
    <row r="2191" spans="1:12" x14ac:dyDescent="0.3">
      <c r="A2191" t="s">
        <v>6132</v>
      </c>
      <c r="B2191" s="1">
        <v>44173</v>
      </c>
      <c r="C2191" t="s">
        <v>5720</v>
      </c>
      <c r="D2191" t="s">
        <v>5721</v>
      </c>
      <c r="E2191" t="s">
        <v>14</v>
      </c>
      <c r="F2191" t="s">
        <v>23</v>
      </c>
      <c r="G2191" t="s">
        <v>24</v>
      </c>
      <c r="H2191" t="s">
        <v>1493</v>
      </c>
      <c r="I2191" s="2">
        <v>128.68</v>
      </c>
      <c r="J2191">
        <v>1</v>
      </c>
      <c r="K2191" s="2">
        <v>4.6463999999999999</v>
      </c>
      <c r="L2191" s="3">
        <f>(Table1[[#This Row],[Profit]]/Table1[[#This Row],[Sales]])*100</f>
        <v>3.6108175318619833</v>
      </c>
    </row>
    <row r="2192" spans="1:12" x14ac:dyDescent="0.3">
      <c r="A2192" t="s">
        <v>5011</v>
      </c>
      <c r="B2192" s="1">
        <v>44026</v>
      </c>
      <c r="C2192" t="s">
        <v>1183</v>
      </c>
      <c r="D2192" t="s">
        <v>1184</v>
      </c>
      <c r="E2192" t="s">
        <v>14</v>
      </c>
      <c r="F2192" t="s">
        <v>15</v>
      </c>
      <c r="G2192" t="s">
        <v>24</v>
      </c>
      <c r="H2192" t="s">
        <v>873</v>
      </c>
      <c r="I2192" s="2">
        <v>107.04</v>
      </c>
      <c r="J2192">
        <v>5</v>
      </c>
      <c r="K2192" s="2">
        <v>4.6529999999999996</v>
      </c>
      <c r="L2192" s="3">
        <f>(Table1[[#This Row],[Profit]]/Table1[[#This Row],[Sales]])*100</f>
        <v>4.3469730941704032</v>
      </c>
    </row>
    <row r="2193" spans="1:12" x14ac:dyDescent="0.3">
      <c r="A2193" t="s">
        <v>6086</v>
      </c>
      <c r="B2193" s="1">
        <v>44168</v>
      </c>
      <c r="C2193" t="s">
        <v>443</v>
      </c>
      <c r="D2193" t="s">
        <v>444</v>
      </c>
      <c r="E2193" t="s">
        <v>14</v>
      </c>
      <c r="F2193" t="s">
        <v>23</v>
      </c>
      <c r="G2193" t="s">
        <v>16</v>
      </c>
      <c r="H2193" t="s">
        <v>441</v>
      </c>
      <c r="I2193" s="2">
        <v>118.19199999999999</v>
      </c>
      <c r="J2193">
        <v>1</v>
      </c>
      <c r="K2193" s="2">
        <v>4.6551999999999998</v>
      </c>
      <c r="L2193" s="3">
        <f>(Table1[[#This Row],[Profit]]/Table1[[#This Row],[Sales]])*100</f>
        <v>3.9386760525247055</v>
      </c>
    </row>
    <row r="2194" spans="1:12" x14ac:dyDescent="0.3">
      <c r="A2194" t="s">
        <v>836</v>
      </c>
      <c r="B2194" s="1">
        <v>43556</v>
      </c>
      <c r="C2194" t="s">
        <v>837</v>
      </c>
      <c r="D2194" t="s">
        <v>838</v>
      </c>
      <c r="E2194" t="s">
        <v>14</v>
      </c>
      <c r="F2194" t="s">
        <v>15</v>
      </c>
      <c r="G2194" t="s">
        <v>24</v>
      </c>
      <c r="H2194" t="s">
        <v>841</v>
      </c>
      <c r="I2194" s="2">
        <v>14.352</v>
      </c>
      <c r="J2194">
        <v>3</v>
      </c>
      <c r="K2194" s="2">
        <v>4.6643999999999997</v>
      </c>
      <c r="L2194" s="3">
        <f>(Table1[[#This Row],[Profit]]/Table1[[#This Row],[Sales]])*100</f>
        <v>32.499999999999993</v>
      </c>
    </row>
    <row r="2195" spans="1:12" x14ac:dyDescent="0.3">
      <c r="A2195" t="s">
        <v>3464</v>
      </c>
      <c r="B2195" s="1">
        <v>43788</v>
      </c>
      <c r="C2195" t="s">
        <v>3465</v>
      </c>
      <c r="D2195" t="s">
        <v>3466</v>
      </c>
      <c r="E2195" t="s">
        <v>14</v>
      </c>
      <c r="F2195" t="s">
        <v>15</v>
      </c>
      <c r="G2195" t="s">
        <v>24</v>
      </c>
      <c r="H2195" t="s">
        <v>841</v>
      </c>
      <c r="I2195" s="2">
        <v>14.352</v>
      </c>
      <c r="J2195">
        <v>3</v>
      </c>
      <c r="K2195" s="2">
        <v>4.6643999999999997</v>
      </c>
      <c r="L2195" s="3">
        <f>(Table1[[#This Row],[Profit]]/Table1[[#This Row],[Sales]])*100</f>
        <v>32.499999999999993</v>
      </c>
    </row>
    <row r="2196" spans="1:12" x14ac:dyDescent="0.3">
      <c r="A2196" t="s">
        <v>4740</v>
      </c>
      <c r="B2196" s="1">
        <v>43980</v>
      </c>
      <c r="C2196" t="s">
        <v>1953</v>
      </c>
      <c r="D2196" t="s">
        <v>1954</v>
      </c>
      <c r="E2196" t="s">
        <v>14</v>
      </c>
      <c r="F2196" t="s">
        <v>29</v>
      </c>
      <c r="G2196" t="s">
        <v>24</v>
      </c>
      <c r="H2196" t="s">
        <v>3330</v>
      </c>
      <c r="I2196" s="2">
        <v>132.42400000000001</v>
      </c>
      <c r="J2196">
        <v>3</v>
      </c>
      <c r="K2196" s="2">
        <v>4.6745999999999999</v>
      </c>
      <c r="L2196" s="3">
        <f>(Table1[[#This Row],[Profit]]/Table1[[#This Row],[Sales]])*100</f>
        <v>3.5300247689240614</v>
      </c>
    </row>
    <row r="2197" spans="1:12" x14ac:dyDescent="0.3">
      <c r="A2197" t="s">
        <v>5612</v>
      </c>
      <c r="B2197" s="1">
        <v>44116</v>
      </c>
      <c r="C2197" t="s">
        <v>309</v>
      </c>
      <c r="D2197" t="s">
        <v>310</v>
      </c>
      <c r="E2197" t="s">
        <v>14</v>
      </c>
      <c r="F2197" t="s">
        <v>15</v>
      </c>
      <c r="G2197" t="s">
        <v>24</v>
      </c>
      <c r="H2197" t="s">
        <v>3884</v>
      </c>
      <c r="I2197" s="2">
        <v>122.96</v>
      </c>
      <c r="J2197">
        <v>2</v>
      </c>
      <c r="K2197" s="2">
        <v>4.6811999999999996</v>
      </c>
      <c r="L2197" s="3">
        <f>(Table1[[#This Row],[Profit]]/Table1[[#This Row],[Sales]])*100</f>
        <v>3.807091737150293</v>
      </c>
    </row>
    <row r="2198" spans="1:12" x14ac:dyDescent="0.3">
      <c r="A2198" t="s">
        <v>3718</v>
      </c>
      <c r="B2198" s="1">
        <v>43805</v>
      </c>
      <c r="C2198" t="s">
        <v>1476</v>
      </c>
      <c r="D2198" t="s">
        <v>1477</v>
      </c>
      <c r="E2198" t="s">
        <v>14</v>
      </c>
      <c r="F2198" t="s">
        <v>23</v>
      </c>
      <c r="G2198" t="s">
        <v>24</v>
      </c>
      <c r="H2198" t="s">
        <v>409</v>
      </c>
      <c r="I2198" s="2">
        <v>13.375999999999999</v>
      </c>
      <c r="J2198">
        <v>4</v>
      </c>
      <c r="K2198" s="2">
        <v>4.6816000000000004</v>
      </c>
      <c r="L2198" s="3">
        <f>(Table1[[#This Row],[Profit]]/Table1[[#This Row],[Sales]])*100</f>
        <v>35</v>
      </c>
    </row>
    <row r="2199" spans="1:12" x14ac:dyDescent="0.3">
      <c r="A2199" t="s">
        <v>2314</v>
      </c>
      <c r="B2199" s="1">
        <v>43690</v>
      </c>
      <c r="C2199" t="s">
        <v>2315</v>
      </c>
      <c r="D2199" t="s">
        <v>2316</v>
      </c>
      <c r="E2199" t="s">
        <v>14</v>
      </c>
      <c r="F2199" t="s">
        <v>41</v>
      </c>
      <c r="G2199" t="s">
        <v>24</v>
      </c>
      <c r="H2199" t="s">
        <v>1353</v>
      </c>
      <c r="I2199" s="2">
        <v>17.34</v>
      </c>
      <c r="J2199">
        <v>2</v>
      </c>
      <c r="K2199" s="2">
        <v>4.6818</v>
      </c>
      <c r="L2199" s="3">
        <f>(Table1[[#This Row],[Profit]]/Table1[[#This Row],[Sales]])*100</f>
        <v>27</v>
      </c>
    </row>
    <row r="2200" spans="1:12" x14ac:dyDescent="0.3">
      <c r="A2200" t="s">
        <v>4901</v>
      </c>
      <c r="B2200" s="1">
        <v>44008</v>
      </c>
      <c r="C2200" t="s">
        <v>754</v>
      </c>
      <c r="D2200" t="s">
        <v>755</v>
      </c>
      <c r="E2200" t="s">
        <v>14</v>
      </c>
      <c r="F2200" t="s">
        <v>41</v>
      </c>
      <c r="G2200" t="s">
        <v>24</v>
      </c>
      <c r="H2200" t="s">
        <v>214</v>
      </c>
      <c r="I2200" s="2">
        <v>106.872</v>
      </c>
      <c r="J2200">
        <v>6</v>
      </c>
      <c r="K2200" s="2">
        <v>4.6818</v>
      </c>
      <c r="L2200" s="3">
        <f>(Table1[[#This Row],[Profit]]/Table1[[#This Row],[Sales]])*100</f>
        <v>4.3807545474960703</v>
      </c>
    </row>
    <row r="2201" spans="1:12" x14ac:dyDescent="0.3">
      <c r="A2201" t="s">
        <v>2241</v>
      </c>
      <c r="B2201" s="1">
        <v>43679</v>
      </c>
      <c r="C2201" t="s">
        <v>1976</v>
      </c>
      <c r="D2201" t="s">
        <v>1977</v>
      </c>
      <c r="E2201" t="s">
        <v>14</v>
      </c>
      <c r="F2201" t="s">
        <v>23</v>
      </c>
      <c r="G2201" t="s">
        <v>24</v>
      </c>
      <c r="H2201" t="s">
        <v>190</v>
      </c>
      <c r="I2201" s="2">
        <v>12.544</v>
      </c>
      <c r="J2201">
        <v>2</v>
      </c>
      <c r="K2201" s="2">
        <v>4.7039999999999997</v>
      </c>
      <c r="L2201" s="3">
        <f>(Table1[[#This Row],[Profit]]/Table1[[#This Row],[Sales]])*100</f>
        <v>37.499999999999993</v>
      </c>
    </row>
    <row r="2202" spans="1:12" x14ac:dyDescent="0.3">
      <c r="A2202" t="s">
        <v>4186</v>
      </c>
      <c r="B2202" s="1">
        <v>43889</v>
      </c>
      <c r="C2202" t="s">
        <v>3968</v>
      </c>
      <c r="D2202" t="s">
        <v>3969</v>
      </c>
      <c r="E2202" t="s">
        <v>14</v>
      </c>
      <c r="F2202" t="s">
        <v>15</v>
      </c>
      <c r="G2202" t="s">
        <v>24</v>
      </c>
      <c r="H2202" t="s">
        <v>546</v>
      </c>
      <c r="I2202" s="2">
        <v>919.84</v>
      </c>
      <c r="J2202">
        <v>2</v>
      </c>
      <c r="K2202" s="2">
        <v>4.7232000000000003</v>
      </c>
      <c r="L2202" s="3">
        <f>(Table1[[#This Row],[Profit]]/Table1[[#This Row],[Sales]])*100</f>
        <v>0.51348060532266482</v>
      </c>
    </row>
    <row r="2203" spans="1:12" x14ac:dyDescent="0.3">
      <c r="A2203" t="s">
        <v>4846</v>
      </c>
      <c r="B2203" s="1">
        <v>43998</v>
      </c>
      <c r="C2203" t="s">
        <v>182</v>
      </c>
      <c r="D2203" t="s">
        <v>183</v>
      </c>
      <c r="E2203" t="s">
        <v>14</v>
      </c>
      <c r="F2203" t="s">
        <v>41</v>
      </c>
      <c r="G2203" t="s">
        <v>24</v>
      </c>
      <c r="H2203" t="s">
        <v>4096</v>
      </c>
      <c r="I2203" s="2">
        <v>135.01599999999999</v>
      </c>
      <c r="J2203">
        <v>3</v>
      </c>
      <c r="K2203" s="2">
        <v>4.7304000000000004</v>
      </c>
      <c r="L2203" s="3">
        <f>(Table1[[#This Row],[Profit]]/Table1[[#This Row],[Sales]])*100</f>
        <v>3.5035847603247032</v>
      </c>
    </row>
    <row r="2204" spans="1:12" x14ac:dyDescent="0.3">
      <c r="A2204" t="s">
        <v>2281</v>
      </c>
      <c r="B2204" s="1">
        <v>43685</v>
      </c>
      <c r="C2204" t="s">
        <v>2282</v>
      </c>
      <c r="D2204" t="s">
        <v>2283</v>
      </c>
      <c r="E2204" t="s">
        <v>14</v>
      </c>
      <c r="F2204" t="s">
        <v>29</v>
      </c>
      <c r="G2204" t="s">
        <v>24</v>
      </c>
      <c r="H2204" t="s">
        <v>2284</v>
      </c>
      <c r="I2204" s="2">
        <v>10.56</v>
      </c>
      <c r="J2204">
        <v>2</v>
      </c>
      <c r="K2204" s="2">
        <v>4.7519999999999998</v>
      </c>
      <c r="L2204" s="3">
        <f>(Table1[[#This Row],[Profit]]/Table1[[#This Row],[Sales]])*100</f>
        <v>44.999999999999993</v>
      </c>
    </row>
    <row r="2205" spans="1:12" x14ac:dyDescent="0.3">
      <c r="A2205" t="s">
        <v>2381</v>
      </c>
      <c r="B2205" s="1">
        <v>43698</v>
      </c>
      <c r="C2205" t="s">
        <v>1642</v>
      </c>
      <c r="D2205" t="s">
        <v>1643</v>
      </c>
      <c r="E2205" t="s">
        <v>14</v>
      </c>
      <c r="F2205" t="s">
        <v>23</v>
      </c>
      <c r="G2205" t="s">
        <v>24</v>
      </c>
      <c r="H2205" t="s">
        <v>740</v>
      </c>
      <c r="I2205" s="2">
        <v>12.672000000000001</v>
      </c>
      <c r="J2205">
        <v>2</v>
      </c>
      <c r="K2205" s="2">
        <v>4.7519999999999998</v>
      </c>
      <c r="L2205" s="3">
        <f>(Table1[[#This Row],[Profit]]/Table1[[#This Row],[Sales]])*100</f>
        <v>37.499999999999993</v>
      </c>
    </row>
    <row r="2206" spans="1:12" x14ac:dyDescent="0.3">
      <c r="A2206" t="s">
        <v>5874</v>
      </c>
      <c r="B2206" s="1">
        <v>44147</v>
      </c>
      <c r="C2206" t="s">
        <v>4000</v>
      </c>
      <c r="D2206" t="s">
        <v>4001</v>
      </c>
      <c r="E2206" t="s">
        <v>14</v>
      </c>
      <c r="F2206" t="s">
        <v>23</v>
      </c>
      <c r="G2206" t="s">
        <v>24</v>
      </c>
      <c r="H2206" t="s">
        <v>3419</v>
      </c>
      <c r="I2206" s="2">
        <v>114.56</v>
      </c>
      <c r="J2206">
        <v>2</v>
      </c>
      <c r="K2206" s="2">
        <v>4.7519999999999998</v>
      </c>
      <c r="L2206" s="3">
        <f>(Table1[[#This Row],[Profit]]/Table1[[#This Row],[Sales]])*100</f>
        <v>4.1480446927374297</v>
      </c>
    </row>
    <row r="2207" spans="1:12" x14ac:dyDescent="0.3">
      <c r="A2207" t="s">
        <v>4802</v>
      </c>
      <c r="B2207" s="1">
        <v>43992</v>
      </c>
      <c r="C2207" t="s">
        <v>3181</v>
      </c>
      <c r="D2207" t="s">
        <v>3182</v>
      </c>
      <c r="E2207" t="s">
        <v>14</v>
      </c>
      <c r="F2207" t="s">
        <v>23</v>
      </c>
      <c r="G2207" t="s">
        <v>24</v>
      </c>
      <c r="H2207" t="s">
        <v>2970</v>
      </c>
      <c r="I2207" s="2">
        <v>122.4</v>
      </c>
      <c r="J2207">
        <v>5</v>
      </c>
      <c r="K2207" s="2">
        <v>4.7560000000000002</v>
      </c>
      <c r="L2207" s="3">
        <f>(Table1[[#This Row],[Profit]]/Table1[[#This Row],[Sales]])*100</f>
        <v>3.8856209150326797</v>
      </c>
    </row>
    <row r="2208" spans="1:12" x14ac:dyDescent="0.3">
      <c r="A2208" t="s">
        <v>4221</v>
      </c>
      <c r="B2208" s="1">
        <v>43896</v>
      </c>
      <c r="C2208" t="s">
        <v>439</v>
      </c>
      <c r="D2208" t="s">
        <v>440</v>
      </c>
      <c r="E2208" t="s">
        <v>14</v>
      </c>
      <c r="F2208" t="s">
        <v>29</v>
      </c>
      <c r="G2208" t="s">
        <v>24</v>
      </c>
      <c r="H2208" t="s">
        <v>204</v>
      </c>
      <c r="I2208" s="2">
        <v>165.488</v>
      </c>
      <c r="J2208">
        <v>4</v>
      </c>
      <c r="K2208" s="2">
        <v>4.7615999999999996</v>
      </c>
      <c r="L2208" s="3">
        <f>(Table1[[#This Row],[Profit]]/Table1[[#This Row],[Sales]])*100</f>
        <v>2.8773083244706563</v>
      </c>
    </row>
    <row r="2209" spans="1:12" x14ac:dyDescent="0.3">
      <c r="A2209" t="s">
        <v>4629</v>
      </c>
      <c r="B2209" s="1">
        <v>43963</v>
      </c>
      <c r="C2209" t="s">
        <v>1052</v>
      </c>
      <c r="D2209" t="s">
        <v>1053</v>
      </c>
      <c r="E2209" t="s">
        <v>14</v>
      </c>
      <c r="F2209" t="s">
        <v>23</v>
      </c>
      <c r="G2209" t="s">
        <v>24</v>
      </c>
      <c r="H2209" t="s">
        <v>1837</v>
      </c>
      <c r="I2209" s="2">
        <v>266.62</v>
      </c>
      <c r="J2209">
        <v>2</v>
      </c>
      <c r="K2209" s="2">
        <v>4.7724000000000002</v>
      </c>
      <c r="L2209" s="3">
        <f>(Table1[[#This Row],[Profit]]/Table1[[#This Row],[Sales]])*100</f>
        <v>1.7899632435676245</v>
      </c>
    </row>
    <row r="2210" spans="1:12" x14ac:dyDescent="0.3">
      <c r="A2210" t="s">
        <v>2061</v>
      </c>
      <c r="B2210" s="1">
        <v>43662</v>
      </c>
      <c r="C2210" t="s">
        <v>197</v>
      </c>
      <c r="D2210" t="s">
        <v>198</v>
      </c>
      <c r="E2210" t="s">
        <v>14</v>
      </c>
      <c r="F2210" t="s">
        <v>41</v>
      </c>
      <c r="G2210" t="s">
        <v>24</v>
      </c>
      <c r="H2210" t="s">
        <v>991</v>
      </c>
      <c r="I2210" s="2">
        <v>10.199999999999999</v>
      </c>
      <c r="J2210">
        <v>5</v>
      </c>
      <c r="K2210" s="2">
        <v>4.7939999999999996</v>
      </c>
      <c r="L2210" s="3">
        <f>(Table1[[#This Row],[Profit]]/Table1[[#This Row],[Sales]])*100</f>
        <v>47</v>
      </c>
    </row>
    <row r="2211" spans="1:12" x14ac:dyDescent="0.3">
      <c r="A2211" t="s">
        <v>5144</v>
      </c>
      <c r="B2211" s="1">
        <v>44056</v>
      </c>
      <c r="C2211" t="s">
        <v>762</v>
      </c>
      <c r="D2211" t="s">
        <v>763</v>
      </c>
      <c r="E2211" t="s">
        <v>14</v>
      </c>
      <c r="F2211" t="s">
        <v>41</v>
      </c>
      <c r="G2211" t="s">
        <v>24</v>
      </c>
      <c r="H2211" t="s">
        <v>4319</v>
      </c>
      <c r="I2211" s="2">
        <v>104.76</v>
      </c>
      <c r="J2211">
        <v>5</v>
      </c>
      <c r="K2211" s="2">
        <v>4.7969999999999997</v>
      </c>
      <c r="L2211" s="3">
        <f>(Table1[[#This Row],[Profit]]/Table1[[#This Row],[Sales]])*100</f>
        <v>4.5790378006872849</v>
      </c>
    </row>
    <row r="2212" spans="1:12" x14ac:dyDescent="0.3">
      <c r="A2212" t="s">
        <v>4836</v>
      </c>
      <c r="B2212" s="1">
        <v>43997</v>
      </c>
      <c r="C2212" t="s">
        <v>4837</v>
      </c>
      <c r="D2212" t="s">
        <v>4838</v>
      </c>
      <c r="E2212" t="s">
        <v>14</v>
      </c>
      <c r="F2212" t="s">
        <v>23</v>
      </c>
      <c r="G2212" t="s">
        <v>18</v>
      </c>
      <c r="H2212" t="s">
        <v>1591</v>
      </c>
      <c r="I2212" s="2">
        <v>155.976</v>
      </c>
      <c r="J2212">
        <v>3</v>
      </c>
      <c r="K2212" s="2">
        <v>4.7976000000000001</v>
      </c>
      <c r="L2212" s="3">
        <f>(Table1[[#This Row],[Profit]]/Table1[[#This Row],[Sales]])*100</f>
        <v>3.0758578242806585</v>
      </c>
    </row>
    <row r="2213" spans="1:12" x14ac:dyDescent="0.3">
      <c r="A2213" t="s">
        <v>5387</v>
      </c>
      <c r="B2213" s="1">
        <v>44088</v>
      </c>
      <c r="C2213" t="s">
        <v>558</v>
      </c>
      <c r="D2213" t="s">
        <v>559</v>
      </c>
      <c r="E2213" t="s">
        <v>14</v>
      </c>
      <c r="F2213" t="s">
        <v>15</v>
      </c>
      <c r="G2213" t="s">
        <v>16</v>
      </c>
      <c r="H2213" t="s">
        <v>4981</v>
      </c>
      <c r="I2213" s="2">
        <v>150.93600000000001</v>
      </c>
      <c r="J2213">
        <v>8</v>
      </c>
      <c r="K2213" s="2">
        <v>4.7976000000000001</v>
      </c>
      <c r="L2213" s="3">
        <f>(Table1[[#This Row],[Profit]]/Table1[[#This Row],[Sales]])*100</f>
        <v>3.1785657497217361</v>
      </c>
    </row>
    <row r="2214" spans="1:12" x14ac:dyDescent="0.3">
      <c r="A2214" t="s">
        <v>4162</v>
      </c>
      <c r="B2214" s="1">
        <v>43881</v>
      </c>
      <c r="C2214" t="s">
        <v>2186</v>
      </c>
      <c r="D2214" t="s">
        <v>2187</v>
      </c>
      <c r="E2214" t="s">
        <v>14</v>
      </c>
      <c r="F2214" t="s">
        <v>23</v>
      </c>
      <c r="G2214" t="s">
        <v>18</v>
      </c>
      <c r="H2214" t="s">
        <v>4168</v>
      </c>
      <c r="I2214" s="2">
        <v>131.99199999999999</v>
      </c>
      <c r="J2214">
        <v>1</v>
      </c>
      <c r="K2214" s="2">
        <v>4.7988</v>
      </c>
      <c r="L2214" s="3">
        <f>(Table1[[#This Row],[Profit]]/Table1[[#This Row],[Sales]])*100</f>
        <v>3.6356748893872357</v>
      </c>
    </row>
    <row r="2215" spans="1:12" x14ac:dyDescent="0.3">
      <c r="A2215" t="s">
        <v>6275</v>
      </c>
      <c r="B2215" s="1">
        <v>44190</v>
      </c>
      <c r="C2215" t="s">
        <v>2255</v>
      </c>
      <c r="D2215" t="s">
        <v>2256</v>
      </c>
      <c r="E2215" t="s">
        <v>14</v>
      </c>
      <c r="F2215" t="s">
        <v>15</v>
      </c>
      <c r="G2215" t="s">
        <v>16</v>
      </c>
      <c r="H2215" t="s">
        <v>292</v>
      </c>
      <c r="I2215" s="2">
        <v>408.98399999999998</v>
      </c>
      <c r="J2215">
        <v>2</v>
      </c>
      <c r="K2215" s="2">
        <v>4.7995999999999999</v>
      </c>
      <c r="L2215" s="3">
        <f>(Table1[[#This Row],[Profit]]/Table1[[#This Row],[Sales]])*100</f>
        <v>1.1735422412612719</v>
      </c>
    </row>
    <row r="2216" spans="1:12" x14ac:dyDescent="0.3">
      <c r="A2216" t="s">
        <v>2185</v>
      </c>
      <c r="B2216" s="1">
        <v>43671</v>
      </c>
      <c r="C2216" t="s">
        <v>2186</v>
      </c>
      <c r="D2216" t="s">
        <v>2187</v>
      </c>
      <c r="E2216" t="s">
        <v>14</v>
      </c>
      <c r="F2216" t="s">
        <v>41</v>
      </c>
      <c r="G2216" t="s">
        <v>24</v>
      </c>
      <c r="H2216" t="s">
        <v>2188</v>
      </c>
      <c r="I2216" s="2">
        <v>10.44</v>
      </c>
      <c r="J2216">
        <v>1</v>
      </c>
      <c r="K2216" s="2">
        <v>4.8023999999999996</v>
      </c>
      <c r="L2216" s="3">
        <f>(Table1[[#This Row],[Profit]]/Table1[[#This Row],[Sales]])*100</f>
        <v>46</v>
      </c>
    </row>
    <row r="2217" spans="1:12" x14ac:dyDescent="0.3">
      <c r="A2217" t="s">
        <v>2248</v>
      </c>
      <c r="B2217" s="1">
        <v>43681</v>
      </c>
      <c r="C2217" t="s">
        <v>2249</v>
      </c>
      <c r="D2217" t="s">
        <v>2250</v>
      </c>
      <c r="E2217" t="s">
        <v>14</v>
      </c>
      <c r="F2217" t="s">
        <v>41</v>
      </c>
      <c r="G2217" t="s">
        <v>24</v>
      </c>
      <c r="H2217" t="s">
        <v>2253</v>
      </c>
      <c r="I2217" s="2">
        <v>9.82</v>
      </c>
      <c r="J2217">
        <v>2</v>
      </c>
      <c r="K2217" s="2">
        <v>4.8117999999999999</v>
      </c>
      <c r="L2217" s="3">
        <f>(Table1[[#This Row],[Profit]]/Table1[[#This Row],[Sales]])*100</f>
        <v>49</v>
      </c>
    </row>
    <row r="2218" spans="1:12" x14ac:dyDescent="0.3">
      <c r="A2218" t="s">
        <v>4156</v>
      </c>
      <c r="B2218" s="1">
        <v>43879</v>
      </c>
      <c r="C2218" t="s">
        <v>1324</v>
      </c>
      <c r="D2218" t="s">
        <v>1325</v>
      </c>
      <c r="E2218" t="s">
        <v>14</v>
      </c>
      <c r="F2218" t="s">
        <v>23</v>
      </c>
      <c r="G2218" t="s">
        <v>24</v>
      </c>
      <c r="H2218" t="s">
        <v>1171</v>
      </c>
      <c r="I2218" s="2">
        <v>84.82</v>
      </c>
      <c r="J2218">
        <v>2</v>
      </c>
      <c r="K2218" s="2">
        <v>4.8117999999999999</v>
      </c>
      <c r="L2218" s="3">
        <f>(Table1[[#This Row],[Profit]]/Table1[[#This Row],[Sales]])*100</f>
        <v>5.6729544918651262</v>
      </c>
    </row>
    <row r="2219" spans="1:12" x14ac:dyDescent="0.3">
      <c r="A2219" t="s">
        <v>4428</v>
      </c>
      <c r="B2219" s="1">
        <v>43930</v>
      </c>
      <c r="C2219" t="s">
        <v>4429</v>
      </c>
      <c r="D2219" t="s">
        <v>4430</v>
      </c>
      <c r="E2219" t="s">
        <v>14</v>
      </c>
      <c r="F2219" t="s">
        <v>15</v>
      </c>
      <c r="G2219" t="s">
        <v>24</v>
      </c>
      <c r="H2219" t="s">
        <v>4436</v>
      </c>
      <c r="I2219" s="2">
        <v>127.82</v>
      </c>
      <c r="J2219">
        <v>2</v>
      </c>
      <c r="K2219" s="2">
        <v>4.8117999999999999</v>
      </c>
      <c r="L2219" s="3">
        <f>(Table1[[#This Row],[Profit]]/Table1[[#This Row],[Sales]])*100</f>
        <v>3.7645125958378967</v>
      </c>
    </row>
    <row r="2220" spans="1:12" x14ac:dyDescent="0.3">
      <c r="A2220" t="s">
        <v>4871</v>
      </c>
      <c r="B2220" s="1">
        <v>44002</v>
      </c>
      <c r="C2220" t="s">
        <v>2327</v>
      </c>
      <c r="D2220" t="s">
        <v>2328</v>
      </c>
      <c r="E2220" t="s">
        <v>14</v>
      </c>
      <c r="F2220" t="s">
        <v>15</v>
      </c>
      <c r="G2220" t="s">
        <v>24</v>
      </c>
      <c r="H2220" t="s">
        <v>301</v>
      </c>
      <c r="I2220" s="2">
        <v>108.82</v>
      </c>
      <c r="J2220">
        <v>2</v>
      </c>
      <c r="K2220" s="2">
        <v>4.8117999999999999</v>
      </c>
      <c r="L2220" s="3">
        <f>(Table1[[#This Row],[Profit]]/Table1[[#This Row],[Sales]])*100</f>
        <v>4.4217974637015249</v>
      </c>
    </row>
    <row r="2221" spans="1:12" x14ac:dyDescent="0.3">
      <c r="A2221" t="s">
        <v>3797</v>
      </c>
      <c r="B2221" s="1">
        <v>43811</v>
      </c>
      <c r="C2221" t="s">
        <v>267</v>
      </c>
      <c r="D2221" t="s">
        <v>268</v>
      </c>
      <c r="E2221" t="s">
        <v>14</v>
      </c>
      <c r="F2221" t="s">
        <v>15</v>
      </c>
      <c r="G2221" t="s">
        <v>24</v>
      </c>
      <c r="H2221" t="s">
        <v>1312</v>
      </c>
      <c r="I2221" s="2">
        <v>11.2</v>
      </c>
      <c r="J2221">
        <v>7</v>
      </c>
      <c r="K2221" s="2">
        <v>4.8159999999999998</v>
      </c>
      <c r="L2221" s="3">
        <f>(Table1[[#This Row],[Profit]]/Table1[[#This Row],[Sales]])*100</f>
        <v>43</v>
      </c>
    </row>
    <row r="2222" spans="1:12" x14ac:dyDescent="0.3">
      <c r="A2222" t="s">
        <v>2725</v>
      </c>
      <c r="B2222" s="1">
        <v>43720</v>
      </c>
      <c r="C2222" t="s">
        <v>895</v>
      </c>
      <c r="D2222" t="s">
        <v>896</v>
      </c>
      <c r="E2222" t="s">
        <v>14</v>
      </c>
      <c r="F2222" t="s">
        <v>23</v>
      </c>
      <c r="G2222" t="s">
        <v>24</v>
      </c>
      <c r="H2222" t="s">
        <v>2274</v>
      </c>
      <c r="I2222" s="2">
        <v>10.47</v>
      </c>
      <c r="J2222">
        <v>3</v>
      </c>
      <c r="K2222" s="2">
        <v>4.8162000000000003</v>
      </c>
      <c r="L2222" s="3">
        <f>(Table1[[#This Row],[Profit]]/Table1[[#This Row],[Sales]])*100</f>
        <v>46</v>
      </c>
    </row>
    <row r="2223" spans="1:12" x14ac:dyDescent="0.3">
      <c r="A2223" t="s">
        <v>4965</v>
      </c>
      <c r="B2223" s="1">
        <v>44019</v>
      </c>
      <c r="C2223" t="s">
        <v>1547</v>
      </c>
      <c r="D2223" t="s">
        <v>1548</v>
      </c>
      <c r="E2223" t="s">
        <v>14</v>
      </c>
      <c r="F2223" t="s">
        <v>15</v>
      </c>
      <c r="G2223" t="s">
        <v>18</v>
      </c>
      <c r="H2223" t="s">
        <v>1890</v>
      </c>
      <c r="I2223" s="2">
        <v>114.776</v>
      </c>
      <c r="J2223">
        <v>3</v>
      </c>
      <c r="K2223" s="2">
        <v>4.8231000000000002</v>
      </c>
      <c r="L2223" s="3">
        <f>(Table1[[#This Row],[Profit]]/Table1[[#This Row],[Sales]])*100</f>
        <v>4.2021851258102743</v>
      </c>
    </row>
    <row r="2224" spans="1:12" x14ac:dyDescent="0.3">
      <c r="A2224" t="s">
        <v>3127</v>
      </c>
      <c r="B2224" s="1">
        <v>43758</v>
      </c>
      <c r="C2224" t="s">
        <v>679</v>
      </c>
      <c r="D2224" t="s">
        <v>680</v>
      </c>
      <c r="E2224" t="s">
        <v>14</v>
      </c>
      <c r="F2224" t="s">
        <v>23</v>
      </c>
      <c r="G2224" t="s">
        <v>16</v>
      </c>
      <c r="H2224" t="s">
        <v>378</v>
      </c>
      <c r="I2224" s="2">
        <v>387.13600000000002</v>
      </c>
      <c r="J2224">
        <v>4</v>
      </c>
      <c r="K2224" s="2">
        <v>4.8391999999999999</v>
      </c>
      <c r="L2224" s="3">
        <f>(Table1[[#This Row],[Profit]]/Table1[[#This Row],[Sales]])*100</f>
        <v>1.25</v>
      </c>
    </row>
    <row r="2225" spans="1:12" x14ac:dyDescent="0.3">
      <c r="A2225" t="s">
        <v>3868</v>
      </c>
      <c r="B2225" s="1">
        <v>43821</v>
      </c>
      <c r="C2225" t="s">
        <v>3869</v>
      </c>
      <c r="D2225" t="s">
        <v>3870</v>
      </c>
      <c r="E2225" t="s">
        <v>14</v>
      </c>
      <c r="F2225" t="s">
        <v>23</v>
      </c>
      <c r="G2225" t="s">
        <v>16</v>
      </c>
      <c r="H2225" t="s">
        <v>3148</v>
      </c>
      <c r="I2225" s="2">
        <v>22.783999999999999</v>
      </c>
      <c r="J2225">
        <v>1</v>
      </c>
      <c r="K2225" s="2">
        <v>4.8415999999999997</v>
      </c>
      <c r="L2225" s="3">
        <f>(Table1[[#This Row],[Profit]]/Table1[[#This Row],[Sales]])*100</f>
        <v>21.25</v>
      </c>
    </row>
    <row r="2226" spans="1:12" x14ac:dyDescent="0.3">
      <c r="A2226" t="s">
        <v>6262</v>
      </c>
      <c r="B2226" s="1">
        <v>44189</v>
      </c>
      <c r="C2226" t="s">
        <v>2315</v>
      </c>
      <c r="D2226" t="s">
        <v>2316</v>
      </c>
      <c r="E2226" t="s">
        <v>14</v>
      </c>
      <c r="F2226" t="s">
        <v>15</v>
      </c>
      <c r="G2226" t="s">
        <v>24</v>
      </c>
      <c r="H2226" t="s">
        <v>4635</v>
      </c>
      <c r="I2226" s="2">
        <v>454.37599999999998</v>
      </c>
      <c r="J2226">
        <v>3</v>
      </c>
      <c r="K2226" s="2">
        <v>4.8518999999999997</v>
      </c>
      <c r="L2226" s="3">
        <f>(Table1[[#This Row],[Profit]]/Table1[[#This Row],[Sales]])*100</f>
        <v>1.0678160818353082</v>
      </c>
    </row>
    <row r="2227" spans="1:12" x14ac:dyDescent="0.3">
      <c r="A2227" t="s">
        <v>4554</v>
      </c>
      <c r="B2227" s="1">
        <v>43951</v>
      </c>
      <c r="C2227" t="s">
        <v>2854</v>
      </c>
      <c r="D2227" t="s">
        <v>2855</v>
      </c>
      <c r="E2227" t="s">
        <v>14</v>
      </c>
      <c r="F2227" t="s">
        <v>41</v>
      </c>
      <c r="G2227" t="s">
        <v>24</v>
      </c>
      <c r="H2227" t="s">
        <v>2987</v>
      </c>
      <c r="I2227" s="2">
        <v>108.52800000000001</v>
      </c>
      <c r="J2227">
        <v>3</v>
      </c>
      <c r="K2227" s="2">
        <v>4.8525</v>
      </c>
      <c r="L2227" s="3">
        <f>(Table1[[#This Row],[Profit]]/Table1[[#This Row],[Sales]])*100</f>
        <v>4.4711963732861566</v>
      </c>
    </row>
    <row r="2228" spans="1:12" x14ac:dyDescent="0.3">
      <c r="A2228" t="s">
        <v>5446</v>
      </c>
      <c r="B2228" s="1">
        <v>44093</v>
      </c>
      <c r="C2228" t="s">
        <v>1808</v>
      </c>
      <c r="D2228" t="s">
        <v>1809</v>
      </c>
      <c r="E2228" t="s">
        <v>14</v>
      </c>
      <c r="F2228" t="s">
        <v>23</v>
      </c>
      <c r="G2228" t="s">
        <v>24</v>
      </c>
      <c r="H2228" t="s">
        <v>742</v>
      </c>
      <c r="I2228" s="2">
        <v>100.74</v>
      </c>
      <c r="J2228">
        <v>3</v>
      </c>
      <c r="K2228" s="2">
        <v>4.8545999999999996</v>
      </c>
      <c r="L2228" s="3">
        <f>(Table1[[#This Row],[Profit]]/Table1[[#This Row],[Sales]])*100</f>
        <v>4.8189398451459198</v>
      </c>
    </row>
    <row r="2229" spans="1:12" x14ac:dyDescent="0.3">
      <c r="A2229" t="s">
        <v>2072</v>
      </c>
      <c r="B2229" s="1">
        <v>43663</v>
      </c>
      <c r="C2229" t="s">
        <v>2073</v>
      </c>
      <c r="D2229" t="s">
        <v>2074</v>
      </c>
      <c r="E2229" t="s">
        <v>14</v>
      </c>
      <c r="F2229" t="s">
        <v>29</v>
      </c>
      <c r="G2229" t="s">
        <v>24</v>
      </c>
      <c r="H2229" t="s">
        <v>288</v>
      </c>
      <c r="I2229" s="2">
        <v>242.94</v>
      </c>
      <c r="J2229">
        <v>3</v>
      </c>
      <c r="K2229" s="2">
        <v>4.8587999999999996</v>
      </c>
      <c r="L2229" s="3">
        <f>(Table1[[#This Row],[Profit]]/Table1[[#This Row],[Sales]])*100</f>
        <v>1.9999999999999998</v>
      </c>
    </row>
    <row r="2230" spans="1:12" x14ac:dyDescent="0.3">
      <c r="A2230" t="s">
        <v>2993</v>
      </c>
      <c r="B2230" s="1">
        <v>43740</v>
      </c>
      <c r="C2230" t="s">
        <v>2994</v>
      </c>
      <c r="D2230" t="s">
        <v>2995</v>
      </c>
      <c r="E2230" t="s">
        <v>14</v>
      </c>
      <c r="F2230" t="s">
        <v>29</v>
      </c>
      <c r="G2230" t="s">
        <v>24</v>
      </c>
      <c r="H2230" t="s">
        <v>512</v>
      </c>
      <c r="I2230" s="2">
        <v>32.479999999999997</v>
      </c>
      <c r="J2230">
        <v>2</v>
      </c>
      <c r="K2230" s="2">
        <v>4.8719999999999999</v>
      </c>
      <c r="L2230" s="3">
        <f>(Table1[[#This Row],[Profit]]/Table1[[#This Row],[Sales]])*100</f>
        <v>15.000000000000002</v>
      </c>
    </row>
    <row r="2231" spans="1:12" x14ac:dyDescent="0.3">
      <c r="A2231" t="s">
        <v>4323</v>
      </c>
      <c r="B2231" s="1">
        <v>43913</v>
      </c>
      <c r="C2231" t="s">
        <v>824</v>
      </c>
      <c r="D2231" t="s">
        <v>825</v>
      </c>
      <c r="E2231" t="s">
        <v>14</v>
      </c>
      <c r="F2231" t="s">
        <v>23</v>
      </c>
      <c r="G2231" t="s">
        <v>24</v>
      </c>
      <c r="H2231" t="s">
        <v>512</v>
      </c>
      <c r="I2231" s="2">
        <v>139.47999999999999</v>
      </c>
      <c r="J2231">
        <v>2</v>
      </c>
      <c r="K2231" s="2">
        <v>4.8719999999999999</v>
      </c>
      <c r="L2231" s="3">
        <f>(Table1[[#This Row],[Profit]]/Table1[[#This Row],[Sales]])*100</f>
        <v>3.4929739030685405</v>
      </c>
    </row>
    <row r="2232" spans="1:12" x14ac:dyDescent="0.3">
      <c r="A2232" t="s">
        <v>5156</v>
      </c>
      <c r="B2232" s="1">
        <v>44060</v>
      </c>
      <c r="C2232" t="s">
        <v>4601</v>
      </c>
      <c r="D2232" t="s">
        <v>4602</v>
      </c>
      <c r="E2232" t="s">
        <v>14</v>
      </c>
      <c r="F2232" t="s">
        <v>23</v>
      </c>
      <c r="G2232" t="s">
        <v>24</v>
      </c>
      <c r="H2232" t="s">
        <v>397</v>
      </c>
      <c r="I2232" s="2">
        <v>104.92</v>
      </c>
      <c r="J2232">
        <v>3</v>
      </c>
      <c r="K2232" s="2">
        <v>4.8719999999999999</v>
      </c>
      <c r="L2232" s="3">
        <f>(Table1[[#This Row],[Profit]]/Table1[[#This Row],[Sales]])*100</f>
        <v>4.6435379336637439</v>
      </c>
    </row>
    <row r="2233" spans="1:12" x14ac:dyDescent="0.3">
      <c r="A2233" t="s">
        <v>4002</v>
      </c>
      <c r="B2233" s="1">
        <v>43842</v>
      </c>
      <c r="C2233" t="s">
        <v>2088</v>
      </c>
      <c r="D2233" t="s">
        <v>2089</v>
      </c>
      <c r="E2233" t="s">
        <v>14</v>
      </c>
      <c r="F2233" t="s">
        <v>23</v>
      </c>
      <c r="G2233" t="s">
        <v>24</v>
      </c>
      <c r="H2233" t="s">
        <v>242</v>
      </c>
      <c r="I2233" s="2">
        <v>96.78</v>
      </c>
      <c r="J2233">
        <v>1</v>
      </c>
      <c r="K2233" s="2">
        <v>4.8899999999999997</v>
      </c>
      <c r="L2233" s="3">
        <f>(Table1[[#This Row],[Profit]]/Table1[[#This Row],[Sales]])*100</f>
        <v>5.0526968381897079</v>
      </c>
    </row>
    <row r="2234" spans="1:12" x14ac:dyDescent="0.3">
      <c r="A2234" t="s">
        <v>4522</v>
      </c>
      <c r="B2234" s="1">
        <v>43945</v>
      </c>
      <c r="C2234" t="s">
        <v>2088</v>
      </c>
      <c r="D2234" t="s">
        <v>2089</v>
      </c>
      <c r="E2234" t="s">
        <v>14</v>
      </c>
      <c r="F2234" t="s">
        <v>15</v>
      </c>
      <c r="G2234" t="s">
        <v>18</v>
      </c>
      <c r="H2234" t="s">
        <v>670</v>
      </c>
      <c r="I2234" s="2">
        <v>100.98</v>
      </c>
      <c r="J2234">
        <v>2</v>
      </c>
      <c r="K2234" s="2">
        <v>4.8986000000000001</v>
      </c>
      <c r="L2234" s="3">
        <f>(Table1[[#This Row],[Profit]]/Table1[[#This Row],[Sales]])*100</f>
        <v>4.8510596157654984</v>
      </c>
    </row>
    <row r="2235" spans="1:12" x14ac:dyDescent="0.3">
      <c r="A2235" t="s">
        <v>5873</v>
      </c>
      <c r="B2235" s="1">
        <v>44147</v>
      </c>
      <c r="C2235" t="s">
        <v>1465</v>
      </c>
      <c r="D2235" t="s">
        <v>1466</v>
      </c>
      <c r="E2235" t="s">
        <v>14</v>
      </c>
      <c r="F2235" t="s">
        <v>23</v>
      </c>
      <c r="G2235" t="s">
        <v>24</v>
      </c>
      <c r="H2235" t="s">
        <v>3487</v>
      </c>
      <c r="I2235" s="2">
        <v>94.016000000000005</v>
      </c>
      <c r="J2235">
        <v>4</v>
      </c>
      <c r="K2235" s="2">
        <v>4.9055999999999997</v>
      </c>
      <c r="L2235" s="3">
        <f>(Table1[[#This Row],[Profit]]/Table1[[#This Row],[Sales]])*100</f>
        <v>5.2178352620830486</v>
      </c>
    </row>
    <row r="2236" spans="1:12" x14ac:dyDescent="0.3">
      <c r="A2236" t="s">
        <v>4231</v>
      </c>
      <c r="B2236" s="1">
        <v>43897</v>
      </c>
      <c r="C2236" t="s">
        <v>493</v>
      </c>
      <c r="D2236" t="s">
        <v>494</v>
      </c>
      <c r="E2236" t="s">
        <v>14</v>
      </c>
      <c r="F2236" t="s">
        <v>15</v>
      </c>
      <c r="G2236" t="s">
        <v>18</v>
      </c>
      <c r="H2236" t="s">
        <v>1274</v>
      </c>
      <c r="I2236" s="2">
        <v>134.08000000000001</v>
      </c>
      <c r="J2236">
        <v>3</v>
      </c>
      <c r="K2236" s="2">
        <v>4.9080000000000004</v>
      </c>
      <c r="L2236" s="3">
        <f>(Table1[[#This Row],[Profit]]/Table1[[#This Row],[Sales]])*100</f>
        <v>3.6605011933174225</v>
      </c>
    </row>
    <row r="2237" spans="1:12" x14ac:dyDescent="0.3">
      <c r="A2237" t="s">
        <v>6157</v>
      </c>
      <c r="B2237" s="1">
        <v>44175</v>
      </c>
      <c r="C2237" t="s">
        <v>44</v>
      </c>
      <c r="D2237" t="s">
        <v>45</v>
      </c>
      <c r="E2237" t="s">
        <v>14</v>
      </c>
      <c r="F2237" t="s">
        <v>23</v>
      </c>
      <c r="G2237" t="s">
        <v>18</v>
      </c>
      <c r="H2237" t="s">
        <v>1274</v>
      </c>
      <c r="I2237" s="2">
        <v>447.08</v>
      </c>
      <c r="J2237">
        <v>3</v>
      </c>
      <c r="K2237" s="2">
        <v>4.9080000000000004</v>
      </c>
      <c r="L2237" s="3">
        <f>(Table1[[#This Row],[Profit]]/Table1[[#This Row],[Sales]])*100</f>
        <v>1.0977901046792522</v>
      </c>
    </row>
    <row r="2238" spans="1:12" x14ac:dyDescent="0.3">
      <c r="A2238" t="s">
        <v>2428</v>
      </c>
      <c r="B2238" s="1">
        <v>43703</v>
      </c>
      <c r="C2238" t="s">
        <v>1903</v>
      </c>
      <c r="D2238" t="s">
        <v>1904</v>
      </c>
      <c r="E2238" t="s">
        <v>14</v>
      </c>
      <c r="F2238" t="s">
        <v>23</v>
      </c>
      <c r="G2238" t="s">
        <v>24</v>
      </c>
      <c r="H2238" t="s">
        <v>2429</v>
      </c>
      <c r="I2238" s="2">
        <v>10.23</v>
      </c>
      <c r="J2238">
        <v>3</v>
      </c>
      <c r="K2238" s="2">
        <v>4.9104000000000001</v>
      </c>
      <c r="L2238" s="3">
        <f>(Table1[[#This Row],[Profit]]/Table1[[#This Row],[Sales]])*100</f>
        <v>48</v>
      </c>
    </row>
    <row r="2239" spans="1:12" x14ac:dyDescent="0.3">
      <c r="A2239" t="s">
        <v>4973</v>
      </c>
      <c r="B2239" s="1">
        <v>44020</v>
      </c>
      <c r="C2239" t="s">
        <v>4702</v>
      </c>
      <c r="D2239" t="s">
        <v>4703</v>
      </c>
      <c r="E2239" t="s">
        <v>14</v>
      </c>
      <c r="F2239" t="s">
        <v>23</v>
      </c>
      <c r="G2239" t="s">
        <v>16</v>
      </c>
      <c r="H2239" t="s">
        <v>3915</v>
      </c>
      <c r="I2239" s="2">
        <v>91.84</v>
      </c>
      <c r="J2239">
        <v>3</v>
      </c>
      <c r="K2239" s="2">
        <v>4.9104000000000001</v>
      </c>
      <c r="L2239" s="3">
        <f>(Table1[[#This Row],[Profit]]/Table1[[#This Row],[Sales]])*100</f>
        <v>5.3466898954703828</v>
      </c>
    </row>
    <row r="2240" spans="1:12" x14ac:dyDescent="0.3">
      <c r="A2240" t="s">
        <v>4056</v>
      </c>
      <c r="B2240" s="1">
        <v>43852</v>
      </c>
      <c r="C2240" t="s">
        <v>633</v>
      </c>
      <c r="D2240" t="s">
        <v>634</v>
      </c>
      <c r="E2240" t="s">
        <v>14</v>
      </c>
      <c r="F2240" t="s">
        <v>29</v>
      </c>
      <c r="G2240" t="s">
        <v>24</v>
      </c>
      <c r="H2240" t="s">
        <v>449</v>
      </c>
      <c r="I2240" s="2">
        <v>103.12</v>
      </c>
      <c r="J2240">
        <v>5</v>
      </c>
      <c r="K2240" s="2">
        <v>4.9139999999999997</v>
      </c>
      <c r="L2240" s="3">
        <f>(Table1[[#This Row],[Profit]]/Table1[[#This Row],[Sales]])*100</f>
        <v>4.7653219550038779</v>
      </c>
    </row>
    <row r="2241" spans="1:12" x14ac:dyDescent="0.3">
      <c r="A2241" t="s">
        <v>4432</v>
      </c>
      <c r="B2241" s="1">
        <v>43930</v>
      </c>
      <c r="C2241" t="s">
        <v>3869</v>
      </c>
      <c r="D2241" t="s">
        <v>3870</v>
      </c>
      <c r="E2241" t="s">
        <v>14</v>
      </c>
      <c r="F2241" t="s">
        <v>41</v>
      </c>
      <c r="G2241" t="s">
        <v>24</v>
      </c>
      <c r="H2241" t="s">
        <v>4437</v>
      </c>
      <c r="I2241" s="2">
        <v>126.12</v>
      </c>
      <c r="J2241">
        <v>3</v>
      </c>
      <c r="K2241" s="2">
        <v>4.9139999999999997</v>
      </c>
      <c r="L2241" s="3">
        <f>(Table1[[#This Row],[Profit]]/Table1[[#This Row],[Sales]])*100</f>
        <v>3.8962892483349187</v>
      </c>
    </row>
    <row r="2242" spans="1:12" x14ac:dyDescent="0.3">
      <c r="A2242" t="s">
        <v>492</v>
      </c>
      <c r="B2242" s="1">
        <v>43528</v>
      </c>
      <c r="C2242" t="s">
        <v>493</v>
      </c>
      <c r="D2242" t="s">
        <v>494</v>
      </c>
      <c r="E2242" t="s">
        <v>14</v>
      </c>
      <c r="F2242" t="s">
        <v>23</v>
      </c>
      <c r="G2242" t="s">
        <v>24</v>
      </c>
      <c r="H2242" t="s">
        <v>495</v>
      </c>
      <c r="I2242" s="2">
        <v>16.989999999999998</v>
      </c>
      <c r="J2242">
        <v>1</v>
      </c>
      <c r="K2242" s="2">
        <v>4.9271000000000003</v>
      </c>
      <c r="L2242" s="3">
        <f>(Table1[[#This Row],[Profit]]/Table1[[#This Row],[Sales]])*100</f>
        <v>29.000000000000004</v>
      </c>
    </row>
    <row r="2243" spans="1:12" x14ac:dyDescent="0.3">
      <c r="A2243" t="s">
        <v>1804</v>
      </c>
      <c r="B2243" s="1">
        <v>43636</v>
      </c>
      <c r="C2243" t="s">
        <v>1805</v>
      </c>
      <c r="D2243" t="s">
        <v>1806</v>
      </c>
      <c r="E2243" t="s">
        <v>14</v>
      </c>
      <c r="F2243" t="s">
        <v>15</v>
      </c>
      <c r="G2243" t="s">
        <v>18</v>
      </c>
      <c r="H2243" t="s">
        <v>1774</v>
      </c>
      <c r="I2243" s="2">
        <v>45</v>
      </c>
      <c r="J2243">
        <v>3</v>
      </c>
      <c r="K2243" s="2">
        <v>4.95</v>
      </c>
      <c r="L2243" s="3">
        <f>(Table1[[#This Row],[Profit]]/Table1[[#This Row],[Sales]])*100</f>
        <v>11</v>
      </c>
    </row>
    <row r="2244" spans="1:12" x14ac:dyDescent="0.3">
      <c r="A2244" t="s">
        <v>5609</v>
      </c>
      <c r="B2244" s="1">
        <v>44116</v>
      </c>
      <c r="C2244" t="s">
        <v>2100</v>
      </c>
      <c r="D2244" t="s">
        <v>2101</v>
      </c>
      <c r="E2244" t="s">
        <v>14</v>
      </c>
      <c r="F2244" t="s">
        <v>15</v>
      </c>
      <c r="G2244" t="s">
        <v>18</v>
      </c>
      <c r="H2244" t="s">
        <v>1774</v>
      </c>
      <c r="I2244" s="2">
        <v>147</v>
      </c>
      <c r="J2244">
        <v>3</v>
      </c>
      <c r="K2244" s="2">
        <v>4.95</v>
      </c>
      <c r="L2244" s="3">
        <f>(Table1[[#This Row],[Profit]]/Table1[[#This Row],[Sales]])*100</f>
        <v>3.3673469387755102</v>
      </c>
    </row>
    <row r="2245" spans="1:12" x14ac:dyDescent="0.3">
      <c r="A2245" t="s">
        <v>5493</v>
      </c>
      <c r="B2245" s="1">
        <v>44098</v>
      </c>
      <c r="C2245" t="s">
        <v>573</v>
      </c>
      <c r="D2245" t="s">
        <v>574</v>
      </c>
      <c r="E2245" t="s">
        <v>14</v>
      </c>
      <c r="F2245" t="s">
        <v>41</v>
      </c>
      <c r="G2245" t="s">
        <v>24</v>
      </c>
      <c r="H2245" t="s">
        <v>969</v>
      </c>
      <c r="I2245" s="2">
        <v>98.72</v>
      </c>
      <c r="J2245">
        <v>3</v>
      </c>
      <c r="K2245" s="2">
        <v>4.9607999999999999</v>
      </c>
      <c r="L2245" s="3">
        <f>(Table1[[#This Row],[Profit]]/Table1[[#This Row],[Sales]])*100</f>
        <v>5.025121555915721</v>
      </c>
    </row>
    <row r="2246" spans="1:12" x14ac:dyDescent="0.3">
      <c r="A2246" t="s">
        <v>4269</v>
      </c>
      <c r="B2246" s="1">
        <v>43904</v>
      </c>
      <c r="C2246" t="s">
        <v>4270</v>
      </c>
      <c r="D2246" t="s">
        <v>4271</v>
      </c>
      <c r="E2246" t="s">
        <v>14</v>
      </c>
      <c r="F2246" t="s">
        <v>29</v>
      </c>
      <c r="G2246" t="s">
        <v>18</v>
      </c>
      <c r="H2246" t="s">
        <v>4272</v>
      </c>
      <c r="I2246" s="2">
        <v>121.616</v>
      </c>
      <c r="J2246">
        <v>2</v>
      </c>
      <c r="K2246" s="2">
        <v>4.9615999999999998</v>
      </c>
      <c r="L2246" s="3">
        <f>(Table1[[#This Row],[Profit]]/Table1[[#This Row],[Sales]])*100</f>
        <v>4.0797263517958164</v>
      </c>
    </row>
    <row r="2247" spans="1:12" x14ac:dyDescent="0.3">
      <c r="A2247" t="s">
        <v>6069</v>
      </c>
      <c r="B2247" s="1">
        <v>44167</v>
      </c>
      <c r="C2247" t="s">
        <v>4254</v>
      </c>
      <c r="D2247" t="s">
        <v>4255</v>
      </c>
      <c r="E2247" t="s">
        <v>14</v>
      </c>
      <c r="F2247" t="s">
        <v>23</v>
      </c>
      <c r="G2247" t="s">
        <v>18</v>
      </c>
      <c r="H2247" t="s">
        <v>4272</v>
      </c>
      <c r="I2247" s="2">
        <v>137.61600000000001</v>
      </c>
      <c r="J2247">
        <v>2</v>
      </c>
      <c r="K2247" s="2">
        <v>4.9615999999999998</v>
      </c>
      <c r="L2247" s="3">
        <f>(Table1[[#This Row],[Profit]]/Table1[[#This Row],[Sales]])*100</f>
        <v>3.6053947215440059</v>
      </c>
    </row>
    <row r="2248" spans="1:12" x14ac:dyDescent="0.3">
      <c r="A2248" t="s">
        <v>5191</v>
      </c>
      <c r="B2248" s="1">
        <v>44064</v>
      </c>
      <c r="C2248" t="s">
        <v>5192</v>
      </c>
      <c r="D2248" t="s">
        <v>5193</v>
      </c>
      <c r="E2248" t="s">
        <v>14</v>
      </c>
      <c r="F2248" t="s">
        <v>23</v>
      </c>
      <c r="G2248" t="s">
        <v>24</v>
      </c>
      <c r="H2248" t="s">
        <v>5199</v>
      </c>
      <c r="I2248" s="2">
        <v>107.12</v>
      </c>
      <c r="J2248">
        <v>4</v>
      </c>
      <c r="K2248" s="2">
        <v>4.9648000000000003</v>
      </c>
      <c r="L2248" s="3">
        <f>(Table1[[#This Row],[Profit]]/Table1[[#This Row],[Sales]])*100</f>
        <v>4.6348020911127712</v>
      </c>
    </row>
    <row r="2249" spans="1:12" x14ac:dyDescent="0.3">
      <c r="A2249" t="s">
        <v>3917</v>
      </c>
      <c r="B2249" s="1">
        <v>43825</v>
      </c>
      <c r="C2249" t="s">
        <v>599</v>
      </c>
      <c r="D2249" t="s">
        <v>600</v>
      </c>
      <c r="E2249" t="s">
        <v>14</v>
      </c>
      <c r="F2249" t="s">
        <v>23</v>
      </c>
      <c r="G2249" t="s">
        <v>24</v>
      </c>
      <c r="H2249" t="s">
        <v>2049</v>
      </c>
      <c r="I2249" s="2">
        <v>17.760000000000002</v>
      </c>
      <c r="J2249">
        <v>2</v>
      </c>
      <c r="K2249" s="2">
        <v>4.9728000000000003</v>
      </c>
      <c r="L2249" s="3">
        <f>(Table1[[#This Row],[Profit]]/Table1[[#This Row],[Sales]])*100</f>
        <v>27.999999999999996</v>
      </c>
    </row>
    <row r="2250" spans="1:12" x14ac:dyDescent="0.3">
      <c r="A2250" t="s">
        <v>5707</v>
      </c>
      <c r="B2250" s="1">
        <v>44130</v>
      </c>
      <c r="C2250" t="s">
        <v>3662</v>
      </c>
      <c r="D2250" t="s">
        <v>3663</v>
      </c>
      <c r="E2250" t="s">
        <v>14</v>
      </c>
      <c r="F2250" t="s">
        <v>15</v>
      </c>
      <c r="G2250" t="s">
        <v>24</v>
      </c>
      <c r="H2250" t="s">
        <v>3756</v>
      </c>
      <c r="I2250" s="2">
        <v>115.76</v>
      </c>
      <c r="J2250">
        <v>5</v>
      </c>
      <c r="K2250" s="2">
        <v>4.9814999999999996</v>
      </c>
      <c r="L2250" s="3">
        <f>(Table1[[#This Row],[Profit]]/Table1[[#This Row],[Sales]])*100</f>
        <v>4.303299930891499</v>
      </c>
    </row>
    <row r="2251" spans="1:12" x14ac:dyDescent="0.3">
      <c r="A2251" t="s">
        <v>1997</v>
      </c>
      <c r="B2251" s="1">
        <v>43654</v>
      </c>
      <c r="C2251" t="s">
        <v>857</v>
      </c>
      <c r="D2251" t="s">
        <v>858</v>
      </c>
      <c r="E2251" t="s">
        <v>14</v>
      </c>
      <c r="F2251" t="s">
        <v>41</v>
      </c>
      <c r="G2251" t="s">
        <v>24</v>
      </c>
      <c r="H2251" t="s">
        <v>1999</v>
      </c>
      <c r="I2251" s="2">
        <v>15.984</v>
      </c>
      <c r="J2251">
        <v>2</v>
      </c>
      <c r="K2251" s="2">
        <v>4.9950000000000001</v>
      </c>
      <c r="L2251" s="3">
        <f>(Table1[[#This Row],[Profit]]/Table1[[#This Row],[Sales]])*100</f>
        <v>31.25</v>
      </c>
    </row>
    <row r="2252" spans="1:12" x14ac:dyDescent="0.3">
      <c r="A2252" t="s">
        <v>6151</v>
      </c>
      <c r="B2252" s="1">
        <v>44174</v>
      </c>
      <c r="C2252" t="s">
        <v>2754</v>
      </c>
      <c r="D2252" t="s">
        <v>2755</v>
      </c>
      <c r="E2252" t="s">
        <v>14</v>
      </c>
      <c r="F2252" t="s">
        <v>29</v>
      </c>
      <c r="G2252" t="s">
        <v>24</v>
      </c>
      <c r="H2252" t="s">
        <v>1999</v>
      </c>
      <c r="I2252" s="2">
        <v>139.98400000000001</v>
      </c>
      <c r="J2252">
        <v>2</v>
      </c>
      <c r="K2252" s="2">
        <v>4.9950000000000001</v>
      </c>
      <c r="L2252" s="3">
        <f>(Table1[[#This Row],[Profit]]/Table1[[#This Row],[Sales]])*100</f>
        <v>3.5682649445650929</v>
      </c>
    </row>
    <row r="2253" spans="1:12" x14ac:dyDescent="0.3">
      <c r="A2253" t="s">
        <v>417</v>
      </c>
      <c r="B2253" s="1">
        <v>43518</v>
      </c>
      <c r="C2253" t="s">
        <v>418</v>
      </c>
      <c r="D2253" t="s">
        <v>419</v>
      </c>
      <c r="E2253" t="s">
        <v>14</v>
      </c>
      <c r="F2253" t="s">
        <v>23</v>
      </c>
      <c r="G2253" t="s">
        <v>24</v>
      </c>
      <c r="H2253" t="s">
        <v>422</v>
      </c>
      <c r="I2253" s="2">
        <v>10.65</v>
      </c>
      <c r="J2253">
        <v>3</v>
      </c>
      <c r="K2253" s="2">
        <v>5.0054999999999996</v>
      </c>
      <c r="L2253" s="3">
        <f>(Table1[[#This Row],[Profit]]/Table1[[#This Row],[Sales]])*100</f>
        <v>47</v>
      </c>
    </row>
    <row r="2254" spans="1:12" x14ac:dyDescent="0.3">
      <c r="A2254" t="s">
        <v>3469</v>
      </c>
      <c r="B2254" s="1">
        <v>43788</v>
      </c>
      <c r="C2254" t="s">
        <v>2865</v>
      </c>
      <c r="D2254" t="s">
        <v>2866</v>
      </c>
      <c r="E2254" t="s">
        <v>14</v>
      </c>
      <c r="F2254" t="s">
        <v>15</v>
      </c>
      <c r="G2254" t="s">
        <v>24</v>
      </c>
      <c r="H2254" t="s">
        <v>3470</v>
      </c>
      <c r="I2254" s="2">
        <v>17.28</v>
      </c>
      <c r="J2254">
        <v>6</v>
      </c>
      <c r="K2254" s="2">
        <v>5.0111999999999997</v>
      </c>
      <c r="L2254" s="3">
        <f>(Table1[[#This Row],[Profit]]/Table1[[#This Row],[Sales]])*100</f>
        <v>28.999999999999996</v>
      </c>
    </row>
    <row r="2255" spans="1:12" x14ac:dyDescent="0.3">
      <c r="A2255" t="s">
        <v>1432</v>
      </c>
      <c r="B2255" s="1">
        <v>43605</v>
      </c>
      <c r="C2255" t="s">
        <v>554</v>
      </c>
      <c r="D2255" t="s">
        <v>555</v>
      </c>
      <c r="E2255" t="s">
        <v>14</v>
      </c>
      <c r="F2255" t="s">
        <v>23</v>
      </c>
      <c r="G2255" t="s">
        <v>24</v>
      </c>
      <c r="H2255" t="s">
        <v>1434</v>
      </c>
      <c r="I2255" s="2">
        <v>15.423999999999999</v>
      </c>
      <c r="J2255">
        <v>4</v>
      </c>
      <c r="K2255" s="2">
        <v>5.0128000000000004</v>
      </c>
      <c r="L2255" s="3">
        <f>(Table1[[#This Row],[Profit]]/Table1[[#This Row],[Sales]])*100</f>
        <v>32.5</v>
      </c>
    </row>
    <row r="2256" spans="1:12" x14ac:dyDescent="0.3">
      <c r="A2256" t="s">
        <v>5474</v>
      </c>
      <c r="B2256" s="1">
        <v>44096</v>
      </c>
      <c r="C2256" t="s">
        <v>1456</v>
      </c>
      <c r="D2256" t="s">
        <v>1457</v>
      </c>
      <c r="E2256" t="s">
        <v>14</v>
      </c>
      <c r="F2256" t="s">
        <v>29</v>
      </c>
      <c r="G2256" t="s">
        <v>24</v>
      </c>
      <c r="H2256" t="s">
        <v>242</v>
      </c>
      <c r="I2256" s="2">
        <v>102.392</v>
      </c>
      <c r="J2256">
        <v>3</v>
      </c>
      <c r="K2256" s="2">
        <v>5.0220000000000002</v>
      </c>
      <c r="L2256" s="3">
        <f>(Table1[[#This Row],[Profit]]/Table1[[#This Row],[Sales]])*100</f>
        <v>4.9046800531291517</v>
      </c>
    </row>
    <row r="2257" spans="1:12" x14ac:dyDescent="0.3">
      <c r="A2257" t="s">
        <v>6276</v>
      </c>
      <c r="B2257" s="1">
        <v>44190</v>
      </c>
      <c r="C2257" t="s">
        <v>3979</v>
      </c>
      <c r="D2257" t="s">
        <v>3980</v>
      </c>
      <c r="E2257" t="s">
        <v>14</v>
      </c>
      <c r="F2257" t="s">
        <v>29</v>
      </c>
      <c r="G2257" t="s">
        <v>24</v>
      </c>
      <c r="H2257" t="s">
        <v>844</v>
      </c>
      <c r="I2257" s="2">
        <v>433.68799999999999</v>
      </c>
      <c r="J2257">
        <v>7</v>
      </c>
      <c r="K2257" s="2">
        <v>5.0274000000000001</v>
      </c>
      <c r="L2257" s="3">
        <f>(Table1[[#This Row],[Profit]]/Table1[[#This Row],[Sales]])*100</f>
        <v>1.159220453413514</v>
      </c>
    </row>
    <row r="2258" spans="1:12" x14ac:dyDescent="0.3">
      <c r="A2258" t="s">
        <v>4461</v>
      </c>
      <c r="B2258" s="1">
        <v>43935</v>
      </c>
      <c r="C2258" t="s">
        <v>4373</v>
      </c>
      <c r="D2258" t="s">
        <v>4374</v>
      </c>
      <c r="E2258" t="s">
        <v>14</v>
      </c>
      <c r="F2258" t="s">
        <v>15</v>
      </c>
      <c r="G2258" t="s">
        <v>24</v>
      </c>
      <c r="H2258" t="s">
        <v>1393</v>
      </c>
      <c r="I2258" s="2">
        <v>117.872</v>
      </c>
      <c r="J2258">
        <v>3</v>
      </c>
      <c r="K2258" s="2">
        <v>5.0286</v>
      </c>
      <c r="L2258" s="3">
        <f>(Table1[[#This Row],[Profit]]/Table1[[#This Row],[Sales]])*100</f>
        <v>4.2661531152436538</v>
      </c>
    </row>
    <row r="2259" spans="1:12" x14ac:dyDescent="0.3">
      <c r="A2259" t="s">
        <v>4727</v>
      </c>
      <c r="B2259" s="1">
        <v>43979</v>
      </c>
      <c r="C2259" t="s">
        <v>2054</v>
      </c>
      <c r="D2259" t="s">
        <v>2055</v>
      </c>
      <c r="E2259" t="s">
        <v>14</v>
      </c>
      <c r="F2259" t="s">
        <v>15</v>
      </c>
      <c r="G2259" t="s">
        <v>24</v>
      </c>
      <c r="H2259" t="s">
        <v>3675</v>
      </c>
      <c r="I2259" s="2">
        <v>101.872</v>
      </c>
      <c r="J2259">
        <v>3</v>
      </c>
      <c r="K2259" s="2">
        <v>5.0286</v>
      </c>
      <c r="L2259" s="3">
        <f>(Table1[[#This Row],[Profit]]/Table1[[#This Row],[Sales]])*100</f>
        <v>4.9361944400816711</v>
      </c>
    </row>
    <row r="2260" spans="1:12" x14ac:dyDescent="0.3">
      <c r="A2260" t="s">
        <v>2984</v>
      </c>
      <c r="B2260" s="1">
        <v>43739</v>
      </c>
      <c r="C2260" t="s">
        <v>2985</v>
      </c>
      <c r="D2260" t="s">
        <v>2986</v>
      </c>
      <c r="E2260" t="s">
        <v>14</v>
      </c>
      <c r="F2260" t="s">
        <v>41</v>
      </c>
      <c r="G2260" t="s">
        <v>24</v>
      </c>
      <c r="H2260" t="s">
        <v>2987</v>
      </c>
      <c r="I2260" s="2">
        <v>30.975999999999999</v>
      </c>
      <c r="J2260">
        <v>8</v>
      </c>
      <c r="K2260" s="2">
        <v>5.0335999999999999</v>
      </c>
      <c r="L2260" s="3">
        <f>(Table1[[#This Row],[Profit]]/Table1[[#This Row],[Sales]])*100</f>
        <v>16.25</v>
      </c>
    </row>
    <row r="2261" spans="1:12" x14ac:dyDescent="0.3">
      <c r="A2261" t="s">
        <v>3242</v>
      </c>
      <c r="B2261" s="1">
        <v>43772</v>
      </c>
      <c r="C2261" t="s">
        <v>2456</v>
      </c>
      <c r="D2261" t="s">
        <v>2457</v>
      </c>
      <c r="E2261" t="s">
        <v>14</v>
      </c>
      <c r="F2261" t="s">
        <v>23</v>
      </c>
      <c r="G2261" t="s">
        <v>24</v>
      </c>
      <c r="H2261" t="s">
        <v>3243</v>
      </c>
      <c r="I2261" s="2">
        <v>15.26</v>
      </c>
      <c r="J2261">
        <v>7</v>
      </c>
      <c r="K2261" s="2">
        <v>5.0358000000000001</v>
      </c>
      <c r="L2261" s="3">
        <f>(Table1[[#This Row],[Profit]]/Table1[[#This Row],[Sales]])*100</f>
        <v>33</v>
      </c>
    </row>
    <row r="2262" spans="1:12" x14ac:dyDescent="0.3">
      <c r="A2262" t="s">
        <v>6067</v>
      </c>
      <c r="B2262" s="1">
        <v>44167</v>
      </c>
      <c r="C2262" t="s">
        <v>2054</v>
      </c>
      <c r="D2262" t="s">
        <v>2055</v>
      </c>
      <c r="E2262" t="s">
        <v>14</v>
      </c>
      <c r="F2262" t="s">
        <v>23</v>
      </c>
      <c r="G2262" t="s">
        <v>24</v>
      </c>
      <c r="H2262" t="s">
        <v>747</v>
      </c>
      <c r="I2262" s="2">
        <v>121.08</v>
      </c>
      <c r="J2262">
        <v>6</v>
      </c>
      <c r="K2262" s="2">
        <v>5.04</v>
      </c>
      <c r="L2262" s="3">
        <f>(Table1[[#This Row],[Profit]]/Table1[[#This Row],[Sales]])*100</f>
        <v>4.1625371655104066</v>
      </c>
    </row>
    <row r="2263" spans="1:12" x14ac:dyDescent="0.3">
      <c r="A2263" t="s">
        <v>6168</v>
      </c>
      <c r="B2263" s="1">
        <v>44176</v>
      </c>
      <c r="C2263" t="s">
        <v>2005</v>
      </c>
      <c r="D2263" t="s">
        <v>2006</v>
      </c>
      <c r="E2263" t="s">
        <v>14</v>
      </c>
      <c r="F2263" t="s">
        <v>15</v>
      </c>
      <c r="G2263" t="s">
        <v>24</v>
      </c>
      <c r="H2263" t="s">
        <v>724</v>
      </c>
      <c r="I2263" s="2">
        <v>415.952</v>
      </c>
      <c r="J2263">
        <v>1</v>
      </c>
      <c r="K2263" s="2">
        <v>5.0462999999999996</v>
      </c>
      <c r="L2263" s="3">
        <f>(Table1[[#This Row],[Profit]]/Table1[[#This Row],[Sales]])*100</f>
        <v>1.213192868407893</v>
      </c>
    </row>
    <row r="2264" spans="1:12" x14ac:dyDescent="0.3">
      <c r="A2264" t="s">
        <v>3749</v>
      </c>
      <c r="B2264" s="1">
        <v>43808</v>
      </c>
      <c r="C2264" t="s">
        <v>84</v>
      </c>
      <c r="D2264" t="s">
        <v>85</v>
      </c>
      <c r="E2264" t="s">
        <v>14</v>
      </c>
      <c r="F2264" t="s">
        <v>29</v>
      </c>
      <c r="G2264" t="s">
        <v>24</v>
      </c>
      <c r="H2264" t="s">
        <v>3753</v>
      </c>
      <c r="I2264" s="2">
        <v>19.46</v>
      </c>
      <c r="J2264">
        <v>7</v>
      </c>
      <c r="K2264" s="2">
        <v>5.0595999999999997</v>
      </c>
      <c r="L2264" s="3">
        <f>(Table1[[#This Row],[Profit]]/Table1[[#This Row],[Sales]])*100</f>
        <v>25.999999999999996</v>
      </c>
    </row>
    <row r="2265" spans="1:12" x14ac:dyDescent="0.3">
      <c r="A2265" t="s">
        <v>3029</v>
      </c>
      <c r="B2265" s="1">
        <v>43745</v>
      </c>
      <c r="C2265" t="s">
        <v>1203</v>
      </c>
      <c r="D2265" t="s">
        <v>1204</v>
      </c>
      <c r="E2265" t="s">
        <v>14</v>
      </c>
      <c r="F2265" t="s">
        <v>23</v>
      </c>
      <c r="G2265" t="s">
        <v>24</v>
      </c>
      <c r="H2265" t="s">
        <v>3030</v>
      </c>
      <c r="I2265" s="2">
        <v>10.56</v>
      </c>
      <c r="J2265">
        <v>2</v>
      </c>
      <c r="K2265" s="2">
        <v>5.0688000000000004</v>
      </c>
      <c r="L2265" s="3">
        <f>(Table1[[#This Row],[Profit]]/Table1[[#This Row],[Sales]])*100</f>
        <v>48.000000000000007</v>
      </c>
    </row>
    <row r="2266" spans="1:12" x14ac:dyDescent="0.3">
      <c r="A2266" t="s">
        <v>2733</v>
      </c>
      <c r="B2266" s="1">
        <v>43721</v>
      </c>
      <c r="C2266" t="s">
        <v>2734</v>
      </c>
      <c r="D2266" t="s">
        <v>2735</v>
      </c>
      <c r="E2266" t="s">
        <v>14</v>
      </c>
      <c r="F2266" t="s">
        <v>29</v>
      </c>
      <c r="G2266" t="s">
        <v>24</v>
      </c>
      <c r="H2266" t="s">
        <v>483</v>
      </c>
      <c r="I2266" s="2">
        <v>16.899999999999999</v>
      </c>
      <c r="J2266">
        <v>2</v>
      </c>
      <c r="K2266" s="2">
        <v>5.07</v>
      </c>
      <c r="L2266" s="3">
        <f>(Table1[[#This Row],[Profit]]/Table1[[#This Row],[Sales]])*100</f>
        <v>30.000000000000004</v>
      </c>
    </row>
    <row r="2267" spans="1:12" x14ac:dyDescent="0.3">
      <c r="A2267" t="s">
        <v>4788</v>
      </c>
      <c r="B2267" s="1">
        <v>43990</v>
      </c>
      <c r="C2267" t="s">
        <v>3292</v>
      </c>
      <c r="D2267" t="s">
        <v>3293</v>
      </c>
      <c r="E2267" t="s">
        <v>14</v>
      </c>
      <c r="F2267" t="s">
        <v>15</v>
      </c>
      <c r="G2267" t="s">
        <v>24</v>
      </c>
      <c r="H2267" t="s">
        <v>1160</v>
      </c>
      <c r="I2267" s="2">
        <v>96.36</v>
      </c>
      <c r="J2267">
        <v>2</v>
      </c>
      <c r="K2267" s="2">
        <v>5.0763999999999996</v>
      </c>
      <c r="L2267" s="3">
        <f>(Table1[[#This Row],[Profit]]/Table1[[#This Row],[Sales]])*100</f>
        <v>5.2681610626816102</v>
      </c>
    </row>
    <row r="2268" spans="1:12" x14ac:dyDescent="0.3">
      <c r="A2268" t="s">
        <v>2997</v>
      </c>
      <c r="B2268" s="1">
        <v>43741</v>
      </c>
      <c r="C2268" t="s">
        <v>1850</v>
      </c>
      <c r="D2268" t="s">
        <v>1851</v>
      </c>
      <c r="E2268" t="s">
        <v>14</v>
      </c>
      <c r="F2268" t="s">
        <v>29</v>
      </c>
      <c r="G2268" t="s">
        <v>24</v>
      </c>
      <c r="H2268" t="s">
        <v>242</v>
      </c>
      <c r="I2268" s="2">
        <v>15.648</v>
      </c>
      <c r="J2268">
        <v>2</v>
      </c>
      <c r="K2268" s="2">
        <v>5.0856000000000003</v>
      </c>
      <c r="L2268" s="3">
        <f>(Table1[[#This Row],[Profit]]/Table1[[#This Row],[Sales]])*100</f>
        <v>32.5</v>
      </c>
    </row>
    <row r="2269" spans="1:12" x14ac:dyDescent="0.3">
      <c r="A2269" t="s">
        <v>6148</v>
      </c>
      <c r="B2269" s="1">
        <v>44174</v>
      </c>
      <c r="C2269" t="s">
        <v>950</v>
      </c>
      <c r="D2269" t="s">
        <v>951</v>
      </c>
      <c r="E2269" t="s">
        <v>14</v>
      </c>
      <c r="F2269" t="s">
        <v>29</v>
      </c>
      <c r="G2269" t="s">
        <v>24</v>
      </c>
      <c r="H2269" t="s">
        <v>4226</v>
      </c>
      <c r="I2269" s="2">
        <v>1021.4</v>
      </c>
      <c r="J2269">
        <v>5</v>
      </c>
      <c r="K2269" s="2">
        <v>5.0960000000000001</v>
      </c>
      <c r="L2269" s="3">
        <f>(Table1[[#This Row],[Profit]]/Table1[[#This Row],[Sales]])*100</f>
        <v>0.49892304679851185</v>
      </c>
    </row>
    <row r="2270" spans="1:12" x14ac:dyDescent="0.3">
      <c r="A2270" t="s">
        <v>3483</v>
      </c>
      <c r="B2270" s="1">
        <v>43789</v>
      </c>
      <c r="C2270" t="s">
        <v>3484</v>
      </c>
      <c r="D2270" t="s">
        <v>3485</v>
      </c>
      <c r="E2270" t="s">
        <v>14</v>
      </c>
      <c r="F2270" t="s">
        <v>15</v>
      </c>
      <c r="G2270" t="s">
        <v>24</v>
      </c>
      <c r="H2270" t="s">
        <v>3486</v>
      </c>
      <c r="I2270" s="2">
        <v>15.696</v>
      </c>
      <c r="J2270">
        <v>3</v>
      </c>
      <c r="K2270" s="2">
        <v>5.1012000000000004</v>
      </c>
      <c r="L2270" s="3">
        <f>(Table1[[#This Row],[Profit]]/Table1[[#This Row],[Sales]])*100</f>
        <v>32.5</v>
      </c>
    </row>
    <row r="2271" spans="1:12" x14ac:dyDescent="0.3">
      <c r="A2271" t="s">
        <v>577</v>
      </c>
      <c r="B2271" s="1">
        <v>43534</v>
      </c>
      <c r="C2271" t="s">
        <v>578</v>
      </c>
      <c r="D2271" t="s">
        <v>579</v>
      </c>
      <c r="E2271" t="s">
        <v>14</v>
      </c>
      <c r="F2271" t="s">
        <v>23</v>
      </c>
      <c r="G2271" t="s">
        <v>18</v>
      </c>
      <c r="H2271" t="s">
        <v>580</v>
      </c>
      <c r="I2271" s="2">
        <v>26.85</v>
      </c>
      <c r="J2271">
        <v>3</v>
      </c>
      <c r="K2271" s="2">
        <v>5.1014999999999997</v>
      </c>
      <c r="L2271" s="3">
        <f>(Table1[[#This Row],[Profit]]/Table1[[#This Row],[Sales]])*100</f>
        <v>18.999999999999996</v>
      </c>
    </row>
    <row r="2272" spans="1:12" x14ac:dyDescent="0.3">
      <c r="A2272" t="s">
        <v>1644</v>
      </c>
      <c r="B2272" s="1">
        <v>43622</v>
      </c>
      <c r="C2272" t="s">
        <v>602</v>
      </c>
      <c r="D2272" t="s">
        <v>603</v>
      </c>
      <c r="E2272" t="s">
        <v>14</v>
      </c>
      <c r="F2272" t="s">
        <v>41</v>
      </c>
      <c r="G2272" t="s">
        <v>18</v>
      </c>
      <c r="H2272" t="s">
        <v>580</v>
      </c>
      <c r="I2272" s="2">
        <v>26.85</v>
      </c>
      <c r="J2272">
        <v>3</v>
      </c>
      <c r="K2272" s="2">
        <v>5.1014999999999997</v>
      </c>
      <c r="L2272" s="3">
        <f>(Table1[[#This Row],[Profit]]/Table1[[#This Row],[Sales]])*100</f>
        <v>18.999999999999996</v>
      </c>
    </row>
    <row r="2273" spans="1:12" x14ac:dyDescent="0.3">
      <c r="A2273" t="s">
        <v>2348</v>
      </c>
      <c r="B2273" s="1">
        <v>43693</v>
      </c>
      <c r="C2273" t="s">
        <v>1038</v>
      </c>
      <c r="D2273" t="s">
        <v>1039</v>
      </c>
      <c r="E2273" t="s">
        <v>14</v>
      </c>
      <c r="F2273" t="s">
        <v>23</v>
      </c>
      <c r="G2273" t="s">
        <v>24</v>
      </c>
      <c r="H2273" t="s">
        <v>2349</v>
      </c>
      <c r="I2273" s="2">
        <v>10.86</v>
      </c>
      <c r="J2273">
        <v>3</v>
      </c>
      <c r="K2273" s="2">
        <v>5.1041999999999996</v>
      </c>
      <c r="L2273" s="3">
        <f>(Table1[[#This Row],[Profit]]/Table1[[#This Row],[Sales]])*100</f>
        <v>47</v>
      </c>
    </row>
    <row r="2274" spans="1:12" x14ac:dyDescent="0.3">
      <c r="A2274" t="s">
        <v>5436</v>
      </c>
      <c r="B2274" s="1">
        <v>44092</v>
      </c>
      <c r="C2274" t="s">
        <v>1456</v>
      </c>
      <c r="D2274" t="s">
        <v>1457</v>
      </c>
      <c r="E2274" t="s">
        <v>14</v>
      </c>
      <c r="F2274" t="s">
        <v>23</v>
      </c>
      <c r="G2274" t="s">
        <v>24</v>
      </c>
      <c r="H2274" t="s">
        <v>2349</v>
      </c>
      <c r="I2274" s="2">
        <v>119.86</v>
      </c>
      <c r="J2274">
        <v>3</v>
      </c>
      <c r="K2274" s="2">
        <v>5.1041999999999996</v>
      </c>
      <c r="L2274" s="3">
        <f>(Table1[[#This Row],[Profit]]/Table1[[#This Row],[Sales]])*100</f>
        <v>4.2584682129150675</v>
      </c>
    </row>
    <row r="2275" spans="1:12" x14ac:dyDescent="0.3">
      <c r="A2275" t="s">
        <v>6158</v>
      </c>
      <c r="B2275" s="1">
        <v>44175</v>
      </c>
      <c r="C2275" t="s">
        <v>475</v>
      </c>
      <c r="D2275" t="s">
        <v>476</v>
      </c>
      <c r="E2275" t="s">
        <v>14</v>
      </c>
      <c r="F2275" t="s">
        <v>15</v>
      </c>
      <c r="G2275" t="s">
        <v>24</v>
      </c>
      <c r="H2275" t="s">
        <v>2349</v>
      </c>
      <c r="I2275" s="2">
        <v>403.86</v>
      </c>
      <c r="J2275">
        <v>3</v>
      </c>
      <c r="K2275" s="2">
        <v>5.1041999999999996</v>
      </c>
      <c r="L2275" s="3">
        <f>(Table1[[#This Row],[Profit]]/Table1[[#This Row],[Sales]])*100</f>
        <v>1.2638538107264892</v>
      </c>
    </row>
    <row r="2276" spans="1:12" x14ac:dyDescent="0.3">
      <c r="A2276" t="s">
        <v>4302</v>
      </c>
      <c r="B2276" s="1">
        <v>43909</v>
      </c>
      <c r="C2276" t="s">
        <v>3869</v>
      </c>
      <c r="D2276" t="s">
        <v>3870</v>
      </c>
      <c r="E2276" t="s">
        <v>14</v>
      </c>
      <c r="F2276" t="s">
        <v>23</v>
      </c>
      <c r="G2276" t="s">
        <v>24</v>
      </c>
      <c r="H2276" t="s">
        <v>1824</v>
      </c>
      <c r="I2276" s="2">
        <v>128.624</v>
      </c>
      <c r="J2276">
        <v>2</v>
      </c>
      <c r="K2276" s="2">
        <v>5.1184000000000003</v>
      </c>
      <c r="L2276" s="3">
        <f>(Table1[[#This Row],[Profit]]/Table1[[#This Row],[Sales]])*100</f>
        <v>3.9793506655056605</v>
      </c>
    </row>
    <row r="2277" spans="1:12" x14ac:dyDescent="0.3">
      <c r="A2277" t="s">
        <v>6085</v>
      </c>
      <c r="B2277" s="1">
        <v>44168</v>
      </c>
      <c r="C2277" t="s">
        <v>4944</v>
      </c>
      <c r="D2277" t="s">
        <v>4945</v>
      </c>
      <c r="E2277" t="s">
        <v>14</v>
      </c>
      <c r="F2277" t="s">
        <v>15</v>
      </c>
      <c r="G2277" t="s">
        <v>24</v>
      </c>
      <c r="H2277" t="s">
        <v>1824</v>
      </c>
      <c r="I2277" s="2">
        <v>110.624</v>
      </c>
      <c r="J2277">
        <v>2</v>
      </c>
      <c r="K2277" s="2">
        <v>5.1184000000000003</v>
      </c>
      <c r="L2277" s="3">
        <f>(Table1[[#This Row],[Profit]]/Table1[[#This Row],[Sales]])*100</f>
        <v>4.6268440844663008</v>
      </c>
    </row>
    <row r="2278" spans="1:12" x14ac:dyDescent="0.3">
      <c r="A2278" t="s">
        <v>2920</v>
      </c>
      <c r="B2278" s="1">
        <v>43733</v>
      </c>
      <c r="C2278" t="s">
        <v>431</v>
      </c>
      <c r="D2278" t="s">
        <v>432</v>
      </c>
      <c r="E2278" t="s">
        <v>14</v>
      </c>
      <c r="F2278" t="s">
        <v>23</v>
      </c>
      <c r="G2278" t="s">
        <v>24</v>
      </c>
      <c r="H2278" t="s">
        <v>2921</v>
      </c>
      <c r="I2278" s="2">
        <v>10.9</v>
      </c>
      <c r="J2278">
        <v>5</v>
      </c>
      <c r="K2278" s="2">
        <v>5.1230000000000002</v>
      </c>
      <c r="L2278" s="3">
        <f>(Table1[[#This Row],[Profit]]/Table1[[#This Row],[Sales]])*100</f>
        <v>47</v>
      </c>
    </row>
    <row r="2279" spans="1:12" x14ac:dyDescent="0.3">
      <c r="A2279" t="s">
        <v>1969</v>
      </c>
      <c r="B2279" s="1">
        <v>43653</v>
      </c>
      <c r="C2279" t="s">
        <v>1970</v>
      </c>
      <c r="D2279" t="s">
        <v>1971</v>
      </c>
      <c r="E2279" t="s">
        <v>14</v>
      </c>
      <c r="F2279" t="s">
        <v>41</v>
      </c>
      <c r="G2279" t="s">
        <v>24</v>
      </c>
      <c r="H2279" t="s">
        <v>1972</v>
      </c>
      <c r="I2279" s="2">
        <v>45.584000000000003</v>
      </c>
      <c r="J2279">
        <v>7</v>
      </c>
      <c r="K2279" s="2">
        <v>5.1281999999999996</v>
      </c>
      <c r="L2279" s="3">
        <f>(Table1[[#This Row],[Profit]]/Table1[[#This Row],[Sales]])*100</f>
        <v>11.249999999999998</v>
      </c>
    </row>
    <row r="2280" spans="1:12" x14ac:dyDescent="0.3">
      <c r="A2280" t="s">
        <v>1615</v>
      </c>
      <c r="B2280" s="1">
        <v>43620</v>
      </c>
      <c r="C2280" t="s">
        <v>1616</v>
      </c>
      <c r="D2280" t="s">
        <v>1617</v>
      </c>
      <c r="E2280" t="s">
        <v>14</v>
      </c>
      <c r="F2280" t="s">
        <v>15</v>
      </c>
      <c r="G2280" t="s">
        <v>16</v>
      </c>
      <c r="H2280" t="s">
        <v>1619</v>
      </c>
      <c r="I2280" s="2">
        <v>136.78399999999999</v>
      </c>
      <c r="J2280">
        <v>1</v>
      </c>
      <c r="K2280" s="2">
        <v>5.1294000000000004</v>
      </c>
      <c r="L2280" s="3">
        <f>(Table1[[#This Row],[Profit]]/Table1[[#This Row],[Sales]])*100</f>
        <v>3.7500000000000004</v>
      </c>
    </row>
    <row r="2281" spans="1:12" x14ac:dyDescent="0.3">
      <c r="A2281" t="s">
        <v>4928</v>
      </c>
      <c r="B2281" s="1">
        <v>44012</v>
      </c>
      <c r="C2281" t="s">
        <v>2341</v>
      </c>
      <c r="D2281" t="s">
        <v>2342</v>
      </c>
      <c r="E2281" t="s">
        <v>14</v>
      </c>
      <c r="F2281" t="s">
        <v>23</v>
      </c>
      <c r="G2281" t="s">
        <v>16</v>
      </c>
      <c r="H2281" t="s">
        <v>3366</v>
      </c>
      <c r="I2281" s="2">
        <v>484.99900000000002</v>
      </c>
      <c r="J2281">
        <v>3</v>
      </c>
      <c r="K2281" s="2">
        <v>5.1294000000000004</v>
      </c>
      <c r="L2281" s="3">
        <f>(Table1[[#This Row],[Profit]]/Table1[[#This Row],[Sales]])*100</f>
        <v>1.0576104280627383</v>
      </c>
    </row>
    <row r="2282" spans="1:12" x14ac:dyDescent="0.3">
      <c r="A2282" t="s">
        <v>2031</v>
      </c>
      <c r="B2282" s="1">
        <v>43660</v>
      </c>
      <c r="C2282" t="s">
        <v>754</v>
      </c>
      <c r="D2282" t="s">
        <v>755</v>
      </c>
      <c r="E2282" t="s">
        <v>14</v>
      </c>
      <c r="F2282" t="s">
        <v>15</v>
      </c>
      <c r="G2282" t="s">
        <v>24</v>
      </c>
      <c r="H2282" t="s">
        <v>2032</v>
      </c>
      <c r="I2282" s="2">
        <v>14.16</v>
      </c>
      <c r="J2282">
        <v>2</v>
      </c>
      <c r="K2282" s="2">
        <v>5.133</v>
      </c>
      <c r="L2282" s="3">
        <f>(Table1[[#This Row],[Profit]]/Table1[[#This Row],[Sales]])*100</f>
        <v>36.25</v>
      </c>
    </row>
    <row r="2283" spans="1:12" x14ac:dyDescent="0.3">
      <c r="A2283" t="s">
        <v>5675</v>
      </c>
      <c r="B2283" s="1">
        <v>44125</v>
      </c>
      <c r="C2283" t="s">
        <v>5676</v>
      </c>
      <c r="D2283" t="s">
        <v>5677</v>
      </c>
      <c r="E2283" t="s">
        <v>14</v>
      </c>
      <c r="F2283" t="s">
        <v>41</v>
      </c>
      <c r="G2283" t="s">
        <v>16</v>
      </c>
      <c r="H2283" t="s">
        <v>2195</v>
      </c>
      <c r="I2283" s="2">
        <v>167.696</v>
      </c>
      <c r="J2283">
        <v>3</v>
      </c>
      <c r="K2283" s="2">
        <v>5.1407999999999996</v>
      </c>
      <c r="L2283" s="3">
        <f>(Table1[[#This Row],[Profit]]/Table1[[#This Row],[Sales]])*100</f>
        <v>3.0655471806125369</v>
      </c>
    </row>
    <row r="2284" spans="1:12" x14ac:dyDescent="0.3">
      <c r="A2284" t="s">
        <v>6198</v>
      </c>
      <c r="B2284" s="1">
        <v>44182</v>
      </c>
      <c r="C2284" t="s">
        <v>914</v>
      </c>
      <c r="D2284" t="s">
        <v>915</v>
      </c>
      <c r="E2284" t="s">
        <v>14</v>
      </c>
      <c r="F2284" t="s">
        <v>23</v>
      </c>
      <c r="G2284" t="s">
        <v>24</v>
      </c>
      <c r="H2284" t="s">
        <v>3523</v>
      </c>
      <c r="I2284" s="2">
        <v>335.24</v>
      </c>
      <c r="J2284">
        <v>5</v>
      </c>
      <c r="K2284" s="2">
        <v>5.1435000000000004</v>
      </c>
      <c r="L2284" s="3">
        <f>(Table1[[#This Row],[Profit]]/Table1[[#This Row],[Sales]])*100</f>
        <v>1.5342739529889036</v>
      </c>
    </row>
    <row r="2285" spans="1:12" x14ac:dyDescent="0.3">
      <c r="A2285" t="s">
        <v>5570</v>
      </c>
      <c r="B2285" s="1">
        <v>44109</v>
      </c>
      <c r="C2285" t="s">
        <v>2363</v>
      </c>
      <c r="D2285" t="s">
        <v>2364</v>
      </c>
      <c r="E2285" t="s">
        <v>14</v>
      </c>
      <c r="F2285" t="s">
        <v>23</v>
      </c>
      <c r="G2285" t="s">
        <v>16</v>
      </c>
      <c r="H2285" t="s">
        <v>973</v>
      </c>
      <c r="I2285" s="2">
        <v>236.352</v>
      </c>
      <c r="J2285">
        <v>3</v>
      </c>
      <c r="K2285" s="2">
        <v>5.1588000000000003</v>
      </c>
      <c r="L2285" s="3">
        <f>(Table1[[#This Row],[Profit]]/Table1[[#This Row],[Sales]])*100</f>
        <v>2.1826766856214461</v>
      </c>
    </row>
    <row r="2286" spans="1:12" x14ac:dyDescent="0.3">
      <c r="A2286" t="s">
        <v>5183</v>
      </c>
      <c r="B2286" s="1">
        <v>44063</v>
      </c>
      <c r="C2286" t="s">
        <v>2941</v>
      </c>
      <c r="D2286" t="s">
        <v>2942</v>
      </c>
      <c r="E2286" t="s">
        <v>14</v>
      </c>
      <c r="F2286" t="s">
        <v>23</v>
      </c>
      <c r="G2286" t="s">
        <v>24</v>
      </c>
      <c r="H2286" t="s">
        <v>5030</v>
      </c>
      <c r="I2286" s="2">
        <v>108.22</v>
      </c>
      <c r="J2286">
        <v>3</v>
      </c>
      <c r="K2286" s="2">
        <v>5.1660000000000004</v>
      </c>
      <c r="L2286" s="3">
        <f>(Table1[[#This Row],[Profit]]/Table1[[#This Row],[Sales]])*100</f>
        <v>4.7736093143596383</v>
      </c>
    </row>
    <row r="2287" spans="1:12" x14ac:dyDescent="0.3">
      <c r="A2287" t="s">
        <v>48</v>
      </c>
      <c r="B2287" s="1">
        <v>43470</v>
      </c>
      <c r="C2287" t="s">
        <v>49</v>
      </c>
      <c r="D2287" t="s">
        <v>50</v>
      </c>
      <c r="E2287" t="s">
        <v>14</v>
      </c>
      <c r="F2287" t="s">
        <v>41</v>
      </c>
      <c r="G2287" t="s">
        <v>18</v>
      </c>
      <c r="H2287" t="s">
        <v>53</v>
      </c>
      <c r="I2287" s="2">
        <v>59.183999999999997</v>
      </c>
      <c r="J2287">
        <v>2</v>
      </c>
      <c r="K2287" s="2">
        <v>5.1786000000000003</v>
      </c>
      <c r="L2287" s="3">
        <f>(Table1[[#This Row],[Profit]]/Table1[[#This Row],[Sales]])*100</f>
        <v>8.75</v>
      </c>
    </row>
    <row r="2288" spans="1:12" x14ac:dyDescent="0.3">
      <c r="A2288" t="s">
        <v>2903</v>
      </c>
      <c r="B2288" s="1">
        <v>43733</v>
      </c>
      <c r="C2288" t="s">
        <v>2904</v>
      </c>
      <c r="D2288" t="s">
        <v>2905</v>
      </c>
      <c r="E2288" t="s">
        <v>14</v>
      </c>
      <c r="F2288" t="s">
        <v>29</v>
      </c>
      <c r="G2288" t="s">
        <v>24</v>
      </c>
      <c r="H2288" t="s">
        <v>1193</v>
      </c>
      <c r="I2288" s="2">
        <v>15.936</v>
      </c>
      <c r="J2288">
        <v>4</v>
      </c>
      <c r="K2288" s="2">
        <v>5.1791999999999998</v>
      </c>
      <c r="L2288" s="3">
        <f>(Table1[[#This Row],[Profit]]/Table1[[#This Row],[Sales]])*100</f>
        <v>32.5</v>
      </c>
    </row>
    <row r="2289" spans="1:12" x14ac:dyDescent="0.3">
      <c r="A2289" t="s">
        <v>2958</v>
      </c>
      <c r="B2289" s="1">
        <v>43737</v>
      </c>
      <c r="C2289" t="s">
        <v>2088</v>
      </c>
      <c r="D2289" t="s">
        <v>2089</v>
      </c>
      <c r="E2289" t="s">
        <v>14</v>
      </c>
      <c r="F2289" t="s">
        <v>15</v>
      </c>
      <c r="G2289" t="s">
        <v>24</v>
      </c>
      <c r="H2289" t="s">
        <v>2959</v>
      </c>
      <c r="I2289" s="2">
        <v>15.936</v>
      </c>
      <c r="J2289">
        <v>4</v>
      </c>
      <c r="K2289" s="2">
        <v>5.1791999999999998</v>
      </c>
      <c r="L2289" s="3">
        <f>(Table1[[#This Row],[Profit]]/Table1[[#This Row],[Sales]])*100</f>
        <v>32.5</v>
      </c>
    </row>
    <row r="2290" spans="1:12" x14ac:dyDescent="0.3">
      <c r="A2290" t="s">
        <v>3844</v>
      </c>
      <c r="B2290" s="1">
        <v>43817</v>
      </c>
      <c r="C2290" t="s">
        <v>1926</v>
      </c>
      <c r="D2290" t="s">
        <v>1927</v>
      </c>
      <c r="E2290" t="s">
        <v>14</v>
      </c>
      <c r="F2290" t="s">
        <v>23</v>
      </c>
      <c r="G2290" t="s">
        <v>24</v>
      </c>
      <c r="H2290" t="s">
        <v>1629</v>
      </c>
      <c r="I2290" s="2">
        <v>15.936</v>
      </c>
      <c r="J2290">
        <v>4</v>
      </c>
      <c r="K2290" s="2">
        <v>5.1791999999999998</v>
      </c>
      <c r="L2290" s="3">
        <f>(Table1[[#This Row],[Profit]]/Table1[[#This Row],[Sales]])*100</f>
        <v>32.5</v>
      </c>
    </row>
    <row r="2291" spans="1:12" x14ac:dyDescent="0.3">
      <c r="A2291" t="s">
        <v>6060</v>
      </c>
      <c r="B2291" s="1">
        <v>44166</v>
      </c>
      <c r="C2291" t="s">
        <v>3893</v>
      </c>
      <c r="D2291" t="s">
        <v>3894</v>
      </c>
      <c r="E2291" t="s">
        <v>14</v>
      </c>
      <c r="F2291" t="s">
        <v>15</v>
      </c>
      <c r="G2291" t="s">
        <v>24</v>
      </c>
      <c r="H2291" t="s">
        <v>2959</v>
      </c>
      <c r="I2291" s="2">
        <v>145.93600000000001</v>
      </c>
      <c r="J2291">
        <v>4</v>
      </c>
      <c r="K2291" s="2">
        <v>5.1791999999999998</v>
      </c>
      <c r="L2291" s="3">
        <f>(Table1[[#This Row],[Profit]]/Table1[[#This Row],[Sales]])*100</f>
        <v>3.5489529656835868</v>
      </c>
    </row>
    <row r="2292" spans="1:12" x14ac:dyDescent="0.3">
      <c r="A2292" t="s">
        <v>6194</v>
      </c>
      <c r="B2292" s="1">
        <v>44181</v>
      </c>
      <c r="C2292" t="s">
        <v>3920</v>
      </c>
      <c r="D2292" t="s">
        <v>3921</v>
      </c>
      <c r="E2292" t="s">
        <v>14</v>
      </c>
      <c r="F2292" t="s">
        <v>29</v>
      </c>
      <c r="G2292" t="s">
        <v>24</v>
      </c>
      <c r="H2292" t="s">
        <v>521</v>
      </c>
      <c r="I2292" s="2">
        <v>530.79999999999995</v>
      </c>
      <c r="J2292">
        <v>5</v>
      </c>
      <c r="K2292" s="2">
        <v>5.1840000000000002</v>
      </c>
      <c r="L2292" s="3">
        <f>(Table1[[#This Row],[Profit]]/Table1[[#This Row],[Sales]])*100</f>
        <v>0.97663903541823671</v>
      </c>
    </row>
    <row r="2293" spans="1:12" x14ac:dyDescent="0.3">
      <c r="A2293" t="s">
        <v>3652</v>
      </c>
      <c r="B2293" s="1">
        <v>43800</v>
      </c>
      <c r="C2293" t="s">
        <v>501</v>
      </c>
      <c r="D2293" t="s">
        <v>502</v>
      </c>
      <c r="E2293" t="s">
        <v>14</v>
      </c>
      <c r="F2293" t="s">
        <v>29</v>
      </c>
      <c r="G2293" t="s">
        <v>16</v>
      </c>
      <c r="H2293" t="s">
        <v>3157</v>
      </c>
      <c r="I2293" s="2">
        <v>17.309999999999999</v>
      </c>
      <c r="J2293">
        <v>3</v>
      </c>
      <c r="K2293" s="2">
        <v>5.1929999999999996</v>
      </c>
      <c r="L2293" s="3">
        <f>(Table1[[#This Row],[Profit]]/Table1[[#This Row],[Sales]])*100</f>
        <v>30</v>
      </c>
    </row>
    <row r="2294" spans="1:12" x14ac:dyDescent="0.3">
      <c r="A2294" t="s">
        <v>5913</v>
      </c>
      <c r="B2294" s="1">
        <v>44151</v>
      </c>
      <c r="C2294" t="s">
        <v>589</v>
      </c>
      <c r="D2294" t="s">
        <v>590</v>
      </c>
      <c r="E2294" t="s">
        <v>14</v>
      </c>
      <c r="F2294" t="s">
        <v>23</v>
      </c>
      <c r="G2294" t="s">
        <v>16</v>
      </c>
      <c r="H2294" t="s">
        <v>3157</v>
      </c>
      <c r="I2294" s="2">
        <v>100.31</v>
      </c>
      <c r="J2294">
        <v>3</v>
      </c>
      <c r="K2294" s="2">
        <v>5.1929999999999996</v>
      </c>
      <c r="L2294" s="3">
        <f>(Table1[[#This Row],[Profit]]/Table1[[#This Row],[Sales]])*100</f>
        <v>5.1769514505034389</v>
      </c>
    </row>
    <row r="2295" spans="1:12" x14ac:dyDescent="0.3">
      <c r="A2295" t="s">
        <v>2729</v>
      </c>
      <c r="B2295" s="1">
        <v>43720</v>
      </c>
      <c r="C2295" t="s">
        <v>1713</v>
      </c>
      <c r="D2295" t="s">
        <v>1714</v>
      </c>
      <c r="E2295" t="s">
        <v>14</v>
      </c>
      <c r="F2295" t="s">
        <v>23</v>
      </c>
      <c r="G2295" t="s">
        <v>16</v>
      </c>
      <c r="H2295" t="s">
        <v>1177</v>
      </c>
      <c r="I2295" s="2">
        <v>83.135999999999996</v>
      </c>
      <c r="J2295">
        <v>4</v>
      </c>
      <c r="K2295" s="2">
        <v>5.1959999999999997</v>
      </c>
      <c r="L2295" s="3">
        <f>(Table1[[#This Row],[Profit]]/Table1[[#This Row],[Sales]])*100</f>
        <v>6.25</v>
      </c>
    </row>
    <row r="2296" spans="1:12" x14ac:dyDescent="0.3">
      <c r="A2296" t="s">
        <v>2582</v>
      </c>
      <c r="B2296" s="1">
        <v>43712</v>
      </c>
      <c r="C2296" t="s">
        <v>1962</v>
      </c>
      <c r="D2296" t="s">
        <v>1963</v>
      </c>
      <c r="E2296" t="s">
        <v>14</v>
      </c>
      <c r="F2296" t="s">
        <v>41</v>
      </c>
      <c r="G2296" t="s">
        <v>24</v>
      </c>
      <c r="H2296" t="s">
        <v>917</v>
      </c>
      <c r="I2296" s="2">
        <v>129.91999999999999</v>
      </c>
      <c r="J2296">
        <v>4</v>
      </c>
      <c r="K2296" s="2">
        <v>5.1967999999999996</v>
      </c>
      <c r="L2296" s="3">
        <f>(Table1[[#This Row],[Profit]]/Table1[[#This Row],[Sales]])*100</f>
        <v>4</v>
      </c>
    </row>
    <row r="2297" spans="1:12" x14ac:dyDescent="0.3">
      <c r="A2297" t="s">
        <v>1238</v>
      </c>
      <c r="B2297" s="1">
        <v>43590</v>
      </c>
      <c r="C2297" t="s">
        <v>1239</v>
      </c>
      <c r="D2297" t="s">
        <v>1240</v>
      </c>
      <c r="E2297" t="s">
        <v>14</v>
      </c>
      <c r="F2297" t="s">
        <v>41</v>
      </c>
      <c r="G2297" t="s">
        <v>24</v>
      </c>
      <c r="H2297" t="s">
        <v>1241</v>
      </c>
      <c r="I2297" s="2">
        <v>14.352</v>
      </c>
      <c r="J2297">
        <v>3</v>
      </c>
      <c r="K2297" s="2">
        <v>5.2026000000000003</v>
      </c>
      <c r="L2297" s="3">
        <f>(Table1[[#This Row],[Profit]]/Table1[[#This Row],[Sales]])*100</f>
        <v>36.25</v>
      </c>
    </row>
    <row r="2298" spans="1:12" x14ac:dyDescent="0.3">
      <c r="A2298" t="s">
        <v>1495</v>
      </c>
      <c r="B2298" s="1">
        <v>43611</v>
      </c>
      <c r="C2298" t="s">
        <v>1496</v>
      </c>
      <c r="D2298" t="s">
        <v>1497</v>
      </c>
      <c r="E2298" t="s">
        <v>14</v>
      </c>
      <c r="F2298" t="s">
        <v>29</v>
      </c>
      <c r="G2298" t="s">
        <v>24</v>
      </c>
      <c r="H2298" t="s">
        <v>1414</v>
      </c>
      <c r="I2298" s="2">
        <v>14.352</v>
      </c>
      <c r="J2298">
        <v>3</v>
      </c>
      <c r="K2298" s="2">
        <v>5.2026000000000003</v>
      </c>
      <c r="L2298" s="3">
        <f>(Table1[[#This Row],[Profit]]/Table1[[#This Row],[Sales]])*100</f>
        <v>36.25</v>
      </c>
    </row>
    <row r="2299" spans="1:12" x14ac:dyDescent="0.3">
      <c r="A2299" t="s">
        <v>5488</v>
      </c>
      <c r="B2299" s="1">
        <v>44097</v>
      </c>
      <c r="C2299" t="s">
        <v>2140</v>
      </c>
      <c r="D2299" t="s">
        <v>2141</v>
      </c>
      <c r="E2299" t="s">
        <v>14</v>
      </c>
      <c r="F2299" t="s">
        <v>23</v>
      </c>
      <c r="G2299" t="s">
        <v>24</v>
      </c>
      <c r="H2299" t="s">
        <v>5489</v>
      </c>
      <c r="I2299" s="2">
        <v>130.352</v>
      </c>
      <c r="J2299">
        <v>3</v>
      </c>
      <c r="K2299" s="2">
        <v>5.2026000000000003</v>
      </c>
      <c r="L2299" s="3">
        <f>(Table1[[#This Row],[Profit]]/Table1[[#This Row],[Sales]])*100</f>
        <v>3.9911930772063333</v>
      </c>
    </row>
    <row r="2300" spans="1:12" x14ac:dyDescent="0.3">
      <c r="A2300" t="s">
        <v>5517</v>
      </c>
      <c r="B2300" s="1">
        <v>44102</v>
      </c>
      <c r="C2300" t="s">
        <v>4044</v>
      </c>
      <c r="D2300" t="s">
        <v>4045</v>
      </c>
      <c r="E2300" t="s">
        <v>14</v>
      </c>
      <c r="F2300" t="s">
        <v>23</v>
      </c>
      <c r="G2300" t="s">
        <v>24</v>
      </c>
      <c r="H2300" t="s">
        <v>4834</v>
      </c>
      <c r="I2300" s="2">
        <v>93.352000000000004</v>
      </c>
      <c r="J2300">
        <v>3</v>
      </c>
      <c r="K2300" s="2">
        <v>5.2026000000000003</v>
      </c>
      <c r="L2300" s="3">
        <f>(Table1[[#This Row],[Profit]]/Table1[[#This Row],[Sales]])*100</f>
        <v>5.5730996657811298</v>
      </c>
    </row>
    <row r="2301" spans="1:12" x14ac:dyDescent="0.3">
      <c r="A2301" t="s">
        <v>2725</v>
      </c>
      <c r="B2301" s="1">
        <v>43720</v>
      </c>
      <c r="C2301" t="s">
        <v>895</v>
      </c>
      <c r="D2301" t="s">
        <v>896</v>
      </c>
      <c r="E2301" t="s">
        <v>14</v>
      </c>
      <c r="F2301" t="s">
        <v>23</v>
      </c>
      <c r="G2301" t="s">
        <v>24</v>
      </c>
      <c r="H2301" t="s">
        <v>1684</v>
      </c>
      <c r="I2301" s="2">
        <v>11.07</v>
      </c>
      <c r="J2301">
        <v>3</v>
      </c>
      <c r="K2301" s="2">
        <v>5.2028999999999996</v>
      </c>
      <c r="L2301" s="3">
        <f>(Table1[[#This Row],[Profit]]/Table1[[#This Row],[Sales]])*100</f>
        <v>47</v>
      </c>
    </row>
    <row r="2302" spans="1:12" x14ac:dyDescent="0.3">
      <c r="A2302" t="s">
        <v>5618</v>
      </c>
      <c r="B2302" s="1">
        <v>44117</v>
      </c>
      <c r="C2302" t="s">
        <v>4180</v>
      </c>
      <c r="D2302" t="s">
        <v>4181</v>
      </c>
      <c r="E2302" t="s">
        <v>14</v>
      </c>
      <c r="F2302" t="s">
        <v>41</v>
      </c>
      <c r="G2302" t="s">
        <v>24</v>
      </c>
      <c r="H2302" t="s">
        <v>1831</v>
      </c>
      <c r="I2302" s="2">
        <v>121.07</v>
      </c>
      <c r="J2302">
        <v>3</v>
      </c>
      <c r="K2302" s="2">
        <v>5.2028999999999996</v>
      </c>
      <c r="L2302" s="3">
        <f>(Table1[[#This Row],[Profit]]/Table1[[#This Row],[Sales]])*100</f>
        <v>4.2974312381267037</v>
      </c>
    </row>
    <row r="2303" spans="1:12" x14ac:dyDescent="0.3">
      <c r="A2303" t="s">
        <v>6119</v>
      </c>
      <c r="B2303" s="1">
        <v>44170</v>
      </c>
      <c r="C2303" t="s">
        <v>5376</v>
      </c>
      <c r="D2303" t="s">
        <v>5377</v>
      </c>
      <c r="E2303" t="s">
        <v>14</v>
      </c>
      <c r="F2303" t="s">
        <v>15</v>
      </c>
      <c r="G2303" t="s">
        <v>24</v>
      </c>
      <c r="H2303" t="s">
        <v>1831</v>
      </c>
      <c r="I2303" s="2">
        <v>108.07</v>
      </c>
      <c r="J2303">
        <v>3</v>
      </c>
      <c r="K2303" s="2">
        <v>5.2028999999999996</v>
      </c>
      <c r="L2303" s="3">
        <f>(Table1[[#This Row],[Profit]]/Table1[[#This Row],[Sales]])*100</f>
        <v>4.8143795687980013</v>
      </c>
    </row>
    <row r="2304" spans="1:12" x14ac:dyDescent="0.3">
      <c r="A2304" t="s">
        <v>4697</v>
      </c>
      <c r="B2304" s="1">
        <v>43972</v>
      </c>
      <c r="C2304" t="s">
        <v>1864</v>
      </c>
      <c r="D2304" t="s">
        <v>1865</v>
      </c>
      <c r="E2304" t="s">
        <v>14</v>
      </c>
      <c r="F2304" t="s">
        <v>15</v>
      </c>
      <c r="G2304" t="s">
        <v>24</v>
      </c>
      <c r="H2304" t="s">
        <v>4698</v>
      </c>
      <c r="I2304" s="2">
        <v>94.97</v>
      </c>
      <c r="J2304">
        <v>3</v>
      </c>
      <c r="K2304" s="2">
        <v>5.2112999999999996</v>
      </c>
      <c r="L2304" s="3">
        <f>(Table1[[#This Row],[Profit]]/Table1[[#This Row],[Sales]])*100</f>
        <v>5.4873117826682103</v>
      </c>
    </row>
    <row r="2305" spans="1:12" x14ac:dyDescent="0.3">
      <c r="A2305" t="s">
        <v>5659</v>
      </c>
      <c r="B2305" s="1">
        <v>44123</v>
      </c>
      <c r="C2305" t="s">
        <v>501</v>
      </c>
      <c r="D2305" t="s">
        <v>502</v>
      </c>
      <c r="E2305" t="s">
        <v>14</v>
      </c>
      <c r="F2305" t="s">
        <v>29</v>
      </c>
      <c r="G2305" t="s">
        <v>18</v>
      </c>
      <c r="H2305" t="s">
        <v>4659</v>
      </c>
      <c r="I2305" s="2">
        <v>138.68</v>
      </c>
      <c r="J2305">
        <v>3</v>
      </c>
      <c r="K2305" s="2">
        <v>5.2125000000000004</v>
      </c>
      <c r="L2305" s="3">
        <f>(Table1[[#This Row],[Profit]]/Table1[[#This Row],[Sales]])*100</f>
        <v>3.7586530141332561</v>
      </c>
    </row>
    <row r="2306" spans="1:12" x14ac:dyDescent="0.3">
      <c r="A2306" t="s">
        <v>5730</v>
      </c>
      <c r="B2306" s="1">
        <v>44134</v>
      </c>
      <c r="C2306" t="s">
        <v>4608</v>
      </c>
      <c r="D2306" t="s">
        <v>4609</v>
      </c>
      <c r="E2306" t="s">
        <v>14</v>
      </c>
      <c r="F2306" t="s">
        <v>23</v>
      </c>
      <c r="G2306" t="s">
        <v>24</v>
      </c>
      <c r="H2306" t="s">
        <v>3398</v>
      </c>
      <c r="I2306" s="2">
        <v>126.904</v>
      </c>
      <c r="J2306">
        <v>2</v>
      </c>
      <c r="K2306" s="2">
        <v>5.2140000000000004</v>
      </c>
      <c r="L2306" s="3">
        <f>(Table1[[#This Row],[Profit]]/Table1[[#This Row],[Sales]])*100</f>
        <v>4.1086175376662677</v>
      </c>
    </row>
    <row r="2307" spans="1:12" x14ac:dyDescent="0.3">
      <c r="A2307" t="s">
        <v>2726</v>
      </c>
      <c r="B2307" s="1">
        <v>43720</v>
      </c>
      <c r="C2307" t="s">
        <v>49</v>
      </c>
      <c r="D2307" t="s">
        <v>50</v>
      </c>
      <c r="E2307" t="s">
        <v>14</v>
      </c>
      <c r="F2307" t="s">
        <v>41</v>
      </c>
      <c r="G2307" t="s">
        <v>24</v>
      </c>
      <c r="H2307" t="s">
        <v>449</v>
      </c>
      <c r="I2307" s="2">
        <v>11.34</v>
      </c>
      <c r="J2307">
        <v>3</v>
      </c>
      <c r="K2307" s="2">
        <v>5.2164000000000001</v>
      </c>
      <c r="L2307" s="3">
        <f>(Table1[[#This Row],[Profit]]/Table1[[#This Row],[Sales]])*100</f>
        <v>46</v>
      </c>
    </row>
    <row r="2308" spans="1:12" x14ac:dyDescent="0.3">
      <c r="A2308" t="s">
        <v>3202</v>
      </c>
      <c r="B2308" s="1">
        <v>43766</v>
      </c>
      <c r="C2308" t="s">
        <v>3203</v>
      </c>
      <c r="D2308" t="s">
        <v>3204</v>
      </c>
      <c r="E2308" t="s">
        <v>14</v>
      </c>
      <c r="F2308" t="s">
        <v>15</v>
      </c>
      <c r="G2308" t="s">
        <v>24</v>
      </c>
      <c r="H2308" t="s">
        <v>2910</v>
      </c>
      <c r="I2308" s="2">
        <v>12.42</v>
      </c>
      <c r="J2308">
        <v>3</v>
      </c>
      <c r="K2308" s="2">
        <v>5.2164000000000001</v>
      </c>
      <c r="L2308" s="3">
        <f>(Table1[[#This Row],[Profit]]/Table1[[#This Row],[Sales]])*100</f>
        <v>42.000000000000007</v>
      </c>
    </row>
    <row r="2309" spans="1:12" x14ac:dyDescent="0.3">
      <c r="A2309" t="s">
        <v>5408</v>
      </c>
      <c r="B2309" s="1">
        <v>44089</v>
      </c>
      <c r="C2309" t="s">
        <v>1277</v>
      </c>
      <c r="D2309" t="s">
        <v>1278</v>
      </c>
      <c r="E2309" t="s">
        <v>14</v>
      </c>
      <c r="F2309" t="s">
        <v>23</v>
      </c>
      <c r="G2309" t="s">
        <v>24</v>
      </c>
      <c r="H2309" t="s">
        <v>2910</v>
      </c>
      <c r="I2309" s="2">
        <v>131.41999999999999</v>
      </c>
      <c r="J2309">
        <v>3</v>
      </c>
      <c r="K2309" s="2">
        <v>5.2164000000000001</v>
      </c>
      <c r="L2309" s="3">
        <f>(Table1[[#This Row],[Profit]]/Table1[[#This Row],[Sales]])*100</f>
        <v>3.9692588647085683</v>
      </c>
    </row>
    <row r="2310" spans="1:12" x14ac:dyDescent="0.3">
      <c r="A2310" t="s">
        <v>5148</v>
      </c>
      <c r="B2310" s="1">
        <v>44057</v>
      </c>
      <c r="C2310" t="s">
        <v>800</v>
      </c>
      <c r="D2310" t="s">
        <v>801</v>
      </c>
      <c r="E2310" t="s">
        <v>14</v>
      </c>
      <c r="F2310" t="s">
        <v>23</v>
      </c>
      <c r="G2310" t="s">
        <v>16</v>
      </c>
      <c r="H2310" t="s">
        <v>200</v>
      </c>
      <c r="I2310" s="2">
        <v>450.29599999999999</v>
      </c>
      <c r="J2310">
        <v>3</v>
      </c>
      <c r="K2310" s="2">
        <v>5.2286999999999999</v>
      </c>
      <c r="L2310" s="3">
        <f>(Table1[[#This Row],[Profit]]/Table1[[#This Row],[Sales]])*100</f>
        <v>1.1611695418124968</v>
      </c>
    </row>
    <row r="2311" spans="1:12" x14ac:dyDescent="0.3">
      <c r="A2311" t="s">
        <v>5028</v>
      </c>
      <c r="B2311" s="1">
        <v>44030</v>
      </c>
      <c r="C2311" t="s">
        <v>2973</v>
      </c>
      <c r="D2311" t="s">
        <v>2974</v>
      </c>
      <c r="E2311" t="s">
        <v>14</v>
      </c>
      <c r="F2311" t="s">
        <v>23</v>
      </c>
      <c r="G2311" t="s">
        <v>24</v>
      </c>
      <c r="H2311" t="s">
        <v>1603</v>
      </c>
      <c r="I2311" s="2">
        <v>117.096</v>
      </c>
      <c r="J2311">
        <v>2</v>
      </c>
      <c r="K2311" s="2">
        <v>5.2312000000000003</v>
      </c>
      <c r="L2311" s="3">
        <f>(Table1[[#This Row],[Profit]]/Table1[[#This Row],[Sales]])*100</f>
        <v>4.4674455147912822</v>
      </c>
    </row>
    <row r="2312" spans="1:12" x14ac:dyDescent="0.3">
      <c r="A2312" t="s">
        <v>2550</v>
      </c>
      <c r="B2312" s="1">
        <v>43710</v>
      </c>
      <c r="C2312" t="s">
        <v>21</v>
      </c>
      <c r="D2312" t="s">
        <v>22</v>
      </c>
      <c r="E2312" t="s">
        <v>14</v>
      </c>
      <c r="F2312" t="s">
        <v>23</v>
      </c>
      <c r="G2312" t="s">
        <v>24</v>
      </c>
      <c r="H2312" t="s">
        <v>2551</v>
      </c>
      <c r="I2312" s="2">
        <v>18.690000000000001</v>
      </c>
      <c r="J2312">
        <v>7</v>
      </c>
      <c r="K2312" s="2">
        <v>5.2332000000000001</v>
      </c>
      <c r="L2312" s="3">
        <f>(Table1[[#This Row],[Profit]]/Table1[[#This Row],[Sales]])*100</f>
        <v>27.999999999999996</v>
      </c>
    </row>
    <row r="2313" spans="1:12" x14ac:dyDescent="0.3">
      <c r="A2313" t="s">
        <v>3718</v>
      </c>
      <c r="B2313" s="1">
        <v>43805</v>
      </c>
      <c r="C2313" t="s">
        <v>1476</v>
      </c>
      <c r="D2313" t="s">
        <v>1477</v>
      </c>
      <c r="E2313" t="s">
        <v>14</v>
      </c>
      <c r="F2313" t="s">
        <v>23</v>
      </c>
      <c r="G2313" t="s">
        <v>24</v>
      </c>
      <c r="H2313" t="s">
        <v>2551</v>
      </c>
      <c r="I2313" s="2">
        <v>18.690000000000001</v>
      </c>
      <c r="J2313">
        <v>7</v>
      </c>
      <c r="K2313" s="2">
        <v>5.2332000000000001</v>
      </c>
      <c r="L2313" s="3">
        <f>(Table1[[#This Row],[Profit]]/Table1[[#This Row],[Sales]])*100</f>
        <v>27.999999999999996</v>
      </c>
    </row>
    <row r="2314" spans="1:12" x14ac:dyDescent="0.3">
      <c r="A2314" t="s">
        <v>4013</v>
      </c>
      <c r="B2314" s="1">
        <v>43844</v>
      </c>
      <c r="C2314" t="s">
        <v>4014</v>
      </c>
      <c r="D2314" t="s">
        <v>4015</v>
      </c>
      <c r="E2314" t="s">
        <v>14</v>
      </c>
      <c r="F2314" t="s">
        <v>29</v>
      </c>
      <c r="G2314" t="s">
        <v>24</v>
      </c>
      <c r="H2314" t="s">
        <v>1733</v>
      </c>
      <c r="I2314" s="2">
        <v>108.76</v>
      </c>
      <c r="J2314">
        <v>2</v>
      </c>
      <c r="K2314" s="2">
        <v>5.2527999999999997</v>
      </c>
      <c r="L2314" s="3">
        <f>(Table1[[#This Row],[Profit]]/Table1[[#This Row],[Sales]])*100</f>
        <v>4.8297168076498709</v>
      </c>
    </row>
    <row r="2315" spans="1:12" x14ac:dyDescent="0.3">
      <c r="A2315" t="s">
        <v>2470</v>
      </c>
      <c r="B2315" s="1">
        <v>43704</v>
      </c>
      <c r="C2315" t="s">
        <v>1769</v>
      </c>
      <c r="D2315" t="s">
        <v>1770</v>
      </c>
      <c r="E2315" t="s">
        <v>14</v>
      </c>
      <c r="F2315" t="s">
        <v>15</v>
      </c>
      <c r="G2315" t="s">
        <v>24</v>
      </c>
      <c r="H2315" t="s">
        <v>449</v>
      </c>
      <c r="I2315" s="2">
        <v>11.68</v>
      </c>
      <c r="J2315">
        <v>4</v>
      </c>
      <c r="K2315" s="2">
        <v>5.2560000000000002</v>
      </c>
      <c r="L2315" s="3">
        <f>(Table1[[#This Row],[Profit]]/Table1[[#This Row],[Sales]])*100</f>
        <v>45</v>
      </c>
    </row>
    <row r="2316" spans="1:12" x14ac:dyDescent="0.3">
      <c r="A2316" t="s">
        <v>4537</v>
      </c>
      <c r="B2316" s="1">
        <v>43946</v>
      </c>
      <c r="C2316" t="s">
        <v>2685</v>
      </c>
      <c r="D2316" t="s">
        <v>2686</v>
      </c>
      <c r="E2316" t="s">
        <v>14</v>
      </c>
      <c r="F2316" t="s">
        <v>41</v>
      </c>
      <c r="G2316" t="s">
        <v>24</v>
      </c>
      <c r="H2316" t="s">
        <v>46</v>
      </c>
      <c r="I2316" s="2">
        <v>116.048</v>
      </c>
      <c r="J2316">
        <v>9</v>
      </c>
      <c r="K2316" s="2">
        <v>5.2560000000000002</v>
      </c>
      <c r="L2316" s="3">
        <f>(Table1[[#This Row],[Profit]]/Table1[[#This Row],[Sales]])*100</f>
        <v>4.5291603474424376</v>
      </c>
    </row>
    <row r="2317" spans="1:12" x14ac:dyDescent="0.3">
      <c r="A2317" t="s">
        <v>5137</v>
      </c>
      <c r="B2317" s="1">
        <v>44055</v>
      </c>
      <c r="C2317" t="s">
        <v>3373</v>
      </c>
      <c r="D2317" t="s">
        <v>3374</v>
      </c>
      <c r="E2317" t="s">
        <v>14</v>
      </c>
      <c r="F2317" t="s">
        <v>15</v>
      </c>
      <c r="G2317" t="s">
        <v>24</v>
      </c>
      <c r="H2317" t="s">
        <v>46</v>
      </c>
      <c r="I2317" s="2">
        <v>123.52</v>
      </c>
      <c r="J2317">
        <v>3</v>
      </c>
      <c r="K2317" s="2">
        <v>5.2560000000000002</v>
      </c>
      <c r="L2317" s="3">
        <f>(Table1[[#This Row],[Profit]]/Table1[[#This Row],[Sales]])*100</f>
        <v>4.2551813471502591</v>
      </c>
    </row>
    <row r="2318" spans="1:12" x14ac:dyDescent="0.3">
      <c r="A2318" t="s">
        <v>5706</v>
      </c>
      <c r="B2318" s="1">
        <v>44128</v>
      </c>
      <c r="C2318" t="s">
        <v>815</v>
      </c>
      <c r="D2318" t="s">
        <v>816</v>
      </c>
      <c r="E2318" t="s">
        <v>14</v>
      </c>
      <c r="F2318" t="s">
        <v>41</v>
      </c>
      <c r="G2318" t="s">
        <v>24</v>
      </c>
      <c r="H2318" t="s">
        <v>449</v>
      </c>
      <c r="I2318" s="2">
        <v>137.68</v>
      </c>
      <c r="J2318">
        <v>4</v>
      </c>
      <c r="K2318" s="2">
        <v>5.2560000000000002</v>
      </c>
      <c r="L2318" s="3">
        <f>(Table1[[#This Row],[Profit]]/Table1[[#This Row],[Sales]])*100</f>
        <v>3.8175479372457874</v>
      </c>
    </row>
    <row r="2319" spans="1:12" x14ac:dyDescent="0.3">
      <c r="A2319" t="s">
        <v>3253</v>
      </c>
      <c r="B2319" s="1">
        <v>43773</v>
      </c>
      <c r="C2319" t="s">
        <v>114</v>
      </c>
      <c r="D2319" t="s">
        <v>115</v>
      </c>
      <c r="E2319" t="s">
        <v>14</v>
      </c>
      <c r="F2319" t="s">
        <v>41</v>
      </c>
      <c r="G2319" t="s">
        <v>24</v>
      </c>
      <c r="H2319" t="s">
        <v>3254</v>
      </c>
      <c r="I2319" s="2">
        <v>10.74</v>
      </c>
      <c r="J2319">
        <v>3</v>
      </c>
      <c r="K2319" s="2">
        <v>5.2625999999999999</v>
      </c>
      <c r="L2319" s="3">
        <f>(Table1[[#This Row],[Profit]]/Table1[[#This Row],[Sales]])*100</f>
        <v>49</v>
      </c>
    </row>
    <row r="2320" spans="1:12" x14ac:dyDescent="0.3">
      <c r="A2320" t="s">
        <v>4546</v>
      </c>
      <c r="B2320" s="1">
        <v>43949</v>
      </c>
      <c r="C2320" t="s">
        <v>1153</v>
      </c>
      <c r="D2320" t="s">
        <v>1154</v>
      </c>
      <c r="E2320" t="s">
        <v>14</v>
      </c>
      <c r="F2320" t="s">
        <v>41</v>
      </c>
      <c r="G2320" t="s">
        <v>24</v>
      </c>
      <c r="H2320" t="s">
        <v>3768</v>
      </c>
      <c r="I2320" s="2">
        <v>116.08</v>
      </c>
      <c r="J2320">
        <v>3</v>
      </c>
      <c r="K2320" s="2">
        <v>5.2649999999999997</v>
      </c>
      <c r="L2320" s="3">
        <f>(Table1[[#This Row],[Profit]]/Table1[[#This Row],[Sales]])*100</f>
        <v>4.5356650585802889</v>
      </c>
    </row>
    <row r="2321" spans="1:12" x14ac:dyDescent="0.3">
      <c r="A2321" t="s">
        <v>4485</v>
      </c>
      <c r="B2321" s="1">
        <v>43938</v>
      </c>
      <c r="C2321" t="s">
        <v>2504</v>
      </c>
      <c r="D2321" t="s">
        <v>2505</v>
      </c>
      <c r="E2321" t="s">
        <v>14</v>
      </c>
      <c r="F2321" t="s">
        <v>15</v>
      </c>
      <c r="G2321" t="s">
        <v>16</v>
      </c>
      <c r="H2321" t="s">
        <v>4486</v>
      </c>
      <c r="I2321" s="2">
        <v>109.312</v>
      </c>
      <c r="J2321">
        <v>3</v>
      </c>
      <c r="K2321" s="2">
        <v>5.2773000000000003</v>
      </c>
      <c r="L2321" s="3">
        <f>(Table1[[#This Row],[Profit]]/Table1[[#This Row],[Sales]])*100</f>
        <v>4.8277407786885256</v>
      </c>
    </row>
    <row r="2322" spans="1:12" x14ac:dyDescent="0.3">
      <c r="A2322" t="s">
        <v>5942</v>
      </c>
      <c r="B2322" s="1">
        <v>44154</v>
      </c>
      <c r="C2322" t="s">
        <v>236</v>
      </c>
      <c r="D2322" t="s">
        <v>237</v>
      </c>
      <c r="E2322" t="s">
        <v>14</v>
      </c>
      <c r="F2322" t="s">
        <v>29</v>
      </c>
      <c r="G2322" t="s">
        <v>24</v>
      </c>
      <c r="H2322" t="s">
        <v>5960</v>
      </c>
      <c r="I2322" s="2">
        <v>143.89599999999999</v>
      </c>
      <c r="J2322">
        <v>4</v>
      </c>
      <c r="K2322" s="2">
        <v>5.28</v>
      </c>
      <c r="L2322" s="3">
        <f>(Table1[[#This Row],[Profit]]/Table1[[#This Row],[Sales]])*100</f>
        <v>3.6693167287485409</v>
      </c>
    </row>
    <row r="2323" spans="1:12" x14ac:dyDescent="0.3">
      <c r="A2323" t="s">
        <v>5762</v>
      </c>
      <c r="B2323" s="1">
        <v>44138</v>
      </c>
      <c r="C2323" t="s">
        <v>1570</v>
      </c>
      <c r="D2323" t="s">
        <v>1571</v>
      </c>
      <c r="E2323" t="s">
        <v>14</v>
      </c>
      <c r="F2323" t="s">
        <v>41</v>
      </c>
      <c r="G2323" t="s">
        <v>24</v>
      </c>
      <c r="H2323" t="s">
        <v>3864</v>
      </c>
      <c r="I2323" s="2">
        <v>95.272000000000006</v>
      </c>
      <c r="J2323">
        <v>3</v>
      </c>
      <c r="K2323" s="2">
        <v>5.2884000000000002</v>
      </c>
      <c r="L2323" s="3">
        <f>(Table1[[#This Row],[Profit]]/Table1[[#This Row],[Sales]])*100</f>
        <v>5.5508438995717526</v>
      </c>
    </row>
    <row r="2324" spans="1:12" x14ac:dyDescent="0.3">
      <c r="A2324" t="s">
        <v>6157</v>
      </c>
      <c r="B2324" s="1">
        <v>44175</v>
      </c>
      <c r="C2324" t="s">
        <v>44</v>
      </c>
      <c r="D2324" t="s">
        <v>45</v>
      </c>
      <c r="E2324" t="s">
        <v>14</v>
      </c>
      <c r="F2324" t="s">
        <v>23</v>
      </c>
      <c r="G2324" t="s">
        <v>24</v>
      </c>
      <c r="H2324" t="s">
        <v>4267</v>
      </c>
      <c r="I2324" s="2">
        <v>397.24</v>
      </c>
      <c r="J2324">
        <v>3</v>
      </c>
      <c r="K2324" s="2">
        <v>5.2896000000000001</v>
      </c>
      <c r="L2324" s="3">
        <f>(Table1[[#This Row],[Profit]]/Table1[[#This Row],[Sales]])*100</f>
        <v>1.3315879569026281</v>
      </c>
    </row>
    <row r="2325" spans="1:12" x14ac:dyDescent="0.3">
      <c r="A2325" t="s">
        <v>3260</v>
      </c>
      <c r="B2325" s="1">
        <v>43773</v>
      </c>
      <c r="C2325" t="s">
        <v>3002</v>
      </c>
      <c r="D2325" t="s">
        <v>3003</v>
      </c>
      <c r="E2325" t="s">
        <v>14</v>
      </c>
      <c r="F2325" t="s">
        <v>23</v>
      </c>
      <c r="G2325" t="s">
        <v>24</v>
      </c>
      <c r="H2325" t="s">
        <v>2963</v>
      </c>
      <c r="I2325" s="2">
        <v>15.176</v>
      </c>
      <c r="J2325">
        <v>1</v>
      </c>
      <c r="K2325" s="2">
        <v>5.3116000000000003</v>
      </c>
      <c r="L2325" s="3">
        <f>(Table1[[#This Row],[Profit]]/Table1[[#This Row],[Sales]])*100</f>
        <v>35</v>
      </c>
    </row>
    <row r="2326" spans="1:12" x14ac:dyDescent="0.3">
      <c r="A2326" t="s">
        <v>6067</v>
      </c>
      <c r="B2326" s="1">
        <v>44167</v>
      </c>
      <c r="C2326" t="s">
        <v>2054</v>
      </c>
      <c r="D2326" t="s">
        <v>2055</v>
      </c>
      <c r="E2326" t="s">
        <v>14</v>
      </c>
      <c r="F2326" t="s">
        <v>23</v>
      </c>
      <c r="G2326" t="s">
        <v>24</v>
      </c>
      <c r="H2326" t="s">
        <v>5704</v>
      </c>
      <c r="I2326" s="2">
        <v>115.86</v>
      </c>
      <c r="J2326">
        <v>2</v>
      </c>
      <c r="K2326" s="2">
        <v>5.3213999999999997</v>
      </c>
      <c r="L2326" s="3">
        <f>(Table1[[#This Row],[Profit]]/Table1[[#This Row],[Sales]])*100</f>
        <v>4.5929570170895904</v>
      </c>
    </row>
    <row r="2327" spans="1:12" x14ac:dyDescent="0.3">
      <c r="A2327" t="s">
        <v>2279</v>
      </c>
      <c r="B2327" s="1">
        <v>43685</v>
      </c>
      <c r="C2327" t="s">
        <v>1149</v>
      </c>
      <c r="D2327" t="s">
        <v>1150</v>
      </c>
      <c r="E2327" t="s">
        <v>14</v>
      </c>
      <c r="F2327" t="s">
        <v>23</v>
      </c>
      <c r="G2327" t="s">
        <v>24</v>
      </c>
      <c r="H2327" t="s">
        <v>2026</v>
      </c>
      <c r="I2327" s="2">
        <v>15.24</v>
      </c>
      <c r="J2327">
        <v>5</v>
      </c>
      <c r="K2327" s="2">
        <v>5.3339999999999996</v>
      </c>
      <c r="L2327" s="3">
        <f>(Table1[[#This Row],[Profit]]/Table1[[#This Row],[Sales]])*100</f>
        <v>35</v>
      </c>
    </row>
    <row r="2328" spans="1:12" x14ac:dyDescent="0.3">
      <c r="A2328" t="s">
        <v>2619</v>
      </c>
      <c r="B2328" s="1">
        <v>43713</v>
      </c>
      <c r="C2328" t="s">
        <v>2620</v>
      </c>
      <c r="D2328" t="s">
        <v>2621</v>
      </c>
      <c r="E2328" t="s">
        <v>14</v>
      </c>
      <c r="F2328" t="s">
        <v>29</v>
      </c>
      <c r="G2328" t="s">
        <v>24</v>
      </c>
      <c r="H2328" t="s">
        <v>449</v>
      </c>
      <c r="I2328" s="2">
        <v>15.808</v>
      </c>
      <c r="J2328">
        <v>8</v>
      </c>
      <c r="K2328" s="2">
        <v>5.3352000000000004</v>
      </c>
      <c r="L2328" s="3">
        <f>(Table1[[#This Row],[Profit]]/Table1[[#This Row],[Sales]])*100</f>
        <v>33.75</v>
      </c>
    </row>
    <row r="2329" spans="1:12" x14ac:dyDescent="0.3">
      <c r="A2329" t="s">
        <v>33</v>
      </c>
      <c r="B2329" s="1">
        <v>43468</v>
      </c>
      <c r="C2329" t="s">
        <v>34</v>
      </c>
      <c r="D2329" t="s">
        <v>35</v>
      </c>
      <c r="E2329" t="s">
        <v>14</v>
      </c>
      <c r="F2329" t="s">
        <v>29</v>
      </c>
      <c r="G2329" t="s">
        <v>24</v>
      </c>
      <c r="H2329" t="s">
        <v>37</v>
      </c>
      <c r="I2329" s="2">
        <v>11.88</v>
      </c>
      <c r="J2329">
        <v>2</v>
      </c>
      <c r="K2329" s="2">
        <v>5.3460000000000001</v>
      </c>
      <c r="L2329" s="3">
        <f>(Table1[[#This Row],[Profit]]/Table1[[#This Row],[Sales]])*100</f>
        <v>44.999999999999993</v>
      </c>
    </row>
    <row r="2330" spans="1:12" x14ac:dyDescent="0.3">
      <c r="A2330" t="s">
        <v>4932</v>
      </c>
      <c r="B2330" s="1">
        <v>44012</v>
      </c>
      <c r="C2330" t="s">
        <v>1702</v>
      </c>
      <c r="D2330" t="s">
        <v>1703</v>
      </c>
      <c r="E2330" t="s">
        <v>14</v>
      </c>
      <c r="F2330" t="s">
        <v>41</v>
      </c>
      <c r="G2330" t="s">
        <v>16</v>
      </c>
      <c r="H2330" t="s">
        <v>2252</v>
      </c>
      <c r="I2330" s="2">
        <v>108.52</v>
      </c>
      <c r="J2330">
        <v>2</v>
      </c>
      <c r="K2330" s="2">
        <v>5.3680000000000003</v>
      </c>
      <c r="L2330" s="3">
        <f>(Table1[[#This Row],[Profit]]/Table1[[#This Row],[Sales]])*100</f>
        <v>4.9465536306671591</v>
      </c>
    </row>
    <row r="2331" spans="1:12" x14ac:dyDescent="0.3">
      <c r="A2331" t="s">
        <v>2857</v>
      </c>
      <c r="B2331" s="1">
        <v>43730</v>
      </c>
      <c r="C2331" t="s">
        <v>731</v>
      </c>
      <c r="D2331" t="s">
        <v>732</v>
      </c>
      <c r="E2331" t="s">
        <v>14</v>
      </c>
      <c r="F2331" t="s">
        <v>15</v>
      </c>
      <c r="G2331" t="s">
        <v>24</v>
      </c>
      <c r="H2331" t="s">
        <v>167</v>
      </c>
      <c r="I2331" s="2">
        <v>16.52</v>
      </c>
      <c r="J2331">
        <v>5</v>
      </c>
      <c r="K2331" s="2">
        <v>5.3689999999999998</v>
      </c>
      <c r="L2331" s="3">
        <f>(Table1[[#This Row],[Profit]]/Table1[[#This Row],[Sales]])*100</f>
        <v>32.5</v>
      </c>
    </row>
    <row r="2332" spans="1:12" x14ac:dyDescent="0.3">
      <c r="A2332" t="s">
        <v>5107</v>
      </c>
      <c r="B2332" s="1">
        <v>44046</v>
      </c>
      <c r="C2332" t="s">
        <v>1769</v>
      </c>
      <c r="D2332" t="s">
        <v>1770</v>
      </c>
      <c r="E2332" t="s">
        <v>14</v>
      </c>
      <c r="F2332" t="s">
        <v>15</v>
      </c>
      <c r="G2332" t="s">
        <v>24</v>
      </c>
      <c r="H2332" t="s">
        <v>167</v>
      </c>
      <c r="I2332" s="2">
        <v>137.52000000000001</v>
      </c>
      <c r="J2332">
        <v>5</v>
      </c>
      <c r="K2332" s="2">
        <v>5.3689999999999998</v>
      </c>
      <c r="L2332" s="3">
        <f>(Table1[[#This Row],[Profit]]/Table1[[#This Row],[Sales]])*100</f>
        <v>3.9041593949970905</v>
      </c>
    </row>
    <row r="2333" spans="1:12" x14ac:dyDescent="0.3">
      <c r="A2333" t="s">
        <v>3903</v>
      </c>
      <c r="B2333" s="1">
        <v>43824</v>
      </c>
      <c r="C2333" t="s">
        <v>3904</v>
      </c>
      <c r="D2333" t="s">
        <v>3905</v>
      </c>
      <c r="E2333" t="s">
        <v>14</v>
      </c>
      <c r="F2333" t="s">
        <v>41</v>
      </c>
      <c r="G2333" t="s">
        <v>24</v>
      </c>
      <c r="H2333" t="s">
        <v>3916</v>
      </c>
      <c r="I2333" s="2">
        <v>19.89</v>
      </c>
      <c r="J2333">
        <v>9</v>
      </c>
      <c r="K2333" s="2">
        <v>5.3703000000000003</v>
      </c>
      <c r="L2333" s="3">
        <f>(Table1[[#This Row],[Profit]]/Table1[[#This Row],[Sales]])*100</f>
        <v>27</v>
      </c>
    </row>
    <row r="2334" spans="1:12" x14ac:dyDescent="0.3">
      <c r="A2334" t="s">
        <v>5877</v>
      </c>
      <c r="B2334" s="1">
        <v>44147</v>
      </c>
      <c r="C2334" t="s">
        <v>524</v>
      </c>
      <c r="D2334" t="s">
        <v>525</v>
      </c>
      <c r="E2334" t="s">
        <v>14</v>
      </c>
      <c r="F2334" t="s">
        <v>15</v>
      </c>
      <c r="G2334" t="s">
        <v>24</v>
      </c>
      <c r="H2334" t="s">
        <v>339</v>
      </c>
      <c r="I2334" s="2">
        <v>114.92</v>
      </c>
      <c r="J2334">
        <v>5</v>
      </c>
      <c r="K2334" s="2">
        <v>5.3730000000000002</v>
      </c>
      <c r="L2334" s="3">
        <f>(Table1[[#This Row],[Profit]]/Table1[[#This Row],[Sales]])*100</f>
        <v>4.67542638357118</v>
      </c>
    </row>
    <row r="2335" spans="1:12" x14ac:dyDescent="0.3">
      <c r="A2335" t="s">
        <v>6054</v>
      </c>
      <c r="B2335" s="1">
        <v>44166</v>
      </c>
      <c r="C2335" t="s">
        <v>1456</v>
      </c>
      <c r="D2335" t="s">
        <v>1457</v>
      </c>
      <c r="E2335" t="s">
        <v>14</v>
      </c>
      <c r="F2335" t="s">
        <v>23</v>
      </c>
      <c r="G2335" t="s">
        <v>24</v>
      </c>
      <c r="H2335" t="s">
        <v>1790</v>
      </c>
      <c r="I2335" s="2">
        <v>141.91999999999999</v>
      </c>
      <c r="J2335">
        <v>5</v>
      </c>
      <c r="K2335" s="2">
        <v>5.3730000000000002</v>
      </c>
      <c r="L2335" s="3">
        <f>(Table1[[#This Row],[Profit]]/Table1[[#This Row],[Sales]])*100</f>
        <v>3.7859357384441945</v>
      </c>
    </row>
    <row r="2336" spans="1:12" x14ac:dyDescent="0.3">
      <c r="A2336" t="s">
        <v>4052</v>
      </c>
      <c r="B2336" s="1">
        <v>43852</v>
      </c>
      <c r="C2336" t="s">
        <v>4053</v>
      </c>
      <c r="D2336" t="s">
        <v>4054</v>
      </c>
      <c r="E2336" t="s">
        <v>14</v>
      </c>
      <c r="F2336" t="s">
        <v>23</v>
      </c>
      <c r="G2336" t="s">
        <v>24</v>
      </c>
      <c r="H2336" t="s">
        <v>1538</v>
      </c>
      <c r="I2336" s="2">
        <v>118.96</v>
      </c>
      <c r="J2336">
        <v>2</v>
      </c>
      <c r="K2336" s="2">
        <v>5.3819999999999997</v>
      </c>
      <c r="L2336" s="3">
        <f>(Table1[[#This Row],[Profit]]/Table1[[#This Row],[Sales]])*100</f>
        <v>4.5242098184263622</v>
      </c>
    </row>
    <row r="2337" spans="1:12" x14ac:dyDescent="0.3">
      <c r="A2337" t="s">
        <v>4768</v>
      </c>
      <c r="B2337" s="1">
        <v>43985</v>
      </c>
      <c r="C2337" t="s">
        <v>3913</v>
      </c>
      <c r="D2337" t="s">
        <v>3914</v>
      </c>
      <c r="E2337" t="s">
        <v>14</v>
      </c>
      <c r="F2337" t="s">
        <v>23</v>
      </c>
      <c r="G2337" t="s">
        <v>24</v>
      </c>
      <c r="H2337" t="s">
        <v>3054</v>
      </c>
      <c r="I2337" s="2">
        <v>100.96</v>
      </c>
      <c r="J2337">
        <v>2</v>
      </c>
      <c r="K2337" s="2">
        <v>5.3819999999999997</v>
      </c>
      <c r="L2337" s="3">
        <f>(Table1[[#This Row],[Profit]]/Table1[[#This Row],[Sales]])*100</f>
        <v>5.3308240887480194</v>
      </c>
    </row>
    <row r="2338" spans="1:12" x14ac:dyDescent="0.3">
      <c r="A2338" t="s">
        <v>6040</v>
      </c>
      <c r="B2338" s="1">
        <v>44165</v>
      </c>
      <c r="C2338" t="s">
        <v>4924</v>
      </c>
      <c r="D2338" t="s">
        <v>4925</v>
      </c>
      <c r="E2338" t="s">
        <v>14</v>
      </c>
      <c r="F2338" t="s">
        <v>15</v>
      </c>
      <c r="G2338" t="s">
        <v>24</v>
      </c>
      <c r="H2338" t="s">
        <v>398</v>
      </c>
      <c r="I2338" s="2">
        <v>291.49</v>
      </c>
      <c r="J2338">
        <v>3</v>
      </c>
      <c r="K2338" s="2">
        <v>5.3898000000000001</v>
      </c>
      <c r="L2338" s="3">
        <f>(Table1[[#This Row],[Profit]]/Table1[[#This Row],[Sales]])*100</f>
        <v>1.8490514254348347</v>
      </c>
    </row>
    <row r="2339" spans="1:12" x14ac:dyDescent="0.3">
      <c r="A2339" t="s">
        <v>5087</v>
      </c>
      <c r="B2339" s="1">
        <v>44043</v>
      </c>
      <c r="C2339" t="s">
        <v>2520</v>
      </c>
      <c r="D2339" t="s">
        <v>2521</v>
      </c>
      <c r="E2339" t="s">
        <v>14</v>
      </c>
      <c r="F2339" t="s">
        <v>15</v>
      </c>
      <c r="G2339" t="s">
        <v>24</v>
      </c>
      <c r="H2339" t="s">
        <v>3790</v>
      </c>
      <c r="I2339" s="2">
        <v>130.01</v>
      </c>
      <c r="J2339">
        <v>3</v>
      </c>
      <c r="K2339" s="2">
        <v>5.3948999999999998</v>
      </c>
      <c r="L2339" s="3">
        <f>(Table1[[#This Row],[Profit]]/Table1[[#This Row],[Sales]])*100</f>
        <v>4.1496038766248748</v>
      </c>
    </row>
    <row r="2340" spans="1:12" x14ac:dyDescent="0.3">
      <c r="A2340" t="s">
        <v>5000</v>
      </c>
      <c r="B2340" s="1">
        <v>44023</v>
      </c>
      <c r="C2340" t="s">
        <v>2440</v>
      </c>
      <c r="D2340" t="s">
        <v>2441</v>
      </c>
      <c r="E2340" t="s">
        <v>14</v>
      </c>
      <c r="F2340" t="s">
        <v>23</v>
      </c>
      <c r="G2340" t="s">
        <v>18</v>
      </c>
      <c r="H2340" t="s">
        <v>729</v>
      </c>
      <c r="I2340" s="2">
        <v>117.952</v>
      </c>
      <c r="J2340">
        <v>6</v>
      </c>
      <c r="K2340" s="2">
        <v>5.3963999999999999</v>
      </c>
      <c r="L2340" s="3">
        <f>(Table1[[#This Row],[Profit]]/Table1[[#This Row],[Sales]])*100</f>
        <v>4.5750813890396094</v>
      </c>
    </row>
    <row r="2341" spans="1:12" x14ac:dyDescent="0.3">
      <c r="A2341" t="s">
        <v>1201</v>
      </c>
      <c r="B2341" s="1">
        <v>43587</v>
      </c>
      <c r="C2341" t="s">
        <v>569</v>
      </c>
      <c r="D2341" t="s">
        <v>570</v>
      </c>
      <c r="E2341" t="s">
        <v>14</v>
      </c>
      <c r="F2341" t="s">
        <v>29</v>
      </c>
      <c r="G2341" t="s">
        <v>24</v>
      </c>
      <c r="H2341" t="s">
        <v>1093</v>
      </c>
      <c r="I2341" s="2">
        <v>86.352000000000004</v>
      </c>
      <c r="J2341">
        <v>3</v>
      </c>
      <c r="K2341" s="2">
        <v>5.3970000000000002</v>
      </c>
      <c r="L2341" s="3">
        <f>(Table1[[#This Row],[Profit]]/Table1[[#This Row],[Sales]])*100</f>
        <v>6.25</v>
      </c>
    </row>
    <row r="2342" spans="1:12" x14ac:dyDescent="0.3">
      <c r="A2342" t="s">
        <v>5319</v>
      </c>
      <c r="B2342" s="1">
        <v>44082</v>
      </c>
      <c r="C2342" t="s">
        <v>3109</v>
      </c>
      <c r="D2342" t="s">
        <v>3110</v>
      </c>
      <c r="E2342" t="s">
        <v>14</v>
      </c>
      <c r="F2342" t="s">
        <v>41</v>
      </c>
      <c r="G2342" t="s">
        <v>24</v>
      </c>
      <c r="H2342" t="s">
        <v>5320</v>
      </c>
      <c r="I2342" s="2">
        <v>105.68</v>
      </c>
      <c r="J2342">
        <v>5</v>
      </c>
      <c r="K2342" s="2">
        <v>5.3970000000000002</v>
      </c>
      <c r="L2342" s="3">
        <f>(Table1[[#This Row],[Profit]]/Table1[[#This Row],[Sales]])*100</f>
        <v>5.106926570779712</v>
      </c>
    </row>
    <row r="2343" spans="1:12" x14ac:dyDescent="0.3">
      <c r="A2343" t="s">
        <v>5903</v>
      </c>
      <c r="B2343" s="1">
        <v>44151</v>
      </c>
      <c r="C2343" t="s">
        <v>4254</v>
      </c>
      <c r="D2343" t="s">
        <v>4255</v>
      </c>
      <c r="E2343" t="s">
        <v>14</v>
      </c>
      <c r="F2343" t="s">
        <v>15</v>
      </c>
      <c r="G2343" t="s">
        <v>24</v>
      </c>
      <c r="H2343" t="s">
        <v>1093</v>
      </c>
      <c r="I2343" s="2">
        <v>122.352</v>
      </c>
      <c r="J2343">
        <v>3</v>
      </c>
      <c r="K2343" s="2">
        <v>5.3970000000000002</v>
      </c>
      <c r="L2343" s="3">
        <f>(Table1[[#This Row],[Profit]]/Table1[[#This Row],[Sales]])*100</f>
        <v>4.4110435464888198</v>
      </c>
    </row>
    <row r="2344" spans="1:12" x14ac:dyDescent="0.3">
      <c r="A2344" t="s">
        <v>6054</v>
      </c>
      <c r="B2344" s="1">
        <v>44166</v>
      </c>
      <c r="C2344" t="s">
        <v>1456</v>
      </c>
      <c r="D2344" t="s">
        <v>1457</v>
      </c>
      <c r="E2344" t="s">
        <v>14</v>
      </c>
      <c r="F2344" t="s">
        <v>23</v>
      </c>
      <c r="G2344" t="s">
        <v>24</v>
      </c>
      <c r="H2344" t="s">
        <v>607</v>
      </c>
      <c r="I2344" s="2">
        <v>561.24</v>
      </c>
      <c r="J2344">
        <v>4</v>
      </c>
      <c r="K2344" s="2">
        <v>5.4123999999999999</v>
      </c>
      <c r="L2344" s="3">
        <f>(Table1[[#This Row],[Profit]]/Table1[[#This Row],[Sales]])*100</f>
        <v>0.96436462119592314</v>
      </c>
    </row>
    <row r="2345" spans="1:12" x14ac:dyDescent="0.3">
      <c r="A2345" t="s">
        <v>4905</v>
      </c>
      <c r="B2345" s="1">
        <v>44008</v>
      </c>
      <c r="C2345" t="s">
        <v>4906</v>
      </c>
      <c r="D2345" t="s">
        <v>4907</v>
      </c>
      <c r="E2345" t="s">
        <v>14</v>
      </c>
      <c r="F2345" t="s">
        <v>29</v>
      </c>
      <c r="G2345" t="s">
        <v>24</v>
      </c>
      <c r="H2345" t="s">
        <v>3975</v>
      </c>
      <c r="I2345" s="2">
        <v>116.92</v>
      </c>
      <c r="J2345">
        <v>4</v>
      </c>
      <c r="K2345" s="2">
        <v>5.4127999999999998</v>
      </c>
      <c r="L2345" s="3">
        <f>(Table1[[#This Row],[Profit]]/Table1[[#This Row],[Sales]])*100</f>
        <v>4.6294902497434141</v>
      </c>
    </row>
    <row r="2346" spans="1:12" x14ac:dyDescent="0.3">
      <c r="A2346" t="s">
        <v>2512</v>
      </c>
      <c r="B2346" s="1">
        <v>43709</v>
      </c>
      <c r="C2346" t="s">
        <v>605</v>
      </c>
      <c r="D2346" t="s">
        <v>606</v>
      </c>
      <c r="E2346" t="s">
        <v>14</v>
      </c>
      <c r="F2346" t="s">
        <v>15</v>
      </c>
      <c r="G2346" t="s">
        <v>24</v>
      </c>
      <c r="H2346" t="s">
        <v>449</v>
      </c>
      <c r="I2346" s="2">
        <v>16.687999999999999</v>
      </c>
      <c r="J2346">
        <v>7</v>
      </c>
      <c r="K2346" s="2">
        <v>5.4236000000000004</v>
      </c>
      <c r="L2346" s="3">
        <f>(Table1[[#This Row],[Profit]]/Table1[[#This Row],[Sales]])*100</f>
        <v>32.500000000000007</v>
      </c>
    </row>
    <row r="2347" spans="1:12" x14ac:dyDescent="0.3">
      <c r="A2347" t="s">
        <v>4225</v>
      </c>
      <c r="B2347" s="1">
        <v>43896</v>
      </c>
      <c r="C2347" t="s">
        <v>244</v>
      </c>
      <c r="D2347" t="s">
        <v>245</v>
      </c>
      <c r="E2347" t="s">
        <v>14</v>
      </c>
      <c r="F2347" t="s">
        <v>23</v>
      </c>
      <c r="G2347" t="s">
        <v>24</v>
      </c>
      <c r="H2347" t="s">
        <v>4226</v>
      </c>
      <c r="I2347" s="2">
        <v>112.976</v>
      </c>
      <c r="J2347">
        <v>9</v>
      </c>
      <c r="K2347" s="2">
        <v>5.4287999999999998</v>
      </c>
      <c r="L2347" s="3">
        <f>(Table1[[#This Row],[Profit]]/Table1[[#This Row],[Sales]])*100</f>
        <v>4.8052683755841947</v>
      </c>
    </row>
    <row r="2348" spans="1:12" x14ac:dyDescent="0.3">
      <c r="A2348" t="s">
        <v>6118</v>
      </c>
      <c r="B2348" s="1">
        <v>44170</v>
      </c>
      <c r="C2348" t="s">
        <v>4373</v>
      </c>
      <c r="D2348" t="s">
        <v>4374</v>
      </c>
      <c r="E2348" t="s">
        <v>14</v>
      </c>
      <c r="F2348" t="s">
        <v>23</v>
      </c>
      <c r="G2348" t="s">
        <v>24</v>
      </c>
      <c r="H2348" t="s">
        <v>1943</v>
      </c>
      <c r="I2348" s="2">
        <v>119.976</v>
      </c>
      <c r="J2348">
        <v>6</v>
      </c>
      <c r="K2348" s="2">
        <v>5.4287999999999998</v>
      </c>
      <c r="L2348" s="3">
        <f>(Table1[[#This Row],[Profit]]/Table1[[#This Row],[Sales]])*100</f>
        <v>4.5249049809961992</v>
      </c>
    </row>
    <row r="2349" spans="1:12" x14ac:dyDescent="0.3">
      <c r="A2349" t="s">
        <v>4795</v>
      </c>
      <c r="B2349" s="1">
        <v>43992</v>
      </c>
      <c r="C2349" t="s">
        <v>1013</v>
      </c>
      <c r="D2349" t="s">
        <v>1014</v>
      </c>
      <c r="E2349" t="s">
        <v>14</v>
      </c>
      <c r="F2349" t="s">
        <v>23</v>
      </c>
      <c r="G2349" t="s">
        <v>24</v>
      </c>
      <c r="H2349" t="s">
        <v>214</v>
      </c>
      <c r="I2349" s="2">
        <v>104.56</v>
      </c>
      <c r="J2349">
        <v>4</v>
      </c>
      <c r="K2349" s="2">
        <v>5.4332000000000003</v>
      </c>
      <c r="L2349" s="3">
        <f>(Table1[[#This Row],[Profit]]/Table1[[#This Row],[Sales]])*100</f>
        <v>5.1962509563886767</v>
      </c>
    </row>
    <row r="2350" spans="1:12" x14ac:dyDescent="0.3">
      <c r="A2350" t="s">
        <v>5753</v>
      </c>
      <c r="B2350" s="1">
        <v>44137</v>
      </c>
      <c r="C2350" t="s">
        <v>2363</v>
      </c>
      <c r="D2350" t="s">
        <v>2364</v>
      </c>
      <c r="E2350" t="s">
        <v>14</v>
      </c>
      <c r="F2350" t="s">
        <v>29</v>
      </c>
      <c r="G2350" t="s">
        <v>24</v>
      </c>
      <c r="H2350" t="s">
        <v>2996</v>
      </c>
      <c r="I2350" s="2">
        <v>152.33600000000001</v>
      </c>
      <c r="J2350">
        <v>4</v>
      </c>
      <c r="K2350" s="2">
        <v>5.4336000000000002</v>
      </c>
      <c r="L2350" s="3">
        <f>(Table1[[#This Row],[Profit]]/Table1[[#This Row],[Sales]])*100</f>
        <v>3.5668522214053144</v>
      </c>
    </row>
    <row r="2351" spans="1:12" x14ac:dyDescent="0.3">
      <c r="A2351" t="s">
        <v>2707</v>
      </c>
      <c r="B2351" s="1">
        <v>43719</v>
      </c>
      <c r="C2351" t="s">
        <v>376</v>
      </c>
      <c r="D2351" t="s">
        <v>377</v>
      </c>
      <c r="E2351" t="s">
        <v>14</v>
      </c>
      <c r="F2351" t="s">
        <v>41</v>
      </c>
      <c r="G2351" t="s">
        <v>24</v>
      </c>
      <c r="H2351" t="s">
        <v>926</v>
      </c>
      <c r="I2351" s="2">
        <v>11.09</v>
      </c>
      <c r="J2351">
        <v>1</v>
      </c>
      <c r="K2351" s="2">
        <v>5.4340999999999999</v>
      </c>
      <c r="L2351" s="3">
        <f>(Table1[[#This Row],[Profit]]/Table1[[#This Row],[Sales]])*100</f>
        <v>49</v>
      </c>
    </row>
    <row r="2352" spans="1:12" x14ac:dyDescent="0.3">
      <c r="A2352" t="s">
        <v>92</v>
      </c>
      <c r="B2352" s="1">
        <v>43476</v>
      </c>
      <c r="C2352" t="s">
        <v>93</v>
      </c>
      <c r="D2352" t="s">
        <v>94</v>
      </c>
      <c r="E2352" t="s">
        <v>14</v>
      </c>
      <c r="F2352" t="s">
        <v>15</v>
      </c>
      <c r="G2352" t="s">
        <v>24</v>
      </c>
      <c r="H2352" t="s">
        <v>95</v>
      </c>
      <c r="I2352" s="2">
        <v>15.552</v>
      </c>
      <c r="J2352">
        <v>3</v>
      </c>
      <c r="K2352" s="2">
        <v>5.4432</v>
      </c>
      <c r="L2352" s="3">
        <f>(Table1[[#This Row],[Profit]]/Table1[[#This Row],[Sales]])*100</f>
        <v>35</v>
      </c>
    </row>
    <row r="2353" spans="1:12" x14ac:dyDescent="0.3">
      <c r="A2353" t="s">
        <v>235</v>
      </c>
      <c r="B2353" s="1">
        <v>43496</v>
      </c>
      <c r="C2353" t="s">
        <v>236</v>
      </c>
      <c r="D2353" t="s">
        <v>237</v>
      </c>
      <c r="E2353" t="s">
        <v>14</v>
      </c>
      <c r="F2353" t="s">
        <v>29</v>
      </c>
      <c r="G2353" t="s">
        <v>24</v>
      </c>
      <c r="H2353" t="s">
        <v>238</v>
      </c>
      <c r="I2353" s="2">
        <v>15.552</v>
      </c>
      <c r="J2353">
        <v>3</v>
      </c>
      <c r="K2353" s="2">
        <v>5.4432</v>
      </c>
      <c r="L2353" s="3">
        <f>(Table1[[#This Row],[Profit]]/Table1[[#This Row],[Sales]])*100</f>
        <v>35</v>
      </c>
    </row>
    <row r="2354" spans="1:12" x14ac:dyDescent="0.3">
      <c r="A2354" t="s">
        <v>1156</v>
      </c>
      <c r="B2354" s="1">
        <v>43579</v>
      </c>
      <c r="C2354" t="s">
        <v>1157</v>
      </c>
      <c r="D2354" t="s">
        <v>1158</v>
      </c>
      <c r="E2354" t="s">
        <v>14</v>
      </c>
      <c r="F2354" t="s">
        <v>23</v>
      </c>
      <c r="G2354" t="s">
        <v>24</v>
      </c>
      <c r="H2354" t="s">
        <v>1159</v>
      </c>
      <c r="I2354" s="2">
        <v>15.552</v>
      </c>
      <c r="J2354">
        <v>3</v>
      </c>
      <c r="K2354" s="2">
        <v>5.4432</v>
      </c>
      <c r="L2354" s="3">
        <f>(Table1[[#This Row],[Profit]]/Table1[[#This Row],[Sales]])*100</f>
        <v>35</v>
      </c>
    </row>
    <row r="2355" spans="1:12" x14ac:dyDescent="0.3">
      <c r="A2355" t="s">
        <v>1812</v>
      </c>
      <c r="B2355" s="1">
        <v>43636</v>
      </c>
      <c r="C2355" t="s">
        <v>1813</v>
      </c>
      <c r="D2355" t="s">
        <v>1814</v>
      </c>
      <c r="E2355" t="s">
        <v>14</v>
      </c>
      <c r="F2355" t="s">
        <v>15</v>
      </c>
      <c r="G2355" t="s">
        <v>24</v>
      </c>
      <c r="H2355" t="s">
        <v>1811</v>
      </c>
      <c r="I2355" s="2">
        <v>15.552</v>
      </c>
      <c r="J2355">
        <v>3</v>
      </c>
      <c r="K2355" s="2">
        <v>5.4432</v>
      </c>
      <c r="L2355" s="3">
        <f>(Table1[[#This Row],[Profit]]/Table1[[#This Row],[Sales]])*100</f>
        <v>35</v>
      </c>
    </row>
    <row r="2356" spans="1:12" x14ac:dyDescent="0.3">
      <c r="A2356" t="s">
        <v>2326</v>
      </c>
      <c r="B2356" s="1">
        <v>43691</v>
      </c>
      <c r="C2356" t="s">
        <v>2327</v>
      </c>
      <c r="D2356" t="s">
        <v>2328</v>
      </c>
      <c r="E2356" t="s">
        <v>14</v>
      </c>
      <c r="F2356" t="s">
        <v>41</v>
      </c>
      <c r="G2356" t="s">
        <v>24</v>
      </c>
      <c r="H2356" t="s">
        <v>1955</v>
      </c>
      <c r="I2356" s="2">
        <v>15.552</v>
      </c>
      <c r="J2356">
        <v>3</v>
      </c>
      <c r="K2356" s="2">
        <v>5.4432</v>
      </c>
      <c r="L2356" s="3">
        <f>(Table1[[#This Row],[Profit]]/Table1[[#This Row],[Sales]])*100</f>
        <v>35</v>
      </c>
    </row>
    <row r="2357" spans="1:12" x14ac:dyDescent="0.3">
      <c r="A2357" t="s">
        <v>3165</v>
      </c>
      <c r="B2357" s="1">
        <v>43762</v>
      </c>
      <c r="C2357" t="s">
        <v>2095</v>
      </c>
      <c r="D2357" t="s">
        <v>2096</v>
      </c>
      <c r="E2357" t="s">
        <v>14</v>
      </c>
      <c r="F2357" t="s">
        <v>29</v>
      </c>
      <c r="G2357" t="s">
        <v>24</v>
      </c>
      <c r="H2357" t="s">
        <v>3166</v>
      </c>
      <c r="I2357" s="2">
        <v>15.552</v>
      </c>
      <c r="J2357">
        <v>3</v>
      </c>
      <c r="K2357" s="2">
        <v>5.4432</v>
      </c>
      <c r="L2357" s="3">
        <f>(Table1[[#This Row],[Profit]]/Table1[[#This Row],[Sales]])*100</f>
        <v>35</v>
      </c>
    </row>
    <row r="2358" spans="1:12" x14ac:dyDescent="0.3">
      <c r="A2358" t="s">
        <v>4475</v>
      </c>
      <c r="B2358" s="1">
        <v>43936</v>
      </c>
      <c r="C2358" t="s">
        <v>2073</v>
      </c>
      <c r="D2358" t="s">
        <v>2074</v>
      </c>
      <c r="E2358" t="s">
        <v>14</v>
      </c>
      <c r="F2358" t="s">
        <v>41</v>
      </c>
      <c r="G2358" t="s">
        <v>24</v>
      </c>
      <c r="H2358" t="s">
        <v>4476</v>
      </c>
      <c r="I2358" s="2">
        <v>114.55200000000001</v>
      </c>
      <c r="J2358">
        <v>3</v>
      </c>
      <c r="K2358" s="2">
        <v>5.4432</v>
      </c>
      <c r="L2358" s="3">
        <f>(Table1[[#This Row],[Profit]]/Table1[[#This Row],[Sales]])*100</f>
        <v>4.751728472658705</v>
      </c>
    </row>
    <row r="2359" spans="1:12" x14ac:dyDescent="0.3">
      <c r="A2359" t="s">
        <v>4728</v>
      </c>
      <c r="B2359" s="1">
        <v>43979</v>
      </c>
      <c r="C2359" t="s">
        <v>2875</v>
      </c>
      <c r="D2359" t="s">
        <v>2876</v>
      </c>
      <c r="E2359" t="s">
        <v>14</v>
      </c>
      <c r="F2359" t="s">
        <v>23</v>
      </c>
      <c r="G2359" t="s">
        <v>24</v>
      </c>
      <c r="H2359" t="s">
        <v>1647</v>
      </c>
      <c r="I2359" s="2">
        <v>130.55199999999999</v>
      </c>
      <c r="J2359">
        <v>3</v>
      </c>
      <c r="K2359" s="2">
        <v>5.4432</v>
      </c>
      <c r="L2359" s="3">
        <f>(Table1[[#This Row],[Profit]]/Table1[[#This Row],[Sales]])*100</f>
        <v>4.1693731233531466</v>
      </c>
    </row>
    <row r="2360" spans="1:12" x14ac:dyDescent="0.3">
      <c r="A2360" t="s">
        <v>4766</v>
      </c>
      <c r="B2360" s="1">
        <v>43985</v>
      </c>
      <c r="C2360" t="s">
        <v>1214</v>
      </c>
      <c r="D2360" t="s">
        <v>1215</v>
      </c>
      <c r="E2360" t="s">
        <v>14</v>
      </c>
      <c r="F2360" t="s">
        <v>41</v>
      </c>
      <c r="G2360" t="s">
        <v>24</v>
      </c>
      <c r="H2360" t="s">
        <v>365</v>
      </c>
      <c r="I2360" s="2">
        <v>101.55200000000001</v>
      </c>
      <c r="J2360">
        <v>3</v>
      </c>
      <c r="K2360" s="2">
        <v>5.4432</v>
      </c>
      <c r="L2360" s="3">
        <f>(Table1[[#This Row],[Profit]]/Table1[[#This Row],[Sales]])*100</f>
        <v>5.3600126043800218</v>
      </c>
    </row>
    <row r="2361" spans="1:12" x14ac:dyDescent="0.3">
      <c r="A2361" t="s">
        <v>4965</v>
      </c>
      <c r="B2361" s="1">
        <v>44019</v>
      </c>
      <c r="C2361" t="s">
        <v>1547</v>
      </c>
      <c r="D2361" t="s">
        <v>1548</v>
      </c>
      <c r="E2361" t="s">
        <v>14</v>
      </c>
      <c r="F2361" t="s">
        <v>15</v>
      </c>
      <c r="G2361" t="s">
        <v>24</v>
      </c>
      <c r="H2361" t="s">
        <v>2144</v>
      </c>
      <c r="I2361" s="2">
        <v>138.55199999999999</v>
      </c>
      <c r="J2361">
        <v>3</v>
      </c>
      <c r="K2361" s="2">
        <v>5.4432</v>
      </c>
      <c r="L2361" s="3">
        <f>(Table1[[#This Row],[Profit]]/Table1[[#This Row],[Sales]])*100</f>
        <v>3.9286332929152956</v>
      </c>
    </row>
    <row r="2362" spans="1:12" x14ac:dyDescent="0.3">
      <c r="A2362" t="s">
        <v>5295</v>
      </c>
      <c r="B2362" s="1">
        <v>44079</v>
      </c>
      <c r="C2362" t="s">
        <v>1656</v>
      </c>
      <c r="D2362" t="s">
        <v>1657</v>
      </c>
      <c r="E2362" t="s">
        <v>14</v>
      </c>
      <c r="F2362" t="s">
        <v>41</v>
      </c>
      <c r="G2362" t="s">
        <v>24</v>
      </c>
      <c r="H2362" t="s">
        <v>5288</v>
      </c>
      <c r="I2362" s="2">
        <v>144.55199999999999</v>
      </c>
      <c r="J2362">
        <v>3</v>
      </c>
      <c r="K2362" s="2">
        <v>5.4432</v>
      </c>
      <c r="L2362" s="3">
        <f>(Table1[[#This Row],[Profit]]/Table1[[#This Row],[Sales]])*100</f>
        <v>3.7655653328905867</v>
      </c>
    </row>
    <row r="2363" spans="1:12" x14ac:dyDescent="0.3">
      <c r="A2363" t="s">
        <v>5311</v>
      </c>
      <c r="B2363" s="1">
        <v>44081</v>
      </c>
      <c r="C2363" t="s">
        <v>3607</v>
      </c>
      <c r="D2363" t="s">
        <v>3608</v>
      </c>
      <c r="E2363" t="s">
        <v>14</v>
      </c>
      <c r="F2363" t="s">
        <v>15</v>
      </c>
      <c r="G2363" t="s">
        <v>24</v>
      </c>
      <c r="H2363" t="s">
        <v>3166</v>
      </c>
      <c r="I2363" s="2">
        <v>93.552000000000007</v>
      </c>
      <c r="J2363">
        <v>3</v>
      </c>
      <c r="K2363" s="2">
        <v>5.4432</v>
      </c>
      <c r="L2363" s="3">
        <f>(Table1[[#This Row],[Profit]]/Table1[[#This Row],[Sales]])*100</f>
        <v>5.81836839404823</v>
      </c>
    </row>
    <row r="2364" spans="1:12" x14ac:dyDescent="0.3">
      <c r="A2364" t="s">
        <v>5522</v>
      </c>
      <c r="B2364" s="1">
        <v>44103</v>
      </c>
      <c r="C2364" t="s">
        <v>4784</v>
      </c>
      <c r="D2364" t="s">
        <v>4785</v>
      </c>
      <c r="E2364" t="s">
        <v>14</v>
      </c>
      <c r="F2364" t="s">
        <v>15</v>
      </c>
      <c r="G2364" t="s">
        <v>24</v>
      </c>
      <c r="H2364" t="s">
        <v>958</v>
      </c>
      <c r="I2364" s="2">
        <v>85.552000000000007</v>
      </c>
      <c r="J2364">
        <v>3</v>
      </c>
      <c r="K2364" s="2">
        <v>5.4432</v>
      </c>
      <c r="L2364" s="3">
        <f>(Table1[[#This Row],[Profit]]/Table1[[#This Row],[Sales]])*100</f>
        <v>6.3624462315316999</v>
      </c>
    </row>
    <row r="2365" spans="1:12" x14ac:dyDescent="0.3">
      <c r="A2365" t="s">
        <v>5565</v>
      </c>
      <c r="B2365" s="1">
        <v>44107</v>
      </c>
      <c r="C2365" t="s">
        <v>2500</v>
      </c>
      <c r="D2365" t="s">
        <v>2501</v>
      </c>
      <c r="E2365" t="s">
        <v>14</v>
      </c>
      <c r="F2365" t="s">
        <v>41</v>
      </c>
      <c r="G2365" t="s">
        <v>24</v>
      </c>
      <c r="H2365" t="s">
        <v>5566</v>
      </c>
      <c r="I2365" s="2">
        <v>94.552000000000007</v>
      </c>
      <c r="J2365">
        <v>3</v>
      </c>
      <c r="K2365" s="2">
        <v>5.4432</v>
      </c>
      <c r="L2365" s="3">
        <f>(Table1[[#This Row],[Profit]]/Table1[[#This Row],[Sales]])*100</f>
        <v>5.7568322193078938</v>
      </c>
    </row>
    <row r="2366" spans="1:12" x14ac:dyDescent="0.3">
      <c r="A2366" t="s">
        <v>5719</v>
      </c>
      <c r="B2366" s="1">
        <v>44132</v>
      </c>
      <c r="C2366" t="s">
        <v>5720</v>
      </c>
      <c r="D2366" t="s">
        <v>5721</v>
      </c>
      <c r="E2366" t="s">
        <v>14</v>
      </c>
      <c r="F2366" t="s">
        <v>29</v>
      </c>
      <c r="G2366" t="s">
        <v>24</v>
      </c>
      <c r="H2366" t="s">
        <v>5722</v>
      </c>
      <c r="I2366" s="2">
        <v>88.552000000000007</v>
      </c>
      <c r="J2366">
        <v>3</v>
      </c>
      <c r="K2366" s="2">
        <v>5.4432</v>
      </c>
      <c r="L2366" s="3">
        <f>(Table1[[#This Row],[Profit]]/Table1[[#This Row],[Sales]])*100</f>
        <v>6.1468967386394429</v>
      </c>
    </row>
    <row r="2367" spans="1:12" x14ac:dyDescent="0.3">
      <c r="A2367" t="s">
        <v>6036</v>
      </c>
      <c r="B2367" s="1">
        <v>44163</v>
      </c>
      <c r="C2367" t="s">
        <v>1007</v>
      </c>
      <c r="D2367" t="s">
        <v>1008</v>
      </c>
      <c r="E2367" t="s">
        <v>14</v>
      </c>
      <c r="F2367" t="s">
        <v>15</v>
      </c>
      <c r="G2367" t="s">
        <v>24</v>
      </c>
      <c r="H2367" t="s">
        <v>1931</v>
      </c>
      <c r="I2367" s="2">
        <v>151.55199999999999</v>
      </c>
      <c r="J2367">
        <v>3</v>
      </c>
      <c r="K2367" s="2">
        <v>5.4432</v>
      </c>
      <c r="L2367" s="3">
        <f>(Table1[[#This Row],[Profit]]/Table1[[#This Row],[Sales]])*100</f>
        <v>3.5916385135135136</v>
      </c>
    </row>
    <row r="2368" spans="1:12" x14ac:dyDescent="0.3">
      <c r="A2368" t="s">
        <v>6126</v>
      </c>
      <c r="B2368" s="1">
        <v>44172</v>
      </c>
      <c r="C2368" t="s">
        <v>784</v>
      </c>
      <c r="D2368" t="s">
        <v>785</v>
      </c>
      <c r="E2368" t="s">
        <v>14</v>
      </c>
      <c r="F2368" t="s">
        <v>29</v>
      </c>
      <c r="G2368" t="s">
        <v>24</v>
      </c>
      <c r="H2368" t="s">
        <v>2769</v>
      </c>
      <c r="I2368" s="2">
        <v>128.55199999999999</v>
      </c>
      <c r="J2368">
        <v>3</v>
      </c>
      <c r="K2368" s="2">
        <v>5.4432</v>
      </c>
      <c r="L2368" s="3">
        <f>(Table1[[#This Row],[Profit]]/Table1[[#This Row],[Sales]])*100</f>
        <v>4.234239840687037</v>
      </c>
    </row>
    <row r="2369" spans="1:12" x14ac:dyDescent="0.3">
      <c r="A2369" t="s">
        <v>3399</v>
      </c>
      <c r="B2369" s="1">
        <v>43781</v>
      </c>
      <c r="C2369" t="s">
        <v>989</v>
      </c>
      <c r="D2369" t="s">
        <v>990</v>
      </c>
      <c r="E2369" t="s">
        <v>14</v>
      </c>
      <c r="F2369" t="s">
        <v>15</v>
      </c>
      <c r="G2369" t="s">
        <v>24</v>
      </c>
      <c r="H2369" t="s">
        <v>2274</v>
      </c>
      <c r="I2369" s="2">
        <v>16.751999999999999</v>
      </c>
      <c r="J2369">
        <v>6</v>
      </c>
      <c r="K2369" s="2">
        <v>5.4443999999999999</v>
      </c>
      <c r="L2369" s="3">
        <f>(Table1[[#This Row],[Profit]]/Table1[[#This Row],[Sales]])*100</f>
        <v>32.5</v>
      </c>
    </row>
    <row r="2370" spans="1:12" x14ac:dyDescent="0.3">
      <c r="A2370" t="s">
        <v>4765</v>
      </c>
      <c r="B2370" s="1">
        <v>43985</v>
      </c>
      <c r="C2370" t="s">
        <v>2494</v>
      </c>
      <c r="D2370" t="s">
        <v>2495</v>
      </c>
      <c r="E2370" t="s">
        <v>14</v>
      </c>
      <c r="F2370" t="s">
        <v>23</v>
      </c>
      <c r="G2370" t="s">
        <v>24</v>
      </c>
      <c r="H2370" t="s">
        <v>2917</v>
      </c>
      <c r="I2370" s="2">
        <v>150.26</v>
      </c>
      <c r="J2370">
        <v>9</v>
      </c>
      <c r="K2370" s="2">
        <v>5.4504000000000001</v>
      </c>
      <c r="L2370" s="3">
        <f>(Table1[[#This Row],[Profit]]/Table1[[#This Row],[Sales]])*100</f>
        <v>3.6273126580593638</v>
      </c>
    </row>
    <row r="2371" spans="1:12" x14ac:dyDescent="0.3">
      <c r="A2371" t="s">
        <v>2677</v>
      </c>
      <c r="B2371" s="1">
        <v>43717</v>
      </c>
      <c r="C2371" t="s">
        <v>2678</v>
      </c>
      <c r="D2371" t="s">
        <v>2679</v>
      </c>
      <c r="E2371" t="s">
        <v>14</v>
      </c>
      <c r="F2371" t="s">
        <v>15</v>
      </c>
      <c r="G2371" t="s">
        <v>24</v>
      </c>
      <c r="H2371" t="s">
        <v>650</v>
      </c>
      <c r="I2371" s="2">
        <v>14.624000000000001</v>
      </c>
      <c r="J2371">
        <v>2</v>
      </c>
      <c r="K2371" s="2">
        <v>5.484</v>
      </c>
      <c r="L2371" s="3">
        <f>(Table1[[#This Row],[Profit]]/Table1[[#This Row],[Sales]])*100</f>
        <v>37.5</v>
      </c>
    </row>
    <row r="2372" spans="1:12" x14ac:dyDescent="0.3">
      <c r="A2372" t="s">
        <v>5051</v>
      </c>
      <c r="B2372" s="1">
        <v>44035</v>
      </c>
      <c r="C2372" t="s">
        <v>1805</v>
      </c>
      <c r="D2372" t="s">
        <v>1806</v>
      </c>
      <c r="E2372" t="s">
        <v>14</v>
      </c>
      <c r="F2372" t="s">
        <v>29</v>
      </c>
      <c r="G2372" t="s">
        <v>24</v>
      </c>
      <c r="H2372" t="s">
        <v>4096</v>
      </c>
      <c r="I2372" s="2">
        <v>88.68</v>
      </c>
      <c r="J2372">
        <v>2</v>
      </c>
      <c r="K2372" s="2">
        <v>5.4896000000000003</v>
      </c>
      <c r="L2372" s="3">
        <f>(Table1[[#This Row],[Profit]]/Table1[[#This Row],[Sales]])*100</f>
        <v>6.1903473161930531</v>
      </c>
    </row>
    <row r="2373" spans="1:12" x14ac:dyDescent="0.3">
      <c r="A2373" t="s">
        <v>5122</v>
      </c>
      <c r="B2373" s="1">
        <v>44050</v>
      </c>
      <c r="C2373" t="s">
        <v>3936</v>
      </c>
      <c r="D2373" t="s">
        <v>3937</v>
      </c>
      <c r="E2373" t="s">
        <v>14</v>
      </c>
      <c r="F2373" t="s">
        <v>15</v>
      </c>
      <c r="G2373" t="s">
        <v>24</v>
      </c>
      <c r="H2373" t="s">
        <v>4096</v>
      </c>
      <c r="I2373" s="2">
        <v>129.68</v>
      </c>
      <c r="J2373">
        <v>2</v>
      </c>
      <c r="K2373" s="2">
        <v>5.4896000000000003</v>
      </c>
      <c r="L2373" s="3">
        <f>(Table1[[#This Row],[Profit]]/Table1[[#This Row],[Sales]])*100</f>
        <v>4.2331893892658856</v>
      </c>
    </row>
    <row r="2374" spans="1:12" x14ac:dyDescent="0.3">
      <c r="A2374" t="s">
        <v>2493</v>
      </c>
      <c r="B2374" s="1">
        <v>43706</v>
      </c>
      <c r="C2374" t="s">
        <v>2494</v>
      </c>
      <c r="D2374" t="s">
        <v>2495</v>
      </c>
      <c r="E2374" t="s">
        <v>14</v>
      </c>
      <c r="F2374" t="s">
        <v>15</v>
      </c>
      <c r="G2374" t="s">
        <v>18</v>
      </c>
      <c r="H2374" t="s">
        <v>2444</v>
      </c>
      <c r="I2374" s="2">
        <v>22</v>
      </c>
      <c r="J2374">
        <v>4</v>
      </c>
      <c r="K2374" s="2">
        <v>5.5</v>
      </c>
      <c r="L2374" s="3">
        <f>(Table1[[#This Row],[Profit]]/Table1[[#This Row],[Sales]])*100</f>
        <v>25</v>
      </c>
    </row>
    <row r="2375" spans="1:12" x14ac:dyDescent="0.3">
      <c r="A2375" t="s">
        <v>5056</v>
      </c>
      <c r="B2375" s="1">
        <v>44035</v>
      </c>
      <c r="C2375" t="s">
        <v>275</v>
      </c>
      <c r="D2375" t="s">
        <v>276</v>
      </c>
      <c r="E2375" t="s">
        <v>14</v>
      </c>
      <c r="F2375" t="s">
        <v>23</v>
      </c>
      <c r="G2375" t="s">
        <v>24</v>
      </c>
      <c r="H2375" t="s">
        <v>1458</v>
      </c>
      <c r="I2375" s="2">
        <v>99.191999999999993</v>
      </c>
      <c r="J2375">
        <v>3</v>
      </c>
      <c r="K2375" s="2">
        <v>5.5071000000000003</v>
      </c>
      <c r="L2375" s="3">
        <f>(Table1[[#This Row],[Profit]]/Table1[[#This Row],[Sales]])*100</f>
        <v>5.551959835470603</v>
      </c>
    </row>
    <row r="2376" spans="1:12" x14ac:dyDescent="0.3">
      <c r="A2376" t="s">
        <v>4943</v>
      </c>
      <c r="B2376" s="1">
        <v>44015</v>
      </c>
      <c r="C2376" t="s">
        <v>4944</v>
      </c>
      <c r="D2376" t="s">
        <v>4945</v>
      </c>
      <c r="E2376" t="s">
        <v>14</v>
      </c>
      <c r="F2376" t="s">
        <v>41</v>
      </c>
      <c r="G2376" t="s">
        <v>16</v>
      </c>
      <c r="H2376" t="s">
        <v>4227</v>
      </c>
      <c r="I2376" s="2">
        <v>124.99</v>
      </c>
      <c r="J2376">
        <v>1</v>
      </c>
      <c r="K2376" s="2">
        <v>5.5176999999999996</v>
      </c>
      <c r="L2376" s="3">
        <f>(Table1[[#This Row],[Profit]]/Table1[[#This Row],[Sales]])*100</f>
        <v>4.4145131610528843</v>
      </c>
    </row>
    <row r="2377" spans="1:12" x14ac:dyDescent="0.3">
      <c r="A2377" t="s">
        <v>1383</v>
      </c>
      <c r="B2377" s="1">
        <v>43600</v>
      </c>
      <c r="C2377" t="s">
        <v>1384</v>
      </c>
      <c r="D2377" t="s">
        <v>1385</v>
      </c>
      <c r="E2377" t="s">
        <v>14</v>
      </c>
      <c r="F2377" t="s">
        <v>15</v>
      </c>
      <c r="G2377" t="s">
        <v>24</v>
      </c>
      <c r="H2377" t="s">
        <v>1386</v>
      </c>
      <c r="I2377" s="2">
        <v>15.231999999999999</v>
      </c>
      <c r="J2377">
        <v>4</v>
      </c>
      <c r="K2377" s="2">
        <v>5.5216000000000003</v>
      </c>
      <c r="L2377" s="3">
        <f>(Table1[[#This Row],[Profit]]/Table1[[#This Row],[Sales]])*100</f>
        <v>36.250000000000007</v>
      </c>
    </row>
    <row r="2378" spans="1:12" x14ac:dyDescent="0.3">
      <c r="A2378" t="s">
        <v>3442</v>
      </c>
      <c r="B2378" s="1">
        <v>43786</v>
      </c>
      <c r="C2378" t="s">
        <v>3443</v>
      </c>
      <c r="D2378" t="s">
        <v>3444</v>
      </c>
      <c r="E2378" t="s">
        <v>14</v>
      </c>
      <c r="F2378" t="s">
        <v>29</v>
      </c>
      <c r="G2378" t="s">
        <v>24</v>
      </c>
      <c r="H2378" t="s">
        <v>1386</v>
      </c>
      <c r="I2378" s="2">
        <v>15.231999999999999</v>
      </c>
      <c r="J2378">
        <v>4</v>
      </c>
      <c r="K2378" s="2">
        <v>5.5216000000000003</v>
      </c>
      <c r="L2378" s="3">
        <f>(Table1[[#This Row],[Profit]]/Table1[[#This Row],[Sales]])*100</f>
        <v>36.250000000000007</v>
      </c>
    </row>
    <row r="2379" spans="1:12" x14ac:dyDescent="0.3">
      <c r="A2379" t="s">
        <v>778</v>
      </c>
      <c r="B2379" s="1">
        <v>43550</v>
      </c>
      <c r="C2379" t="s">
        <v>779</v>
      </c>
      <c r="D2379" t="s">
        <v>780</v>
      </c>
      <c r="E2379" t="s">
        <v>14</v>
      </c>
      <c r="F2379" t="s">
        <v>23</v>
      </c>
      <c r="G2379" t="s">
        <v>24</v>
      </c>
      <c r="H2379" t="s">
        <v>782</v>
      </c>
      <c r="I2379" s="2">
        <v>17.04</v>
      </c>
      <c r="J2379">
        <v>3</v>
      </c>
      <c r="K2379" s="2">
        <v>5.5380000000000003</v>
      </c>
      <c r="L2379" s="3">
        <f>(Table1[[#This Row],[Profit]]/Table1[[#This Row],[Sales]])*100</f>
        <v>32.5</v>
      </c>
    </row>
    <row r="2380" spans="1:12" x14ac:dyDescent="0.3">
      <c r="A2380" t="s">
        <v>5515</v>
      </c>
      <c r="B2380" s="1">
        <v>44100</v>
      </c>
      <c r="C2380" t="s">
        <v>2066</v>
      </c>
      <c r="D2380" t="s">
        <v>2067</v>
      </c>
      <c r="E2380" t="s">
        <v>14</v>
      </c>
      <c r="F2380" t="s">
        <v>23</v>
      </c>
      <c r="G2380" t="s">
        <v>24</v>
      </c>
      <c r="H2380" t="s">
        <v>782</v>
      </c>
      <c r="I2380" s="2">
        <v>90.04</v>
      </c>
      <c r="J2380">
        <v>3</v>
      </c>
      <c r="K2380" s="2">
        <v>5.5380000000000003</v>
      </c>
      <c r="L2380" s="3">
        <f>(Table1[[#This Row],[Profit]]/Table1[[#This Row],[Sales]])*100</f>
        <v>6.1505997334517986</v>
      </c>
    </row>
    <row r="2381" spans="1:12" x14ac:dyDescent="0.3">
      <c r="A2381" t="s">
        <v>5087</v>
      </c>
      <c r="B2381" s="1">
        <v>44043</v>
      </c>
      <c r="C2381" t="s">
        <v>2520</v>
      </c>
      <c r="D2381" t="s">
        <v>2521</v>
      </c>
      <c r="E2381" t="s">
        <v>14</v>
      </c>
      <c r="F2381" t="s">
        <v>15</v>
      </c>
      <c r="G2381" t="s">
        <v>24</v>
      </c>
      <c r="H2381" t="s">
        <v>2491</v>
      </c>
      <c r="I2381" s="2">
        <v>123.54</v>
      </c>
      <c r="J2381">
        <v>1</v>
      </c>
      <c r="K2381" s="2">
        <v>5.5392000000000001</v>
      </c>
      <c r="L2381" s="3">
        <f>(Table1[[#This Row],[Profit]]/Table1[[#This Row],[Sales]])*100</f>
        <v>4.4837299660029135</v>
      </c>
    </row>
    <row r="2382" spans="1:12" x14ac:dyDescent="0.3">
      <c r="A2382" t="s">
        <v>5715</v>
      </c>
      <c r="B2382" s="1">
        <v>44131</v>
      </c>
      <c r="C2382" t="s">
        <v>1456</v>
      </c>
      <c r="D2382" t="s">
        <v>1457</v>
      </c>
      <c r="E2382" t="s">
        <v>14</v>
      </c>
      <c r="F2382" t="s">
        <v>29</v>
      </c>
      <c r="G2382" t="s">
        <v>24</v>
      </c>
      <c r="H2382" t="s">
        <v>5690</v>
      </c>
      <c r="I2382" s="2">
        <v>87.84</v>
      </c>
      <c r="J2382">
        <v>2</v>
      </c>
      <c r="K2382" s="2">
        <v>5.5439999999999996</v>
      </c>
      <c r="L2382" s="3">
        <f>(Table1[[#This Row],[Profit]]/Table1[[#This Row],[Sales]])*100</f>
        <v>6.3114754098360653</v>
      </c>
    </row>
    <row r="2383" spans="1:12" x14ac:dyDescent="0.3">
      <c r="A2383" t="s">
        <v>5281</v>
      </c>
      <c r="B2383" s="1">
        <v>44078</v>
      </c>
      <c r="C2383" t="s">
        <v>2359</v>
      </c>
      <c r="D2383" t="s">
        <v>2360</v>
      </c>
      <c r="E2383" t="s">
        <v>14</v>
      </c>
      <c r="F2383" t="s">
        <v>29</v>
      </c>
      <c r="G2383" t="s">
        <v>24</v>
      </c>
      <c r="H2383" t="s">
        <v>3932</v>
      </c>
      <c r="I2383" s="2">
        <v>150.76</v>
      </c>
      <c r="J2383">
        <v>3</v>
      </c>
      <c r="K2383" s="2">
        <v>5.55</v>
      </c>
      <c r="L2383" s="3">
        <f>(Table1[[#This Row],[Profit]]/Table1[[#This Row],[Sales]])*100</f>
        <v>3.6813478376227113</v>
      </c>
    </row>
    <row r="2384" spans="1:12" x14ac:dyDescent="0.3">
      <c r="A2384" t="s">
        <v>810</v>
      </c>
      <c r="B2384" s="1">
        <v>43554</v>
      </c>
      <c r="C2384" t="s">
        <v>811</v>
      </c>
      <c r="D2384" t="s">
        <v>812</v>
      </c>
      <c r="E2384" t="s">
        <v>14</v>
      </c>
      <c r="F2384" t="s">
        <v>15</v>
      </c>
      <c r="G2384" t="s">
        <v>24</v>
      </c>
      <c r="H2384" t="s">
        <v>813</v>
      </c>
      <c r="I2384" s="2">
        <v>11.34</v>
      </c>
      <c r="J2384">
        <v>1</v>
      </c>
      <c r="K2384" s="2">
        <v>5.5566000000000004</v>
      </c>
      <c r="L2384" s="3">
        <f>(Table1[[#This Row],[Profit]]/Table1[[#This Row],[Sales]])*100</f>
        <v>49.000000000000007</v>
      </c>
    </row>
    <row r="2385" spans="1:12" x14ac:dyDescent="0.3">
      <c r="A2385" t="s">
        <v>3395</v>
      </c>
      <c r="B2385" s="1">
        <v>43781</v>
      </c>
      <c r="C2385" t="s">
        <v>2827</v>
      </c>
      <c r="D2385" t="s">
        <v>2828</v>
      </c>
      <c r="E2385" t="s">
        <v>14</v>
      </c>
      <c r="F2385" t="s">
        <v>29</v>
      </c>
      <c r="G2385" t="s">
        <v>24</v>
      </c>
      <c r="H2385" t="s">
        <v>3237</v>
      </c>
      <c r="I2385" s="2">
        <v>20.58</v>
      </c>
      <c r="J2385">
        <v>7</v>
      </c>
      <c r="K2385" s="2">
        <v>5.5566000000000004</v>
      </c>
      <c r="L2385" s="3">
        <f>(Table1[[#This Row],[Profit]]/Table1[[#This Row],[Sales]])*100</f>
        <v>27</v>
      </c>
    </row>
    <row r="2386" spans="1:12" x14ac:dyDescent="0.3">
      <c r="A2386" t="s">
        <v>4013</v>
      </c>
      <c r="B2386" s="1">
        <v>43844</v>
      </c>
      <c r="C2386" t="s">
        <v>4014</v>
      </c>
      <c r="D2386" t="s">
        <v>4015</v>
      </c>
      <c r="E2386" t="s">
        <v>14</v>
      </c>
      <c r="F2386" t="s">
        <v>29</v>
      </c>
      <c r="G2386" t="s">
        <v>24</v>
      </c>
      <c r="H2386" t="s">
        <v>813</v>
      </c>
      <c r="I2386" s="2">
        <v>99.34</v>
      </c>
      <c r="J2386">
        <v>1</v>
      </c>
      <c r="K2386" s="2">
        <v>5.5566000000000004</v>
      </c>
      <c r="L2386" s="3">
        <f>(Table1[[#This Row],[Profit]]/Table1[[#This Row],[Sales]])*100</f>
        <v>5.5935172136098252</v>
      </c>
    </row>
    <row r="2387" spans="1:12" x14ac:dyDescent="0.3">
      <c r="A2387" t="s">
        <v>5711</v>
      </c>
      <c r="B2387" s="1">
        <v>44130</v>
      </c>
      <c r="C2387" t="s">
        <v>1677</v>
      </c>
      <c r="D2387" t="s">
        <v>1678</v>
      </c>
      <c r="E2387" t="s">
        <v>14</v>
      </c>
      <c r="F2387" t="s">
        <v>29</v>
      </c>
      <c r="G2387" t="s">
        <v>24</v>
      </c>
      <c r="H2387" t="s">
        <v>4103</v>
      </c>
      <c r="I2387" s="2">
        <v>149.61600000000001</v>
      </c>
      <c r="J2387">
        <v>2</v>
      </c>
      <c r="K2387" s="2">
        <v>5.5616000000000003</v>
      </c>
      <c r="L2387" s="3">
        <f>(Table1[[#This Row],[Profit]]/Table1[[#This Row],[Sales]])*100</f>
        <v>3.7172494920329378</v>
      </c>
    </row>
    <row r="2388" spans="1:12" x14ac:dyDescent="0.3">
      <c r="A2388" t="s">
        <v>389</v>
      </c>
      <c r="B2388" s="1">
        <v>43516</v>
      </c>
      <c r="C2388" t="s">
        <v>390</v>
      </c>
      <c r="D2388" t="s">
        <v>391</v>
      </c>
      <c r="E2388" t="s">
        <v>14</v>
      </c>
      <c r="F2388" t="s">
        <v>41</v>
      </c>
      <c r="G2388" t="s">
        <v>24</v>
      </c>
      <c r="H2388" t="s">
        <v>392</v>
      </c>
      <c r="I2388" s="2">
        <v>16.495999999999999</v>
      </c>
      <c r="J2388">
        <v>2</v>
      </c>
      <c r="K2388" s="2">
        <v>5.5674000000000001</v>
      </c>
      <c r="L2388" s="3">
        <f>(Table1[[#This Row],[Profit]]/Table1[[#This Row],[Sales]])*100</f>
        <v>33.75</v>
      </c>
    </row>
    <row r="2389" spans="1:12" x14ac:dyDescent="0.3">
      <c r="A2389" t="s">
        <v>2061</v>
      </c>
      <c r="B2389" s="1">
        <v>43662</v>
      </c>
      <c r="C2389" t="s">
        <v>197</v>
      </c>
      <c r="D2389" t="s">
        <v>198</v>
      </c>
      <c r="E2389" t="s">
        <v>14</v>
      </c>
      <c r="F2389" t="s">
        <v>41</v>
      </c>
      <c r="G2389" t="s">
        <v>24</v>
      </c>
      <c r="H2389" t="s">
        <v>2062</v>
      </c>
      <c r="I2389" s="2">
        <v>22.32</v>
      </c>
      <c r="J2389">
        <v>3</v>
      </c>
      <c r="K2389" s="2">
        <v>5.58</v>
      </c>
      <c r="L2389" s="3">
        <f>(Table1[[#This Row],[Profit]]/Table1[[#This Row],[Sales]])*100</f>
        <v>25</v>
      </c>
    </row>
    <row r="2390" spans="1:12" x14ac:dyDescent="0.3">
      <c r="A2390" t="s">
        <v>6263</v>
      </c>
      <c r="B2390" s="1">
        <v>44189</v>
      </c>
      <c r="C2390" t="s">
        <v>2967</v>
      </c>
      <c r="D2390" t="s">
        <v>2968</v>
      </c>
      <c r="E2390" t="s">
        <v>14</v>
      </c>
      <c r="F2390" t="s">
        <v>15</v>
      </c>
      <c r="G2390" t="s">
        <v>24</v>
      </c>
      <c r="H2390" t="s">
        <v>803</v>
      </c>
      <c r="I2390" s="2">
        <v>362.88</v>
      </c>
      <c r="J2390">
        <v>3</v>
      </c>
      <c r="K2390" s="2">
        <v>5.5875000000000004</v>
      </c>
      <c r="L2390" s="3">
        <f>(Table1[[#This Row],[Profit]]/Table1[[#This Row],[Sales]])*100</f>
        <v>1.5397652116402119</v>
      </c>
    </row>
    <row r="2391" spans="1:12" x14ac:dyDescent="0.3">
      <c r="A2391" t="s">
        <v>3146</v>
      </c>
      <c r="B2391" s="1">
        <v>43759</v>
      </c>
      <c r="C2391" t="s">
        <v>815</v>
      </c>
      <c r="D2391" t="s">
        <v>816</v>
      </c>
      <c r="E2391" t="s">
        <v>14</v>
      </c>
      <c r="F2391" t="s">
        <v>23</v>
      </c>
      <c r="G2391" t="s">
        <v>16</v>
      </c>
      <c r="H2391" t="s">
        <v>786</v>
      </c>
      <c r="I2391" s="2">
        <v>19.96</v>
      </c>
      <c r="J2391">
        <v>2</v>
      </c>
      <c r="K2391" s="2">
        <v>5.5888</v>
      </c>
      <c r="L2391" s="3">
        <f>(Table1[[#This Row],[Profit]]/Table1[[#This Row],[Sales]])*100</f>
        <v>27.999999999999996</v>
      </c>
    </row>
    <row r="2392" spans="1:12" x14ac:dyDescent="0.3">
      <c r="A2392" t="s">
        <v>2844</v>
      </c>
      <c r="B2392" s="1">
        <v>43730</v>
      </c>
      <c r="C2392" t="s">
        <v>1456</v>
      </c>
      <c r="D2392" t="s">
        <v>1457</v>
      </c>
      <c r="E2392" t="s">
        <v>14</v>
      </c>
      <c r="F2392" t="s">
        <v>41</v>
      </c>
      <c r="G2392" t="s">
        <v>18</v>
      </c>
      <c r="H2392" t="s">
        <v>2845</v>
      </c>
      <c r="I2392" s="2">
        <v>63.936</v>
      </c>
      <c r="J2392">
        <v>8</v>
      </c>
      <c r="K2392" s="2">
        <v>5.5944000000000003</v>
      </c>
      <c r="L2392" s="3">
        <f>(Table1[[#This Row],[Profit]]/Table1[[#This Row],[Sales]])*100</f>
        <v>8.75</v>
      </c>
    </row>
    <row r="2393" spans="1:12" x14ac:dyDescent="0.3">
      <c r="A2393" t="s">
        <v>5421</v>
      </c>
      <c r="B2393" s="1">
        <v>44090</v>
      </c>
      <c r="C2393" t="s">
        <v>1929</v>
      </c>
      <c r="D2393" t="s">
        <v>1930</v>
      </c>
      <c r="E2393" t="s">
        <v>14</v>
      </c>
      <c r="F2393" t="s">
        <v>29</v>
      </c>
      <c r="G2393" t="s">
        <v>18</v>
      </c>
      <c r="H2393" t="s">
        <v>2451</v>
      </c>
      <c r="I2393" s="2">
        <v>162.99199999999999</v>
      </c>
      <c r="J2393">
        <v>1</v>
      </c>
      <c r="K2393" s="2">
        <v>5.5991999999999997</v>
      </c>
      <c r="L2393" s="3">
        <f>(Table1[[#This Row],[Profit]]/Table1[[#This Row],[Sales]])*100</f>
        <v>3.4352606262884069</v>
      </c>
    </row>
    <row r="2394" spans="1:12" x14ac:dyDescent="0.3">
      <c r="A2394" t="s">
        <v>5252</v>
      </c>
      <c r="B2394" s="1">
        <v>44076</v>
      </c>
      <c r="C2394" t="s">
        <v>3172</v>
      </c>
      <c r="D2394" t="s">
        <v>3173</v>
      </c>
      <c r="E2394" t="s">
        <v>14</v>
      </c>
      <c r="F2394" t="s">
        <v>29</v>
      </c>
      <c r="G2394" t="s">
        <v>24</v>
      </c>
      <c r="H2394" t="s">
        <v>939</v>
      </c>
      <c r="I2394" s="2">
        <v>112</v>
      </c>
      <c r="J2394">
        <v>4</v>
      </c>
      <c r="K2394" s="2">
        <v>5.6</v>
      </c>
      <c r="L2394" s="3">
        <f>(Table1[[#This Row],[Profit]]/Table1[[#This Row],[Sales]])*100</f>
        <v>5</v>
      </c>
    </row>
    <row r="2395" spans="1:12" x14ac:dyDescent="0.3">
      <c r="A2395" t="s">
        <v>1644</v>
      </c>
      <c r="B2395" s="1">
        <v>43622</v>
      </c>
      <c r="C2395" t="s">
        <v>602</v>
      </c>
      <c r="D2395" t="s">
        <v>603</v>
      </c>
      <c r="E2395" t="s">
        <v>14</v>
      </c>
      <c r="F2395" t="s">
        <v>41</v>
      </c>
      <c r="G2395" t="s">
        <v>24</v>
      </c>
      <c r="H2395" t="s">
        <v>1085</v>
      </c>
      <c r="I2395" s="2">
        <v>11.67</v>
      </c>
      <c r="J2395">
        <v>3</v>
      </c>
      <c r="K2395" s="2">
        <v>5.6016000000000004</v>
      </c>
      <c r="L2395" s="3">
        <f>(Table1[[#This Row],[Profit]]/Table1[[#This Row],[Sales]])*100</f>
        <v>48.000000000000007</v>
      </c>
    </row>
    <row r="2396" spans="1:12" x14ac:dyDescent="0.3">
      <c r="A2396" t="s">
        <v>6283</v>
      </c>
      <c r="B2396" s="1">
        <v>44191</v>
      </c>
      <c r="C2396" t="s">
        <v>305</v>
      </c>
      <c r="D2396" t="s">
        <v>306</v>
      </c>
      <c r="E2396" t="s">
        <v>14</v>
      </c>
      <c r="F2396" t="s">
        <v>29</v>
      </c>
      <c r="G2396" t="s">
        <v>24</v>
      </c>
      <c r="H2396" t="s">
        <v>121</v>
      </c>
      <c r="I2396" s="2">
        <v>324.03199999999998</v>
      </c>
      <c r="J2396">
        <v>3</v>
      </c>
      <c r="K2396" s="2">
        <v>5.6112000000000002</v>
      </c>
      <c r="L2396" s="3">
        <f>(Table1[[#This Row],[Profit]]/Table1[[#This Row],[Sales]])*100</f>
        <v>1.7316808216472448</v>
      </c>
    </row>
    <row r="2397" spans="1:12" x14ac:dyDescent="0.3">
      <c r="A2397" t="s">
        <v>2480</v>
      </c>
      <c r="B2397" s="1">
        <v>43705</v>
      </c>
      <c r="C2397" t="s">
        <v>2481</v>
      </c>
      <c r="D2397" t="s">
        <v>2482</v>
      </c>
      <c r="E2397" t="s">
        <v>14</v>
      </c>
      <c r="F2397" t="s">
        <v>23</v>
      </c>
      <c r="G2397" t="s">
        <v>24</v>
      </c>
      <c r="H2397" t="s">
        <v>2483</v>
      </c>
      <c r="I2397" s="2">
        <v>15.48</v>
      </c>
      <c r="J2397">
        <v>3</v>
      </c>
      <c r="K2397" s="2">
        <v>5.6115000000000004</v>
      </c>
      <c r="L2397" s="3">
        <f>(Table1[[#This Row],[Profit]]/Table1[[#This Row],[Sales]])*100</f>
        <v>36.25</v>
      </c>
    </row>
    <row r="2398" spans="1:12" x14ac:dyDescent="0.3">
      <c r="A2398" t="s">
        <v>1882</v>
      </c>
      <c r="B2398" s="1">
        <v>43642</v>
      </c>
      <c r="C2398" t="s">
        <v>1883</v>
      </c>
      <c r="D2398" t="s">
        <v>1884</v>
      </c>
      <c r="E2398" t="s">
        <v>14</v>
      </c>
      <c r="F2398" t="s">
        <v>23</v>
      </c>
      <c r="G2398" t="s">
        <v>24</v>
      </c>
      <c r="H2398" t="s">
        <v>1886</v>
      </c>
      <c r="I2398" s="2">
        <v>12.48</v>
      </c>
      <c r="J2398">
        <v>2</v>
      </c>
      <c r="K2398" s="2">
        <v>5.6159999999999997</v>
      </c>
      <c r="L2398" s="3">
        <f>(Table1[[#This Row],[Profit]]/Table1[[#This Row],[Sales]])*100</f>
        <v>44.999999999999993</v>
      </c>
    </row>
    <row r="2399" spans="1:12" x14ac:dyDescent="0.3">
      <c r="A2399" t="s">
        <v>4772</v>
      </c>
      <c r="B2399" s="1">
        <v>43986</v>
      </c>
      <c r="C2399" t="s">
        <v>762</v>
      </c>
      <c r="D2399" t="s">
        <v>763</v>
      </c>
      <c r="E2399" t="s">
        <v>14</v>
      </c>
      <c r="F2399" t="s">
        <v>41</v>
      </c>
      <c r="G2399" t="s">
        <v>24</v>
      </c>
      <c r="H2399" t="s">
        <v>1886</v>
      </c>
      <c r="I2399" s="2">
        <v>125.48</v>
      </c>
      <c r="J2399">
        <v>2</v>
      </c>
      <c r="K2399" s="2">
        <v>5.6159999999999997</v>
      </c>
      <c r="L2399" s="3">
        <f>(Table1[[#This Row],[Profit]]/Table1[[#This Row],[Sales]])*100</f>
        <v>4.4756136436085425</v>
      </c>
    </row>
    <row r="2400" spans="1:12" x14ac:dyDescent="0.3">
      <c r="A2400" t="s">
        <v>1725</v>
      </c>
      <c r="B2400" s="1">
        <v>43628</v>
      </c>
      <c r="C2400" t="s">
        <v>1726</v>
      </c>
      <c r="D2400" t="s">
        <v>1727</v>
      </c>
      <c r="E2400" t="s">
        <v>14</v>
      </c>
      <c r="F2400" t="s">
        <v>29</v>
      </c>
      <c r="G2400" t="s">
        <v>24</v>
      </c>
      <c r="H2400" t="s">
        <v>1731</v>
      </c>
      <c r="I2400" s="2">
        <v>15.552</v>
      </c>
      <c r="J2400">
        <v>3</v>
      </c>
      <c r="K2400" s="2">
        <v>5.6375999999999999</v>
      </c>
      <c r="L2400" s="3">
        <f>(Table1[[#This Row],[Profit]]/Table1[[#This Row],[Sales]])*100</f>
        <v>36.25</v>
      </c>
    </row>
    <row r="2401" spans="1:12" x14ac:dyDescent="0.3">
      <c r="A2401" t="s">
        <v>4258</v>
      </c>
      <c r="B2401" s="1">
        <v>43903</v>
      </c>
      <c r="C2401" t="s">
        <v>1935</v>
      </c>
      <c r="D2401" t="s">
        <v>1936</v>
      </c>
      <c r="E2401" t="s">
        <v>14</v>
      </c>
      <c r="F2401" t="s">
        <v>29</v>
      </c>
      <c r="G2401" t="s">
        <v>24</v>
      </c>
      <c r="H2401" t="s">
        <v>541</v>
      </c>
      <c r="I2401" s="2">
        <v>122.55200000000001</v>
      </c>
      <c r="J2401">
        <v>3</v>
      </c>
      <c r="K2401" s="2">
        <v>5.6375999999999999</v>
      </c>
      <c r="L2401" s="3">
        <f>(Table1[[#This Row],[Profit]]/Table1[[#This Row],[Sales]])*100</f>
        <v>4.6001697238723152</v>
      </c>
    </row>
    <row r="2402" spans="1:12" x14ac:dyDescent="0.3">
      <c r="A2402" t="s">
        <v>4654</v>
      </c>
      <c r="B2402" s="1">
        <v>43966</v>
      </c>
      <c r="C2402" t="s">
        <v>2516</v>
      </c>
      <c r="D2402" t="s">
        <v>2517</v>
      </c>
      <c r="E2402" t="s">
        <v>14</v>
      </c>
      <c r="F2402" t="s">
        <v>23</v>
      </c>
      <c r="G2402" t="s">
        <v>24</v>
      </c>
      <c r="H2402" t="s">
        <v>4655</v>
      </c>
      <c r="I2402" s="2">
        <v>108.55200000000001</v>
      </c>
      <c r="J2402">
        <v>3</v>
      </c>
      <c r="K2402" s="2">
        <v>5.6375999999999999</v>
      </c>
      <c r="L2402" s="3">
        <f>(Table1[[#This Row],[Profit]]/Table1[[#This Row],[Sales]])*100</f>
        <v>5.1934556710148128</v>
      </c>
    </row>
    <row r="2403" spans="1:12" x14ac:dyDescent="0.3">
      <c r="A2403" t="s">
        <v>4958</v>
      </c>
      <c r="B2403" s="1">
        <v>44017</v>
      </c>
      <c r="C2403" t="s">
        <v>2088</v>
      </c>
      <c r="D2403" t="s">
        <v>2089</v>
      </c>
      <c r="E2403" t="s">
        <v>14</v>
      </c>
      <c r="F2403" t="s">
        <v>29</v>
      </c>
      <c r="G2403" t="s">
        <v>24</v>
      </c>
      <c r="H2403" t="s">
        <v>1731</v>
      </c>
      <c r="I2403" s="2">
        <v>96.552000000000007</v>
      </c>
      <c r="J2403">
        <v>3</v>
      </c>
      <c r="K2403" s="2">
        <v>5.6375999999999999</v>
      </c>
      <c r="L2403" s="3">
        <f>(Table1[[#This Row],[Profit]]/Table1[[#This Row],[Sales]])*100</f>
        <v>5.8389261744966436</v>
      </c>
    </row>
    <row r="2404" spans="1:12" x14ac:dyDescent="0.3">
      <c r="A2404" t="s">
        <v>4220</v>
      </c>
      <c r="B2404" s="1">
        <v>43896</v>
      </c>
      <c r="C2404" t="s">
        <v>3109</v>
      </c>
      <c r="D2404" t="s">
        <v>3110</v>
      </c>
      <c r="E2404" t="s">
        <v>14</v>
      </c>
      <c r="F2404" t="s">
        <v>23</v>
      </c>
      <c r="G2404" t="s">
        <v>24</v>
      </c>
      <c r="H2404" t="s">
        <v>2378</v>
      </c>
      <c r="I2404" s="2">
        <v>127.52</v>
      </c>
      <c r="J2404">
        <v>4</v>
      </c>
      <c r="K2404" s="2">
        <v>5.6448</v>
      </c>
      <c r="L2404" s="3">
        <f>(Table1[[#This Row],[Profit]]/Table1[[#This Row],[Sales]])*100</f>
        <v>4.4265997490589717</v>
      </c>
    </row>
    <row r="2405" spans="1:12" x14ac:dyDescent="0.3">
      <c r="A2405" t="s">
        <v>1817</v>
      </c>
      <c r="B2405" s="1">
        <v>43636</v>
      </c>
      <c r="C2405" t="s">
        <v>114</v>
      </c>
      <c r="D2405" t="s">
        <v>115</v>
      </c>
      <c r="E2405" t="s">
        <v>14</v>
      </c>
      <c r="F2405" t="s">
        <v>23</v>
      </c>
      <c r="G2405" t="s">
        <v>24</v>
      </c>
      <c r="H2405" t="s">
        <v>1818</v>
      </c>
      <c r="I2405" s="2">
        <v>21.78</v>
      </c>
      <c r="J2405">
        <v>2</v>
      </c>
      <c r="K2405" s="2">
        <v>5.6627999999999998</v>
      </c>
      <c r="L2405" s="3">
        <f>(Table1[[#This Row],[Profit]]/Table1[[#This Row],[Sales]])*100</f>
        <v>25.999999999999996</v>
      </c>
    </row>
    <row r="2406" spans="1:12" x14ac:dyDescent="0.3">
      <c r="A2406" t="s">
        <v>3669</v>
      </c>
      <c r="B2406" s="1">
        <v>43801</v>
      </c>
      <c r="C2406" t="s">
        <v>2760</v>
      </c>
      <c r="D2406" t="s">
        <v>2761</v>
      </c>
      <c r="E2406" t="s">
        <v>14</v>
      </c>
      <c r="F2406" t="s">
        <v>23</v>
      </c>
      <c r="G2406" t="s">
        <v>16</v>
      </c>
      <c r="H2406" t="s">
        <v>3676</v>
      </c>
      <c r="I2406" s="2">
        <v>14.52</v>
      </c>
      <c r="J2406">
        <v>3</v>
      </c>
      <c r="K2406" s="2">
        <v>5.6627999999999998</v>
      </c>
      <c r="L2406" s="3">
        <f>(Table1[[#This Row],[Profit]]/Table1[[#This Row],[Sales]])*100</f>
        <v>39</v>
      </c>
    </row>
    <row r="2407" spans="1:12" x14ac:dyDescent="0.3">
      <c r="A2407" t="s">
        <v>2449</v>
      </c>
      <c r="B2407" s="1">
        <v>43703</v>
      </c>
      <c r="C2407" t="s">
        <v>2073</v>
      </c>
      <c r="D2407" t="s">
        <v>2074</v>
      </c>
      <c r="E2407" t="s">
        <v>14</v>
      </c>
      <c r="F2407" t="s">
        <v>29</v>
      </c>
      <c r="G2407" t="s">
        <v>24</v>
      </c>
      <c r="H2407" t="s">
        <v>2450</v>
      </c>
      <c r="I2407" s="2">
        <v>11.56</v>
      </c>
      <c r="J2407">
        <v>2</v>
      </c>
      <c r="K2407" s="2">
        <v>5.6643999999999997</v>
      </c>
      <c r="L2407" s="3">
        <f>(Table1[[#This Row],[Profit]]/Table1[[#This Row],[Sales]])*100</f>
        <v>48.999999999999993</v>
      </c>
    </row>
    <row r="2408" spans="1:12" x14ac:dyDescent="0.3">
      <c r="A2408" t="s">
        <v>3538</v>
      </c>
      <c r="B2408" s="1">
        <v>43793</v>
      </c>
      <c r="C2408" t="s">
        <v>3539</v>
      </c>
      <c r="D2408" t="s">
        <v>3540</v>
      </c>
      <c r="E2408" t="s">
        <v>14</v>
      </c>
      <c r="F2408" t="s">
        <v>15</v>
      </c>
      <c r="G2408" t="s">
        <v>24</v>
      </c>
      <c r="H2408" t="s">
        <v>1393</v>
      </c>
      <c r="I2408" s="2">
        <v>11.56</v>
      </c>
      <c r="J2408">
        <v>2</v>
      </c>
      <c r="K2408" s="2">
        <v>5.6643999999999997</v>
      </c>
      <c r="L2408" s="3">
        <f>(Table1[[#This Row],[Profit]]/Table1[[#This Row],[Sales]])*100</f>
        <v>48.999999999999993</v>
      </c>
    </row>
    <row r="2409" spans="1:12" x14ac:dyDescent="0.3">
      <c r="A2409" t="s">
        <v>5390</v>
      </c>
      <c r="B2409" s="1">
        <v>44088</v>
      </c>
      <c r="C2409" t="s">
        <v>652</v>
      </c>
      <c r="D2409" t="s">
        <v>653</v>
      </c>
      <c r="E2409" t="s">
        <v>14</v>
      </c>
      <c r="F2409" t="s">
        <v>15</v>
      </c>
      <c r="G2409" t="s">
        <v>24</v>
      </c>
      <c r="H2409" t="s">
        <v>3512</v>
      </c>
      <c r="I2409" s="2">
        <v>119.56</v>
      </c>
      <c r="J2409">
        <v>2</v>
      </c>
      <c r="K2409" s="2">
        <v>5.6643999999999997</v>
      </c>
      <c r="L2409" s="3">
        <f>(Table1[[#This Row],[Profit]]/Table1[[#This Row],[Sales]])*100</f>
        <v>4.7377049180327866</v>
      </c>
    </row>
    <row r="2410" spans="1:12" x14ac:dyDescent="0.3">
      <c r="A2410" t="s">
        <v>5700</v>
      </c>
      <c r="B2410" s="1">
        <v>44127</v>
      </c>
      <c r="C2410" t="s">
        <v>5701</v>
      </c>
      <c r="D2410" t="s">
        <v>5702</v>
      </c>
      <c r="E2410" t="s">
        <v>14</v>
      </c>
      <c r="F2410" t="s">
        <v>15</v>
      </c>
      <c r="G2410" t="s">
        <v>24</v>
      </c>
      <c r="H2410" t="s">
        <v>5703</v>
      </c>
      <c r="I2410" s="2">
        <v>88.56</v>
      </c>
      <c r="J2410">
        <v>2</v>
      </c>
      <c r="K2410" s="2">
        <v>5.6643999999999997</v>
      </c>
      <c r="L2410" s="3">
        <f>(Table1[[#This Row],[Profit]]/Table1[[#This Row],[Sales]])*100</f>
        <v>6.3961156278229447</v>
      </c>
    </row>
    <row r="2411" spans="1:12" x14ac:dyDescent="0.3">
      <c r="A2411" t="s">
        <v>5872</v>
      </c>
      <c r="B2411" s="1">
        <v>44147</v>
      </c>
      <c r="C2411" t="s">
        <v>3064</v>
      </c>
      <c r="D2411" t="s">
        <v>3065</v>
      </c>
      <c r="E2411" t="s">
        <v>14</v>
      </c>
      <c r="F2411" t="s">
        <v>23</v>
      </c>
      <c r="G2411" t="s">
        <v>24</v>
      </c>
      <c r="H2411" t="s">
        <v>1594</v>
      </c>
      <c r="I2411" s="2">
        <v>108.56</v>
      </c>
      <c r="J2411">
        <v>2</v>
      </c>
      <c r="K2411" s="2">
        <v>5.6643999999999997</v>
      </c>
      <c r="L2411" s="3">
        <f>(Table1[[#This Row],[Profit]]/Table1[[#This Row],[Sales]])*100</f>
        <v>5.2177597641857032</v>
      </c>
    </row>
    <row r="2412" spans="1:12" x14ac:dyDescent="0.3">
      <c r="A2412" t="s">
        <v>4069</v>
      </c>
      <c r="B2412" s="1">
        <v>43856</v>
      </c>
      <c r="C2412" t="s">
        <v>565</v>
      </c>
      <c r="D2412" t="s">
        <v>566</v>
      </c>
      <c r="E2412" t="s">
        <v>14</v>
      </c>
      <c r="F2412" t="s">
        <v>23</v>
      </c>
      <c r="G2412" t="s">
        <v>24</v>
      </c>
      <c r="H2412" t="s">
        <v>4070</v>
      </c>
      <c r="I2412" s="2">
        <v>96.84</v>
      </c>
      <c r="J2412">
        <v>8</v>
      </c>
      <c r="K2412" s="2">
        <v>5.6832000000000003</v>
      </c>
      <c r="L2412" s="3">
        <f>(Table1[[#This Row],[Profit]]/Table1[[#This Row],[Sales]])*100</f>
        <v>5.8686493184634445</v>
      </c>
    </row>
    <row r="2413" spans="1:12" x14ac:dyDescent="0.3">
      <c r="A2413" t="s">
        <v>1167</v>
      </c>
      <c r="B2413" s="1">
        <v>43583</v>
      </c>
      <c r="C2413" t="s">
        <v>1168</v>
      </c>
      <c r="D2413" t="s">
        <v>1169</v>
      </c>
      <c r="E2413" t="s">
        <v>14</v>
      </c>
      <c r="F2413" t="s">
        <v>29</v>
      </c>
      <c r="G2413" t="s">
        <v>24</v>
      </c>
      <c r="H2413" t="s">
        <v>1171</v>
      </c>
      <c r="I2413" s="2">
        <v>15.712</v>
      </c>
      <c r="J2413">
        <v>4</v>
      </c>
      <c r="K2413" s="2">
        <v>5.6955999999999998</v>
      </c>
      <c r="L2413" s="3">
        <f>(Table1[[#This Row],[Profit]]/Table1[[#This Row],[Sales]])*100</f>
        <v>36.25</v>
      </c>
    </row>
    <row r="2414" spans="1:12" x14ac:dyDescent="0.3">
      <c r="A2414" t="s">
        <v>2178</v>
      </c>
      <c r="B2414" s="1">
        <v>43671</v>
      </c>
      <c r="C2414" t="s">
        <v>2179</v>
      </c>
      <c r="D2414" t="s">
        <v>2180</v>
      </c>
      <c r="E2414" t="s">
        <v>14</v>
      </c>
      <c r="F2414" t="s">
        <v>29</v>
      </c>
      <c r="G2414" t="s">
        <v>24</v>
      </c>
      <c r="H2414" t="s">
        <v>1171</v>
      </c>
      <c r="I2414" s="2">
        <v>15.712</v>
      </c>
      <c r="J2414">
        <v>4</v>
      </c>
      <c r="K2414" s="2">
        <v>5.6955999999999998</v>
      </c>
      <c r="L2414" s="3">
        <f>(Table1[[#This Row],[Profit]]/Table1[[#This Row],[Sales]])*100</f>
        <v>36.25</v>
      </c>
    </row>
    <row r="2415" spans="1:12" x14ac:dyDescent="0.3">
      <c r="A2415" t="s">
        <v>2357</v>
      </c>
      <c r="B2415" s="1">
        <v>43694</v>
      </c>
      <c r="C2415" t="s">
        <v>59</v>
      </c>
      <c r="D2415" t="s">
        <v>60</v>
      </c>
      <c r="E2415" t="s">
        <v>14</v>
      </c>
      <c r="F2415" t="s">
        <v>23</v>
      </c>
      <c r="G2415" t="s">
        <v>24</v>
      </c>
      <c r="H2415" t="s">
        <v>944</v>
      </c>
      <c r="I2415" s="2">
        <v>15.712</v>
      </c>
      <c r="J2415">
        <v>4</v>
      </c>
      <c r="K2415" s="2">
        <v>5.6955999999999998</v>
      </c>
      <c r="L2415" s="3">
        <f>(Table1[[#This Row],[Profit]]/Table1[[#This Row],[Sales]])*100</f>
        <v>36.25</v>
      </c>
    </row>
    <row r="2416" spans="1:12" x14ac:dyDescent="0.3">
      <c r="A2416" t="s">
        <v>3146</v>
      </c>
      <c r="B2416" s="1">
        <v>43759</v>
      </c>
      <c r="C2416" t="s">
        <v>815</v>
      </c>
      <c r="D2416" t="s">
        <v>816</v>
      </c>
      <c r="E2416" t="s">
        <v>14</v>
      </c>
      <c r="F2416" t="s">
        <v>23</v>
      </c>
      <c r="G2416" t="s">
        <v>24</v>
      </c>
      <c r="H2416" t="s">
        <v>2442</v>
      </c>
      <c r="I2416" s="2">
        <v>12.39</v>
      </c>
      <c r="J2416">
        <v>3</v>
      </c>
      <c r="K2416" s="2">
        <v>5.6993999999999998</v>
      </c>
      <c r="L2416" s="3">
        <f>(Table1[[#This Row],[Profit]]/Table1[[#This Row],[Sales]])*100</f>
        <v>46</v>
      </c>
    </row>
    <row r="2417" spans="1:12" x14ac:dyDescent="0.3">
      <c r="A2417" t="s">
        <v>4542</v>
      </c>
      <c r="B2417" s="1">
        <v>43948</v>
      </c>
      <c r="C2417" t="s">
        <v>1024</v>
      </c>
      <c r="D2417" t="s">
        <v>1025</v>
      </c>
      <c r="E2417" t="s">
        <v>14</v>
      </c>
      <c r="F2417" t="s">
        <v>23</v>
      </c>
      <c r="G2417" t="s">
        <v>24</v>
      </c>
      <c r="H2417" t="s">
        <v>2442</v>
      </c>
      <c r="I2417" s="2">
        <v>87.39</v>
      </c>
      <c r="J2417">
        <v>3</v>
      </c>
      <c r="K2417" s="2">
        <v>5.6993999999999998</v>
      </c>
      <c r="L2417" s="3">
        <f>(Table1[[#This Row],[Profit]]/Table1[[#This Row],[Sales]])*100</f>
        <v>6.5217988328183996</v>
      </c>
    </row>
    <row r="2418" spans="1:12" x14ac:dyDescent="0.3">
      <c r="A2418" t="s">
        <v>5767</v>
      </c>
      <c r="B2418" s="1">
        <v>44138</v>
      </c>
      <c r="C2418" t="s">
        <v>5701</v>
      </c>
      <c r="D2418" t="s">
        <v>5702</v>
      </c>
      <c r="E2418" t="s">
        <v>14</v>
      </c>
      <c r="F2418" t="s">
        <v>41</v>
      </c>
      <c r="G2418" t="s">
        <v>24</v>
      </c>
      <c r="H2418" t="s">
        <v>167</v>
      </c>
      <c r="I2418" s="2">
        <v>132.38999999999999</v>
      </c>
      <c r="J2418">
        <v>3</v>
      </c>
      <c r="K2418" s="2">
        <v>5.6993999999999998</v>
      </c>
      <c r="L2418" s="3">
        <f>(Table1[[#This Row],[Profit]]/Table1[[#This Row],[Sales]])*100</f>
        <v>4.3050079311126224</v>
      </c>
    </row>
    <row r="2419" spans="1:12" x14ac:dyDescent="0.3">
      <c r="A2419" t="s">
        <v>5037</v>
      </c>
      <c r="B2419" s="1">
        <v>44033</v>
      </c>
      <c r="C2419" t="s">
        <v>2796</v>
      </c>
      <c r="D2419" t="s">
        <v>2797</v>
      </c>
      <c r="E2419" t="s">
        <v>14</v>
      </c>
      <c r="F2419" t="s">
        <v>41</v>
      </c>
      <c r="G2419" t="s">
        <v>24</v>
      </c>
      <c r="H2419" t="s">
        <v>1792</v>
      </c>
      <c r="I2419" s="2">
        <v>124.68</v>
      </c>
      <c r="J2419">
        <v>6</v>
      </c>
      <c r="K2419" s="2">
        <v>5.7072000000000003</v>
      </c>
      <c r="L2419" s="3">
        <f>(Table1[[#This Row],[Profit]]/Table1[[#This Row],[Sales]])*100</f>
        <v>4.5774783445620786</v>
      </c>
    </row>
    <row r="2420" spans="1:12" x14ac:dyDescent="0.3">
      <c r="A2420" t="s">
        <v>6165</v>
      </c>
      <c r="B2420" s="1">
        <v>44175</v>
      </c>
      <c r="C2420" t="s">
        <v>960</v>
      </c>
      <c r="D2420" t="s">
        <v>961</v>
      </c>
      <c r="E2420" t="s">
        <v>14</v>
      </c>
      <c r="F2420" t="s">
        <v>41</v>
      </c>
      <c r="G2420" t="s">
        <v>16</v>
      </c>
      <c r="H2420" t="s">
        <v>1286</v>
      </c>
      <c r="I2420" s="2">
        <v>396.10399999999998</v>
      </c>
      <c r="J2420">
        <v>3</v>
      </c>
      <c r="K2420" s="2">
        <v>5.7312000000000003</v>
      </c>
      <c r="L2420" s="3">
        <f>(Table1[[#This Row],[Profit]]/Table1[[#This Row],[Sales]])*100</f>
        <v>1.4468927352412499</v>
      </c>
    </row>
    <row r="2421" spans="1:12" x14ac:dyDescent="0.3">
      <c r="A2421" t="s">
        <v>4089</v>
      </c>
      <c r="B2421" s="1">
        <v>43860</v>
      </c>
      <c r="C2421" t="s">
        <v>924</v>
      </c>
      <c r="D2421" t="s">
        <v>925</v>
      </c>
      <c r="E2421" t="s">
        <v>14</v>
      </c>
      <c r="F2421" t="s">
        <v>23</v>
      </c>
      <c r="G2421" t="s">
        <v>24</v>
      </c>
      <c r="H2421" t="s">
        <v>2717</v>
      </c>
      <c r="I2421" s="2">
        <v>107.74</v>
      </c>
      <c r="J2421">
        <v>7</v>
      </c>
      <c r="K2421" s="2">
        <v>5.7329999999999997</v>
      </c>
      <c r="L2421" s="3">
        <f>(Table1[[#This Row],[Profit]]/Table1[[#This Row],[Sales]])*100</f>
        <v>5.3211434935956934</v>
      </c>
    </row>
    <row r="2422" spans="1:12" x14ac:dyDescent="0.3">
      <c r="A2422" t="s">
        <v>485</v>
      </c>
      <c r="B2422" s="1">
        <v>43527</v>
      </c>
      <c r="C2422" t="s">
        <v>486</v>
      </c>
      <c r="D2422" t="s">
        <v>487</v>
      </c>
      <c r="E2422" t="s">
        <v>14</v>
      </c>
      <c r="F2422" t="s">
        <v>29</v>
      </c>
      <c r="G2422" t="s">
        <v>18</v>
      </c>
      <c r="H2422" t="s">
        <v>491</v>
      </c>
      <c r="I2422" s="2">
        <v>41.72</v>
      </c>
      <c r="J2422">
        <v>7</v>
      </c>
      <c r="K2422" s="2">
        <v>5.7365000000000004</v>
      </c>
      <c r="L2422" s="3">
        <f>(Table1[[#This Row],[Profit]]/Table1[[#This Row],[Sales]])*100</f>
        <v>13.750000000000002</v>
      </c>
    </row>
    <row r="2423" spans="1:12" x14ac:dyDescent="0.3">
      <c r="A2423" t="s">
        <v>2519</v>
      </c>
      <c r="B2423" s="1">
        <v>43709</v>
      </c>
      <c r="C2423" t="s">
        <v>2520</v>
      </c>
      <c r="D2423" t="s">
        <v>2521</v>
      </c>
      <c r="E2423" t="s">
        <v>14</v>
      </c>
      <c r="F2423" t="s">
        <v>23</v>
      </c>
      <c r="G2423" t="s">
        <v>24</v>
      </c>
      <c r="H2423" t="s">
        <v>975</v>
      </c>
      <c r="I2423" s="2">
        <v>12.78</v>
      </c>
      <c r="J2423">
        <v>1</v>
      </c>
      <c r="K2423" s="2">
        <v>5.7510000000000003</v>
      </c>
      <c r="L2423" s="3">
        <f>(Table1[[#This Row],[Profit]]/Table1[[#This Row],[Sales]])*100</f>
        <v>45.000000000000007</v>
      </c>
    </row>
    <row r="2424" spans="1:12" x14ac:dyDescent="0.3">
      <c r="A2424" t="s">
        <v>6032</v>
      </c>
      <c r="B2424" s="1">
        <v>44162</v>
      </c>
      <c r="C2424" t="s">
        <v>5181</v>
      </c>
      <c r="D2424" t="s">
        <v>5182</v>
      </c>
      <c r="E2424" t="s">
        <v>14</v>
      </c>
      <c r="F2424" t="s">
        <v>23</v>
      </c>
      <c r="G2424" t="s">
        <v>18</v>
      </c>
      <c r="H2424" t="s">
        <v>2161</v>
      </c>
      <c r="I2424" s="2">
        <v>169.56800000000001</v>
      </c>
      <c r="J2424">
        <v>4</v>
      </c>
      <c r="K2424" s="2">
        <v>5.7568000000000001</v>
      </c>
      <c r="L2424" s="3">
        <f>(Table1[[#This Row],[Profit]]/Table1[[#This Row],[Sales]])*100</f>
        <v>3.3949801849405548</v>
      </c>
    </row>
    <row r="2425" spans="1:12" x14ac:dyDescent="0.3">
      <c r="A2425" t="s">
        <v>4150</v>
      </c>
      <c r="B2425" s="1">
        <v>43878</v>
      </c>
      <c r="C2425" t="s">
        <v>2292</v>
      </c>
      <c r="D2425" t="s">
        <v>2293</v>
      </c>
      <c r="E2425" t="s">
        <v>14</v>
      </c>
      <c r="F2425" t="s">
        <v>15</v>
      </c>
      <c r="G2425" t="s">
        <v>24</v>
      </c>
      <c r="H2425" t="s">
        <v>781</v>
      </c>
      <c r="I2425" s="2">
        <v>128.76</v>
      </c>
      <c r="J2425">
        <v>2</v>
      </c>
      <c r="K2425" s="2">
        <v>5.7624000000000004</v>
      </c>
      <c r="L2425" s="3">
        <f>(Table1[[#This Row],[Profit]]/Table1[[#This Row],[Sales]])*100</f>
        <v>4.4753028890959934</v>
      </c>
    </row>
    <row r="2426" spans="1:12" x14ac:dyDescent="0.3">
      <c r="A2426" t="s">
        <v>5536</v>
      </c>
      <c r="B2426" s="1">
        <v>44104</v>
      </c>
      <c r="C2426" t="s">
        <v>4124</v>
      </c>
      <c r="D2426" t="s">
        <v>4125</v>
      </c>
      <c r="E2426" t="s">
        <v>14</v>
      </c>
      <c r="F2426" t="s">
        <v>23</v>
      </c>
      <c r="G2426" t="s">
        <v>24</v>
      </c>
      <c r="H2426" t="s">
        <v>781</v>
      </c>
      <c r="I2426" s="2">
        <v>100.76</v>
      </c>
      <c r="J2426">
        <v>2</v>
      </c>
      <c r="K2426" s="2">
        <v>5.7624000000000004</v>
      </c>
      <c r="L2426" s="3">
        <f>(Table1[[#This Row],[Profit]]/Table1[[#This Row],[Sales]])*100</f>
        <v>5.7189360857483127</v>
      </c>
    </row>
    <row r="2427" spans="1:12" x14ac:dyDescent="0.3">
      <c r="A2427" t="s">
        <v>5741</v>
      </c>
      <c r="B2427" s="1">
        <v>44137</v>
      </c>
      <c r="C2427" t="s">
        <v>2100</v>
      </c>
      <c r="D2427" t="s">
        <v>2101</v>
      </c>
      <c r="E2427" t="s">
        <v>14</v>
      </c>
      <c r="F2427" t="s">
        <v>29</v>
      </c>
      <c r="G2427" t="s">
        <v>24</v>
      </c>
      <c r="H2427" t="s">
        <v>781</v>
      </c>
      <c r="I2427" s="2">
        <v>102.76</v>
      </c>
      <c r="J2427">
        <v>2</v>
      </c>
      <c r="K2427" s="2">
        <v>5.7624000000000004</v>
      </c>
      <c r="L2427" s="3">
        <f>(Table1[[#This Row],[Profit]]/Table1[[#This Row],[Sales]])*100</f>
        <v>5.607629427792916</v>
      </c>
    </row>
    <row r="2428" spans="1:12" x14ac:dyDescent="0.3">
      <c r="A2428" t="s">
        <v>6105</v>
      </c>
      <c r="B2428" s="1">
        <v>44169</v>
      </c>
      <c r="C2428" t="s">
        <v>1907</v>
      </c>
      <c r="D2428" t="s">
        <v>1908</v>
      </c>
      <c r="E2428" t="s">
        <v>14</v>
      </c>
      <c r="F2428" t="s">
        <v>23</v>
      </c>
      <c r="G2428" t="s">
        <v>24</v>
      </c>
      <c r="H2428" t="s">
        <v>781</v>
      </c>
      <c r="I2428" s="2">
        <v>121.76</v>
      </c>
      <c r="J2428">
        <v>2</v>
      </c>
      <c r="K2428" s="2">
        <v>5.7624000000000004</v>
      </c>
      <c r="L2428" s="3">
        <f>(Table1[[#This Row],[Profit]]/Table1[[#This Row],[Sales]])*100</f>
        <v>4.732588699080158</v>
      </c>
    </row>
    <row r="2429" spans="1:12" x14ac:dyDescent="0.3">
      <c r="A2429" t="s">
        <v>4917</v>
      </c>
      <c r="B2429" s="1">
        <v>44011</v>
      </c>
      <c r="C2429" t="s">
        <v>486</v>
      </c>
      <c r="D2429" t="s">
        <v>487</v>
      </c>
      <c r="E2429" t="s">
        <v>14</v>
      </c>
      <c r="F2429" t="s">
        <v>29</v>
      </c>
      <c r="G2429" t="s">
        <v>24</v>
      </c>
      <c r="H2429" t="s">
        <v>2793</v>
      </c>
      <c r="I2429" s="2">
        <v>111.54</v>
      </c>
      <c r="J2429">
        <v>2</v>
      </c>
      <c r="K2429" s="2">
        <v>5.77</v>
      </c>
      <c r="L2429" s="3">
        <f>(Table1[[#This Row],[Profit]]/Table1[[#This Row],[Sales]])*100</f>
        <v>5.1730320961090186</v>
      </c>
    </row>
    <row r="2430" spans="1:12" x14ac:dyDescent="0.3">
      <c r="A2430" t="s">
        <v>4030</v>
      </c>
      <c r="B2430" s="1">
        <v>43849</v>
      </c>
      <c r="C2430" t="s">
        <v>933</v>
      </c>
      <c r="D2430" t="s">
        <v>934</v>
      </c>
      <c r="E2430" t="s">
        <v>14</v>
      </c>
      <c r="F2430" t="s">
        <v>15</v>
      </c>
      <c r="G2430" t="s">
        <v>24</v>
      </c>
      <c r="H2430" t="s">
        <v>1175</v>
      </c>
      <c r="I2430" s="2">
        <v>116.28</v>
      </c>
      <c r="J2430">
        <v>1</v>
      </c>
      <c r="K2430" s="2">
        <v>5.7716000000000003</v>
      </c>
      <c r="L2430" s="3">
        <f>(Table1[[#This Row],[Profit]]/Table1[[#This Row],[Sales]])*100</f>
        <v>4.9635362917096666</v>
      </c>
    </row>
    <row r="2431" spans="1:12" x14ac:dyDescent="0.3">
      <c r="A2431" t="s">
        <v>4643</v>
      </c>
      <c r="B2431" s="1">
        <v>43965</v>
      </c>
      <c r="C2431" t="s">
        <v>380</v>
      </c>
      <c r="D2431" t="s">
        <v>381</v>
      </c>
      <c r="E2431" t="s">
        <v>14</v>
      </c>
      <c r="F2431" t="s">
        <v>29</v>
      </c>
      <c r="G2431" t="s">
        <v>24</v>
      </c>
      <c r="H2431" t="s">
        <v>3067</v>
      </c>
      <c r="I2431" s="2">
        <v>133.19999999999999</v>
      </c>
      <c r="J2431">
        <v>5</v>
      </c>
      <c r="K2431" s="2">
        <v>5.7750000000000004</v>
      </c>
      <c r="L2431" s="3">
        <f>(Table1[[#This Row],[Profit]]/Table1[[#This Row],[Sales]])*100</f>
        <v>4.3355855855855863</v>
      </c>
    </row>
    <row r="2432" spans="1:12" x14ac:dyDescent="0.3">
      <c r="A2432" t="s">
        <v>6272</v>
      </c>
      <c r="B2432" s="1">
        <v>44190</v>
      </c>
      <c r="C2432" t="s">
        <v>5962</v>
      </c>
      <c r="D2432" t="s">
        <v>5963</v>
      </c>
      <c r="E2432" t="s">
        <v>14</v>
      </c>
      <c r="F2432" t="s">
        <v>41</v>
      </c>
      <c r="G2432" t="s">
        <v>16</v>
      </c>
      <c r="H2432" t="s">
        <v>2883</v>
      </c>
      <c r="I2432" s="2">
        <v>421</v>
      </c>
      <c r="J2432">
        <v>3</v>
      </c>
      <c r="K2432" s="2">
        <v>5.7750000000000004</v>
      </c>
      <c r="L2432" s="3">
        <f>(Table1[[#This Row],[Profit]]/Table1[[#This Row],[Sales]])*100</f>
        <v>1.3717339667458432</v>
      </c>
    </row>
    <row r="2433" spans="1:12" x14ac:dyDescent="0.3">
      <c r="A2433" t="s">
        <v>4496</v>
      </c>
      <c r="B2433" s="1">
        <v>43941</v>
      </c>
      <c r="C2433" t="s">
        <v>1324</v>
      </c>
      <c r="D2433" t="s">
        <v>1325</v>
      </c>
      <c r="E2433" t="s">
        <v>14</v>
      </c>
      <c r="F2433" t="s">
        <v>15</v>
      </c>
      <c r="G2433" t="s">
        <v>24</v>
      </c>
      <c r="H2433" t="s">
        <v>2859</v>
      </c>
      <c r="I2433" s="2">
        <v>133.33600000000001</v>
      </c>
      <c r="J2433">
        <v>3</v>
      </c>
      <c r="K2433" s="2">
        <v>5.7752999999999997</v>
      </c>
      <c r="L2433" s="3">
        <f>(Table1[[#This Row],[Profit]]/Table1[[#This Row],[Sales]])*100</f>
        <v>4.3313883722325546</v>
      </c>
    </row>
    <row r="2434" spans="1:12" x14ac:dyDescent="0.3">
      <c r="A2434" t="s">
        <v>3297</v>
      </c>
      <c r="B2434" s="1">
        <v>43775</v>
      </c>
      <c r="C2434" t="s">
        <v>2869</v>
      </c>
      <c r="D2434" t="s">
        <v>2870</v>
      </c>
      <c r="E2434" t="s">
        <v>14</v>
      </c>
      <c r="F2434" t="s">
        <v>41</v>
      </c>
      <c r="G2434" t="s">
        <v>16</v>
      </c>
      <c r="H2434" t="s">
        <v>382</v>
      </c>
      <c r="I2434" s="2">
        <v>35.567999999999998</v>
      </c>
      <c r="J2434">
        <v>2</v>
      </c>
      <c r="K2434" s="2">
        <v>5.7797999999999998</v>
      </c>
      <c r="L2434" s="3">
        <f>(Table1[[#This Row],[Profit]]/Table1[[#This Row],[Sales]])*100</f>
        <v>16.25</v>
      </c>
    </row>
    <row r="2435" spans="1:12" x14ac:dyDescent="0.3">
      <c r="A2435" t="s">
        <v>2848</v>
      </c>
      <c r="B2435" s="1">
        <v>43730</v>
      </c>
      <c r="C2435" t="s">
        <v>2849</v>
      </c>
      <c r="D2435" t="s">
        <v>2850</v>
      </c>
      <c r="E2435" t="s">
        <v>14</v>
      </c>
      <c r="F2435" t="s">
        <v>41</v>
      </c>
      <c r="G2435" t="s">
        <v>24</v>
      </c>
      <c r="H2435" t="s">
        <v>2852</v>
      </c>
      <c r="I2435" s="2">
        <v>16.559999999999999</v>
      </c>
      <c r="J2435">
        <v>2</v>
      </c>
      <c r="K2435" s="2">
        <v>5.7960000000000003</v>
      </c>
      <c r="L2435" s="3">
        <f>(Table1[[#This Row],[Profit]]/Table1[[#This Row],[Sales]])*100</f>
        <v>35</v>
      </c>
    </row>
    <row r="2436" spans="1:12" x14ac:dyDescent="0.3">
      <c r="A2436" t="s">
        <v>4178</v>
      </c>
      <c r="B2436" s="1">
        <v>43886</v>
      </c>
      <c r="C2436" t="s">
        <v>612</v>
      </c>
      <c r="D2436" t="s">
        <v>613</v>
      </c>
      <c r="E2436" t="s">
        <v>14</v>
      </c>
      <c r="F2436" t="s">
        <v>41</v>
      </c>
      <c r="G2436" t="s">
        <v>16</v>
      </c>
      <c r="H2436" t="s">
        <v>17</v>
      </c>
      <c r="I2436" s="2">
        <v>245.92</v>
      </c>
      <c r="J2436">
        <v>5</v>
      </c>
      <c r="K2436" s="2">
        <v>5.798</v>
      </c>
      <c r="L2436" s="3">
        <f>(Table1[[#This Row],[Profit]]/Table1[[#This Row],[Sales]])*100</f>
        <v>2.3576772934287575</v>
      </c>
    </row>
    <row r="2437" spans="1:12" x14ac:dyDescent="0.3">
      <c r="A2437" t="s">
        <v>3984</v>
      </c>
      <c r="B2437" s="1">
        <v>43832</v>
      </c>
      <c r="C2437" t="s">
        <v>2642</v>
      </c>
      <c r="D2437" t="s">
        <v>2643</v>
      </c>
      <c r="E2437" t="s">
        <v>14</v>
      </c>
      <c r="F2437" t="s">
        <v>23</v>
      </c>
      <c r="G2437" t="s">
        <v>18</v>
      </c>
      <c r="H2437" t="s">
        <v>3239</v>
      </c>
      <c r="I2437" s="2">
        <v>115.59</v>
      </c>
      <c r="J2437">
        <v>1</v>
      </c>
      <c r="K2437" s="2">
        <v>5.8064999999999998</v>
      </c>
      <c r="L2437" s="3">
        <f>(Table1[[#This Row],[Profit]]/Table1[[#This Row],[Sales]])*100</f>
        <v>5.0233584220088234</v>
      </c>
    </row>
    <row r="2438" spans="1:12" x14ac:dyDescent="0.3">
      <c r="A2438" t="s">
        <v>4963</v>
      </c>
      <c r="B2438" s="1">
        <v>44018</v>
      </c>
      <c r="C2438" t="s">
        <v>3649</v>
      </c>
      <c r="D2438" t="s">
        <v>3650</v>
      </c>
      <c r="E2438" t="s">
        <v>14</v>
      </c>
      <c r="F2438" t="s">
        <v>15</v>
      </c>
      <c r="G2438" t="s">
        <v>24</v>
      </c>
      <c r="H2438" t="s">
        <v>4964</v>
      </c>
      <c r="I2438" s="2">
        <v>111.056</v>
      </c>
      <c r="J2438">
        <v>3</v>
      </c>
      <c r="K2438" s="2">
        <v>5.8202999999999996</v>
      </c>
      <c r="L2438" s="3">
        <f>(Table1[[#This Row],[Profit]]/Table1[[#This Row],[Sales]])*100</f>
        <v>5.2408694712577431</v>
      </c>
    </row>
    <row r="2439" spans="1:12" x14ac:dyDescent="0.3">
      <c r="A2439" t="s">
        <v>5865</v>
      </c>
      <c r="B2439" s="1">
        <v>44147</v>
      </c>
      <c r="C2439" t="s">
        <v>5866</v>
      </c>
      <c r="D2439" t="s">
        <v>5867</v>
      </c>
      <c r="E2439" t="s">
        <v>14</v>
      </c>
      <c r="F2439" t="s">
        <v>29</v>
      </c>
      <c r="G2439" t="s">
        <v>24</v>
      </c>
      <c r="H2439" t="s">
        <v>4964</v>
      </c>
      <c r="I2439" s="2">
        <v>113.056</v>
      </c>
      <c r="J2439">
        <v>3</v>
      </c>
      <c r="K2439" s="2">
        <v>5.8202999999999996</v>
      </c>
      <c r="L2439" s="3">
        <f>(Table1[[#This Row],[Profit]]/Table1[[#This Row],[Sales]])*100</f>
        <v>5.1481566657231808</v>
      </c>
    </row>
    <row r="2440" spans="1:12" x14ac:dyDescent="0.3">
      <c r="A2440" t="s">
        <v>3697</v>
      </c>
      <c r="B2440" s="1">
        <v>43803</v>
      </c>
      <c r="C2440" t="s">
        <v>2267</v>
      </c>
      <c r="D2440" t="s">
        <v>2268</v>
      </c>
      <c r="E2440" t="s">
        <v>14</v>
      </c>
      <c r="F2440" t="s">
        <v>15</v>
      </c>
      <c r="G2440" t="s">
        <v>24</v>
      </c>
      <c r="H2440" t="s">
        <v>1382</v>
      </c>
      <c r="I2440" s="2">
        <v>15.528</v>
      </c>
      <c r="J2440">
        <v>3</v>
      </c>
      <c r="K2440" s="2">
        <v>5.8230000000000004</v>
      </c>
      <c r="L2440" s="3">
        <f>(Table1[[#This Row],[Profit]]/Table1[[#This Row],[Sales]])*100</f>
        <v>37.5</v>
      </c>
    </row>
    <row r="2441" spans="1:12" x14ac:dyDescent="0.3">
      <c r="A2441" t="s">
        <v>3312</v>
      </c>
      <c r="B2441" s="1">
        <v>43776</v>
      </c>
      <c r="C2441" t="s">
        <v>1408</v>
      </c>
      <c r="D2441" t="s">
        <v>1409</v>
      </c>
      <c r="E2441" t="s">
        <v>14</v>
      </c>
      <c r="F2441" t="s">
        <v>15</v>
      </c>
      <c r="G2441" t="s">
        <v>24</v>
      </c>
      <c r="H2441" t="s">
        <v>1624</v>
      </c>
      <c r="I2441" s="2">
        <v>116.82</v>
      </c>
      <c r="J2441">
        <v>3</v>
      </c>
      <c r="K2441" s="2">
        <v>5.8410000000000002</v>
      </c>
      <c r="L2441" s="3">
        <f>(Table1[[#This Row],[Profit]]/Table1[[#This Row],[Sales]])*100</f>
        <v>5</v>
      </c>
    </row>
    <row r="2442" spans="1:12" x14ac:dyDescent="0.3">
      <c r="A2442" t="s">
        <v>1500</v>
      </c>
      <c r="B2442" s="1">
        <v>43611</v>
      </c>
      <c r="C2442" t="s">
        <v>174</v>
      </c>
      <c r="D2442" t="s">
        <v>175</v>
      </c>
      <c r="E2442" t="s">
        <v>14</v>
      </c>
      <c r="F2442" t="s">
        <v>15</v>
      </c>
      <c r="G2442" t="s">
        <v>24</v>
      </c>
      <c r="H2442" t="s">
        <v>1502</v>
      </c>
      <c r="I2442" s="2">
        <v>12.7</v>
      </c>
      <c r="J2442">
        <v>2</v>
      </c>
      <c r="K2442" s="2">
        <v>5.8419999999999996</v>
      </c>
      <c r="L2442" s="3">
        <f>(Table1[[#This Row],[Profit]]/Table1[[#This Row],[Sales]])*100</f>
        <v>46</v>
      </c>
    </row>
    <row r="2443" spans="1:12" x14ac:dyDescent="0.3">
      <c r="A2443" t="s">
        <v>4025</v>
      </c>
      <c r="B2443" s="1">
        <v>43845</v>
      </c>
      <c r="C2443" t="s">
        <v>1395</v>
      </c>
      <c r="D2443" t="s">
        <v>1396</v>
      </c>
      <c r="E2443" t="s">
        <v>14</v>
      </c>
      <c r="F2443" t="s">
        <v>15</v>
      </c>
      <c r="G2443" t="s">
        <v>24</v>
      </c>
      <c r="H2443" t="s">
        <v>1502</v>
      </c>
      <c r="I2443" s="2">
        <v>134.69999999999999</v>
      </c>
      <c r="J2443">
        <v>2</v>
      </c>
      <c r="K2443" s="2">
        <v>5.8419999999999996</v>
      </c>
      <c r="L2443" s="3">
        <f>(Table1[[#This Row],[Profit]]/Table1[[#This Row],[Sales]])*100</f>
        <v>4.3370452858203414</v>
      </c>
    </row>
    <row r="2444" spans="1:12" x14ac:dyDescent="0.3">
      <c r="A2444" t="s">
        <v>1016</v>
      </c>
      <c r="B2444" s="1">
        <v>43570</v>
      </c>
      <c r="C2444" t="s">
        <v>679</v>
      </c>
      <c r="D2444" t="s">
        <v>680</v>
      </c>
      <c r="E2444" t="s">
        <v>14</v>
      </c>
      <c r="F2444" t="s">
        <v>29</v>
      </c>
      <c r="G2444" t="s">
        <v>24</v>
      </c>
      <c r="H2444" t="s">
        <v>1017</v>
      </c>
      <c r="I2444" s="2">
        <v>33.488</v>
      </c>
      <c r="J2444">
        <v>7</v>
      </c>
      <c r="K2444" s="2">
        <v>5.8604000000000003</v>
      </c>
      <c r="L2444" s="3">
        <f>(Table1[[#This Row],[Profit]]/Table1[[#This Row],[Sales]])*100</f>
        <v>17.5</v>
      </c>
    </row>
    <row r="2445" spans="1:12" x14ac:dyDescent="0.3">
      <c r="A2445" t="s">
        <v>1329</v>
      </c>
      <c r="B2445" s="1">
        <v>43595</v>
      </c>
      <c r="C2445" t="s">
        <v>1330</v>
      </c>
      <c r="D2445" t="s">
        <v>1331</v>
      </c>
      <c r="E2445" t="s">
        <v>14</v>
      </c>
      <c r="F2445" t="s">
        <v>23</v>
      </c>
      <c r="G2445" t="s">
        <v>24</v>
      </c>
      <c r="H2445" t="s">
        <v>1241</v>
      </c>
      <c r="I2445" s="2">
        <v>11.96</v>
      </c>
      <c r="J2445">
        <v>2</v>
      </c>
      <c r="K2445" s="2">
        <v>5.8604000000000003</v>
      </c>
      <c r="L2445" s="3">
        <f>(Table1[[#This Row],[Profit]]/Table1[[#This Row],[Sales]])*100</f>
        <v>49</v>
      </c>
    </row>
    <row r="2446" spans="1:12" x14ac:dyDescent="0.3">
      <c r="A2446" t="s">
        <v>3404</v>
      </c>
      <c r="B2446" s="1">
        <v>43782</v>
      </c>
      <c r="C2446" t="s">
        <v>2771</v>
      </c>
      <c r="D2446" t="s">
        <v>2772</v>
      </c>
      <c r="E2446" t="s">
        <v>14</v>
      </c>
      <c r="F2446" t="s">
        <v>41</v>
      </c>
      <c r="G2446" t="s">
        <v>24</v>
      </c>
      <c r="H2446" t="s">
        <v>1405</v>
      </c>
      <c r="I2446" s="2">
        <v>52.136000000000003</v>
      </c>
      <c r="J2446">
        <v>7</v>
      </c>
      <c r="K2446" s="2">
        <v>5.8653000000000004</v>
      </c>
      <c r="L2446" s="3">
        <f>(Table1[[#This Row],[Profit]]/Table1[[#This Row],[Sales]])*100</f>
        <v>11.25</v>
      </c>
    </row>
    <row r="2447" spans="1:12" x14ac:dyDescent="0.3">
      <c r="A2447" t="s">
        <v>2564</v>
      </c>
      <c r="B2447" s="1">
        <v>43711</v>
      </c>
      <c r="C2447" t="s">
        <v>950</v>
      </c>
      <c r="D2447" t="s">
        <v>951</v>
      </c>
      <c r="E2447" t="s">
        <v>14</v>
      </c>
      <c r="F2447" t="s">
        <v>15</v>
      </c>
      <c r="G2447" t="s">
        <v>24</v>
      </c>
      <c r="H2447" t="s">
        <v>2565</v>
      </c>
      <c r="I2447" s="2">
        <v>12.76</v>
      </c>
      <c r="J2447">
        <v>2</v>
      </c>
      <c r="K2447" s="2">
        <v>5.8696000000000002</v>
      </c>
      <c r="L2447" s="3">
        <f>(Table1[[#This Row],[Profit]]/Table1[[#This Row],[Sales]])*100</f>
        <v>46</v>
      </c>
    </row>
    <row r="2448" spans="1:12" x14ac:dyDescent="0.3">
      <c r="A2448" t="s">
        <v>1106</v>
      </c>
      <c r="B2448" s="1">
        <v>43577</v>
      </c>
      <c r="C2448" t="s">
        <v>1107</v>
      </c>
      <c r="D2448" t="s">
        <v>1108</v>
      </c>
      <c r="E2448" t="s">
        <v>14</v>
      </c>
      <c r="F2448" t="s">
        <v>23</v>
      </c>
      <c r="G2448" t="s">
        <v>24</v>
      </c>
      <c r="H2448" t="s">
        <v>1113</v>
      </c>
      <c r="I2448" s="2">
        <v>78.272000000000006</v>
      </c>
      <c r="J2448">
        <v>2</v>
      </c>
      <c r="K2448" s="2">
        <v>5.8704000000000001</v>
      </c>
      <c r="L2448" s="3">
        <f>(Table1[[#This Row],[Profit]]/Table1[[#This Row],[Sales]])*100</f>
        <v>7.5</v>
      </c>
    </row>
    <row r="2449" spans="1:12" x14ac:dyDescent="0.3">
      <c r="A2449" t="s">
        <v>4647</v>
      </c>
      <c r="B2449" s="1">
        <v>43965</v>
      </c>
      <c r="C2449" t="s">
        <v>1255</v>
      </c>
      <c r="D2449" t="s">
        <v>1256</v>
      </c>
      <c r="E2449" t="s">
        <v>14</v>
      </c>
      <c r="F2449" t="s">
        <v>15</v>
      </c>
      <c r="G2449" t="s">
        <v>24</v>
      </c>
      <c r="H2449" t="s">
        <v>251</v>
      </c>
      <c r="I2449" s="2">
        <v>143.58000000000001</v>
      </c>
      <c r="J2449">
        <v>2</v>
      </c>
      <c r="K2449" s="2">
        <v>5.8708</v>
      </c>
      <c r="L2449" s="3">
        <f>(Table1[[#This Row],[Profit]]/Table1[[#This Row],[Sales]])*100</f>
        <v>4.0888703162000271</v>
      </c>
    </row>
    <row r="2450" spans="1:12" x14ac:dyDescent="0.3">
      <c r="A2450" t="s">
        <v>5568</v>
      </c>
      <c r="B2450" s="1">
        <v>44107</v>
      </c>
      <c r="C2450" t="s">
        <v>1850</v>
      </c>
      <c r="D2450" t="s">
        <v>1851</v>
      </c>
      <c r="E2450" t="s">
        <v>14</v>
      </c>
      <c r="F2450" t="s">
        <v>15</v>
      </c>
      <c r="G2450" t="s">
        <v>24</v>
      </c>
      <c r="H2450" t="s">
        <v>251</v>
      </c>
      <c r="I2450" s="2">
        <v>116.58</v>
      </c>
      <c r="J2450">
        <v>2</v>
      </c>
      <c r="K2450" s="2">
        <v>5.8708</v>
      </c>
      <c r="L2450" s="3">
        <f>(Table1[[#This Row],[Profit]]/Table1[[#This Row],[Sales]])*100</f>
        <v>5.035855206724996</v>
      </c>
    </row>
    <row r="2451" spans="1:12" x14ac:dyDescent="0.3">
      <c r="A2451" t="s">
        <v>4972</v>
      </c>
      <c r="B2451" s="1">
        <v>44020</v>
      </c>
      <c r="C2451" t="s">
        <v>221</v>
      </c>
      <c r="D2451" t="s">
        <v>222</v>
      </c>
      <c r="E2451" t="s">
        <v>14</v>
      </c>
      <c r="F2451" t="s">
        <v>15</v>
      </c>
      <c r="G2451" t="s">
        <v>16</v>
      </c>
      <c r="H2451" t="s">
        <v>1524</v>
      </c>
      <c r="I2451" s="2">
        <v>108.92</v>
      </c>
      <c r="J2451">
        <v>4</v>
      </c>
      <c r="K2451" s="2">
        <v>5.8743999999999996</v>
      </c>
      <c r="L2451" s="3">
        <f>(Table1[[#This Row],[Profit]]/Table1[[#This Row],[Sales]])*100</f>
        <v>5.3933161953727504</v>
      </c>
    </row>
    <row r="2452" spans="1:12" x14ac:dyDescent="0.3">
      <c r="A2452" t="s">
        <v>6053</v>
      </c>
      <c r="B2452" s="1">
        <v>44166</v>
      </c>
      <c r="C2452" t="s">
        <v>2616</v>
      </c>
      <c r="D2452" t="s">
        <v>2617</v>
      </c>
      <c r="E2452" t="s">
        <v>14</v>
      </c>
      <c r="F2452" t="s">
        <v>29</v>
      </c>
      <c r="G2452" t="s">
        <v>24</v>
      </c>
      <c r="H2452" t="s">
        <v>2889</v>
      </c>
      <c r="I2452" s="2">
        <v>131.91999999999999</v>
      </c>
      <c r="J2452">
        <v>4</v>
      </c>
      <c r="K2452" s="2">
        <v>5.8743999999999996</v>
      </c>
      <c r="L2452" s="3">
        <f>(Table1[[#This Row],[Profit]]/Table1[[#This Row],[Sales]])*100</f>
        <v>4.453001819284415</v>
      </c>
    </row>
    <row r="2453" spans="1:12" x14ac:dyDescent="0.3">
      <c r="A2453" t="s">
        <v>5594</v>
      </c>
      <c r="B2453" s="1">
        <v>44113</v>
      </c>
      <c r="C2453" t="s">
        <v>3425</v>
      </c>
      <c r="D2453" t="s">
        <v>3426</v>
      </c>
      <c r="E2453" t="s">
        <v>14</v>
      </c>
      <c r="F2453" t="s">
        <v>29</v>
      </c>
      <c r="G2453" t="s">
        <v>24</v>
      </c>
      <c r="H2453" t="s">
        <v>1923</v>
      </c>
      <c r="I2453" s="2">
        <v>181.14400000000001</v>
      </c>
      <c r="J2453">
        <v>7</v>
      </c>
      <c r="K2453" s="2">
        <v>5.8750999999999998</v>
      </c>
      <c r="L2453" s="3">
        <f>(Table1[[#This Row],[Profit]]/Table1[[#This Row],[Sales]])*100</f>
        <v>3.2433312723579029</v>
      </c>
    </row>
    <row r="2454" spans="1:12" x14ac:dyDescent="0.3">
      <c r="A2454" t="s">
        <v>5224</v>
      </c>
      <c r="B2454" s="1">
        <v>44071</v>
      </c>
      <c r="C2454" t="s">
        <v>3535</v>
      </c>
      <c r="D2454" t="s">
        <v>3536</v>
      </c>
      <c r="E2454" t="s">
        <v>14</v>
      </c>
      <c r="F2454" t="s">
        <v>29</v>
      </c>
      <c r="G2454" t="s">
        <v>24</v>
      </c>
      <c r="H2454" t="s">
        <v>2022</v>
      </c>
      <c r="I2454" s="2">
        <v>109.81</v>
      </c>
      <c r="J2454">
        <v>3</v>
      </c>
      <c r="K2454" s="2">
        <v>5.8887</v>
      </c>
      <c r="L2454" s="3">
        <f>(Table1[[#This Row],[Profit]]/Table1[[#This Row],[Sales]])*100</f>
        <v>5.3626263546125124</v>
      </c>
    </row>
    <row r="2455" spans="1:12" x14ac:dyDescent="0.3">
      <c r="A2455" t="s">
        <v>6300</v>
      </c>
      <c r="B2455" s="1">
        <v>44194</v>
      </c>
      <c r="C2455" t="s">
        <v>1947</v>
      </c>
      <c r="D2455" t="s">
        <v>1948</v>
      </c>
      <c r="E2455" t="s">
        <v>14</v>
      </c>
      <c r="F2455" t="s">
        <v>41</v>
      </c>
      <c r="G2455" t="s">
        <v>24</v>
      </c>
      <c r="H2455" t="s">
        <v>1005</v>
      </c>
      <c r="I2455" s="2">
        <v>408.53</v>
      </c>
      <c r="J2455">
        <v>1</v>
      </c>
      <c r="K2455" s="2">
        <v>5.8891</v>
      </c>
      <c r="L2455" s="3">
        <f>(Table1[[#This Row],[Profit]]/Table1[[#This Row],[Sales]])*100</f>
        <v>1.4415342814481191</v>
      </c>
    </row>
    <row r="2456" spans="1:12" x14ac:dyDescent="0.3">
      <c r="A2456" t="s">
        <v>205</v>
      </c>
      <c r="B2456" s="1">
        <v>43495</v>
      </c>
      <c r="C2456" t="s">
        <v>206</v>
      </c>
      <c r="D2456" t="s">
        <v>207</v>
      </c>
      <c r="E2456" t="s">
        <v>14</v>
      </c>
      <c r="F2456" t="s">
        <v>23</v>
      </c>
      <c r="G2456" t="s">
        <v>24</v>
      </c>
      <c r="H2456" t="s">
        <v>208</v>
      </c>
      <c r="I2456" s="2">
        <v>17.456</v>
      </c>
      <c r="J2456">
        <v>2</v>
      </c>
      <c r="K2456" s="2">
        <v>5.8914</v>
      </c>
      <c r="L2456" s="3">
        <f>(Table1[[#This Row],[Profit]]/Table1[[#This Row],[Sales]])*100</f>
        <v>33.75</v>
      </c>
    </row>
    <row r="2457" spans="1:12" x14ac:dyDescent="0.3">
      <c r="A2457" t="s">
        <v>4284</v>
      </c>
      <c r="B2457" s="1">
        <v>43907</v>
      </c>
      <c r="C2457" t="s">
        <v>1292</v>
      </c>
      <c r="D2457" t="s">
        <v>1293</v>
      </c>
      <c r="E2457" t="s">
        <v>14</v>
      </c>
      <c r="F2457" t="s">
        <v>23</v>
      </c>
      <c r="G2457" t="s">
        <v>24</v>
      </c>
      <c r="H2457" t="s">
        <v>208</v>
      </c>
      <c r="I2457" s="2">
        <v>124.456</v>
      </c>
      <c r="J2457">
        <v>2</v>
      </c>
      <c r="K2457" s="2">
        <v>5.8914</v>
      </c>
      <c r="L2457" s="3">
        <f>(Table1[[#This Row],[Profit]]/Table1[[#This Row],[Sales]])*100</f>
        <v>4.7337211544642281</v>
      </c>
    </row>
    <row r="2458" spans="1:12" x14ac:dyDescent="0.3">
      <c r="A2458" t="s">
        <v>256</v>
      </c>
      <c r="B2458" s="1">
        <v>43498</v>
      </c>
      <c r="C2458" t="s">
        <v>257</v>
      </c>
      <c r="D2458" t="s">
        <v>258</v>
      </c>
      <c r="E2458" t="s">
        <v>14</v>
      </c>
      <c r="F2458" t="s">
        <v>15</v>
      </c>
      <c r="G2458" t="s">
        <v>24</v>
      </c>
      <c r="H2458" t="s">
        <v>259</v>
      </c>
      <c r="I2458" s="2">
        <v>117.96</v>
      </c>
      <c r="J2458">
        <v>2</v>
      </c>
      <c r="K2458" s="2">
        <v>5.8979999999999997</v>
      </c>
      <c r="L2458" s="3">
        <f>(Table1[[#This Row],[Profit]]/Table1[[#This Row],[Sales]])*100</f>
        <v>5</v>
      </c>
    </row>
    <row r="2459" spans="1:12" x14ac:dyDescent="0.3">
      <c r="A2459" t="s">
        <v>5619</v>
      </c>
      <c r="B2459" s="1">
        <v>44117</v>
      </c>
      <c r="C2459" t="s">
        <v>3124</v>
      </c>
      <c r="D2459" t="s">
        <v>3125</v>
      </c>
      <c r="E2459" t="s">
        <v>14</v>
      </c>
      <c r="F2459" t="s">
        <v>15</v>
      </c>
      <c r="G2459" t="s">
        <v>24</v>
      </c>
      <c r="H2459" t="s">
        <v>5621</v>
      </c>
      <c r="I2459" s="2">
        <v>121.176</v>
      </c>
      <c r="J2459">
        <v>4</v>
      </c>
      <c r="K2459" s="2">
        <v>5.9071999999999996</v>
      </c>
      <c r="L2459" s="3">
        <f>(Table1[[#This Row],[Profit]]/Table1[[#This Row],[Sales]])*100</f>
        <v>4.8748927180299724</v>
      </c>
    </row>
    <row r="2460" spans="1:12" x14ac:dyDescent="0.3">
      <c r="A2460" t="s">
        <v>2789</v>
      </c>
      <c r="B2460" s="1">
        <v>43725</v>
      </c>
      <c r="C2460" t="s">
        <v>133</v>
      </c>
      <c r="D2460" t="s">
        <v>134</v>
      </c>
      <c r="E2460" t="s">
        <v>14</v>
      </c>
      <c r="F2460" t="s">
        <v>23</v>
      </c>
      <c r="G2460" t="s">
        <v>24</v>
      </c>
      <c r="H2460" t="s">
        <v>1398</v>
      </c>
      <c r="I2460" s="2">
        <v>12.32</v>
      </c>
      <c r="J2460">
        <v>4</v>
      </c>
      <c r="K2460" s="2">
        <v>5.9135999999999997</v>
      </c>
      <c r="L2460" s="3">
        <f>(Table1[[#This Row],[Profit]]/Table1[[#This Row],[Sales]])*100</f>
        <v>48</v>
      </c>
    </row>
    <row r="2461" spans="1:12" x14ac:dyDescent="0.3">
      <c r="A2461" t="s">
        <v>6086</v>
      </c>
      <c r="B2461" s="1">
        <v>44168</v>
      </c>
      <c r="C2461" t="s">
        <v>443</v>
      </c>
      <c r="D2461" t="s">
        <v>444</v>
      </c>
      <c r="E2461" t="s">
        <v>14</v>
      </c>
      <c r="F2461" t="s">
        <v>23</v>
      </c>
      <c r="G2461" t="s">
        <v>24</v>
      </c>
      <c r="H2461" t="s">
        <v>483</v>
      </c>
      <c r="I2461" s="2">
        <v>137.32</v>
      </c>
      <c r="J2461">
        <v>7</v>
      </c>
      <c r="K2461" s="2">
        <v>5.915</v>
      </c>
      <c r="L2461" s="3">
        <f>(Table1[[#This Row],[Profit]]/Table1[[#This Row],[Sales]])*100</f>
        <v>4.3074570346635594</v>
      </c>
    </row>
    <row r="2462" spans="1:12" x14ac:dyDescent="0.3">
      <c r="A2462" t="s">
        <v>5587</v>
      </c>
      <c r="B2462" s="1">
        <v>44111</v>
      </c>
      <c r="C2462" t="s">
        <v>108</v>
      </c>
      <c r="D2462" t="s">
        <v>109</v>
      </c>
      <c r="E2462" t="s">
        <v>14</v>
      </c>
      <c r="F2462" t="s">
        <v>41</v>
      </c>
      <c r="G2462" t="s">
        <v>24</v>
      </c>
      <c r="H2462" t="s">
        <v>449</v>
      </c>
      <c r="I2462" s="2">
        <v>140.93600000000001</v>
      </c>
      <c r="J2462">
        <v>3</v>
      </c>
      <c r="K2462" s="2">
        <v>5.9175000000000004</v>
      </c>
      <c r="L2462" s="3">
        <f>(Table1[[#This Row],[Profit]]/Table1[[#This Row],[Sales]])*100</f>
        <v>4.1987143100414377</v>
      </c>
    </row>
    <row r="2463" spans="1:12" x14ac:dyDescent="0.3">
      <c r="A2463" t="s">
        <v>3688</v>
      </c>
      <c r="B2463" s="1">
        <v>43802</v>
      </c>
      <c r="C2463" t="s">
        <v>1330</v>
      </c>
      <c r="D2463" t="s">
        <v>1331</v>
      </c>
      <c r="E2463" t="s">
        <v>14</v>
      </c>
      <c r="F2463" t="s">
        <v>23</v>
      </c>
      <c r="G2463" t="s">
        <v>24</v>
      </c>
      <c r="H2463" t="s">
        <v>1342</v>
      </c>
      <c r="I2463" s="2">
        <v>21.92</v>
      </c>
      <c r="J2463">
        <v>8</v>
      </c>
      <c r="K2463" s="2">
        <v>5.9184000000000001</v>
      </c>
      <c r="L2463" s="3">
        <f>(Table1[[#This Row],[Profit]]/Table1[[#This Row],[Sales]])*100</f>
        <v>26.999999999999996</v>
      </c>
    </row>
    <row r="2464" spans="1:12" x14ac:dyDescent="0.3">
      <c r="A2464" t="s">
        <v>773</v>
      </c>
      <c r="B2464" s="1">
        <v>43550</v>
      </c>
      <c r="C2464" t="s">
        <v>774</v>
      </c>
      <c r="D2464" t="s">
        <v>775</v>
      </c>
      <c r="E2464" t="s">
        <v>14</v>
      </c>
      <c r="F2464" t="s">
        <v>41</v>
      </c>
      <c r="G2464" t="s">
        <v>24</v>
      </c>
      <c r="H2464" t="s">
        <v>776</v>
      </c>
      <c r="I2464" s="2">
        <v>67.64</v>
      </c>
      <c r="J2464">
        <v>5</v>
      </c>
      <c r="K2464" s="2">
        <v>5.9184999999999999</v>
      </c>
      <c r="L2464" s="3">
        <f>(Table1[[#This Row],[Profit]]/Table1[[#This Row],[Sales]])*100</f>
        <v>8.75</v>
      </c>
    </row>
    <row r="2465" spans="1:12" x14ac:dyDescent="0.3">
      <c r="A2465" t="s">
        <v>5146</v>
      </c>
      <c r="B2465" s="1">
        <v>44056</v>
      </c>
      <c r="C2465" t="s">
        <v>2760</v>
      </c>
      <c r="D2465" t="s">
        <v>2761</v>
      </c>
      <c r="E2465" t="s">
        <v>14</v>
      </c>
      <c r="F2465" t="s">
        <v>15</v>
      </c>
      <c r="G2465" t="s">
        <v>24</v>
      </c>
      <c r="H2465" t="s">
        <v>1695</v>
      </c>
      <c r="I2465" s="2">
        <v>129.54400000000001</v>
      </c>
      <c r="J2465">
        <v>3</v>
      </c>
      <c r="K2465" s="2">
        <v>5.9211</v>
      </c>
      <c r="L2465" s="3">
        <f>(Table1[[#This Row],[Profit]]/Table1[[#This Row],[Sales]])*100</f>
        <v>4.5707250046316306</v>
      </c>
    </row>
    <row r="2466" spans="1:12" x14ac:dyDescent="0.3">
      <c r="A2466" t="s">
        <v>5558</v>
      </c>
      <c r="B2466" s="1">
        <v>44106</v>
      </c>
      <c r="C2466" t="s">
        <v>108</v>
      </c>
      <c r="D2466" t="s">
        <v>109</v>
      </c>
      <c r="E2466" t="s">
        <v>14</v>
      </c>
      <c r="F2466" t="s">
        <v>41</v>
      </c>
      <c r="G2466" t="s">
        <v>16</v>
      </c>
      <c r="H2466" t="s">
        <v>736</v>
      </c>
      <c r="I2466" s="2">
        <v>115.76</v>
      </c>
      <c r="J2466">
        <v>2</v>
      </c>
      <c r="K2466" s="2">
        <v>5.9279999999999999</v>
      </c>
      <c r="L2466" s="3">
        <f>(Table1[[#This Row],[Profit]]/Table1[[#This Row],[Sales]])*100</f>
        <v>5.1209398756046989</v>
      </c>
    </row>
    <row r="2467" spans="1:12" x14ac:dyDescent="0.3">
      <c r="A2467" t="s">
        <v>6253</v>
      </c>
      <c r="B2467" s="1">
        <v>44188</v>
      </c>
      <c r="C2467" t="s">
        <v>692</v>
      </c>
      <c r="D2467" t="s">
        <v>693</v>
      </c>
      <c r="E2467" t="s">
        <v>14</v>
      </c>
      <c r="F2467" t="s">
        <v>23</v>
      </c>
      <c r="G2467" t="s">
        <v>24</v>
      </c>
      <c r="H2467" t="s">
        <v>6254</v>
      </c>
      <c r="I2467" s="2">
        <v>457.48</v>
      </c>
      <c r="J2467">
        <v>4</v>
      </c>
      <c r="K2467" s="2">
        <v>5.9311999999999996</v>
      </c>
      <c r="L2467" s="3">
        <f>(Table1[[#This Row],[Profit]]/Table1[[#This Row],[Sales]])*100</f>
        <v>1.2964938357961002</v>
      </c>
    </row>
    <row r="2468" spans="1:12" x14ac:dyDescent="0.3">
      <c r="A2468" t="s">
        <v>5557</v>
      </c>
      <c r="B2468" s="1">
        <v>44106</v>
      </c>
      <c r="C2468" t="s">
        <v>4389</v>
      </c>
      <c r="D2468" t="s">
        <v>4390</v>
      </c>
      <c r="E2468" t="s">
        <v>14</v>
      </c>
      <c r="F2468" t="s">
        <v>23</v>
      </c>
      <c r="G2468" t="s">
        <v>16</v>
      </c>
      <c r="H2468" t="s">
        <v>1729</v>
      </c>
      <c r="I2468" s="2">
        <v>139.46</v>
      </c>
      <c r="J2468">
        <v>2</v>
      </c>
      <c r="K2468" s="2">
        <v>5.9363999999999999</v>
      </c>
      <c r="L2468" s="3">
        <f>(Table1[[#This Row],[Profit]]/Table1[[#This Row],[Sales]])*100</f>
        <v>4.2567044313781732</v>
      </c>
    </row>
    <row r="2469" spans="1:12" x14ac:dyDescent="0.3">
      <c r="A2469" t="s">
        <v>4349</v>
      </c>
      <c r="B2469" s="1">
        <v>43916</v>
      </c>
      <c r="C2469" t="s">
        <v>3056</v>
      </c>
      <c r="D2469" t="s">
        <v>3057</v>
      </c>
      <c r="E2469" t="s">
        <v>14</v>
      </c>
      <c r="F2469" t="s">
        <v>23</v>
      </c>
      <c r="G2469" t="s">
        <v>24</v>
      </c>
      <c r="H2469" t="s">
        <v>4350</v>
      </c>
      <c r="I2469" s="2">
        <v>103.83</v>
      </c>
      <c r="J2469">
        <v>1</v>
      </c>
      <c r="K2469" s="2">
        <v>5.9489999999999998</v>
      </c>
      <c r="L2469" s="3">
        <f>(Table1[[#This Row],[Profit]]/Table1[[#This Row],[Sales]])*100</f>
        <v>5.7295579312337477</v>
      </c>
    </row>
    <row r="2470" spans="1:12" x14ac:dyDescent="0.3">
      <c r="A2470" t="s">
        <v>68</v>
      </c>
      <c r="B2470" s="1">
        <v>43473</v>
      </c>
      <c r="C2470" t="s">
        <v>69</v>
      </c>
      <c r="D2470" t="s">
        <v>70</v>
      </c>
      <c r="E2470" t="s">
        <v>14</v>
      </c>
      <c r="F2470" t="s">
        <v>41</v>
      </c>
      <c r="G2470" t="s">
        <v>24</v>
      </c>
      <c r="H2470" t="s">
        <v>72</v>
      </c>
      <c r="I2470" s="2">
        <v>47.616</v>
      </c>
      <c r="J2470">
        <v>3</v>
      </c>
      <c r="K2470" s="2">
        <v>5.952</v>
      </c>
      <c r="L2470" s="3">
        <f>(Table1[[#This Row],[Profit]]/Table1[[#This Row],[Sales]])*100</f>
        <v>12.5</v>
      </c>
    </row>
    <row r="2471" spans="1:12" x14ac:dyDescent="0.3">
      <c r="A2471" t="s">
        <v>3082</v>
      </c>
      <c r="B2471" s="1">
        <v>43752</v>
      </c>
      <c r="C2471" t="s">
        <v>3083</v>
      </c>
      <c r="D2471" t="s">
        <v>3084</v>
      </c>
      <c r="E2471" t="s">
        <v>14</v>
      </c>
      <c r="F2471" t="s">
        <v>41</v>
      </c>
      <c r="G2471" t="s">
        <v>18</v>
      </c>
      <c r="H2471" t="s">
        <v>3086</v>
      </c>
      <c r="I2471" s="2">
        <v>22.704000000000001</v>
      </c>
      <c r="J2471">
        <v>1</v>
      </c>
      <c r="K2471" s="2">
        <v>5.9598000000000004</v>
      </c>
      <c r="L2471" s="3">
        <f>(Table1[[#This Row],[Profit]]/Table1[[#This Row],[Sales]])*100</f>
        <v>26.25</v>
      </c>
    </row>
    <row r="2472" spans="1:12" x14ac:dyDescent="0.3">
      <c r="A2472" t="s">
        <v>5768</v>
      </c>
      <c r="B2472" s="1">
        <v>44138</v>
      </c>
      <c r="C2472" t="s">
        <v>64</v>
      </c>
      <c r="D2472" t="s">
        <v>65</v>
      </c>
      <c r="E2472" t="s">
        <v>14</v>
      </c>
      <c r="F2472" t="s">
        <v>23</v>
      </c>
      <c r="G2472" t="s">
        <v>24</v>
      </c>
      <c r="H2472" t="s">
        <v>1378</v>
      </c>
      <c r="I2472" s="2">
        <v>131.36799999999999</v>
      </c>
      <c r="J2472">
        <v>4</v>
      </c>
      <c r="K2472" s="2">
        <v>5.9695999999999998</v>
      </c>
      <c r="L2472" s="3">
        <f>(Table1[[#This Row],[Profit]]/Table1[[#This Row],[Sales]])*100</f>
        <v>4.5441812313501009</v>
      </c>
    </row>
    <row r="2473" spans="1:12" x14ac:dyDescent="0.3">
      <c r="A2473" t="s">
        <v>4354</v>
      </c>
      <c r="B2473" s="1">
        <v>43917</v>
      </c>
      <c r="C2473" t="s">
        <v>4355</v>
      </c>
      <c r="D2473" t="s">
        <v>4356</v>
      </c>
      <c r="E2473" t="s">
        <v>14</v>
      </c>
      <c r="F2473" t="s">
        <v>23</v>
      </c>
      <c r="G2473" t="s">
        <v>24</v>
      </c>
      <c r="H2473" t="s">
        <v>4363</v>
      </c>
      <c r="I2473" s="2">
        <v>111.94</v>
      </c>
      <c r="J2473">
        <v>3</v>
      </c>
      <c r="K2473" s="2">
        <v>5.97</v>
      </c>
      <c r="L2473" s="3">
        <f>(Table1[[#This Row],[Profit]]/Table1[[#This Row],[Sales]])*100</f>
        <v>5.3332142219045924</v>
      </c>
    </row>
    <row r="2474" spans="1:12" x14ac:dyDescent="0.3">
      <c r="A2474" t="s">
        <v>5619</v>
      </c>
      <c r="B2474" s="1">
        <v>44117</v>
      </c>
      <c r="C2474" t="s">
        <v>3124</v>
      </c>
      <c r="D2474" t="s">
        <v>3125</v>
      </c>
      <c r="E2474" t="s">
        <v>14</v>
      </c>
      <c r="F2474" t="s">
        <v>15</v>
      </c>
      <c r="G2474" t="s">
        <v>24</v>
      </c>
      <c r="H2474" t="s">
        <v>1580</v>
      </c>
      <c r="I2474" s="2">
        <v>137.71199999999999</v>
      </c>
      <c r="J2474">
        <v>6</v>
      </c>
      <c r="K2474" s="2">
        <v>5.9711999999999996</v>
      </c>
      <c r="L2474" s="3">
        <f>(Table1[[#This Row],[Profit]]/Table1[[#This Row],[Sales]])*100</f>
        <v>4.3360055768560475</v>
      </c>
    </row>
    <row r="2475" spans="1:12" x14ac:dyDescent="0.3">
      <c r="A2475" t="s">
        <v>5339</v>
      </c>
      <c r="B2475" s="1">
        <v>44083</v>
      </c>
      <c r="C2475" t="s">
        <v>4657</v>
      </c>
      <c r="D2475" t="s">
        <v>4658</v>
      </c>
      <c r="E2475" t="s">
        <v>14</v>
      </c>
      <c r="F2475" t="s">
        <v>15</v>
      </c>
      <c r="G2475" t="s">
        <v>24</v>
      </c>
      <c r="H2475" t="s">
        <v>4633</v>
      </c>
      <c r="I2475" s="2">
        <v>140.71199999999999</v>
      </c>
      <c r="J2475">
        <v>6</v>
      </c>
      <c r="K2475" s="2">
        <v>5.9778000000000002</v>
      </c>
      <c r="L2475" s="3">
        <f>(Table1[[#This Row],[Profit]]/Table1[[#This Row],[Sales]])*100</f>
        <v>4.2482517482517492</v>
      </c>
    </row>
    <row r="2476" spans="1:12" x14ac:dyDescent="0.3">
      <c r="A2476" t="s">
        <v>3053</v>
      </c>
      <c r="B2476" s="1">
        <v>43747</v>
      </c>
      <c r="C2476" t="s">
        <v>664</v>
      </c>
      <c r="D2476" t="s">
        <v>665</v>
      </c>
      <c r="E2476" t="s">
        <v>14</v>
      </c>
      <c r="F2476" t="s">
        <v>15</v>
      </c>
      <c r="G2476" t="s">
        <v>24</v>
      </c>
      <c r="H2476" t="s">
        <v>3054</v>
      </c>
      <c r="I2476" s="2">
        <v>19.135999999999999</v>
      </c>
      <c r="J2476">
        <v>4</v>
      </c>
      <c r="K2476" s="2">
        <v>5.98</v>
      </c>
      <c r="L2476" s="3">
        <f>(Table1[[#This Row],[Profit]]/Table1[[#This Row],[Sales]])*100</f>
        <v>31.250000000000007</v>
      </c>
    </row>
    <row r="2477" spans="1:12" x14ac:dyDescent="0.3">
      <c r="A2477" t="s">
        <v>5906</v>
      </c>
      <c r="B2477" s="1">
        <v>44151</v>
      </c>
      <c r="C2477" t="s">
        <v>5103</v>
      </c>
      <c r="D2477" t="s">
        <v>5104</v>
      </c>
      <c r="E2477" t="s">
        <v>14</v>
      </c>
      <c r="F2477" t="s">
        <v>15</v>
      </c>
      <c r="G2477" t="s">
        <v>18</v>
      </c>
      <c r="H2477" t="s">
        <v>405</v>
      </c>
      <c r="I2477" s="2">
        <v>160.94</v>
      </c>
      <c r="J2477">
        <v>6</v>
      </c>
      <c r="K2477" s="2">
        <v>5.9969999999999999</v>
      </c>
      <c r="L2477" s="3">
        <f>(Table1[[#This Row],[Profit]]/Table1[[#This Row],[Sales]])*100</f>
        <v>3.7262333788989688</v>
      </c>
    </row>
    <row r="2478" spans="1:12" x14ac:dyDescent="0.3">
      <c r="A2478" t="s">
        <v>4823</v>
      </c>
      <c r="B2478" s="1">
        <v>43995</v>
      </c>
      <c r="C2478" t="s">
        <v>2816</v>
      </c>
      <c r="D2478" t="s">
        <v>2817</v>
      </c>
      <c r="E2478" t="s">
        <v>14</v>
      </c>
      <c r="F2478" t="s">
        <v>29</v>
      </c>
      <c r="G2478" t="s">
        <v>18</v>
      </c>
      <c r="H2478" t="s">
        <v>1968</v>
      </c>
      <c r="I2478" s="2">
        <v>142.98400000000001</v>
      </c>
      <c r="J2478">
        <v>2</v>
      </c>
      <c r="K2478" s="2">
        <v>5.9980000000000002</v>
      </c>
      <c r="L2478" s="3">
        <f>(Table1[[#This Row],[Profit]]/Table1[[#This Row],[Sales]])*100</f>
        <v>4.1948749510434729</v>
      </c>
    </row>
    <row r="2479" spans="1:12" x14ac:dyDescent="0.3">
      <c r="A2479" t="s">
        <v>864</v>
      </c>
      <c r="B2479" s="1">
        <v>43559</v>
      </c>
      <c r="C2479" t="s">
        <v>795</v>
      </c>
      <c r="D2479" t="s">
        <v>796</v>
      </c>
      <c r="E2479" t="s">
        <v>14</v>
      </c>
      <c r="F2479" t="s">
        <v>41</v>
      </c>
      <c r="G2479" t="s">
        <v>18</v>
      </c>
      <c r="H2479" t="s">
        <v>303</v>
      </c>
      <c r="I2479" s="2">
        <v>149.97</v>
      </c>
      <c r="J2479">
        <v>3</v>
      </c>
      <c r="K2479" s="2">
        <v>5.9988000000000001</v>
      </c>
      <c r="L2479" s="3">
        <f>(Table1[[#This Row],[Profit]]/Table1[[#This Row],[Sales]])*100</f>
        <v>4</v>
      </c>
    </row>
    <row r="2480" spans="1:12" x14ac:dyDescent="0.3">
      <c r="A2480" t="s">
        <v>3698</v>
      </c>
      <c r="B2480" s="1">
        <v>43804</v>
      </c>
      <c r="C2480" t="s">
        <v>3699</v>
      </c>
      <c r="D2480" t="s">
        <v>3700</v>
      </c>
      <c r="E2480" t="s">
        <v>14</v>
      </c>
      <c r="F2480" t="s">
        <v>29</v>
      </c>
      <c r="G2480" t="s">
        <v>18</v>
      </c>
      <c r="H2480" t="s">
        <v>303</v>
      </c>
      <c r="I2480" s="2">
        <v>149.97</v>
      </c>
      <c r="J2480">
        <v>3</v>
      </c>
      <c r="K2480" s="2">
        <v>5.9988000000000001</v>
      </c>
      <c r="L2480" s="3">
        <f>(Table1[[#This Row],[Profit]]/Table1[[#This Row],[Sales]])*100</f>
        <v>4</v>
      </c>
    </row>
    <row r="2481" spans="1:12" x14ac:dyDescent="0.3">
      <c r="A2481" t="s">
        <v>5092</v>
      </c>
      <c r="B2481" s="1">
        <v>44044</v>
      </c>
      <c r="C2481" t="s">
        <v>1589</v>
      </c>
      <c r="D2481" t="s">
        <v>1590</v>
      </c>
      <c r="E2481" t="s">
        <v>14</v>
      </c>
      <c r="F2481" t="s">
        <v>29</v>
      </c>
      <c r="G2481" t="s">
        <v>18</v>
      </c>
      <c r="H2481" t="s">
        <v>3644</v>
      </c>
      <c r="I2481" s="2">
        <v>113.98399999999999</v>
      </c>
      <c r="J2481">
        <v>2</v>
      </c>
      <c r="K2481" s="2">
        <v>5.9989999999999997</v>
      </c>
      <c r="L2481" s="3">
        <f>(Table1[[#This Row],[Profit]]/Table1[[#This Row],[Sales]])*100</f>
        <v>5.2630193711398094</v>
      </c>
    </row>
    <row r="2482" spans="1:12" x14ac:dyDescent="0.3">
      <c r="A2482" t="s">
        <v>5634</v>
      </c>
      <c r="B2482" s="1">
        <v>44119</v>
      </c>
      <c r="C2482" t="s">
        <v>1314</v>
      </c>
      <c r="D2482" t="s">
        <v>1315</v>
      </c>
      <c r="E2482" t="s">
        <v>14</v>
      </c>
      <c r="F2482" t="s">
        <v>15</v>
      </c>
      <c r="G2482" t="s">
        <v>24</v>
      </c>
      <c r="H2482" t="s">
        <v>312</v>
      </c>
      <c r="I2482" s="2">
        <v>138.05000000000001</v>
      </c>
      <c r="J2482">
        <v>5</v>
      </c>
      <c r="K2482" s="2">
        <v>6.0030000000000001</v>
      </c>
      <c r="L2482" s="3">
        <f>(Table1[[#This Row],[Profit]]/Table1[[#This Row],[Sales]])*100</f>
        <v>4.3484244838826509</v>
      </c>
    </row>
    <row r="2483" spans="1:12" x14ac:dyDescent="0.3">
      <c r="A2483" t="s">
        <v>3473</v>
      </c>
      <c r="B2483" s="1">
        <v>43788</v>
      </c>
      <c r="C2483" t="s">
        <v>621</v>
      </c>
      <c r="D2483" t="s">
        <v>622</v>
      </c>
      <c r="E2483" t="s">
        <v>14</v>
      </c>
      <c r="F2483" t="s">
        <v>41</v>
      </c>
      <c r="G2483" t="s">
        <v>24</v>
      </c>
      <c r="H2483" t="s">
        <v>3474</v>
      </c>
      <c r="I2483" s="2">
        <v>18.48</v>
      </c>
      <c r="J2483">
        <v>2</v>
      </c>
      <c r="K2483" s="2">
        <v>6.0060000000000002</v>
      </c>
      <c r="L2483" s="3">
        <f>(Table1[[#This Row],[Profit]]/Table1[[#This Row],[Sales]])*100</f>
        <v>32.5</v>
      </c>
    </row>
    <row r="2484" spans="1:12" x14ac:dyDescent="0.3">
      <c r="A2484" t="s">
        <v>1217</v>
      </c>
      <c r="B2484" s="1">
        <v>43587</v>
      </c>
      <c r="C2484" t="s">
        <v>633</v>
      </c>
      <c r="D2484" t="s">
        <v>634</v>
      </c>
      <c r="E2484" t="s">
        <v>14</v>
      </c>
      <c r="F2484" t="s">
        <v>15</v>
      </c>
      <c r="G2484" t="s">
        <v>24</v>
      </c>
      <c r="H2484" t="s">
        <v>1220</v>
      </c>
      <c r="I2484" s="2">
        <v>13.08</v>
      </c>
      <c r="J2484">
        <v>2</v>
      </c>
      <c r="K2484" s="2">
        <v>6.0167999999999999</v>
      </c>
      <c r="L2484" s="3">
        <f>(Table1[[#This Row],[Profit]]/Table1[[#This Row],[Sales]])*100</f>
        <v>46</v>
      </c>
    </row>
    <row r="2485" spans="1:12" x14ac:dyDescent="0.3">
      <c r="A2485" t="s">
        <v>2795</v>
      </c>
      <c r="B2485" s="1">
        <v>43726</v>
      </c>
      <c r="C2485" t="s">
        <v>2796</v>
      </c>
      <c r="D2485" t="s">
        <v>2797</v>
      </c>
      <c r="E2485" t="s">
        <v>14</v>
      </c>
      <c r="F2485" t="s">
        <v>41</v>
      </c>
      <c r="G2485" t="s">
        <v>24</v>
      </c>
      <c r="H2485" t="s">
        <v>1220</v>
      </c>
      <c r="I2485" s="2">
        <v>13.08</v>
      </c>
      <c r="J2485">
        <v>2</v>
      </c>
      <c r="K2485" s="2">
        <v>6.0167999999999999</v>
      </c>
      <c r="L2485" s="3">
        <f>(Table1[[#This Row],[Profit]]/Table1[[#This Row],[Sales]])*100</f>
        <v>46</v>
      </c>
    </row>
    <row r="2486" spans="1:12" x14ac:dyDescent="0.3">
      <c r="A2486" t="s">
        <v>3538</v>
      </c>
      <c r="B2486" s="1">
        <v>43793</v>
      </c>
      <c r="C2486" t="s">
        <v>3539</v>
      </c>
      <c r="D2486" t="s">
        <v>3540</v>
      </c>
      <c r="E2486" t="s">
        <v>14</v>
      </c>
      <c r="F2486" t="s">
        <v>15</v>
      </c>
      <c r="G2486" t="s">
        <v>24</v>
      </c>
      <c r="H2486" t="s">
        <v>3541</v>
      </c>
      <c r="I2486" s="2">
        <v>17.216000000000001</v>
      </c>
      <c r="J2486">
        <v>4</v>
      </c>
      <c r="K2486" s="2">
        <v>6.0255999999999998</v>
      </c>
      <c r="L2486" s="3">
        <f>(Table1[[#This Row],[Profit]]/Table1[[#This Row],[Sales]])*100</f>
        <v>35</v>
      </c>
    </row>
    <row r="2487" spans="1:12" x14ac:dyDescent="0.3">
      <c r="A2487" t="s">
        <v>959</v>
      </c>
      <c r="B2487" s="1">
        <v>43565</v>
      </c>
      <c r="C2487" t="s">
        <v>960</v>
      </c>
      <c r="D2487" t="s">
        <v>961</v>
      </c>
      <c r="E2487" t="s">
        <v>14</v>
      </c>
      <c r="F2487" t="s">
        <v>23</v>
      </c>
      <c r="G2487" t="s">
        <v>24</v>
      </c>
      <c r="H2487" t="s">
        <v>964</v>
      </c>
      <c r="I2487" s="2">
        <v>150.66</v>
      </c>
      <c r="J2487">
        <v>9</v>
      </c>
      <c r="K2487" s="2">
        <v>6.0263999999999998</v>
      </c>
      <c r="L2487" s="3">
        <f>(Table1[[#This Row],[Profit]]/Table1[[#This Row],[Sales]])*100</f>
        <v>4</v>
      </c>
    </row>
    <row r="2488" spans="1:12" x14ac:dyDescent="0.3">
      <c r="A2488" t="s">
        <v>3850</v>
      </c>
      <c r="B2488" s="1">
        <v>43817</v>
      </c>
      <c r="C2488" t="s">
        <v>2750</v>
      </c>
      <c r="D2488" t="s">
        <v>2751</v>
      </c>
      <c r="E2488" t="s">
        <v>14</v>
      </c>
      <c r="F2488" t="s">
        <v>29</v>
      </c>
      <c r="G2488" t="s">
        <v>16</v>
      </c>
      <c r="H2488" t="s">
        <v>1218</v>
      </c>
      <c r="I2488" s="2">
        <v>18.84</v>
      </c>
      <c r="J2488">
        <v>3</v>
      </c>
      <c r="K2488" s="2">
        <v>6.0288000000000004</v>
      </c>
      <c r="L2488" s="3">
        <f>(Table1[[#This Row],[Profit]]/Table1[[#This Row],[Sales]])*100</f>
        <v>32</v>
      </c>
    </row>
    <row r="2489" spans="1:12" x14ac:dyDescent="0.3">
      <c r="A2489" t="s">
        <v>4708</v>
      </c>
      <c r="B2489" s="1">
        <v>43976</v>
      </c>
      <c r="C2489" t="s">
        <v>1299</v>
      </c>
      <c r="D2489" t="s">
        <v>1300</v>
      </c>
      <c r="E2489" t="s">
        <v>14</v>
      </c>
      <c r="F2489" t="s">
        <v>15</v>
      </c>
      <c r="G2489" t="s">
        <v>16</v>
      </c>
      <c r="H2489" t="s">
        <v>1218</v>
      </c>
      <c r="I2489" s="2">
        <v>142.84</v>
      </c>
      <c r="J2489">
        <v>3</v>
      </c>
      <c r="K2489" s="2">
        <v>6.0288000000000004</v>
      </c>
      <c r="L2489" s="3">
        <f>(Table1[[#This Row],[Profit]]/Table1[[#This Row],[Sales]])*100</f>
        <v>4.2206664799775968</v>
      </c>
    </row>
    <row r="2490" spans="1:12" x14ac:dyDescent="0.3">
      <c r="A2490" t="s">
        <v>6026</v>
      </c>
      <c r="B2490" s="1">
        <v>44162</v>
      </c>
      <c r="C2490" t="s">
        <v>1013</v>
      </c>
      <c r="D2490" t="s">
        <v>1014</v>
      </c>
      <c r="E2490" t="s">
        <v>14</v>
      </c>
      <c r="F2490" t="s">
        <v>23</v>
      </c>
      <c r="G2490" t="s">
        <v>16</v>
      </c>
      <c r="H2490" t="s">
        <v>1218</v>
      </c>
      <c r="I2490" s="2">
        <v>155.84</v>
      </c>
      <c r="J2490">
        <v>3</v>
      </c>
      <c r="K2490" s="2">
        <v>6.0288000000000004</v>
      </c>
      <c r="L2490" s="3">
        <f>(Table1[[#This Row],[Profit]]/Table1[[#This Row],[Sales]])*100</f>
        <v>3.868583162217659</v>
      </c>
    </row>
    <row r="2491" spans="1:12" x14ac:dyDescent="0.3">
      <c r="A2491" t="s">
        <v>1994</v>
      </c>
      <c r="B2491" s="1">
        <v>43654</v>
      </c>
      <c r="C2491" t="s">
        <v>475</v>
      </c>
      <c r="D2491" t="s">
        <v>476</v>
      </c>
      <c r="E2491" t="s">
        <v>14</v>
      </c>
      <c r="F2491" t="s">
        <v>23</v>
      </c>
      <c r="G2491" t="s">
        <v>24</v>
      </c>
      <c r="H2491" t="s">
        <v>1996</v>
      </c>
      <c r="I2491" s="2">
        <v>19.295999999999999</v>
      </c>
      <c r="J2491">
        <v>3</v>
      </c>
      <c r="K2491" s="2">
        <v>6.03</v>
      </c>
      <c r="L2491" s="3">
        <f>(Table1[[#This Row],[Profit]]/Table1[[#This Row],[Sales]])*100</f>
        <v>31.25</v>
      </c>
    </row>
    <row r="2492" spans="1:12" x14ac:dyDescent="0.3">
      <c r="A2492" t="s">
        <v>3123</v>
      </c>
      <c r="B2492" s="1">
        <v>43758</v>
      </c>
      <c r="C2492" t="s">
        <v>3124</v>
      </c>
      <c r="D2492" t="s">
        <v>3125</v>
      </c>
      <c r="E2492" t="s">
        <v>14</v>
      </c>
      <c r="F2492" t="s">
        <v>23</v>
      </c>
      <c r="G2492" t="s">
        <v>24</v>
      </c>
      <c r="H2492" t="s">
        <v>1996</v>
      </c>
      <c r="I2492" s="2">
        <v>19.295999999999999</v>
      </c>
      <c r="J2492">
        <v>3</v>
      </c>
      <c r="K2492" s="2">
        <v>6.03</v>
      </c>
      <c r="L2492" s="3">
        <f>(Table1[[#This Row],[Profit]]/Table1[[#This Row],[Sales]])*100</f>
        <v>31.25</v>
      </c>
    </row>
    <row r="2493" spans="1:12" x14ac:dyDescent="0.3">
      <c r="A2493" t="s">
        <v>5372</v>
      </c>
      <c r="B2493" s="1">
        <v>44085</v>
      </c>
      <c r="C2493" t="s">
        <v>2720</v>
      </c>
      <c r="D2493" t="s">
        <v>2721</v>
      </c>
      <c r="E2493" t="s">
        <v>14</v>
      </c>
      <c r="F2493" t="s">
        <v>41</v>
      </c>
      <c r="G2493" t="s">
        <v>16</v>
      </c>
      <c r="H2493" t="s">
        <v>1974</v>
      </c>
      <c r="I2493" s="2">
        <v>111.504</v>
      </c>
      <c r="J2493">
        <v>1</v>
      </c>
      <c r="K2493" s="2">
        <v>6.0381999999999998</v>
      </c>
      <c r="L2493" s="3">
        <f>(Table1[[#This Row],[Profit]]/Table1[[#This Row],[Sales]])*100</f>
        <v>5.4152317405653605</v>
      </c>
    </row>
    <row r="2494" spans="1:12" x14ac:dyDescent="0.3">
      <c r="A2494" t="s">
        <v>5665</v>
      </c>
      <c r="B2494" s="1">
        <v>44124</v>
      </c>
      <c r="C2494" t="s">
        <v>2626</v>
      </c>
      <c r="D2494" t="s">
        <v>2627</v>
      </c>
      <c r="E2494" t="s">
        <v>14</v>
      </c>
      <c r="F2494" t="s">
        <v>41</v>
      </c>
      <c r="G2494" t="s">
        <v>16</v>
      </c>
      <c r="H2494" t="s">
        <v>5668</v>
      </c>
      <c r="I2494" s="2">
        <v>137.93600000000001</v>
      </c>
      <c r="J2494">
        <v>4</v>
      </c>
      <c r="K2494" s="2">
        <v>6.0411999999999999</v>
      </c>
      <c r="L2494" s="3">
        <f>(Table1[[#This Row],[Profit]]/Table1[[#This Row],[Sales]])*100</f>
        <v>4.3797123303561065</v>
      </c>
    </row>
    <row r="2495" spans="1:12" x14ac:dyDescent="0.3">
      <c r="A2495" t="s">
        <v>3774</v>
      </c>
      <c r="B2495" s="1">
        <v>43810</v>
      </c>
      <c r="C2495" t="s">
        <v>118</v>
      </c>
      <c r="D2495" t="s">
        <v>119</v>
      </c>
      <c r="E2495" t="s">
        <v>14</v>
      </c>
      <c r="F2495" t="s">
        <v>23</v>
      </c>
      <c r="G2495" t="s">
        <v>24</v>
      </c>
      <c r="H2495" t="s">
        <v>2123</v>
      </c>
      <c r="I2495" s="2">
        <v>23.32</v>
      </c>
      <c r="J2495">
        <v>2</v>
      </c>
      <c r="K2495" s="2">
        <v>6.0632000000000001</v>
      </c>
      <c r="L2495" s="3">
        <f>(Table1[[#This Row],[Profit]]/Table1[[#This Row],[Sales]])*100</f>
        <v>26</v>
      </c>
    </row>
    <row r="2496" spans="1:12" x14ac:dyDescent="0.3">
      <c r="A2496" t="s">
        <v>5446</v>
      </c>
      <c r="B2496" s="1">
        <v>44093</v>
      </c>
      <c r="C2496" t="s">
        <v>1808</v>
      </c>
      <c r="D2496" t="s">
        <v>1809</v>
      </c>
      <c r="E2496" t="s">
        <v>14</v>
      </c>
      <c r="F2496" t="s">
        <v>23</v>
      </c>
      <c r="G2496" t="s">
        <v>24</v>
      </c>
      <c r="H2496" t="s">
        <v>2123</v>
      </c>
      <c r="I2496" s="2">
        <v>146.32</v>
      </c>
      <c r="J2496">
        <v>2</v>
      </c>
      <c r="K2496" s="2">
        <v>6.0632000000000001</v>
      </c>
      <c r="L2496" s="3">
        <f>(Table1[[#This Row],[Profit]]/Table1[[#This Row],[Sales]])*100</f>
        <v>4.1437944231820669</v>
      </c>
    </row>
    <row r="2497" spans="1:12" x14ac:dyDescent="0.3">
      <c r="A2497" t="s">
        <v>3778</v>
      </c>
      <c r="B2497" s="1">
        <v>43810</v>
      </c>
      <c r="C2497" t="s">
        <v>1756</v>
      </c>
      <c r="D2497" t="s">
        <v>1757</v>
      </c>
      <c r="E2497" t="s">
        <v>14</v>
      </c>
      <c r="F2497" t="s">
        <v>23</v>
      </c>
      <c r="G2497" t="s">
        <v>16</v>
      </c>
      <c r="H2497" t="s">
        <v>3786</v>
      </c>
      <c r="I2497" s="2">
        <v>14.8</v>
      </c>
      <c r="J2497">
        <v>4</v>
      </c>
      <c r="K2497" s="2">
        <v>6.0679999999999996</v>
      </c>
      <c r="L2497" s="3">
        <f>(Table1[[#This Row],[Profit]]/Table1[[#This Row],[Sales]])*100</f>
        <v>41</v>
      </c>
    </row>
    <row r="2498" spans="1:12" x14ac:dyDescent="0.3">
      <c r="A2498" t="s">
        <v>6117</v>
      </c>
      <c r="B2498" s="1">
        <v>44170</v>
      </c>
      <c r="C2498" t="s">
        <v>253</v>
      </c>
      <c r="D2498" t="s">
        <v>254</v>
      </c>
      <c r="E2498" t="s">
        <v>14</v>
      </c>
      <c r="F2498" t="s">
        <v>15</v>
      </c>
      <c r="G2498" t="s">
        <v>16</v>
      </c>
      <c r="H2498" t="s">
        <v>4029</v>
      </c>
      <c r="I2498" s="2">
        <v>129.94</v>
      </c>
      <c r="J2498">
        <v>3</v>
      </c>
      <c r="K2498" s="2">
        <v>6.0726000000000004</v>
      </c>
      <c r="L2498" s="3">
        <f>(Table1[[#This Row],[Profit]]/Table1[[#This Row],[Sales]])*100</f>
        <v>4.6733877174080352</v>
      </c>
    </row>
    <row r="2499" spans="1:12" x14ac:dyDescent="0.3">
      <c r="A2499" t="s">
        <v>5914</v>
      </c>
      <c r="B2499" s="1">
        <v>44151</v>
      </c>
      <c r="C2499" t="s">
        <v>5915</v>
      </c>
      <c r="D2499" t="s">
        <v>5916</v>
      </c>
      <c r="E2499" t="s">
        <v>14</v>
      </c>
      <c r="F2499" t="s">
        <v>23</v>
      </c>
      <c r="G2499" t="s">
        <v>24</v>
      </c>
      <c r="H2499" t="s">
        <v>2961</v>
      </c>
      <c r="I2499" s="2">
        <v>129.36000000000001</v>
      </c>
      <c r="J2499">
        <v>4</v>
      </c>
      <c r="K2499" s="2">
        <v>6.0735999999999999</v>
      </c>
      <c r="L2499" s="3">
        <f>(Table1[[#This Row],[Profit]]/Table1[[#This Row],[Sales]])*100</f>
        <v>4.6951144094001229</v>
      </c>
    </row>
    <row r="2500" spans="1:12" x14ac:dyDescent="0.3">
      <c r="A2500" t="s">
        <v>5277</v>
      </c>
      <c r="B2500" s="1">
        <v>44078</v>
      </c>
      <c r="C2500" t="s">
        <v>5181</v>
      </c>
      <c r="D2500" t="s">
        <v>5182</v>
      </c>
      <c r="E2500" t="s">
        <v>14</v>
      </c>
      <c r="F2500" t="s">
        <v>41</v>
      </c>
      <c r="G2500" t="s">
        <v>16</v>
      </c>
      <c r="H2500" t="s">
        <v>822</v>
      </c>
      <c r="I2500" s="2">
        <v>112.184</v>
      </c>
      <c r="J2500">
        <v>2</v>
      </c>
      <c r="K2500" s="2">
        <v>6.0739999999999998</v>
      </c>
      <c r="L2500" s="3">
        <f>(Table1[[#This Row],[Profit]]/Table1[[#This Row],[Sales]])*100</f>
        <v>5.4143193325251371</v>
      </c>
    </row>
    <row r="2501" spans="1:12" x14ac:dyDescent="0.3">
      <c r="A2501" t="s">
        <v>6191</v>
      </c>
      <c r="B2501" s="1">
        <v>44181</v>
      </c>
      <c r="C2501" t="s">
        <v>3848</v>
      </c>
      <c r="D2501" t="s">
        <v>3849</v>
      </c>
      <c r="E2501" t="s">
        <v>14</v>
      </c>
      <c r="F2501" t="s">
        <v>23</v>
      </c>
      <c r="G2501" t="s">
        <v>16</v>
      </c>
      <c r="H2501" t="s">
        <v>822</v>
      </c>
      <c r="I2501" s="2">
        <v>386.18400000000003</v>
      </c>
      <c r="J2501">
        <v>2</v>
      </c>
      <c r="K2501" s="2">
        <v>6.0739999999999998</v>
      </c>
      <c r="L2501" s="3">
        <f>(Table1[[#This Row],[Profit]]/Table1[[#This Row],[Sales]])*100</f>
        <v>1.5728253889337722</v>
      </c>
    </row>
    <row r="2502" spans="1:12" x14ac:dyDescent="0.3">
      <c r="A2502" t="s">
        <v>6198</v>
      </c>
      <c r="B2502" s="1">
        <v>44182</v>
      </c>
      <c r="C2502" t="s">
        <v>914</v>
      </c>
      <c r="D2502" t="s">
        <v>915</v>
      </c>
      <c r="E2502" t="s">
        <v>14</v>
      </c>
      <c r="F2502" t="s">
        <v>23</v>
      </c>
      <c r="G2502" t="s">
        <v>24</v>
      </c>
      <c r="H2502" t="s">
        <v>2469</v>
      </c>
      <c r="I2502" s="2">
        <v>541.23</v>
      </c>
      <c r="J2502">
        <v>3</v>
      </c>
      <c r="K2502" s="2">
        <v>6.0857999999999999</v>
      </c>
      <c r="L2502" s="3">
        <f>(Table1[[#This Row],[Profit]]/Table1[[#This Row],[Sales]])*100</f>
        <v>1.1244387783382295</v>
      </c>
    </row>
    <row r="2503" spans="1:12" x14ac:dyDescent="0.3">
      <c r="A2503" t="s">
        <v>3618</v>
      </c>
      <c r="B2503" s="1">
        <v>43797</v>
      </c>
      <c r="C2503" t="s">
        <v>497</v>
      </c>
      <c r="D2503" t="s">
        <v>498</v>
      </c>
      <c r="E2503" t="s">
        <v>14</v>
      </c>
      <c r="F2503" t="s">
        <v>41</v>
      </c>
      <c r="G2503" t="s">
        <v>18</v>
      </c>
      <c r="H2503" t="s">
        <v>3619</v>
      </c>
      <c r="I2503" s="2">
        <v>101.7</v>
      </c>
      <c r="J2503">
        <v>6</v>
      </c>
      <c r="K2503" s="2">
        <v>6.1020000000000003</v>
      </c>
      <c r="L2503" s="3">
        <f>(Table1[[#This Row],[Profit]]/Table1[[#This Row],[Sales]])*100</f>
        <v>6.0000000000000009</v>
      </c>
    </row>
    <row r="2504" spans="1:12" x14ac:dyDescent="0.3">
      <c r="A2504" t="s">
        <v>1804</v>
      </c>
      <c r="B2504" s="1">
        <v>43636</v>
      </c>
      <c r="C2504" t="s">
        <v>1805</v>
      </c>
      <c r="D2504" t="s">
        <v>1806</v>
      </c>
      <c r="E2504" t="s">
        <v>14</v>
      </c>
      <c r="F2504" t="s">
        <v>15</v>
      </c>
      <c r="G2504" t="s">
        <v>18</v>
      </c>
      <c r="H2504" t="s">
        <v>1364</v>
      </c>
      <c r="I2504" s="2">
        <v>21.8</v>
      </c>
      <c r="J2504">
        <v>2</v>
      </c>
      <c r="K2504" s="2">
        <v>6.1040000000000001</v>
      </c>
      <c r="L2504" s="3">
        <f>(Table1[[#This Row],[Profit]]/Table1[[#This Row],[Sales]])*100</f>
        <v>27.999999999999996</v>
      </c>
    </row>
    <row r="2505" spans="1:12" x14ac:dyDescent="0.3">
      <c r="A2505" t="s">
        <v>3231</v>
      </c>
      <c r="B2505" s="1">
        <v>43770</v>
      </c>
      <c r="C2505" t="s">
        <v>2186</v>
      </c>
      <c r="D2505" t="s">
        <v>2187</v>
      </c>
      <c r="E2505" t="s">
        <v>14</v>
      </c>
      <c r="F2505" t="s">
        <v>41</v>
      </c>
      <c r="G2505" t="s">
        <v>18</v>
      </c>
      <c r="H2505" t="s">
        <v>1364</v>
      </c>
      <c r="I2505" s="2">
        <v>21.8</v>
      </c>
      <c r="J2505">
        <v>2</v>
      </c>
      <c r="K2505" s="2">
        <v>6.1040000000000001</v>
      </c>
      <c r="L2505" s="3">
        <f>(Table1[[#This Row],[Profit]]/Table1[[#This Row],[Sales]])*100</f>
        <v>27.999999999999996</v>
      </c>
    </row>
    <row r="2506" spans="1:12" x14ac:dyDescent="0.3">
      <c r="A2506" t="s">
        <v>3453</v>
      </c>
      <c r="B2506" s="1">
        <v>43787</v>
      </c>
      <c r="C2506" t="s">
        <v>2114</v>
      </c>
      <c r="D2506" t="s">
        <v>2115</v>
      </c>
      <c r="E2506" t="s">
        <v>14</v>
      </c>
      <c r="F2506" t="s">
        <v>23</v>
      </c>
      <c r="G2506" t="s">
        <v>18</v>
      </c>
      <c r="H2506" t="s">
        <v>3454</v>
      </c>
      <c r="I2506" s="2">
        <v>61.192</v>
      </c>
      <c r="J2506">
        <v>1</v>
      </c>
      <c r="K2506" s="2">
        <v>6.1192000000000002</v>
      </c>
      <c r="L2506" s="3">
        <f>(Table1[[#This Row],[Profit]]/Table1[[#This Row],[Sales]])*100</f>
        <v>10</v>
      </c>
    </row>
    <row r="2507" spans="1:12" x14ac:dyDescent="0.3">
      <c r="A2507" t="s">
        <v>6059</v>
      </c>
      <c r="B2507" s="1">
        <v>44166</v>
      </c>
      <c r="C2507" t="s">
        <v>471</v>
      </c>
      <c r="D2507" t="s">
        <v>472</v>
      </c>
      <c r="E2507" t="s">
        <v>14</v>
      </c>
      <c r="F2507" t="s">
        <v>15</v>
      </c>
      <c r="G2507" t="s">
        <v>24</v>
      </c>
      <c r="H2507" t="s">
        <v>3487</v>
      </c>
      <c r="I2507" s="2">
        <v>118.52</v>
      </c>
      <c r="J2507">
        <v>5</v>
      </c>
      <c r="K2507" s="2">
        <v>6.1319999999999997</v>
      </c>
      <c r="L2507" s="3">
        <f>(Table1[[#This Row],[Profit]]/Table1[[#This Row],[Sales]])*100</f>
        <v>5.1738103273709077</v>
      </c>
    </row>
    <row r="2508" spans="1:12" x14ac:dyDescent="0.3">
      <c r="A2508" t="s">
        <v>3225</v>
      </c>
      <c r="B2508" s="1">
        <v>43769</v>
      </c>
      <c r="C2508" t="s">
        <v>2359</v>
      </c>
      <c r="D2508" t="s">
        <v>2360</v>
      </c>
      <c r="E2508" t="s">
        <v>14</v>
      </c>
      <c r="F2508" t="s">
        <v>29</v>
      </c>
      <c r="G2508" t="s">
        <v>24</v>
      </c>
      <c r="H2508" t="s">
        <v>1094</v>
      </c>
      <c r="I2508" s="2">
        <v>21.96</v>
      </c>
      <c r="J2508">
        <v>2</v>
      </c>
      <c r="K2508" s="2">
        <v>6.1487999999999996</v>
      </c>
      <c r="L2508" s="3">
        <f>(Table1[[#This Row],[Profit]]/Table1[[#This Row],[Sales]])*100</f>
        <v>27.999999999999996</v>
      </c>
    </row>
    <row r="2509" spans="1:12" x14ac:dyDescent="0.3">
      <c r="A2509" t="s">
        <v>5475</v>
      </c>
      <c r="B2509" s="1">
        <v>44096</v>
      </c>
      <c r="C2509" t="s">
        <v>3378</v>
      </c>
      <c r="D2509" t="s">
        <v>3379</v>
      </c>
      <c r="E2509" t="s">
        <v>14</v>
      </c>
      <c r="F2509" t="s">
        <v>23</v>
      </c>
      <c r="G2509" t="s">
        <v>24</v>
      </c>
      <c r="H2509" t="s">
        <v>1094</v>
      </c>
      <c r="I2509" s="2">
        <v>123.96</v>
      </c>
      <c r="J2509">
        <v>2</v>
      </c>
      <c r="K2509" s="2">
        <v>6.1487999999999996</v>
      </c>
      <c r="L2509" s="3">
        <f>(Table1[[#This Row],[Profit]]/Table1[[#This Row],[Sales]])*100</f>
        <v>4.9603097773475318</v>
      </c>
    </row>
    <row r="2510" spans="1:12" x14ac:dyDescent="0.3">
      <c r="A2510" t="s">
        <v>3432</v>
      </c>
      <c r="B2510" s="1">
        <v>43783</v>
      </c>
      <c r="C2510" t="s">
        <v>1380</v>
      </c>
      <c r="D2510" t="s">
        <v>1381</v>
      </c>
      <c r="E2510" t="s">
        <v>14</v>
      </c>
      <c r="F2510" t="s">
        <v>15</v>
      </c>
      <c r="G2510" t="s">
        <v>24</v>
      </c>
      <c r="H2510" t="s">
        <v>3433</v>
      </c>
      <c r="I2510" s="2">
        <v>23.65</v>
      </c>
      <c r="J2510">
        <v>1</v>
      </c>
      <c r="K2510" s="2">
        <v>6.149</v>
      </c>
      <c r="L2510" s="3">
        <f>(Table1[[#This Row],[Profit]]/Table1[[#This Row],[Sales]])*100</f>
        <v>26</v>
      </c>
    </row>
    <row r="2511" spans="1:12" x14ac:dyDescent="0.3">
      <c r="A2511" t="s">
        <v>6266</v>
      </c>
      <c r="B2511" s="1">
        <v>44189</v>
      </c>
      <c r="C2511" t="s">
        <v>3625</v>
      </c>
      <c r="D2511" t="s">
        <v>3626</v>
      </c>
      <c r="E2511" t="s">
        <v>14</v>
      </c>
      <c r="F2511" t="s">
        <v>15</v>
      </c>
      <c r="G2511" t="s">
        <v>24</v>
      </c>
      <c r="H2511" t="s">
        <v>2213</v>
      </c>
      <c r="I2511" s="2">
        <v>264.3</v>
      </c>
      <c r="J2511">
        <v>5</v>
      </c>
      <c r="K2511" s="2">
        <v>6.15</v>
      </c>
      <c r="L2511" s="3">
        <f>(Table1[[#This Row],[Profit]]/Table1[[#This Row],[Sales]])*100</f>
        <v>2.3269012485811578</v>
      </c>
    </row>
    <row r="2512" spans="1:12" x14ac:dyDescent="0.3">
      <c r="A2512" t="s">
        <v>1526</v>
      </c>
      <c r="B2512" s="1">
        <v>43612</v>
      </c>
      <c r="C2512" t="s">
        <v>1527</v>
      </c>
      <c r="D2512" t="s">
        <v>1528</v>
      </c>
      <c r="E2512" t="s">
        <v>14</v>
      </c>
      <c r="F2512" t="s">
        <v>23</v>
      </c>
      <c r="G2512" t="s">
        <v>24</v>
      </c>
      <c r="H2512" t="s">
        <v>1529</v>
      </c>
      <c r="I2512" s="2">
        <v>13.38</v>
      </c>
      <c r="J2512">
        <v>2</v>
      </c>
      <c r="K2512" s="2">
        <v>6.1547999999999998</v>
      </c>
      <c r="L2512" s="3">
        <f>(Table1[[#This Row],[Profit]]/Table1[[#This Row],[Sales]])*100</f>
        <v>46</v>
      </c>
    </row>
    <row r="2513" spans="1:12" x14ac:dyDescent="0.3">
      <c r="A2513" t="s">
        <v>5595</v>
      </c>
      <c r="B2513" s="1">
        <v>44113</v>
      </c>
      <c r="C2513" t="s">
        <v>4308</v>
      </c>
      <c r="D2513" t="s">
        <v>4309</v>
      </c>
      <c r="E2513" t="s">
        <v>14</v>
      </c>
      <c r="F2513" t="s">
        <v>15</v>
      </c>
      <c r="G2513" t="s">
        <v>24</v>
      </c>
      <c r="H2513" t="s">
        <v>5599</v>
      </c>
      <c r="I2513" s="2">
        <v>144.24</v>
      </c>
      <c r="J2513">
        <v>6</v>
      </c>
      <c r="K2513" s="2">
        <v>6.1559999999999997</v>
      </c>
      <c r="L2513" s="3">
        <f>(Table1[[#This Row],[Profit]]/Table1[[#This Row],[Sales]])*100</f>
        <v>4.2678868552412634</v>
      </c>
    </row>
    <row r="2514" spans="1:12" x14ac:dyDescent="0.3">
      <c r="A2514" t="s">
        <v>2669</v>
      </c>
      <c r="B2514" s="1">
        <v>43716</v>
      </c>
      <c r="C2514" t="s">
        <v>84</v>
      </c>
      <c r="D2514" t="s">
        <v>85</v>
      </c>
      <c r="E2514" t="s">
        <v>14</v>
      </c>
      <c r="F2514" t="s">
        <v>29</v>
      </c>
      <c r="G2514" t="s">
        <v>24</v>
      </c>
      <c r="H2514" t="s">
        <v>827</v>
      </c>
      <c r="I2514" s="2">
        <v>70.367999999999995</v>
      </c>
      <c r="J2514">
        <v>2</v>
      </c>
      <c r="K2514" s="2">
        <v>6.1571999999999996</v>
      </c>
      <c r="L2514" s="3">
        <f>(Table1[[#This Row],[Profit]]/Table1[[#This Row],[Sales]])*100</f>
        <v>8.75</v>
      </c>
    </row>
    <row r="2515" spans="1:12" x14ac:dyDescent="0.3">
      <c r="A2515" t="s">
        <v>1934</v>
      </c>
      <c r="B2515" s="1">
        <v>43647</v>
      </c>
      <c r="C2515" t="s">
        <v>1935</v>
      </c>
      <c r="D2515" t="s">
        <v>1936</v>
      </c>
      <c r="E2515" t="s">
        <v>14</v>
      </c>
      <c r="F2515" t="s">
        <v>15</v>
      </c>
      <c r="G2515" t="s">
        <v>18</v>
      </c>
      <c r="H2515" t="s">
        <v>1938</v>
      </c>
      <c r="I2515" s="2">
        <v>30.84</v>
      </c>
      <c r="J2515">
        <v>3</v>
      </c>
      <c r="K2515" s="2">
        <v>6.1680000000000001</v>
      </c>
      <c r="L2515" s="3">
        <f>(Table1[[#This Row],[Profit]]/Table1[[#This Row],[Sales]])*100</f>
        <v>20</v>
      </c>
    </row>
    <row r="2516" spans="1:12" x14ac:dyDescent="0.3">
      <c r="A2516" t="s">
        <v>5878</v>
      </c>
      <c r="B2516" s="1">
        <v>44148</v>
      </c>
      <c r="C2516" t="s">
        <v>2907</v>
      </c>
      <c r="D2516" t="s">
        <v>2908</v>
      </c>
      <c r="E2516" t="s">
        <v>14</v>
      </c>
      <c r="F2516" t="s">
        <v>29</v>
      </c>
      <c r="G2516" t="s">
        <v>24</v>
      </c>
      <c r="H2516" t="s">
        <v>5412</v>
      </c>
      <c r="I2516" s="2">
        <v>101.792</v>
      </c>
      <c r="J2516">
        <v>4</v>
      </c>
      <c r="K2516" s="2">
        <v>6.1791999999999998</v>
      </c>
      <c r="L2516" s="3">
        <f>(Table1[[#This Row],[Profit]]/Table1[[#This Row],[Sales]])*100</f>
        <v>6.0704181075133601</v>
      </c>
    </row>
    <row r="2517" spans="1:12" x14ac:dyDescent="0.3">
      <c r="A2517" t="s">
        <v>4140</v>
      </c>
      <c r="B2517" s="1">
        <v>43877</v>
      </c>
      <c r="C2517" t="s">
        <v>2108</v>
      </c>
      <c r="D2517" t="s">
        <v>2109</v>
      </c>
      <c r="E2517" t="s">
        <v>14</v>
      </c>
      <c r="F2517" t="s">
        <v>29</v>
      </c>
      <c r="G2517" t="s">
        <v>24</v>
      </c>
      <c r="H2517" t="s">
        <v>4141</v>
      </c>
      <c r="I2517" s="2">
        <v>94.367999999999995</v>
      </c>
      <c r="J2517">
        <v>2</v>
      </c>
      <c r="K2517" s="2">
        <v>6.1992000000000003</v>
      </c>
      <c r="L2517" s="3">
        <f>(Table1[[#This Row],[Profit]]/Table1[[#This Row],[Sales]])*100</f>
        <v>6.5691759918616492</v>
      </c>
    </row>
    <row r="2518" spans="1:12" x14ac:dyDescent="0.3">
      <c r="A2518" t="s">
        <v>4973</v>
      </c>
      <c r="B2518" s="1">
        <v>44020</v>
      </c>
      <c r="C2518" t="s">
        <v>4702</v>
      </c>
      <c r="D2518" t="s">
        <v>4703</v>
      </c>
      <c r="E2518" t="s">
        <v>14</v>
      </c>
      <c r="F2518" t="s">
        <v>23</v>
      </c>
      <c r="G2518" t="s">
        <v>24</v>
      </c>
      <c r="H2518" t="s">
        <v>2538</v>
      </c>
      <c r="I2518" s="2">
        <v>117.24</v>
      </c>
      <c r="J2518">
        <v>3</v>
      </c>
      <c r="K2518" s="2">
        <v>6.2016</v>
      </c>
      <c r="L2518" s="3">
        <f>(Table1[[#This Row],[Profit]]/Table1[[#This Row],[Sales]])*100</f>
        <v>5.2896622313203689</v>
      </c>
    </row>
    <row r="2519" spans="1:12" x14ac:dyDescent="0.3">
      <c r="A2519" t="s">
        <v>1428</v>
      </c>
      <c r="B2519" s="1">
        <v>43604</v>
      </c>
      <c r="C2519" t="s">
        <v>1400</v>
      </c>
      <c r="D2519" t="s">
        <v>1401</v>
      </c>
      <c r="E2519" t="s">
        <v>14</v>
      </c>
      <c r="F2519" t="s">
        <v>29</v>
      </c>
      <c r="G2519" t="s">
        <v>24</v>
      </c>
      <c r="H2519" t="s">
        <v>1026</v>
      </c>
      <c r="I2519" s="2">
        <v>21.4</v>
      </c>
      <c r="J2519">
        <v>5</v>
      </c>
      <c r="K2519" s="2">
        <v>6.2060000000000004</v>
      </c>
      <c r="L2519" s="3">
        <f>(Table1[[#This Row],[Profit]]/Table1[[#This Row],[Sales]])*100</f>
        <v>29.000000000000004</v>
      </c>
    </row>
    <row r="2520" spans="1:12" x14ac:dyDescent="0.3">
      <c r="A2520" t="s">
        <v>4023</v>
      </c>
      <c r="B2520" s="1">
        <v>43845</v>
      </c>
      <c r="C2520" t="s">
        <v>1119</v>
      </c>
      <c r="D2520" t="s">
        <v>1120</v>
      </c>
      <c r="E2520" t="s">
        <v>14</v>
      </c>
      <c r="F2520" t="s">
        <v>23</v>
      </c>
      <c r="G2520" t="s">
        <v>24</v>
      </c>
      <c r="H2520" t="s">
        <v>4024</v>
      </c>
      <c r="I2520" s="2">
        <v>108.4</v>
      </c>
      <c r="J2520">
        <v>5</v>
      </c>
      <c r="K2520" s="2">
        <v>6.2060000000000004</v>
      </c>
      <c r="L2520" s="3">
        <f>(Table1[[#This Row],[Profit]]/Table1[[#This Row],[Sales]])*100</f>
        <v>5.7250922509225095</v>
      </c>
    </row>
    <row r="2521" spans="1:12" x14ac:dyDescent="0.3">
      <c r="A2521" t="s">
        <v>2465</v>
      </c>
      <c r="B2521" s="1">
        <v>43704</v>
      </c>
      <c r="C2521" t="s">
        <v>2466</v>
      </c>
      <c r="D2521" t="s">
        <v>2467</v>
      </c>
      <c r="E2521" t="s">
        <v>14</v>
      </c>
      <c r="F2521" t="s">
        <v>29</v>
      </c>
      <c r="G2521" t="s">
        <v>24</v>
      </c>
      <c r="H2521" t="s">
        <v>2142</v>
      </c>
      <c r="I2521" s="2">
        <v>55.167999999999999</v>
      </c>
      <c r="J2521">
        <v>4</v>
      </c>
      <c r="K2521" s="2">
        <v>6.2064000000000004</v>
      </c>
      <c r="L2521" s="3">
        <f>(Table1[[#This Row],[Profit]]/Table1[[#This Row],[Sales]])*100</f>
        <v>11.25</v>
      </c>
    </row>
    <row r="2522" spans="1:12" x14ac:dyDescent="0.3">
      <c r="A2522" t="s">
        <v>4510</v>
      </c>
      <c r="B2522" s="1">
        <v>43943</v>
      </c>
      <c r="C2522" t="s">
        <v>3679</v>
      </c>
      <c r="D2522" t="s">
        <v>3680</v>
      </c>
      <c r="E2522" t="s">
        <v>14</v>
      </c>
      <c r="F2522" t="s">
        <v>23</v>
      </c>
      <c r="G2522" t="s">
        <v>16</v>
      </c>
      <c r="H2522" t="s">
        <v>2145</v>
      </c>
      <c r="I2522" s="2">
        <v>109.28</v>
      </c>
      <c r="J2522">
        <v>2</v>
      </c>
      <c r="K2522" s="2">
        <v>6.2152000000000003</v>
      </c>
      <c r="L2522" s="3">
        <f>(Table1[[#This Row],[Profit]]/Table1[[#This Row],[Sales]])*100</f>
        <v>5.6874084919472914</v>
      </c>
    </row>
    <row r="2523" spans="1:12" x14ac:dyDescent="0.3">
      <c r="A2523" t="s">
        <v>4648</v>
      </c>
      <c r="B2523" s="1">
        <v>43965</v>
      </c>
      <c r="C2523" t="s">
        <v>2118</v>
      </c>
      <c r="D2523" t="s">
        <v>2119</v>
      </c>
      <c r="E2523" t="s">
        <v>14</v>
      </c>
      <c r="F2523" t="s">
        <v>23</v>
      </c>
      <c r="G2523" t="s">
        <v>16</v>
      </c>
      <c r="H2523" t="s">
        <v>2145</v>
      </c>
      <c r="I2523" s="2">
        <v>98.28</v>
      </c>
      <c r="J2523">
        <v>2</v>
      </c>
      <c r="K2523" s="2">
        <v>6.2152000000000003</v>
      </c>
      <c r="L2523" s="3">
        <f>(Table1[[#This Row],[Profit]]/Table1[[#This Row],[Sales]])*100</f>
        <v>6.323972323972324</v>
      </c>
    </row>
    <row r="2524" spans="1:12" x14ac:dyDescent="0.3">
      <c r="A2524" t="s">
        <v>4560</v>
      </c>
      <c r="B2524" s="1">
        <v>43951</v>
      </c>
      <c r="C2524" t="s">
        <v>3913</v>
      </c>
      <c r="D2524" t="s">
        <v>3914</v>
      </c>
      <c r="E2524" t="s">
        <v>14</v>
      </c>
      <c r="F2524" t="s">
        <v>41</v>
      </c>
      <c r="G2524" t="s">
        <v>16</v>
      </c>
      <c r="H2524" t="s">
        <v>3786</v>
      </c>
      <c r="I2524" s="2">
        <v>103.68</v>
      </c>
      <c r="J2524">
        <v>8</v>
      </c>
      <c r="K2524" s="2">
        <v>6.2160000000000002</v>
      </c>
      <c r="L2524" s="3">
        <f>(Table1[[#This Row],[Profit]]/Table1[[#This Row],[Sales]])*100</f>
        <v>5.9953703703703702</v>
      </c>
    </row>
    <row r="2525" spans="1:12" x14ac:dyDescent="0.3">
      <c r="A2525" t="s">
        <v>159</v>
      </c>
      <c r="B2525" s="1">
        <v>43487</v>
      </c>
      <c r="C2525" t="s">
        <v>160</v>
      </c>
      <c r="D2525" t="s">
        <v>161</v>
      </c>
      <c r="E2525" t="s">
        <v>14</v>
      </c>
      <c r="F2525" t="s">
        <v>23</v>
      </c>
      <c r="G2525" t="s">
        <v>24</v>
      </c>
      <c r="H2525" t="s">
        <v>162</v>
      </c>
      <c r="I2525" s="2">
        <v>12.96</v>
      </c>
      <c r="J2525">
        <v>2</v>
      </c>
      <c r="K2525" s="2">
        <v>6.2207999999999997</v>
      </c>
      <c r="L2525" s="3">
        <f>(Table1[[#This Row],[Profit]]/Table1[[#This Row],[Sales]])*100</f>
        <v>47.999999999999993</v>
      </c>
    </row>
    <row r="2526" spans="1:12" x14ac:dyDescent="0.3">
      <c r="A2526" t="s">
        <v>598</v>
      </c>
      <c r="B2526" s="1">
        <v>43536</v>
      </c>
      <c r="C2526" t="s">
        <v>599</v>
      </c>
      <c r="D2526" t="s">
        <v>600</v>
      </c>
      <c r="E2526" t="s">
        <v>14</v>
      </c>
      <c r="F2526" t="s">
        <v>41</v>
      </c>
      <c r="G2526" t="s">
        <v>24</v>
      </c>
      <c r="H2526" t="s">
        <v>162</v>
      </c>
      <c r="I2526" s="2">
        <v>12.96</v>
      </c>
      <c r="J2526">
        <v>2</v>
      </c>
      <c r="K2526" s="2">
        <v>6.2207999999999997</v>
      </c>
      <c r="L2526" s="3">
        <f>(Table1[[#This Row],[Profit]]/Table1[[#This Row],[Sales]])*100</f>
        <v>47.999999999999993</v>
      </c>
    </row>
    <row r="2527" spans="1:12" x14ac:dyDescent="0.3">
      <c r="A2527" t="s">
        <v>913</v>
      </c>
      <c r="B2527" s="1">
        <v>43563</v>
      </c>
      <c r="C2527" t="s">
        <v>914</v>
      </c>
      <c r="D2527" t="s">
        <v>915</v>
      </c>
      <c r="E2527" t="s">
        <v>14</v>
      </c>
      <c r="F2527" t="s">
        <v>23</v>
      </c>
      <c r="G2527" t="s">
        <v>24</v>
      </c>
      <c r="H2527" t="s">
        <v>918</v>
      </c>
      <c r="I2527" s="2">
        <v>12.96</v>
      </c>
      <c r="J2527">
        <v>2</v>
      </c>
      <c r="K2527" s="2">
        <v>6.2207999999999997</v>
      </c>
      <c r="L2527" s="3">
        <f>(Table1[[#This Row],[Profit]]/Table1[[#This Row],[Sales]])*100</f>
        <v>47.999999999999993</v>
      </c>
    </row>
    <row r="2528" spans="1:12" x14ac:dyDescent="0.3">
      <c r="A2528" t="s">
        <v>955</v>
      </c>
      <c r="B2528" s="1">
        <v>43565</v>
      </c>
      <c r="C2528" t="s">
        <v>956</v>
      </c>
      <c r="D2528" t="s">
        <v>957</v>
      </c>
      <c r="E2528" t="s">
        <v>14</v>
      </c>
      <c r="F2528" t="s">
        <v>23</v>
      </c>
      <c r="G2528" t="s">
        <v>24</v>
      </c>
      <c r="H2528" t="s">
        <v>958</v>
      </c>
      <c r="I2528" s="2">
        <v>12.96</v>
      </c>
      <c r="J2528">
        <v>2</v>
      </c>
      <c r="K2528" s="2">
        <v>6.2207999999999997</v>
      </c>
      <c r="L2528" s="3">
        <f>(Table1[[#This Row],[Profit]]/Table1[[#This Row],[Sales]])*100</f>
        <v>47.999999999999993</v>
      </c>
    </row>
    <row r="2529" spans="1:12" x14ac:dyDescent="0.3">
      <c r="A2529" t="s">
        <v>1644</v>
      </c>
      <c r="B2529" s="1">
        <v>43622</v>
      </c>
      <c r="C2529" t="s">
        <v>602</v>
      </c>
      <c r="D2529" t="s">
        <v>603</v>
      </c>
      <c r="E2529" t="s">
        <v>14</v>
      </c>
      <c r="F2529" t="s">
        <v>41</v>
      </c>
      <c r="G2529" t="s">
        <v>24</v>
      </c>
      <c r="H2529" t="s">
        <v>1647</v>
      </c>
      <c r="I2529" s="2">
        <v>12.96</v>
      </c>
      <c r="J2529">
        <v>2</v>
      </c>
      <c r="K2529" s="2">
        <v>6.2207999999999997</v>
      </c>
      <c r="L2529" s="3">
        <f>(Table1[[#This Row],[Profit]]/Table1[[#This Row],[Sales]])*100</f>
        <v>47.999999999999993</v>
      </c>
    </row>
    <row r="2530" spans="1:12" x14ac:dyDescent="0.3">
      <c r="A2530" t="s">
        <v>1724</v>
      </c>
      <c r="B2530" s="1">
        <v>43628</v>
      </c>
      <c r="C2530" t="s">
        <v>361</v>
      </c>
      <c r="D2530" t="s">
        <v>362</v>
      </c>
      <c r="E2530" t="s">
        <v>14</v>
      </c>
      <c r="F2530" t="s">
        <v>23</v>
      </c>
      <c r="G2530" t="s">
        <v>24</v>
      </c>
      <c r="H2530" t="s">
        <v>1575</v>
      </c>
      <c r="I2530" s="2">
        <v>12.96</v>
      </c>
      <c r="J2530">
        <v>2</v>
      </c>
      <c r="K2530" s="2">
        <v>6.2207999999999997</v>
      </c>
      <c r="L2530" s="3">
        <f>(Table1[[#This Row],[Profit]]/Table1[[#This Row],[Sales]])*100</f>
        <v>47.999999999999993</v>
      </c>
    </row>
    <row r="2531" spans="1:12" x14ac:dyDescent="0.3">
      <c r="A2531" t="s">
        <v>1928</v>
      </c>
      <c r="B2531" s="1">
        <v>43647</v>
      </c>
      <c r="C2531" t="s">
        <v>1929</v>
      </c>
      <c r="D2531" t="s">
        <v>1930</v>
      </c>
      <c r="E2531" t="s">
        <v>14</v>
      </c>
      <c r="F2531" t="s">
        <v>41</v>
      </c>
      <c r="G2531" t="s">
        <v>24</v>
      </c>
      <c r="H2531" t="s">
        <v>1931</v>
      </c>
      <c r="I2531" s="2">
        <v>12.96</v>
      </c>
      <c r="J2531">
        <v>2</v>
      </c>
      <c r="K2531" s="2">
        <v>6.2207999999999997</v>
      </c>
      <c r="L2531" s="3">
        <f>(Table1[[#This Row],[Profit]]/Table1[[#This Row],[Sales]])*100</f>
        <v>47.999999999999993</v>
      </c>
    </row>
    <row r="2532" spans="1:12" x14ac:dyDescent="0.3">
      <c r="A2532" t="s">
        <v>1952</v>
      </c>
      <c r="B2532" s="1">
        <v>43649</v>
      </c>
      <c r="C2532" t="s">
        <v>1953</v>
      </c>
      <c r="D2532" t="s">
        <v>1954</v>
      </c>
      <c r="E2532" t="s">
        <v>14</v>
      </c>
      <c r="F2532" t="s">
        <v>23</v>
      </c>
      <c r="G2532" t="s">
        <v>24</v>
      </c>
      <c r="H2532" t="s">
        <v>1955</v>
      </c>
      <c r="I2532" s="2">
        <v>12.96</v>
      </c>
      <c r="J2532">
        <v>2</v>
      </c>
      <c r="K2532" s="2">
        <v>6.2207999999999997</v>
      </c>
      <c r="L2532" s="3">
        <f>(Table1[[#This Row],[Profit]]/Table1[[#This Row],[Sales]])*100</f>
        <v>47.999999999999993</v>
      </c>
    </row>
    <row r="2533" spans="1:12" x14ac:dyDescent="0.3">
      <c r="A2533" t="s">
        <v>1988</v>
      </c>
      <c r="B2533" s="1">
        <v>43653</v>
      </c>
      <c r="C2533" t="s">
        <v>1139</v>
      </c>
      <c r="D2533" t="s">
        <v>1140</v>
      </c>
      <c r="E2533" t="s">
        <v>14</v>
      </c>
      <c r="F2533" t="s">
        <v>23</v>
      </c>
      <c r="G2533" t="s">
        <v>24</v>
      </c>
      <c r="H2533" t="s">
        <v>1159</v>
      </c>
      <c r="I2533" s="2">
        <v>12.96</v>
      </c>
      <c r="J2533">
        <v>2</v>
      </c>
      <c r="K2533" s="2">
        <v>6.2207999999999997</v>
      </c>
      <c r="L2533" s="3">
        <f>(Table1[[#This Row],[Profit]]/Table1[[#This Row],[Sales]])*100</f>
        <v>47.999999999999993</v>
      </c>
    </row>
    <row r="2534" spans="1:12" x14ac:dyDescent="0.3">
      <c r="A2534" t="s">
        <v>2000</v>
      </c>
      <c r="B2534" s="1">
        <v>43654</v>
      </c>
      <c r="C2534" t="s">
        <v>1066</v>
      </c>
      <c r="D2534" t="s">
        <v>1067</v>
      </c>
      <c r="E2534" t="s">
        <v>14</v>
      </c>
      <c r="F2534" t="s">
        <v>15</v>
      </c>
      <c r="G2534" t="s">
        <v>24</v>
      </c>
      <c r="H2534" t="s">
        <v>2001</v>
      </c>
      <c r="I2534" s="2">
        <v>12.96</v>
      </c>
      <c r="J2534">
        <v>2</v>
      </c>
      <c r="K2534" s="2">
        <v>6.2207999999999997</v>
      </c>
      <c r="L2534" s="3">
        <f>(Table1[[#This Row],[Profit]]/Table1[[#This Row],[Sales]])*100</f>
        <v>47.999999999999993</v>
      </c>
    </row>
    <row r="2535" spans="1:12" x14ac:dyDescent="0.3">
      <c r="A2535" t="s">
        <v>2381</v>
      </c>
      <c r="B2535" s="1">
        <v>43698</v>
      </c>
      <c r="C2535" t="s">
        <v>1642</v>
      </c>
      <c r="D2535" t="s">
        <v>1643</v>
      </c>
      <c r="E2535" t="s">
        <v>14</v>
      </c>
      <c r="F2535" t="s">
        <v>23</v>
      </c>
      <c r="G2535" t="s">
        <v>24</v>
      </c>
      <c r="H2535" t="s">
        <v>2384</v>
      </c>
      <c r="I2535" s="2">
        <v>12.96</v>
      </c>
      <c r="J2535">
        <v>2</v>
      </c>
      <c r="K2535" s="2">
        <v>6.2207999999999997</v>
      </c>
      <c r="L2535" s="3">
        <f>(Table1[[#This Row],[Profit]]/Table1[[#This Row],[Sales]])*100</f>
        <v>47.999999999999993</v>
      </c>
    </row>
    <row r="2536" spans="1:12" x14ac:dyDescent="0.3">
      <c r="A2536" t="s">
        <v>2933</v>
      </c>
      <c r="B2536" s="1">
        <v>43734</v>
      </c>
      <c r="C2536" t="s">
        <v>2270</v>
      </c>
      <c r="D2536" t="s">
        <v>2271</v>
      </c>
      <c r="E2536" t="s">
        <v>14</v>
      </c>
      <c r="F2536" t="s">
        <v>23</v>
      </c>
      <c r="G2536" t="s">
        <v>24</v>
      </c>
      <c r="H2536" t="s">
        <v>2934</v>
      </c>
      <c r="I2536" s="2">
        <v>12.96</v>
      </c>
      <c r="J2536">
        <v>2</v>
      </c>
      <c r="K2536" s="2">
        <v>6.2207999999999997</v>
      </c>
      <c r="L2536" s="3">
        <f>(Table1[[#This Row],[Profit]]/Table1[[#This Row],[Sales]])*100</f>
        <v>47.999999999999993</v>
      </c>
    </row>
    <row r="2537" spans="1:12" x14ac:dyDescent="0.3">
      <c r="A2537" t="s">
        <v>3097</v>
      </c>
      <c r="B2537" s="1">
        <v>43753</v>
      </c>
      <c r="C2537" t="s">
        <v>3098</v>
      </c>
      <c r="D2537" t="s">
        <v>3099</v>
      </c>
      <c r="E2537" t="s">
        <v>14</v>
      </c>
      <c r="F2537" t="s">
        <v>29</v>
      </c>
      <c r="G2537" t="s">
        <v>24</v>
      </c>
      <c r="H2537" t="s">
        <v>3101</v>
      </c>
      <c r="I2537" s="2">
        <v>12.96</v>
      </c>
      <c r="J2537">
        <v>2</v>
      </c>
      <c r="K2537" s="2">
        <v>6.2207999999999997</v>
      </c>
      <c r="L2537" s="3">
        <f>(Table1[[#This Row],[Profit]]/Table1[[#This Row],[Sales]])*100</f>
        <v>47.999999999999993</v>
      </c>
    </row>
    <row r="2538" spans="1:12" x14ac:dyDescent="0.3">
      <c r="A2538" t="s">
        <v>3312</v>
      </c>
      <c r="B2538" s="1">
        <v>43776</v>
      </c>
      <c r="C2538" t="s">
        <v>1408</v>
      </c>
      <c r="D2538" t="s">
        <v>1409</v>
      </c>
      <c r="E2538" t="s">
        <v>14</v>
      </c>
      <c r="F2538" t="s">
        <v>15</v>
      </c>
      <c r="G2538" t="s">
        <v>24</v>
      </c>
      <c r="H2538" t="s">
        <v>1362</v>
      </c>
      <c r="I2538" s="2">
        <v>12.96</v>
      </c>
      <c r="J2538">
        <v>2</v>
      </c>
      <c r="K2538" s="2">
        <v>6.2207999999999997</v>
      </c>
      <c r="L2538" s="3">
        <f>(Table1[[#This Row],[Profit]]/Table1[[#This Row],[Sales]])*100</f>
        <v>47.999999999999993</v>
      </c>
    </row>
    <row r="2539" spans="1:12" x14ac:dyDescent="0.3">
      <c r="A2539" t="s">
        <v>4082</v>
      </c>
      <c r="B2539" s="1">
        <v>43859</v>
      </c>
      <c r="C2539" t="s">
        <v>4039</v>
      </c>
      <c r="D2539" t="s">
        <v>4040</v>
      </c>
      <c r="E2539" t="s">
        <v>14</v>
      </c>
      <c r="F2539" t="s">
        <v>29</v>
      </c>
      <c r="G2539" t="s">
        <v>24</v>
      </c>
      <c r="H2539" t="s">
        <v>2384</v>
      </c>
      <c r="I2539" s="2">
        <v>111.96</v>
      </c>
      <c r="J2539">
        <v>2</v>
      </c>
      <c r="K2539" s="2">
        <v>6.2207999999999997</v>
      </c>
      <c r="L2539" s="3">
        <f>(Table1[[#This Row],[Profit]]/Table1[[#This Row],[Sales]])*100</f>
        <v>5.5562700964630221</v>
      </c>
    </row>
    <row r="2540" spans="1:12" x14ac:dyDescent="0.3">
      <c r="A2540" t="s">
        <v>4428</v>
      </c>
      <c r="B2540" s="1">
        <v>43930</v>
      </c>
      <c r="C2540" t="s">
        <v>4429</v>
      </c>
      <c r="D2540" t="s">
        <v>4430</v>
      </c>
      <c r="E2540" t="s">
        <v>14</v>
      </c>
      <c r="F2540" t="s">
        <v>15</v>
      </c>
      <c r="G2540" t="s">
        <v>24</v>
      </c>
      <c r="H2540" t="s">
        <v>62</v>
      </c>
      <c r="I2540" s="2">
        <v>144.96</v>
      </c>
      <c r="J2540">
        <v>2</v>
      </c>
      <c r="K2540" s="2">
        <v>6.2207999999999997</v>
      </c>
      <c r="L2540" s="3">
        <f>(Table1[[#This Row],[Profit]]/Table1[[#This Row],[Sales]])*100</f>
        <v>4.2913907284768209</v>
      </c>
    </row>
    <row r="2541" spans="1:12" x14ac:dyDescent="0.3">
      <c r="A2541" t="s">
        <v>4714</v>
      </c>
      <c r="B2541" s="1">
        <v>43977</v>
      </c>
      <c r="C2541" t="s">
        <v>3945</v>
      </c>
      <c r="D2541" t="s">
        <v>3946</v>
      </c>
      <c r="E2541" t="s">
        <v>14</v>
      </c>
      <c r="F2541" t="s">
        <v>23</v>
      </c>
      <c r="G2541" t="s">
        <v>24</v>
      </c>
      <c r="H2541" t="s">
        <v>1951</v>
      </c>
      <c r="I2541" s="2">
        <v>77.959999999999994</v>
      </c>
      <c r="J2541">
        <v>2</v>
      </c>
      <c r="K2541" s="2">
        <v>6.2207999999999997</v>
      </c>
      <c r="L2541" s="3">
        <f>(Table1[[#This Row],[Profit]]/Table1[[#This Row],[Sales]])*100</f>
        <v>7.9794766546947153</v>
      </c>
    </row>
    <row r="2542" spans="1:12" x14ac:dyDescent="0.3">
      <c r="A2542" t="s">
        <v>5013</v>
      </c>
      <c r="B2542" s="1">
        <v>44027</v>
      </c>
      <c r="C2542" t="s">
        <v>1314</v>
      </c>
      <c r="D2542" t="s">
        <v>1315</v>
      </c>
      <c r="E2542" t="s">
        <v>14</v>
      </c>
      <c r="F2542" t="s">
        <v>41</v>
      </c>
      <c r="G2542" t="s">
        <v>24</v>
      </c>
      <c r="H2542" t="s">
        <v>3101</v>
      </c>
      <c r="I2542" s="2">
        <v>120.96</v>
      </c>
      <c r="J2542">
        <v>2</v>
      </c>
      <c r="K2542" s="2">
        <v>6.2207999999999997</v>
      </c>
      <c r="L2542" s="3">
        <f>(Table1[[#This Row],[Profit]]/Table1[[#This Row],[Sales]])*100</f>
        <v>5.1428571428571423</v>
      </c>
    </row>
    <row r="2543" spans="1:12" x14ac:dyDescent="0.3">
      <c r="A2543" t="s">
        <v>5070</v>
      </c>
      <c r="B2543" s="1">
        <v>44039</v>
      </c>
      <c r="C2543" t="s">
        <v>2078</v>
      </c>
      <c r="D2543" t="s">
        <v>2079</v>
      </c>
      <c r="E2543" t="s">
        <v>14</v>
      </c>
      <c r="F2543" t="s">
        <v>23</v>
      </c>
      <c r="G2543" t="s">
        <v>24</v>
      </c>
      <c r="H2543" t="s">
        <v>958</v>
      </c>
      <c r="I2543" s="2">
        <v>124.96</v>
      </c>
      <c r="J2543">
        <v>2</v>
      </c>
      <c r="K2543" s="2">
        <v>6.2207999999999997</v>
      </c>
      <c r="L2543" s="3">
        <f>(Table1[[#This Row],[Profit]]/Table1[[#This Row],[Sales]])*100</f>
        <v>4.9782330345710628</v>
      </c>
    </row>
    <row r="2544" spans="1:12" x14ac:dyDescent="0.3">
      <c r="A2544" t="s">
        <v>5287</v>
      </c>
      <c r="B2544" s="1">
        <v>44078</v>
      </c>
      <c r="C2544" t="s">
        <v>5265</v>
      </c>
      <c r="D2544" t="s">
        <v>5266</v>
      </c>
      <c r="E2544" t="s">
        <v>14</v>
      </c>
      <c r="F2544" t="s">
        <v>23</v>
      </c>
      <c r="G2544" t="s">
        <v>24</v>
      </c>
      <c r="H2544" t="s">
        <v>5288</v>
      </c>
      <c r="I2544" s="2">
        <v>100.96</v>
      </c>
      <c r="J2544">
        <v>2</v>
      </c>
      <c r="K2544" s="2">
        <v>6.2207999999999997</v>
      </c>
      <c r="L2544" s="3">
        <f>(Table1[[#This Row],[Profit]]/Table1[[#This Row],[Sales]])*100</f>
        <v>6.1616481774960379</v>
      </c>
    </row>
    <row r="2545" spans="1:12" x14ac:dyDescent="0.3">
      <c r="A2545" t="s">
        <v>5369</v>
      </c>
      <c r="B2545" s="1">
        <v>44085</v>
      </c>
      <c r="C2545" t="s">
        <v>573</v>
      </c>
      <c r="D2545" t="s">
        <v>574</v>
      </c>
      <c r="E2545" t="s">
        <v>14</v>
      </c>
      <c r="F2545" t="s">
        <v>23</v>
      </c>
      <c r="G2545" t="s">
        <v>24</v>
      </c>
      <c r="H2545" t="s">
        <v>3332</v>
      </c>
      <c r="I2545" s="2">
        <v>115.96</v>
      </c>
      <c r="J2545">
        <v>2</v>
      </c>
      <c r="K2545" s="2">
        <v>6.2207999999999997</v>
      </c>
      <c r="L2545" s="3">
        <f>(Table1[[#This Row],[Profit]]/Table1[[#This Row],[Sales]])*100</f>
        <v>5.3646084856847187</v>
      </c>
    </row>
    <row r="2546" spans="1:12" x14ac:dyDescent="0.3">
      <c r="A2546" t="s">
        <v>5471</v>
      </c>
      <c r="B2546" s="1">
        <v>44096</v>
      </c>
      <c r="C2546" t="s">
        <v>727</v>
      </c>
      <c r="D2546" t="s">
        <v>728</v>
      </c>
      <c r="E2546" t="s">
        <v>14</v>
      </c>
      <c r="F2546" t="s">
        <v>41</v>
      </c>
      <c r="G2546" t="s">
        <v>24</v>
      </c>
      <c r="H2546" t="s">
        <v>5473</v>
      </c>
      <c r="I2546" s="2">
        <v>114.96</v>
      </c>
      <c r="J2546">
        <v>2</v>
      </c>
      <c r="K2546" s="2">
        <v>6.2207999999999997</v>
      </c>
      <c r="L2546" s="3">
        <f>(Table1[[#This Row],[Profit]]/Table1[[#This Row],[Sales]])*100</f>
        <v>5.4112734864300629</v>
      </c>
    </row>
    <row r="2547" spans="1:12" x14ac:dyDescent="0.3">
      <c r="A2547" t="s">
        <v>5484</v>
      </c>
      <c r="B2547" s="1">
        <v>44097</v>
      </c>
      <c r="C2547" t="s">
        <v>5181</v>
      </c>
      <c r="D2547" t="s">
        <v>5182</v>
      </c>
      <c r="E2547" t="s">
        <v>14</v>
      </c>
      <c r="F2547" t="s">
        <v>41</v>
      </c>
      <c r="G2547" t="s">
        <v>24</v>
      </c>
      <c r="H2547" t="s">
        <v>723</v>
      </c>
      <c r="I2547" s="2">
        <v>115.96</v>
      </c>
      <c r="J2547">
        <v>2</v>
      </c>
      <c r="K2547" s="2">
        <v>6.2207999999999997</v>
      </c>
      <c r="L2547" s="3">
        <f>(Table1[[#This Row],[Profit]]/Table1[[#This Row],[Sales]])*100</f>
        <v>5.3646084856847187</v>
      </c>
    </row>
    <row r="2548" spans="1:12" x14ac:dyDescent="0.3">
      <c r="A2548" t="s">
        <v>5647</v>
      </c>
      <c r="B2548" s="1">
        <v>44121</v>
      </c>
      <c r="C2548" t="s">
        <v>3913</v>
      </c>
      <c r="D2548" t="s">
        <v>3914</v>
      </c>
      <c r="E2548" t="s">
        <v>14</v>
      </c>
      <c r="F2548" t="s">
        <v>15</v>
      </c>
      <c r="G2548" t="s">
        <v>24</v>
      </c>
      <c r="H2548" t="s">
        <v>3815</v>
      </c>
      <c r="I2548" s="2">
        <v>115.96</v>
      </c>
      <c r="J2548">
        <v>2</v>
      </c>
      <c r="K2548" s="2">
        <v>6.2207999999999997</v>
      </c>
      <c r="L2548" s="3">
        <f>(Table1[[#This Row],[Profit]]/Table1[[#This Row],[Sales]])*100</f>
        <v>5.3646084856847187</v>
      </c>
    </row>
    <row r="2549" spans="1:12" x14ac:dyDescent="0.3">
      <c r="A2549" t="s">
        <v>5793</v>
      </c>
      <c r="B2549" s="1">
        <v>44140</v>
      </c>
      <c r="C2549" t="s">
        <v>1962</v>
      </c>
      <c r="D2549" t="s">
        <v>1963</v>
      </c>
      <c r="E2549" t="s">
        <v>14</v>
      </c>
      <c r="F2549" t="s">
        <v>23</v>
      </c>
      <c r="G2549" t="s">
        <v>24</v>
      </c>
      <c r="H2549" t="s">
        <v>3332</v>
      </c>
      <c r="I2549" s="2">
        <v>88.96</v>
      </c>
      <c r="J2549">
        <v>2</v>
      </c>
      <c r="K2549" s="2">
        <v>6.2207999999999997</v>
      </c>
      <c r="L2549" s="3">
        <f>(Table1[[#This Row],[Profit]]/Table1[[#This Row],[Sales]])*100</f>
        <v>6.9928057553956844</v>
      </c>
    </row>
    <row r="2550" spans="1:12" x14ac:dyDescent="0.3">
      <c r="A2550" t="s">
        <v>5786</v>
      </c>
      <c r="B2550" s="1">
        <v>44140</v>
      </c>
      <c r="C2550" t="s">
        <v>5787</v>
      </c>
      <c r="D2550" t="s">
        <v>5788</v>
      </c>
      <c r="E2550" t="s">
        <v>14</v>
      </c>
      <c r="F2550" t="s">
        <v>15</v>
      </c>
      <c r="G2550" t="s">
        <v>24</v>
      </c>
      <c r="H2550" t="s">
        <v>1811</v>
      </c>
      <c r="I2550" s="2">
        <v>100.96</v>
      </c>
      <c r="J2550">
        <v>2</v>
      </c>
      <c r="K2550" s="2">
        <v>6.2207999999999997</v>
      </c>
      <c r="L2550" s="3">
        <f>(Table1[[#This Row],[Profit]]/Table1[[#This Row],[Sales]])*100</f>
        <v>6.1616481774960379</v>
      </c>
    </row>
    <row r="2551" spans="1:12" x14ac:dyDescent="0.3">
      <c r="A2551" t="s">
        <v>5998</v>
      </c>
      <c r="B2551" s="1">
        <v>44159</v>
      </c>
      <c r="C2551" t="s">
        <v>3942</v>
      </c>
      <c r="D2551" t="s">
        <v>3943</v>
      </c>
      <c r="E2551" t="s">
        <v>14</v>
      </c>
      <c r="F2551" t="s">
        <v>15</v>
      </c>
      <c r="G2551" t="s">
        <v>24</v>
      </c>
      <c r="H2551" t="s">
        <v>3832</v>
      </c>
      <c r="I2551" s="2">
        <v>111.96</v>
      </c>
      <c r="J2551">
        <v>2</v>
      </c>
      <c r="K2551" s="2">
        <v>6.2207999999999997</v>
      </c>
      <c r="L2551" s="3">
        <f>(Table1[[#This Row],[Profit]]/Table1[[#This Row],[Sales]])*100</f>
        <v>5.5562700964630221</v>
      </c>
    </row>
    <row r="2552" spans="1:12" x14ac:dyDescent="0.3">
      <c r="A2552" t="s">
        <v>6146</v>
      </c>
      <c r="B2552" s="1">
        <v>44174</v>
      </c>
      <c r="C2552" t="s">
        <v>769</v>
      </c>
      <c r="D2552" t="s">
        <v>770</v>
      </c>
      <c r="E2552" t="s">
        <v>14</v>
      </c>
      <c r="F2552" t="s">
        <v>29</v>
      </c>
      <c r="G2552" t="s">
        <v>24</v>
      </c>
      <c r="H2552" t="s">
        <v>1510</v>
      </c>
      <c r="I2552" s="2">
        <v>118.96</v>
      </c>
      <c r="J2552">
        <v>2</v>
      </c>
      <c r="K2552" s="2">
        <v>6.2207999999999997</v>
      </c>
      <c r="L2552" s="3">
        <f>(Table1[[#This Row],[Profit]]/Table1[[#This Row],[Sales]])*100</f>
        <v>5.2293207800941497</v>
      </c>
    </row>
    <row r="2553" spans="1:12" x14ac:dyDescent="0.3">
      <c r="A2553" t="s">
        <v>6155</v>
      </c>
      <c r="B2553" s="1">
        <v>44175</v>
      </c>
      <c r="C2553" t="s">
        <v>2244</v>
      </c>
      <c r="D2553" t="s">
        <v>2245</v>
      </c>
      <c r="E2553" t="s">
        <v>14</v>
      </c>
      <c r="F2553" t="s">
        <v>23</v>
      </c>
      <c r="G2553" t="s">
        <v>24</v>
      </c>
      <c r="H2553" t="s">
        <v>723</v>
      </c>
      <c r="I2553" s="2">
        <v>385.96</v>
      </c>
      <c r="J2553">
        <v>2</v>
      </c>
      <c r="K2553" s="2">
        <v>6.2207999999999997</v>
      </c>
      <c r="L2553" s="3">
        <f>(Table1[[#This Row],[Profit]]/Table1[[#This Row],[Sales]])*100</f>
        <v>1.6117732407503367</v>
      </c>
    </row>
    <row r="2554" spans="1:12" x14ac:dyDescent="0.3">
      <c r="A2554" t="s">
        <v>6209</v>
      </c>
      <c r="B2554" s="1">
        <v>44183</v>
      </c>
      <c r="C2554" t="s">
        <v>3064</v>
      </c>
      <c r="D2554" t="s">
        <v>3065</v>
      </c>
      <c r="E2554" t="s">
        <v>14</v>
      </c>
      <c r="F2554" t="s">
        <v>23</v>
      </c>
      <c r="G2554" t="s">
        <v>24</v>
      </c>
      <c r="H2554" t="s">
        <v>3332</v>
      </c>
      <c r="I2554" s="2">
        <v>267.95999999999998</v>
      </c>
      <c r="J2554">
        <v>2</v>
      </c>
      <c r="K2554" s="2">
        <v>6.2207999999999997</v>
      </c>
      <c r="L2554" s="3">
        <f>(Table1[[#This Row],[Profit]]/Table1[[#This Row],[Sales]])*100</f>
        <v>2.3215405284370805</v>
      </c>
    </row>
    <row r="2555" spans="1:12" x14ac:dyDescent="0.3">
      <c r="A2555" t="s">
        <v>2784</v>
      </c>
      <c r="B2555" s="1">
        <v>43725</v>
      </c>
      <c r="C2555" t="s">
        <v>2785</v>
      </c>
      <c r="D2555" t="s">
        <v>2786</v>
      </c>
      <c r="E2555" t="s">
        <v>14</v>
      </c>
      <c r="F2555" t="s">
        <v>15</v>
      </c>
      <c r="G2555" t="s">
        <v>16</v>
      </c>
      <c r="H2555" t="s">
        <v>929</v>
      </c>
      <c r="I2555" s="2">
        <v>14.82</v>
      </c>
      <c r="J2555">
        <v>3</v>
      </c>
      <c r="K2555" s="2">
        <v>6.2244000000000002</v>
      </c>
      <c r="L2555" s="3">
        <f>(Table1[[#This Row],[Profit]]/Table1[[#This Row],[Sales]])*100</f>
        <v>42</v>
      </c>
    </row>
    <row r="2556" spans="1:12" x14ac:dyDescent="0.3">
      <c r="A2556" t="s">
        <v>3305</v>
      </c>
      <c r="B2556" s="1">
        <v>43776</v>
      </c>
      <c r="C2556" t="s">
        <v>182</v>
      </c>
      <c r="D2556" t="s">
        <v>183</v>
      </c>
      <c r="E2556" t="s">
        <v>14</v>
      </c>
      <c r="F2556" t="s">
        <v>23</v>
      </c>
      <c r="G2556" t="s">
        <v>16</v>
      </c>
      <c r="H2556" t="s">
        <v>929</v>
      </c>
      <c r="I2556" s="2">
        <v>14.82</v>
      </c>
      <c r="J2556">
        <v>3</v>
      </c>
      <c r="K2556" s="2">
        <v>6.2244000000000002</v>
      </c>
      <c r="L2556" s="3">
        <f>(Table1[[#This Row],[Profit]]/Table1[[#This Row],[Sales]])*100</f>
        <v>42</v>
      </c>
    </row>
    <row r="2557" spans="1:12" x14ac:dyDescent="0.3">
      <c r="A2557" t="s">
        <v>3934</v>
      </c>
      <c r="B2557" s="1">
        <v>43826</v>
      </c>
      <c r="C2557" t="s">
        <v>341</v>
      </c>
      <c r="D2557" t="s">
        <v>342</v>
      </c>
      <c r="E2557" t="s">
        <v>14</v>
      </c>
      <c r="F2557" t="s">
        <v>15</v>
      </c>
      <c r="G2557" t="s">
        <v>24</v>
      </c>
      <c r="H2557" t="s">
        <v>3254</v>
      </c>
      <c r="I2557" s="2">
        <v>17.184000000000001</v>
      </c>
      <c r="J2557">
        <v>6</v>
      </c>
      <c r="K2557" s="2">
        <v>6.2291999999999996</v>
      </c>
      <c r="L2557" s="3">
        <f>(Table1[[#This Row],[Profit]]/Table1[[#This Row],[Sales]])*100</f>
        <v>36.249999999999993</v>
      </c>
    </row>
    <row r="2558" spans="1:12" x14ac:dyDescent="0.3">
      <c r="A2558" t="s">
        <v>5008</v>
      </c>
      <c r="B2558" s="1">
        <v>44025</v>
      </c>
      <c r="C2558" t="s">
        <v>447</v>
      </c>
      <c r="D2558" t="s">
        <v>448</v>
      </c>
      <c r="E2558" t="s">
        <v>14</v>
      </c>
      <c r="F2558" t="s">
        <v>29</v>
      </c>
      <c r="G2558" t="s">
        <v>24</v>
      </c>
      <c r="H2558" t="s">
        <v>3864</v>
      </c>
      <c r="I2558" s="2">
        <v>87.56</v>
      </c>
      <c r="J2558">
        <v>2</v>
      </c>
      <c r="K2558" s="2">
        <v>6.2375999999999996</v>
      </c>
      <c r="L2558" s="3">
        <f>(Table1[[#This Row],[Profit]]/Table1[[#This Row],[Sales]])*100</f>
        <v>7.1238008222932843</v>
      </c>
    </row>
    <row r="2559" spans="1:12" x14ac:dyDescent="0.3">
      <c r="A2559" t="s">
        <v>1491</v>
      </c>
      <c r="B2559" s="1">
        <v>43610</v>
      </c>
      <c r="C2559" t="s">
        <v>514</v>
      </c>
      <c r="D2559" t="s">
        <v>515</v>
      </c>
      <c r="E2559" t="s">
        <v>14</v>
      </c>
      <c r="F2559" t="s">
        <v>41</v>
      </c>
      <c r="G2559" t="s">
        <v>16</v>
      </c>
      <c r="H2559" t="s">
        <v>1492</v>
      </c>
      <c r="I2559" s="2">
        <v>24.96</v>
      </c>
      <c r="J2559">
        <v>4</v>
      </c>
      <c r="K2559" s="2">
        <v>6.24</v>
      </c>
      <c r="L2559" s="3">
        <f>(Table1[[#This Row],[Profit]]/Table1[[#This Row],[Sales]])*100</f>
        <v>25</v>
      </c>
    </row>
    <row r="2560" spans="1:12" x14ac:dyDescent="0.3">
      <c r="A2560" t="s">
        <v>3482</v>
      </c>
      <c r="B2560" s="1">
        <v>43789</v>
      </c>
      <c r="C2560" t="s">
        <v>1941</v>
      </c>
      <c r="D2560" t="s">
        <v>1942</v>
      </c>
      <c r="E2560" t="s">
        <v>14</v>
      </c>
      <c r="F2560" t="s">
        <v>15</v>
      </c>
      <c r="G2560" t="s">
        <v>24</v>
      </c>
      <c r="H2560" t="s">
        <v>214</v>
      </c>
      <c r="I2560" s="2">
        <v>18.495999999999999</v>
      </c>
      <c r="J2560">
        <v>8</v>
      </c>
      <c r="K2560" s="2">
        <v>6.2423999999999999</v>
      </c>
      <c r="L2560" s="3">
        <f>(Table1[[#This Row],[Profit]]/Table1[[#This Row],[Sales]])*100</f>
        <v>33.75</v>
      </c>
    </row>
    <row r="2561" spans="1:12" x14ac:dyDescent="0.3">
      <c r="A2561" t="s">
        <v>2053</v>
      </c>
      <c r="B2561" s="1">
        <v>43662</v>
      </c>
      <c r="C2561" t="s">
        <v>2054</v>
      </c>
      <c r="D2561" t="s">
        <v>2055</v>
      </c>
      <c r="E2561" t="s">
        <v>14</v>
      </c>
      <c r="F2561" t="s">
        <v>29</v>
      </c>
      <c r="G2561" t="s">
        <v>24</v>
      </c>
      <c r="H2561" t="s">
        <v>1939</v>
      </c>
      <c r="I2561" s="2">
        <v>20.015999999999998</v>
      </c>
      <c r="J2561">
        <v>3</v>
      </c>
      <c r="K2561" s="2">
        <v>6.2549999999999999</v>
      </c>
      <c r="L2561" s="3">
        <f>(Table1[[#This Row],[Profit]]/Table1[[#This Row],[Sales]])*100</f>
        <v>31.25</v>
      </c>
    </row>
    <row r="2562" spans="1:12" x14ac:dyDescent="0.3">
      <c r="A2562" t="s">
        <v>3773</v>
      </c>
      <c r="B2562" s="1">
        <v>43810</v>
      </c>
      <c r="C2562" t="s">
        <v>3477</v>
      </c>
      <c r="D2562" t="s">
        <v>3478</v>
      </c>
      <c r="E2562" t="s">
        <v>14</v>
      </c>
      <c r="F2562" t="s">
        <v>15</v>
      </c>
      <c r="G2562" t="s">
        <v>24</v>
      </c>
      <c r="H2562" t="s">
        <v>359</v>
      </c>
      <c r="I2562" s="2">
        <v>15.26</v>
      </c>
      <c r="J2562">
        <v>7</v>
      </c>
      <c r="K2562" s="2">
        <v>6.2565999999999997</v>
      </c>
      <c r="L2562" s="3">
        <f>(Table1[[#This Row],[Profit]]/Table1[[#This Row],[Sales]])*100</f>
        <v>41</v>
      </c>
    </row>
    <row r="2563" spans="1:12" x14ac:dyDescent="0.3">
      <c r="A2563" t="s">
        <v>4667</v>
      </c>
      <c r="B2563" s="1">
        <v>43969</v>
      </c>
      <c r="C2563" t="s">
        <v>4668</v>
      </c>
      <c r="D2563" t="s">
        <v>4669</v>
      </c>
      <c r="E2563" t="s">
        <v>14</v>
      </c>
      <c r="F2563" t="s">
        <v>15</v>
      </c>
      <c r="G2563" t="s">
        <v>16</v>
      </c>
      <c r="H2563" t="s">
        <v>2134</v>
      </c>
      <c r="I2563" s="2">
        <v>112.56</v>
      </c>
      <c r="J2563">
        <v>2</v>
      </c>
      <c r="K2563" s="2">
        <v>6.2607999999999997</v>
      </c>
      <c r="L2563" s="3">
        <f>(Table1[[#This Row],[Profit]]/Table1[[#This Row],[Sales]])*100</f>
        <v>5.5621890547263675</v>
      </c>
    </row>
    <row r="2564" spans="1:12" x14ac:dyDescent="0.3">
      <c r="A2564" t="s">
        <v>1042</v>
      </c>
      <c r="B2564" s="1">
        <v>43572</v>
      </c>
      <c r="C2564" t="s">
        <v>244</v>
      </c>
      <c r="D2564" t="s">
        <v>245</v>
      </c>
      <c r="E2564" t="s">
        <v>14</v>
      </c>
      <c r="F2564" t="s">
        <v>41</v>
      </c>
      <c r="G2564" t="s">
        <v>16</v>
      </c>
      <c r="H2564" t="s">
        <v>1044</v>
      </c>
      <c r="I2564" s="2">
        <v>18.623999999999999</v>
      </c>
      <c r="J2564">
        <v>8</v>
      </c>
      <c r="K2564" s="2">
        <v>6.2855999999999996</v>
      </c>
      <c r="L2564" s="3">
        <f>(Table1[[#This Row],[Profit]]/Table1[[#This Row],[Sales]])*100</f>
        <v>33.75</v>
      </c>
    </row>
    <row r="2565" spans="1:12" x14ac:dyDescent="0.3">
      <c r="A2565" t="s">
        <v>651</v>
      </c>
      <c r="B2565" s="1">
        <v>43538</v>
      </c>
      <c r="C2565" t="s">
        <v>652</v>
      </c>
      <c r="D2565" t="s">
        <v>653</v>
      </c>
      <c r="E2565" t="s">
        <v>14</v>
      </c>
      <c r="F2565" t="s">
        <v>15</v>
      </c>
      <c r="G2565" t="s">
        <v>16</v>
      </c>
      <c r="H2565" t="s">
        <v>654</v>
      </c>
      <c r="I2565" s="2">
        <v>21.88</v>
      </c>
      <c r="J2565">
        <v>5</v>
      </c>
      <c r="K2565" s="2">
        <v>6.2904999999999998</v>
      </c>
      <c r="L2565" s="3">
        <f>(Table1[[#This Row],[Profit]]/Table1[[#This Row],[Sales]])*100</f>
        <v>28.749999999999996</v>
      </c>
    </row>
    <row r="2566" spans="1:12" x14ac:dyDescent="0.3">
      <c r="A2566" t="s">
        <v>1138</v>
      </c>
      <c r="B2566" s="1">
        <v>43578</v>
      </c>
      <c r="C2566" t="s">
        <v>1139</v>
      </c>
      <c r="D2566" t="s">
        <v>1140</v>
      </c>
      <c r="E2566" t="s">
        <v>14</v>
      </c>
      <c r="F2566" t="s">
        <v>15</v>
      </c>
      <c r="G2566" t="s">
        <v>24</v>
      </c>
      <c r="H2566" t="s">
        <v>1142</v>
      </c>
      <c r="I2566" s="2">
        <v>55.92</v>
      </c>
      <c r="J2566">
        <v>5</v>
      </c>
      <c r="K2566" s="2">
        <v>6.2910000000000004</v>
      </c>
      <c r="L2566" s="3">
        <f>(Table1[[#This Row],[Profit]]/Table1[[#This Row],[Sales]])*100</f>
        <v>11.25</v>
      </c>
    </row>
    <row r="2567" spans="1:12" x14ac:dyDescent="0.3">
      <c r="A2567" t="s">
        <v>5036</v>
      </c>
      <c r="B2567" s="1">
        <v>44033</v>
      </c>
      <c r="C2567" t="s">
        <v>895</v>
      </c>
      <c r="D2567" t="s">
        <v>896</v>
      </c>
      <c r="E2567" t="s">
        <v>14</v>
      </c>
      <c r="F2567" t="s">
        <v>23</v>
      </c>
      <c r="G2567" t="s">
        <v>18</v>
      </c>
      <c r="H2567" t="s">
        <v>2845</v>
      </c>
      <c r="I2567" s="2">
        <v>114.928</v>
      </c>
      <c r="J2567">
        <v>9</v>
      </c>
      <c r="K2567" s="2">
        <v>6.2937000000000003</v>
      </c>
      <c r="L2567" s="3">
        <f>(Table1[[#This Row],[Profit]]/Table1[[#This Row],[Sales]])*100</f>
        <v>5.4762111930948079</v>
      </c>
    </row>
    <row r="2568" spans="1:12" x14ac:dyDescent="0.3">
      <c r="A2568" t="s">
        <v>3308</v>
      </c>
      <c r="B2568" s="1">
        <v>43776</v>
      </c>
      <c r="C2568" t="s">
        <v>3309</v>
      </c>
      <c r="D2568" t="s">
        <v>3310</v>
      </c>
      <c r="E2568" t="s">
        <v>14</v>
      </c>
      <c r="F2568" t="s">
        <v>23</v>
      </c>
      <c r="G2568" t="s">
        <v>24</v>
      </c>
      <c r="H2568" t="s">
        <v>2483</v>
      </c>
      <c r="I2568" s="2">
        <v>12.9</v>
      </c>
      <c r="J2568">
        <v>2</v>
      </c>
      <c r="K2568" s="2">
        <v>6.3209999999999997</v>
      </c>
      <c r="L2568" s="3">
        <f>(Table1[[#This Row],[Profit]]/Table1[[#This Row],[Sales]])*100</f>
        <v>49</v>
      </c>
    </row>
    <row r="2569" spans="1:12" x14ac:dyDescent="0.3">
      <c r="A2569" t="s">
        <v>3630</v>
      </c>
      <c r="B2569" s="1">
        <v>43799</v>
      </c>
      <c r="C2569" t="s">
        <v>3631</v>
      </c>
      <c r="D2569" t="s">
        <v>3632</v>
      </c>
      <c r="E2569" t="s">
        <v>14</v>
      </c>
      <c r="F2569" t="s">
        <v>29</v>
      </c>
      <c r="G2569" t="s">
        <v>24</v>
      </c>
      <c r="H2569" t="s">
        <v>912</v>
      </c>
      <c r="I2569" s="2">
        <v>13.76</v>
      </c>
      <c r="J2569">
        <v>2</v>
      </c>
      <c r="K2569" s="2">
        <v>6.3296000000000001</v>
      </c>
      <c r="L2569" s="3">
        <f>(Table1[[#This Row],[Profit]]/Table1[[#This Row],[Sales]])*100</f>
        <v>46</v>
      </c>
    </row>
    <row r="2570" spans="1:12" x14ac:dyDescent="0.3">
      <c r="A2570" t="s">
        <v>5114</v>
      </c>
      <c r="B2570" s="1">
        <v>44048</v>
      </c>
      <c r="C2570" t="s">
        <v>2411</v>
      </c>
      <c r="D2570" t="s">
        <v>2412</v>
      </c>
      <c r="E2570" t="s">
        <v>14</v>
      </c>
      <c r="F2570" t="s">
        <v>41</v>
      </c>
      <c r="G2570" t="s">
        <v>24</v>
      </c>
      <c r="H2570" t="s">
        <v>912</v>
      </c>
      <c r="I2570" s="2">
        <v>123.76</v>
      </c>
      <c r="J2570">
        <v>2</v>
      </c>
      <c r="K2570" s="2">
        <v>6.3296000000000001</v>
      </c>
      <c r="L2570" s="3">
        <f>(Table1[[#This Row],[Profit]]/Table1[[#This Row],[Sales]])*100</f>
        <v>5.1144149967679384</v>
      </c>
    </row>
    <row r="2571" spans="1:12" x14ac:dyDescent="0.3">
      <c r="A2571" t="s">
        <v>5450</v>
      </c>
      <c r="B2571" s="1">
        <v>44094</v>
      </c>
      <c r="C2571" t="s">
        <v>1698</v>
      </c>
      <c r="D2571" t="s">
        <v>1699</v>
      </c>
      <c r="E2571" t="s">
        <v>14</v>
      </c>
      <c r="F2571" t="s">
        <v>15</v>
      </c>
      <c r="G2571" t="s">
        <v>24</v>
      </c>
      <c r="H2571" t="s">
        <v>912</v>
      </c>
      <c r="I2571" s="2">
        <v>122.76</v>
      </c>
      <c r="J2571">
        <v>2</v>
      </c>
      <c r="K2571" s="2">
        <v>6.3296000000000001</v>
      </c>
      <c r="L2571" s="3">
        <f>(Table1[[#This Row],[Profit]]/Table1[[#This Row],[Sales]])*100</f>
        <v>5.1560768980123814</v>
      </c>
    </row>
    <row r="2572" spans="1:12" x14ac:dyDescent="0.3">
      <c r="A2572" t="s">
        <v>4968</v>
      </c>
      <c r="B2572" s="1">
        <v>44019</v>
      </c>
      <c r="C2572" t="s">
        <v>684</v>
      </c>
      <c r="D2572" t="s">
        <v>685</v>
      </c>
      <c r="E2572" t="s">
        <v>14</v>
      </c>
      <c r="F2572" t="s">
        <v>15</v>
      </c>
      <c r="G2572" t="s">
        <v>24</v>
      </c>
      <c r="H2572" t="s">
        <v>130</v>
      </c>
      <c r="I2572" s="2">
        <v>129.47200000000001</v>
      </c>
      <c r="J2572">
        <v>3</v>
      </c>
      <c r="K2572" s="2">
        <v>6.3335999999999997</v>
      </c>
      <c r="L2572" s="3">
        <f>(Table1[[#This Row],[Profit]]/Table1[[#This Row],[Sales]])*100</f>
        <v>4.8918685121107259</v>
      </c>
    </row>
    <row r="2573" spans="1:12" x14ac:dyDescent="0.3">
      <c r="A2573" t="s">
        <v>537</v>
      </c>
      <c r="B2573" s="1">
        <v>43532</v>
      </c>
      <c r="C2573" t="s">
        <v>538</v>
      </c>
      <c r="D2573" t="s">
        <v>539</v>
      </c>
      <c r="E2573" t="s">
        <v>14</v>
      </c>
      <c r="F2573" t="s">
        <v>15</v>
      </c>
      <c r="G2573" t="s">
        <v>24</v>
      </c>
      <c r="H2573" t="s">
        <v>541</v>
      </c>
      <c r="I2573" s="2">
        <v>12.96</v>
      </c>
      <c r="J2573">
        <v>2</v>
      </c>
      <c r="K2573" s="2">
        <v>6.3503999999999996</v>
      </c>
      <c r="L2573" s="3">
        <f>(Table1[[#This Row],[Profit]]/Table1[[#This Row],[Sales]])*100</f>
        <v>48.999999999999993</v>
      </c>
    </row>
    <row r="2574" spans="1:12" x14ac:dyDescent="0.3">
      <c r="A2574" t="s">
        <v>2757</v>
      </c>
      <c r="B2574" s="1">
        <v>43724</v>
      </c>
      <c r="C2574" t="s">
        <v>871</v>
      </c>
      <c r="D2574" t="s">
        <v>872</v>
      </c>
      <c r="E2574" t="s">
        <v>14</v>
      </c>
      <c r="F2574" t="s">
        <v>23</v>
      </c>
      <c r="G2574" t="s">
        <v>24</v>
      </c>
      <c r="H2574" t="s">
        <v>2758</v>
      </c>
      <c r="I2574" s="2">
        <v>12.96</v>
      </c>
      <c r="J2574">
        <v>2</v>
      </c>
      <c r="K2574" s="2">
        <v>6.3503999999999996</v>
      </c>
      <c r="L2574" s="3">
        <f>(Table1[[#This Row],[Profit]]/Table1[[#This Row],[Sales]])*100</f>
        <v>48.999999999999993</v>
      </c>
    </row>
    <row r="2575" spans="1:12" x14ac:dyDescent="0.3">
      <c r="A2575" t="s">
        <v>3517</v>
      </c>
      <c r="B2575" s="1">
        <v>43790</v>
      </c>
      <c r="C2575" t="s">
        <v>1782</v>
      </c>
      <c r="D2575" t="s">
        <v>1783</v>
      </c>
      <c r="E2575" t="s">
        <v>14</v>
      </c>
      <c r="F2575" t="s">
        <v>15</v>
      </c>
      <c r="G2575" t="s">
        <v>24</v>
      </c>
      <c r="H2575" t="s">
        <v>1731</v>
      </c>
      <c r="I2575" s="2">
        <v>12.96</v>
      </c>
      <c r="J2575">
        <v>2</v>
      </c>
      <c r="K2575" s="2">
        <v>6.3503999999999996</v>
      </c>
      <c r="L2575" s="3">
        <f>(Table1[[#This Row],[Profit]]/Table1[[#This Row],[Sales]])*100</f>
        <v>48.999999999999993</v>
      </c>
    </row>
    <row r="2576" spans="1:12" x14ac:dyDescent="0.3">
      <c r="A2576" t="s">
        <v>4366</v>
      </c>
      <c r="B2576" s="1">
        <v>43918</v>
      </c>
      <c r="C2576" t="s">
        <v>1854</v>
      </c>
      <c r="D2576" t="s">
        <v>1855</v>
      </c>
      <c r="E2576" t="s">
        <v>14</v>
      </c>
      <c r="F2576" t="s">
        <v>23</v>
      </c>
      <c r="G2576" t="s">
        <v>24</v>
      </c>
      <c r="H2576" t="s">
        <v>1731</v>
      </c>
      <c r="I2576" s="2">
        <v>90.96</v>
      </c>
      <c r="J2576">
        <v>2</v>
      </c>
      <c r="K2576" s="2">
        <v>6.3503999999999996</v>
      </c>
      <c r="L2576" s="3">
        <f>(Table1[[#This Row],[Profit]]/Table1[[#This Row],[Sales]])*100</f>
        <v>6.9815303430079165</v>
      </c>
    </row>
    <row r="2577" spans="1:12" x14ac:dyDescent="0.3">
      <c r="A2577" t="s">
        <v>5431</v>
      </c>
      <c r="B2577" s="1">
        <v>44091</v>
      </c>
      <c r="C2577" t="s">
        <v>2485</v>
      </c>
      <c r="D2577" t="s">
        <v>2486</v>
      </c>
      <c r="E2577" t="s">
        <v>14</v>
      </c>
      <c r="F2577" t="s">
        <v>23</v>
      </c>
      <c r="G2577" t="s">
        <v>24</v>
      </c>
      <c r="H2577" t="s">
        <v>5432</v>
      </c>
      <c r="I2577" s="2">
        <v>135.96</v>
      </c>
      <c r="J2577">
        <v>2</v>
      </c>
      <c r="K2577" s="2">
        <v>6.3503999999999996</v>
      </c>
      <c r="L2577" s="3">
        <f>(Table1[[#This Row],[Profit]]/Table1[[#This Row],[Sales]])*100</f>
        <v>4.6707855251544572</v>
      </c>
    </row>
    <row r="2578" spans="1:12" x14ac:dyDescent="0.3">
      <c r="A2578" t="s">
        <v>6179</v>
      </c>
      <c r="B2578" s="1">
        <v>44178</v>
      </c>
      <c r="C2578" t="s">
        <v>3064</v>
      </c>
      <c r="D2578" t="s">
        <v>3065</v>
      </c>
      <c r="E2578" t="s">
        <v>14</v>
      </c>
      <c r="F2578" t="s">
        <v>23</v>
      </c>
      <c r="G2578" t="s">
        <v>24</v>
      </c>
      <c r="H2578" t="s">
        <v>1731</v>
      </c>
      <c r="I2578" s="2">
        <v>323.95999999999998</v>
      </c>
      <c r="J2578">
        <v>2</v>
      </c>
      <c r="K2578" s="2">
        <v>6.3503999999999996</v>
      </c>
      <c r="L2578" s="3">
        <f>(Table1[[#This Row],[Profit]]/Table1[[#This Row],[Sales]])*100</f>
        <v>1.9602420051858254</v>
      </c>
    </row>
    <row r="2579" spans="1:12" x14ac:dyDescent="0.3">
      <c r="A2579" t="s">
        <v>5797</v>
      </c>
      <c r="B2579" s="1">
        <v>44141</v>
      </c>
      <c r="C2579" t="s">
        <v>376</v>
      </c>
      <c r="D2579" t="s">
        <v>377</v>
      </c>
      <c r="E2579" t="s">
        <v>14</v>
      </c>
      <c r="F2579" t="s">
        <v>41</v>
      </c>
      <c r="G2579" t="s">
        <v>16</v>
      </c>
      <c r="H2579" t="s">
        <v>2637</v>
      </c>
      <c r="I2579" s="2">
        <v>107.27200000000001</v>
      </c>
      <c r="J2579">
        <v>2</v>
      </c>
      <c r="K2579" s="2">
        <v>6.3612000000000002</v>
      </c>
      <c r="L2579" s="3">
        <f>(Table1[[#This Row],[Profit]]/Table1[[#This Row],[Sales]])*100</f>
        <v>5.9299724065925865</v>
      </c>
    </row>
    <row r="2580" spans="1:12" x14ac:dyDescent="0.3">
      <c r="A2580" t="s">
        <v>5421</v>
      </c>
      <c r="B2580" s="1">
        <v>44090</v>
      </c>
      <c r="C2580" t="s">
        <v>1929</v>
      </c>
      <c r="D2580" t="s">
        <v>1930</v>
      </c>
      <c r="E2580" t="s">
        <v>14</v>
      </c>
      <c r="F2580" t="s">
        <v>29</v>
      </c>
      <c r="G2580" t="s">
        <v>24</v>
      </c>
      <c r="H2580" t="s">
        <v>1345</v>
      </c>
      <c r="I2580" s="2">
        <v>107.568</v>
      </c>
      <c r="J2580">
        <v>2</v>
      </c>
      <c r="K2580" s="2">
        <v>6.3684000000000003</v>
      </c>
      <c r="L2580" s="3">
        <f>(Table1[[#This Row],[Profit]]/Table1[[#This Row],[Sales]])*100</f>
        <v>5.9203480589022766</v>
      </c>
    </row>
    <row r="2581" spans="1:12" x14ac:dyDescent="0.3">
      <c r="A2581" t="s">
        <v>2853</v>
      </c>
      <c r="B2581" s="1">
        <v>43730</v>
      </c>
      <c r="C2581" t="s">
        <v>2854</v>
      </c>
      <c r="D2581" t="s">
        <v>2855</v>
      </c>
      <c r="E2581" t="s">
        <v>14</v>
      </c>
      <c r="F2581" t="s">
        <v>41</v>
      </c>
      <c r="G2581" t="s">
        <v>16</v>
      </c>
      <c r="H2581" t="s">
        <v>2856</v>
      </c>
      <c r="I2581" s="2">
        <v>13.28</v>
      </c>
      <c r="J2581">
        <v>2</v>
      </c>
      <c r="K2581" s="2">
        <v>6.3743999999999996</v>
      </c>
      <c r="L2581" s="3">
        <f>(Table1[[#This Row],[Profit]]/Table1[[#This Row],[Sales]])*100</f>
        <v>48</v>
      </c>
    </row>
    <row r="2582" spans="1:12" x14ac:dyDescent="0.3">
      <c r="A2582" t="s">
        <v>5631</v>
      </c>
      <c r="B2582" s="1">
        <v>44119</v>
      </c>
      <c r="C2582" t="s">
        <v>4197</v>
      </c>
      <c r="D2582" t="s">
        <v>4198</v>
      </c>
      <c r="E2582" t="s">
        <v>14</v>
      </c>
      <c r="F2582" t="s">
        <v>23</v>
      </c>
      <c r="G2582" t="s">
        <v>16</v>
      </c>
      <c r="H2582" t="s">
        <v>4420</v>
      </c>
      <c r="I2582" s="2">
        <v>560.24</v>
      </c>
      <c r="J2582">
        <v>3</v>
      </c>
      <c r="K2582" s="2">
        <v>6.3780000000000001</v>
      </c>
      <c r="L2582" s="3">
        <f>(Table1[[#This Row],[Profit]]/Table1[[#This Row],[Sales]])*100</f>
        <v>1.1384406682850208</v>
      </c>
    </row>
    <row r="2583" spans="1:12" x14ac:dyDescent="0.3">
      <c r="A2583" t="s">
        <v>4031</v>
      </c>
      <c r="B2583" s="1">
        <v>43849</v>
      </c>
      <c r="C2583" t="s">
        <v>3546</v>
      </c>
      <c r="D2583" t="s">
        <v>3547</v>
      </c>
      <c r="E2583" t="s">
        <v>14</v>
      </c>
      <c r="F2583" t="s">
        <v>15</v>
      </c>
      <c r="G2583" t="s">
        <v>16</v>
      </c>
      <c r="H2583" t="s">
        <v>1191</v>
      </c>
      <c r="I2583" s="2">
        <v>124.968</v>
      </c>
      <c r="J2583">
        <v>2</v>
      </c>
      <c r="K2583" s="2">
        <v>6.3936000000000002</v>
      </c>
      <c r="L2583" s="3">
        <f>(Table1[[#This Row],[Profit]]/Table1[[#This Row],[Sales]])*100</f>
        <v>5.1161897445746112</v>
      </c>
    </row>
    <row r="2584" spans="1:12" x14ac:dyDescent="0.3">
      <c r="A2584" t="s">
        <v>3593</v>
      </c>
      <c r="B2584" s="1">
        <v>43795</v>
      </c>
      <c r="C2584" t="s">
        <v>3098</v>
      </c>
      <c r="D2584" t="s">
        <v>3099</v>
      </c>
      <c r="E2584" t="s">
        <v>14</v>
      </c>
      <c r="F2584" t="s">
        <v>15</v>
      </c>
      <c r="G2584" t="s">
        <v>24</v>
      </c>
      <c r="H2584" t="s">
        <v>121</v>
      </c>
      <c r="I2584" s="2">
        <v>13.36</v>
      </c>
      <c r="J2584">
        <v>2</v>
      </c>
      <c r="K2584" s="2">
        <v>6.4127999999999998</v>
      </c>
      <c r="L2584" s="3">
        <f>(Table1[[#This Row],[Profit]]/Table1[[#This Row],[Sales]])*100</f>
        <v>48</v>
      </c>
    </row>
    <row r="2585" spans="1:12" x14ac:dyDescent="0.3">
      <c r="A2585" t="s">
        <v>3718</v>
      </c>
      <c r="B2585" s="1">
        <v>43805</v>
      </c>
      <c r="C2585" t="s">
        <v>1476</v>
      </c>
      <c r="D2585" t="s">
        <v>1477</v>
      </c>
      <c r="E2585" t="s">
        <v>14</v>
      </c>
      <c r="F2585" t="s">
        <v>23</v>
      </c>
      <c r="G2585" t="s">
        <v>24</v>
      </c>
      <c r="H2585" t="s">
        <v>3724</v>
      </c>
      <c r="I2585" s="2">
        <v>13.36</v>
      </c>
      <c r="J2585">
        <v>2</v>
      </c>
      <c r="K2585" s="2">
        <v>6.4127999999999998</v>
      </c>
      <c r="L2585" s="3">
        <f>(Table1[[#This Row],[Profit]]/Table1[[#This Row],[Sales]])*100</f>
        <v>48</v>
      </c>
    </row>
    <row r="2586" spans="1:12" x14ac:dyDescent="0.3">
      <c r="A2586" t="s">
        <v>5031</v>
      </c>
      <c r="B2586" s="1">
        <v>44032</v>
      </c>
      <c r="C2586" t="s">
        <v>1756</v>
      </c>
      <c r="D2586" t="s">
        <v>1757</v>
      </c>
      <c r="E2586" t="s">
        <v>14</v>
      </c>
      <c r="F2586" t="s">
        <v>15</v>
      </c>
      <c r="G2586" t="s">
        <v>24</v>
      </c>
      <c r="H2586" t="s">
        <v>3724</v>
      </c>
      <c r="I2586" s="2">
        <v>105.36</v>
      </c>
      <c r="J2586">
        <v>2</v>
      </c>
      <c r="K2586" s="2">
        <v>6.4127999999999998</v>
      </c>
      <c r="L2586" s="3">
        <f>(Table1[[#This Row],[Profit]]/Table1[[#This Row],[Sales]])*100</f>
        <v>6.0865603644646926</v>
      </c>
    </row>
    <row r="2587" spans="1:12" x14ac:dyDescent="0.3">
      <c r="A2587" t="s">
        <v>5956</v>
      </c>
      <c r="B2587" s="1">
        <v>44154</v>
      </c>
      <c r="C2587" t="s">
        <v>3406</v>
      </c>
      <c r="D2587" t="s">
        <v>3407</v>
      </c>
      <c r="E2587" t="s">
        <v>14</v>
      </c>
      <c r="F2587" t="s">
        <v>15</v>
      </c>
      <c r="G2587" t="s">
        <v>24</v>
      </c>
      <c r="H2587" t="s">
        <v>1295</v>
      </c>
      <c r="I2587" s="2">
        <v>103.36</v>
      </c>
      <c r="J2587">
        <v>2</v>
      </c>
      <c r="K2587" s="2">
        <v>6.4127999999999998</v>
      </c>
      <c r="L2587" s="3">
        <f>(Table1[[#This Row],[Profit]]/Table1[[#This Row],[Sales]])*100</f>
        <v>6.2043343653250771</v>
      </c>
    </row>
    <row r="2588" spans="1:12" x14ac:dyDescent="0.3">
      <c r="A2588" t="s">
        <v>6193</v>
      </c>
      <c r="B2588" s="1">
        <v>44181</v>
      </c>
      <c r="C2588" t="s">
        <v>554</v>
      </c>
      <c r="D2588" t="s">
        <v>555</v>
      </c>
      <c r="E2588" t="s">
        <v>14</v>
      </c>
      <c r="F2588" t="s">
        <v>23</v>
      </c>
      <c r="G2588" t="s">
        <v>24</v>
      </c>
      <c r="H2588" t="s">
        <v>1295</v>
      </c>
      <c r="I2588" s="2">
        <v>302.36</v>
      </c>
      <c r="J2588">
        <v>2</v>
      </c>
      <c r="K2588" s="2">
        <v>6.4127999999999998</v>
      </c>
      <c r="L2588" s="3">
        <f>(Table1[[#This Row],[Profit]]/Table1[[#This Row],[Sales]])*100</f>
        <v>2.1209154650085988</v>
      </c>
    </row>
    <row r="2589" spans="1:12" x14ac:dyDescent="0.3">
      <c r="A2589" t="s">
        <v>4443</v>
      </c>
      <c r="B2589" s="1">
        <v>43931</v>
      </c>
      <c r="C2589" t="s">
        <v>3631</v>
      </c>
      <c r="D2589" t="s">
        <v>3632</v>
      </c>
      <c r="E2589" t="s">
        <v>14</v>
      </c>
      <c r="F2589" t="s">
        <v>15</v>
      </c>
      <c r="G2589" t="s">
        <v>16</v>
      </c>
      <c r="H2589" t="s">
        <v>1620</v>
      </c>
      <c r="I2589" s="2">
        <v>133.672</v>
      </c>
      <c r="J2589">
        <v>3</v>
      </c>
      <c r="K2589" s="2">
        <v>6.4176000000000002</v>
      </c>
      <c r="L2589" s="3">
        <f>(Table1[[#This Row],[Profit]]/Table1[[#This Row],[Sales]])*100</f>
        <v>4.8010054461667364</v>
      </c>
    </row>
    <row r="2590" spans="1:12" x14ac:dyDescent="0.3">
      <c r="A2590" t="s">
        <v>5371</v>
      </c>
      <c r="B2590" s="1">
        <v>44085</v>
      </c>
      <c r="C2590" t="s">
        <v>2286</v>
      </c>
      <c r="D2590" t="s">
        <v>2287</v>
      </c>
      <c r="E2590" t="s">
        <v>14</v>
      </c>
      <c r="F2590" t="s">
        <v>29</v>
      </c>
      <c r="G2590" t="s">
        <v>24</v>
      </c>
      <c r="H2590" t="s">
        <v>4622</v>
      </c>
      <c r="I2590" s="2">
        <v>107.544</v>
      </c>
      <c r="J2590">
        <v>6</v>
      </c>
      <c r="K2590" s="2">
        <v>6.42</v>
      </c>
      <c r="L2590" s="3">
        <f>(Table1[[#This Row],[Profit]]/Table1[[#This Row],[Sales]])*100</f>
        <v>5.969649631778621</v>
      </c>
    </row>
    <row r="2591" spans="1:12" x14ac:dyDescent="0.3">
      <c r="A2591" t="s">
        <v>5422</v>
      </c>
      <c r="B2591" s="1">
        <v>44090</v>
      </c>
      <c r="C2591" t="s">
        <v>867</v>
      </c>
      <c r="D2591" t="s">
        <v>868</v>
      </c>
      <c r="E2591" t="s">
        <v>14</v>
      </c>
      <c r="F2591" t="s">
        <v>15</v>
      </c>
      <c r="G2591" t="s">
        <v>24</v>
      </c>
      <c r="H2591" t="s">
        <v>4622</v>
      </c>
      <c r="I2591" s="2">
        <v>142.54400000000001</v>
      </c>
      <c r="J2591">
        <v>6</v>
      </c>
      <c r="K2591" s="2">
        <v>6.42</v>
      </c>
      <c r="L2591" s="3">
        <f>(Table1[[#This Row],[Profit]]/Table1[[#This Row],[Sales]])*100</f>
        <v>4.5038724884947801</v>
      </c>
    </row>
    <row r="2592" spans="1:12" x14ac:dyDescent="0.3">
      <c r="A2592" t="s">
        <v>1817</v>
      </c>
      <c r="B2592" s="1">
        <v>43636</v>
      </c>
      <c r="C2592" t="s">
        <v>114</v>
      </c>
      <c r="D2592" t="s">
        <v>115</v>
      </c>
      <c r="E2592" t="s">
        <v>14</v>
      </c>
      <c r="F2592" t="s">
        <v>23</v>
      </c>
      <c r="G2592" t="s">
        <v>24</v>
      </c>
      <c r="H2592" t="s">
        <v>805</v>
      </c>
      <c r="I2592" s="2">
        <v>17.712</v>
      </c>
      <c r="J2592">
        <v>3</v>
      </c>
      <c r="K2592" s="2">
        <v>6.4206000000000003</v>
      </c>
      <c r="L2592" s="3">
        <f>(Table1[[#This Row],[Profit]]/Table1[[#This Row],[Sales]])*100</f>
        <v>36.250000000000007</v>
      </c>
    </row>
    <row r="2593" spans="1:12" x14ac:dyDescent="0.3">
      <c r="A2593" t="s">
        <v>1872</v>
      </c>
      <c r="B2593" s="1">
        <v>43642</v>
      </c>
      <c r="C2593" t="s">
        <v>1100</v>
      </c>
      <c r="D2593" t="s">
        <v>1101</v>
      </c>
      <c r="E2593" t="s">
        <v>14</v>
      </c>
      <c r="F2593" t="s">
        <v>23</v>
      </c>
      <c r="G2593" t="s">
        <v>16</v>
      </c>
      <c r="H2593" t="s">
        <v>1873</v>
      </c>
      <c r="I2593" s="2">
        <v>22.14</v>
      </c>
      <c r="J2593">
        <v>3</v>
      </c>
      <c r="K2593" s="2">
        <v>6.4206000000000003</v>
      </c>
      <c r="L2593" s="3">
        <f>(Table1[[#This Row],[Profit]]/Table1[[#This Row],[Sales]])*100</f>
        <v>28.999999999999996</v>
      </c>
    </row>
    <row r="2594" spans="1:12" x14ac:dyDescent="0.3">
      <c r="A2594" t="s">
        <v>3469</v>
      </c>
      <c r="B2594" s="1">
        <v>43788</v>
      </c>
      <c r="C2594" t="s">
        <v>2865</v>
      </c>
      <c r="D2594" t="s">
        <v>2866</v>
      </c>
      <c r="E2594" t="s">
        <v>14</v>
      </c>
      <c r="F2594" t="s">
        <v>15</v>
      </c>
      <c r="G2594" t="s">
        <v>24</v>
      </c>
      <c r="H2594" t="s">
        <v>805</v>
      </c>
      <c r="I2594" s="2">
        <v>17.712</v>
      </c>
      <c r="J2594">
        <v>3</v>
      </c>
      <c r="K2594" s="2">
        <v>6.4206000000000003</v>
      </c>
      <c r="L2594" s="3">
        <f>(Table1[[#This Row],[Profit]]/Table1[[#This Row],[Sales]])*100</f>
        <v>36.250000000000007</v>
      </c>
    </row>
    <row r="2595" spans="1:12" x14ac:dyDescent="0.3">
      <c r="A2595" t="s">
        <v>4314</v>
      </c>
      <c r="B2595" s="1">
        <v>43911</v>
      </c>
      <c r="C2595" t="s">
        <v>1310</v>
      </c>
      <c r="D2595" t="s">
        <v>1311</v>
      </c>
      <c r="E2595" t="s">
        <v>14</v>
      </c>
      <c r="F2595" t="s">
        <v>23</v>
      </c>
      <c r="G2595" t="s">
        <v>16</v>
      </c>
      <c r="H2595" t="s">
        <v>1873</v>
      </c>
      <c r="I2595" s="2">
        <v>119.14</v>
      </c>
      <c r="J2595">
        <v>3</v>
      </c>
      <c r="K2595" s="2">
        <v>6.4206000000000003</v>
      </c>
      <c r="L2595" s="3">
        <f>(Table1[[#This Row],[Profit]]/Table1[[#This Row],[Sales]])*100</f>
        <v>5.3891220412959546</v>
      </c>
    </row>
    <row r="2596" spans="1:12" x14ac:dyDescent="0.3">
      <c r="A2596" t="s">
        <v>6286</v>
      </c>
      <c r="B2596" s="1">
        <v>44193</v>
      </c>
      <c r="C2596" t="s">
        <v>5362</v>
      </c>
      <c r="D2596" t="s">
        <v>5363</v>
      </c>
      <c r="E2596" t="s">
        <v>14</v>
      </c>
      <c r="F2596" t="s">
        <v>15</v>
      </c>
      <c r="G2596" t="s">
        <v>24</v>
      </c>
      <c r="H2596" t="s">
        <v>2274</v>
      </c>
      <c r="I2596" s="2">
        <v>138.96</v>
      </c>
      <c r="J2596">
        <v>4</v>
      </c>
      <c r="K2596" s="2">
        <v>6.4215999999999998</v>
      </c>
      <c r="L2596" s="3">
        <f>(Table1[[#This Row],[Profit]]/Table1[[#This Row],[Sales]])*100</f>
        <v>4.6211859527921701</v>
      </c>
    </row>
    <row r="2597" spans="1:12" x14ac:dyDescent="0.3">
      <c r="A2597" t="s">
        <v>3707</v>
      </c>
      <c r="B2597" s="1">
        <v>43804</v>
      </c>
      <c r="C2597" t="s">
        <v>221</v>
      </c>
      <c r="D2597" t="s">
        <v>222</v>
      </c>
      <c r="E2597" t="s">
        <v>14</v>
      </c>
      <c r="F2597" t="s">
        <v>15</v>
      </c>
      <c r="G2597" t="s">
        <v>16</v>
      </c>
      <c r="H2597" t="s">
        <v>2894</v>
      </c>
      <c r="I2597" s="2">
        <v>13.4</v>
      </c>
      <c r="J2597">
        <v>1</v>
      </c>
      <c r="K2597" s="2">
        <v>6.4320000000000004</v>
      </c>
      <c r="L2597" s="3">
        <f>(Table1[[#This Row],[Profit]]/Table1[[#This Row],[Sales]])*100</f>
        <v>48.000000000000007</v>
      </c>
    </row>
    <row r="2598" spans="1:12" x14ac:dyDescent="0.3">
      <c r="A2598" t="s">
        <v>5471</v>
      </c>
      <c r="B2598" s="1">
        <v>44096</v>
      </c>
      <c r="C2598" t="s">
        <v>727</v>
      </c>
      <c r="D2598" t="s">
        <v>728</v>
      </c>
      <c r="E2598" t="s">
        <v>14</v>
      </c>
      <c r="F2598" t="s">
        <v>41</v>
      </c>
      <c r="G2598" t="s">
        <v>24</v>
      </c>
      <c r="H2598" t="s">
        <v>5472</v>
      </c>
      <c r="I2598" s="2">
        <v>111.94</v>
      </c>
      <c r="J2598">
        <v>3</v>
      </c>
      <c r="K2598" s="2">
        <v>6.4584000000000001</v>
      </c>
      <c r="L2598" s="3">
        <f>(Table1[[#This Row],[Profit]]/Table1[[#This Row],[Sales]])*100</f>
        <v>5.7695193853850277</v>
      </c>
    </row>
    <row r="2599" spans="1:12" x14ac:dyDescent="0.3">
      <c r="A2599" t="s">
        <v>4090</v>
      </c>
      <c r="B2599" s="1">
        <v>43860</v>
      </c>
      <c r="C2599" t="s">
        <v>1125</v>
      </c>
      <c r="D2599" t="s">
        <v>1126</v>
      </c>
      <c r="E2599" t="s">
        <v>14</v>
      </c>
      <c r="F2599" t="s">
        <v>23</v>
      </c>
      <c r="G2599" t="s">
        <v>24</v>
      </c>
      <c r="H2599" t="s">
        <v>4091</v>
      </c>
      <c r="I2599" s="2">
        <v>147.30000000000001</v>
      </c>
      <c r="J2599">
        <v>2</v>
      </c>
      <c r="K2599" s="2">
        <v>6.4649999999999999</v>
      </c>
      <c r="L2599" s="3">
        <f>(Table1[[#This Row],[Profit]]/Table1[[#This Row],[Sales]])*100</f>
        <v>4.3890020366598774</v>
      </c>
    </row>
    <row r="2600" spans="1:12" x14ac:dyDescent="0.3">
      <c r="A2600" t="s">
        <v>4864</v>
      </c>
      <c r="B2600" s="1">
        <v>44001</v>
      </c>
      <c r="C2600" t="s">
        <v>1750</v>
      </c>
      <c r="D2600" t="s">
        <v>1751</v>
      </c>
      <c r="E2600" t="s">
        <v>14</v>
      </c>
      <c r="F2600" t="s">
        <v>15</v>
      </c>
      <c r="G2600" t="s">
        <v>24</v>
      </c>
      <c r="H2600" t="s">
        <v>4091</v>
      </c>
      <c r="I2600" s="2">
        <v>179.3</v>
      </c>
      <c r="J2600">
        <v>2</v>
      </c>
      <c r="K2600" s="2">
        <v>6.4649999999999999</v>
      </c>
      <c r="L2600" s="3">
        <f>(Table1[[#This Row],[Profit]]/Table1[[#This Row],[Sales]])*100</f>
        <v>3.6056887897378695</v>
      </c>
    </row>
    <row r="2601" spans="1:12" x14ac:dyDescent="0.3">
      <c r="A2601" t="s">
        <v>5250</v>
      </c>
      <c r="B2601" s="1">
        <v>44076</v>
      </c>
      <c r="C2601" t="s">
        <v>4172</v>
      </c>
      <c r="D2601" t="s">
        <v>4173</v>
      </c>
      <c r="E2601" t="s">
        <v>14</v>
      </c>
      <c r="F2601" t="s">
        <v>15</v>
      </c>
      <c r="G2601" t="s">
        <v>24</v>
      </c>
      <c r="H2601" t="s">
        <v>3610</v>
      </c>
      <c r="I2601" s="2">
        <v>144.1</v>
      </c>
      <c r="J2601">
        <v>2</v>
      </c>
      <c r="K2601" s="2">
        <v>6.468</v>
      </c>
      <c r="L2601" s="3">
        <f>(Table1[[#This Row],[Profit]]/Table1[[#This Row],[Sales]])*100</f>
        <v>4.4885496183206106</v>
      </c>
    </row>
    <row r="2602" spans="1:12" x14ac:dyDescent="0.3">
      <c r="A2602" t="s">
        <v>4629</v>
      </c>
      <c r="B2602" s="1">
        <v>43963</v>
      </c>
      <c r="C2602" t="s">
        <v>1052</v>
      </c>
      <c r="D2602" t="s">
        <v>1053</v>
      </c>
      <c r="E2602" t="s">
        <v>14</v>
      </c>
      <c r="F2602" t="s">
        <v>23</v>
      </c>
      <c r="G2602" t="s">
        <v>24</v>
      </c>
      <c r="H2602" t="s">
        <v>4635</v>
      </c>
      <c r="I2602" s="2">
        <v>119.16800000000001</v>
      </c>
      <c r="J2602">
        <v>4</v>
      </c>
      <c r="K2602" s="2">
        <v>6.4691999999999998</v>
      </c>
      <c r="L2602" s="3">
        <f>(Table1[[#This Row],[Profit]]/Table1[[#This Row],[Sales]])*100</f>
        <v>5.4286385606874319</v>
      </c>
    </row>
    <row r="2603" spans="1:12" x14ac:dyDescent="0.3">
      <c r="A2603" t="s">
        <v>6307</v>
      </c>
      <c r="B2603" s="1">
        <v>44195</v>
      </c>
      <c r="C2603" t="s">
        <v>39</v>
      </c>
      <c r="D2603" t="s">
        <v>40</v>
      </c>
      <c r="E2603" t="s">
        <v>14</v>
      </c>
      <c r="F2603" t="s">
        <v>23</v>
      </c>
      <c r="G2603" t="s">
        <v>24</v>
      </c>
      <c r="H2603" t="s">
        <v>563</v>
      </c>
      <c r="I2603" s="2">
        <v>496.72</v>
      </c>
      <c r="J2603">
        <v>2</v>
      </c>
      <c r="K2603" s="2">
        <v>6.4749999999999996</v>
      </c>
      <c r="L2603" s="3">
        <f>(Table1[[#This Row],[Profit]]/Table1[[#This Row],[Sales]])*100</f>
        <v>1.3035512965050731</v>
      </c>
    </row>
    <row r="2604" spans="1:12" x14ac:dyDescent="0.3">
      <c r="A2604" t="s">
        <v>3382</v>
      </c>
      <c r="B2604" s="1">
        <v>43780</v>
      </c>
      <c r="C2604" t="s">
        <v>942</v>
      </c>
      <c r="D2604" t="s">
        <v>943</v>
      </c>
      <c r="E2604" t="s">
        <v>14</v>
      </c>
      <c r="F2604" t="s">
        <v>15</v>
      </c>
      <c r="G2604" t="s">
        <v>18</v>
      </c>
      <c r="H2604" t="s">
        <v>3289</v>
      </c>
      <c r="I2604" s="2">
        <v>36</v>
      </c>
      <c r="J2604">
        <v>2</v>
      </c>
      <c r="K2604" s="2">
        <v>6.48</v>
      </c>
      <c r="L2604" s="3">
        <f>(Table1[[#This Row],[Profit]]/Table1[[#This Row],[Sales]])*100</f>
        <v>18.000000000000004</v>
      </c>
    </row>
    <row r="2605" spans="1:12" x14ac:dyDescent="0.3">
      <c r="A2605" t="s">
        <v>5591</v>
      </c>
      <c r="B2605" s="1">
        <v>44112</v>
      </c>
      <c r="C2605" t="s">
        <v>1907</v>
      </c>
      <c r="D2605" t="s">
        <v>1908</v>
      </c>
      <c r="E2605" t="s">
        <v>14</v>
      </c>
      <c r="F2605" t="s">
        <v>23</v>
      </c>
      <c r="G2605" t="s">
        <v>18</v>
      </c>
      <c r="H2605" t="s">
        <v>3289</v>
      </c>
      <c r="I2605" s="2">
        <v>126</v>
      </c>
      <c r="J2605">
        <v>2</v>
      </c>
      <c r="K2605" s="2">
        <v>6.48</v>
      </c>
      <c r="L2605" s="3">
        <f>(Table1[[#This Row],[Profit]]/Table1[[#This Row],[Sales]])*100</f>
        <v>5.1428571428571432</v>
      </c>
    </row>
    <row r="2606" spans="1:12" x14ac:dyDescent="0.3">
      <c r="A2606" t="s">
        <v>151</v>
      </c>
      <c r="B2606" s="1">
        <v>43487</v>
      </c>
      <c r="C2606" t="s">
        <v>152</v>
      </c>
      <c r="D2606" t="s">
        <v>153</v>
      </c>
      <c r="E2606" t="s">
        <v>14</v>
      </c>
      <c r="F2606" t="s">
        <v>41</v>
      </c>
      <c r="G2606" t="s">
        <v>24</v>
      </c>
      <c r="H2606" t="s">
        <v>156</v>
      </c>
      <c r="I2606" s="2">
        <v>64.864000000000004</v>
      </c>
      <c r="J2606">
        <v>4</v>
      </c>
      <c r="K2606" s="2">
        <v>6.4863999999999997</v>
      </c>
      <c r="L2606" s="3">
        <f>(Table1[[#This Row],[Profit]]/Table1[[#This Row],[Sales]])*100</f>
        <v>10</v>
      </c>
    </row>
    <row r="2607" spans="1:12" x14ac:dyDescent="0.3">
      <c r="A2607" t="s">
        <v>393</v>
      </c>
      <c r="B2607" s="1">
        <v>43517</v>
      </c>
      <c r="C2607" t="s">
        <v>394</v>
      </c>
      <c r="D2607" t="s">
        <v>395</v>
      </c>
      <c r="E2607" t="s">
        <v>14</v>
      </c>
      <c r="F2607" t="s">
        <v>23</v>
      </c>
      <c r="G2607" t="s">
        <v>24</v>
      </c>
      <c r="H2607" t="s">
        <v>397</v>
      </c>
      <c r="I2607" s="2">
        <v>18.559999999999999</v>
      </c>
      <c r="J2607">
        <v>4</v>
      </c>
      <c r="K2607" s="2">
        <v>6.4960000000000004</v>
      </c>
      <c r="L2607" s="3">
        <f>(Table1[[#This Row],[Profit]]/Table1[[#This Row],[Sales]])*100</f>
        <v>35</v>
      </c>
    </row>
    <row r="2608" spans="1:12" x14ac:dyDescent="0.3">
      <c r="A2608" t="s">
        <v>4136</v>
      </c>
      <c r="B2608" s="1">
        <v>43874</v>
      </c>
      <c r="C2608" t="s">
        <v>1507</v>
      </c>
      <c r="D2608" t="s">
        <v>1508</v>
      </c>
      <c r="E2608" t="s">
        <v>14</v>
      </c>
      <c r="F2608" t="s">
        <v>15</v>
      </c>
      <c r="G2608" t="s">
        <v>24</v>
      </c>
      <c r="H2608" t="s">
        <v>2157</v>
      </c>
      <c r="I2608" s="2">
        <v>144.02000000000001</v>
      </c>
      <c r="J2608">
        <v>3</v>
      </c>
      <c r="K2608" s="2">
        <v>6.5052000000000003</v>
      </c>
      <c r="L2608" s="3">
        <f>(Table1[[#This Row],[Profit]]/Table1[[#This Row],[Sales]])*100</f>
        <v>4.5168726565754751</v>
      </c>
    </row>
    <row r="2609" spans="1:12" x14ac:dyDescent="0.3">
      <c r="A2609" t="s">
        <v>5400</v>
      </c>
      <c r="B2609" s="1">
        <v>44089</v>
      </c>
      <c r="C2609" t="s">
        <v>3654</v>
      </c>
      <c r="D2609" t="s">
        <v>3655</v>
      </c>
      <c r="E2609" t="s">
        <v>14</v>
      </c>
      <c r="F2609" t="s">
        <v>15</v>
      </c>
      <c r="G2609" t="s">
        <v>24</v>
      </c>
      <c r="H2609" t="s">
        <v>5410</v>
      </c>
      <c r="I2609" s="2">
        <v>140.28</v>
      </c>
      <c r="J2609">
        <v>2</v>
      </c>
      <c r="K2609" s="2">
        <v>6.5119999999999996</v>
      </c>
      <c r="L2609" s="3">
        <f>(Table1[[#This Row],[Profit]]/Table1[[#This Row],[Sales]])*100</f>
        <v>4.6421442828628452</v>
      </c>
    </row>
    <row r="2610" spans="1:12" x14ac:dyDescent="0.3">
      <c r="A2610" t="s">
        <v>2147</v>
      </c>
      <c r="B2610" s="1">
        <v>43669</v>
      </c>
      <c r="C2610" t="s">
        <v>282</v>
      </c>
      <c r="D2610" t="s">
        <v>283</v>
      </c>
      <c r="E2610" t="s">
        <v>14</v>
      </c>
      <c r="F2610" t="s">
        <v>41</v>
      </c>
      <c r="G2610" t="s">
        <v>24</v>
      </c>
      <c r="H2610" t="s">
        <v>2148</v>
      </c>
      <c r="I2610" s="2">
        <v>23.696000000000002</v>
      </c>
      <c r="J2610">
        <v>2</v>
      </c>
      <c r="K2610" s="2">
        <v>6.5164</v>
      </c>
      <c r="L2610" s="3">
        <f>(Table1[[#This Row],[Profit]]/Table1[[#This Row],[Sales]])*100</f>
        <v>27.499999999999996</v>
      </c>
    </row>
    <row r="2611" spans="1:12" x14ac:dyDescent="0.3">
      <c r="A2611" t="s">
        <v>4408</v>
      </c>
      <c r="B2611" s="1">
        <v>43923</v>
      </c>
      <c r="C2611" t="s">
        <v>3662</v>
      </c>
      <c r="D2611" t="s">
        <v>3663</v>
      </c>
      <c r="E2611" t="s">
        <v>14</v>
      </c>
      <c r="F2611" t="s">
        <v>23</v>
      </c>
      <c r="G2611" t="s">
        <v>16</v>
      </c>
      <c r="H2611" t="s">
        <v>666</v>
      </c>
      <c r="I2611" s="2">
        <v>147.11000000000001</v>
      </c>
      <c r="J2611">
        <v>3</v>
      </c>
      <c r="K2611" s="2">
        <v>6.5286</v>
      </c>
      <c r="L2611" s="3">
        <f>(Table1[[#This Row],[Profit]]/Table1[[#This Row],[Sales]])*100</f>
        <v>4.4379036095438789</v>
      </c>
    </row>
    <row r="2612" spans="1:12" x14ac:dyDescent="0.3">
      <c r="A2612" t="s">
        <v>1928</v>
      </c>
      <c r="B2612" s="1">
        <v>43647</v>
      </c>
      <c r="C2612" t="s">
        <v>1929</v>
      </c>
      <c r="D2612" t="s">
        <v>1930</v>
      </c>
      <c r="E2612" t="s">
        <v>14</v>
      </c>
      <c r="F2612" t="s">
        <v>41</v>
      </c>
      <c r="G2612" t="s">
        <v>24</v>
      </c>
      <c r="H2612" t="s">
        <v>782</v>
      </c>
      <c r="I2612" s="2">
        <v>14.2</v>
      </c>
      <c r="J2612">
        <v>2</v>
      </c>
      <c r="K2612" s="2">
        <v>6.532</v>
      </c>
      <c r="L2612" s="3">
        <f>(Table1[[#This Row],[Profit]]/Table1[[#This Row],[Sales]])*100</f>
        <v>46</v>
      </c>
    </row>
    <row r="2613" spans="1:12" x14ac:dyDescent="0.3">
      <c r="A2613" t="s">
        <v>1503</v>
      </c>
      <c r="B2613" s="1">
        <v>43611</v>
      </c>
      <c r="C2613" t="s">
        <v>1368</v>
      </c>
      <c r="D2613" t="s">
        <v>1369</v>
      </c>
      <c r="E2613" t="s">
        <v>14</v>
      </c>
      <c r="F2613" t="s">
        <v>15</v>
      </c>
      <c r="G2613" t="s">
        <v>24</v>
      </c>
      <c r="H2613" t="s">
        <v>1505</v>
      </c>
      <c r="I2613" s="2">
        <v>34.847999999999999</v>
      </c>
      <c r="J2613">
        <v>2</v>
      </c>
      <c r="K2613" s="2">
        <v>6.5339999999999998</v>
      </c>
      <c r="L2613" s="3">
        <f>(Table1[[#This Row],[Profit]]/Table1[[#This Row],[Sales]])*100</f>
        <v>18.75</v>
      </c>
    </row>
    <row r="2614" spans="1:12" x14ac:dyDescent="0.3">
      <c r="A2614" t="s">
        <v>5078</v>
      </c>
      <c r="B2614" s="1">
        <v>44041</v>
      </c>
      <c r="C2614" t="s">
        <v>103</v>
      </c>
      <c r="D2614" t="s">
        <v>104</v>
      </c>
      <c r="E2614" t="s">
        <v>14</v>
      </c>
      <c r="F2614" t="s">
        <v>41</v>
      </c>
      <c r="G2614" t="s">
        <v>24</v>
      </c>
      <c r="H2614" t="s">
        <v>1505</v>
      </c>
      <c r="I2614" s="2">
        <v>129.84800000000001</v>
      </c>
      <c r="J2614">
        <v>2</v>
      </c>
      <c r="K2614" s="2">
        <v>6.5339999999999998</v>
      </c>
      <c r="L2614" s="3">
        <f>(Table1[[#This Row],[Profit]]/Table1[[#This Row],[Sales]])*100</f>
        <v>5.0320374591830443</v>
      </c>
    </row>
    <row r="2615" spans="1:12" x14ac:dyDescent="0.3">
      <c r="A2615" t="s">
        <v>582</v>
      </c>
      <c r="B2615" s="1">
        <v>43534</v>
      </c>
      <c r="C2615" t="s">
        <v>583</v>
      </c>
      <c r="D2615" t="s">
        <v>584</v>
      </c>
      <c r="E2615" t="s">
        <v>14</v>
      </c>
      <c r="F2615" t="s">
        <v>23</v>
      </c>
      <c r="G2615" t="s">
        <v>24</v>
      </c>
      <c r="H2615" t="s">
        <v>585</v>
      </c>
      <c r="I2615" s="2">
        <v>104.696</v>
      </c>
      <c r="J2615">
        <v>1</v>
      </c>
      <c r="K2615" s="2">
        <v>6.5434999999999999</v>
      </c>
      <c r="L2615" s="3">
        <f>(Table1[[#This Row],[Profit]]/Table1[[#This Row],[Sales]])*100</f>
        <v>6.25</v>
      </c>
    </row>
    <row r="2616" spans="1:12" x14ac:dyDescent="0.3">
      <c r="A2616" t="s">
        <v>3912</v>
      </c>
      <c r="B2616" s="1">
        <v>43824</v>
      </c>
      <c r="C2616" t="s">
        <v>3913</v>
      </c>
      <c r="D2616" t="s">
        <v>3914</v>
      </c>
      <c r="E2616" t="s">
        <v>14</v>
      </c>
      <c r="F2616" t="s">
        <v>15</v>
      </c>
      <c r="G2616" t="s">
        <v>16</v>
      </c>
      <c r="H2616" t="s">
        <v>3915</v>
      </c>
      <c r="I2616" s="2">
        <v>21.12</v>
      </c>
      <c r="J2616">
        <v>4</v>
      </c>
      <c r="K2616" s="2">
        <v>6.5472000000000001</v>
      </c>
      <c r="L2616" s="3">
        <f>(Table1[[#This Row],[Profit]]/Table1[[#This Row],[Sales]])*100</f>
        <v>31</v>
      </c>
    </row>
    <row r="2617" spans="1:12" x14ac:dyDescent="0.3">
      <c r="A2617" t="s">
        <v>4120</v>
      </c>
      <c r="B2617" s="1">
        <v>43870</v>
      </c>
      <c r="C2617" t="s">
        <v>2603</v>
      </c>
      <c r="D2617" t="s">
        <v>2604</v>
      </c>
      <c r="E2617" t="s">
        <v>14</v>
      </c>
      <c r="F2617" t="s">
        <v>23</v>
      </c>
      <c r="G2617" t="s">
        <v>16</v>
      </c>
      <c r="H2617" t="s">
        <v>3915</v>
      </c>
      <c r="I2617" s="2">
        <v>96.12</v>
      </c>
      <c r="J2617">
        <v>4</v>
      </c>
      <c r="K2617" s="2">
        <v>6.5472000000000001</v>
      </c>
      <c r="L2617" s="3">
        <f>(Table1[[#This Row],[Profit]]/Table1[[#This Row],[Sales]])*100</f>
        <v>6.8114856429463178</v>
      </c>
    </row>
    <row r="2618" spans="1:12" x14ac:dyDescent="0.3">
      <c r="A2618" t="s">
        <v>949</v>
      </c>
      <c r="B2618" s="1">
        <v>43564</v>
      </c>
      <c r="C2618" t="s">
        <v>950</v>
      </c>
      <c r="D2618" t="s">
        <v>951</v>
      </c>
      <c r="E2618" t="s">
        <v>14</v>
      </c>
      <c r="F2618" t="s">
        <v>23</v>
      </c>
      <c r="G2618" t="s">
        <v>16</v>
      </c>
      <c r="H2618" t="s">
        <v>952</v>
      </c>
      <c r="I2618" s="2">
        <v>556.66499999999996</v>
      </c>
      <c r="J2618">
        <v>5</v>
      </c>
      <c r="K2618" s="2">
        <v>6.5490000000000004</v>
      </c>
      <c r="L2618" s="3">
        <f>(Table1[[#This Row],[Profit]]/Table1[[#This Row],[Sales]])*100</f>
        <v>1.1764705882352944</v>
      </c>
    </row>
    <row r="2619" spans="1:12" x14ac:dyDescent="0.3">
      <c r="A2619" t="s">
        <v>5712</v>
      </c>
      <c r="B2619" s="1">
        <v>44131</v>
      </c>
      <c r="C2619" t="s">
        <v>64</v>
      </c>
      <c r="D2619" t="s">
        <v>65</v>
      </c>
      <c r="E2619" t="s">
        <v>14</v>
      </c>
      <c r="F2619" t="s">
        <v>23</v>
      </c>
      <c r="G2619" t="s">
        <v>16</v>
      </c>
      <c r="H2619" t="s">
        <v>2979</v>
      </c>
      <c r="I2619" s="2">
        <v>569.66499999999996</v>
      </c>
      <c r="J2619">
        <v>5</v>
      </c>
      <c r="K2619" s="2">
        <v>6.5490000000000004</v>
      </c>
      <c r="L2619" s="3">
        <f>(Table1[[#This Row],[Profit]]/Table1[[#This Row],[Sales]])*100</f>
        <v>1.1496230240579992</v>
      </c>
    </row>
    <row r="2620" spans="1:12" x14ac:dyDescent="0.3">
      <c r="A2620" t="s">
        <v>4043</v>
      </c>
      <c r="B2620" s="1">
        <v>43851</v>
      </c>
      <c r="C2620" t="s">
        <v>4044</v>
      </c>
      <c r="D2620" t="s">
        <v>4045</v>
      </c>
      <c r="E2620" t="s">
        <v>14</v>
      </c>
      <c r="F2620" t="s">
        <v>23</v>
      </c>
      <c r="G2620" t="s">
        <v>24</v>
      </c>
      <c r="H2620" t="s">
        <v>1605</v>
      </c>
      <c r="I2620" s="2">
        <v>132.72</v>
      </c>
      <c r="J2620">
        <v>5</v>
      </c>
      <c r="K2620" s="2">
        <v>6.5519999999999996</v>
      </c>
      <c r="L2620" s="3">
        <f>(Table1[[#This Row],[Profit]]/Table1[[#This Row],[Sales]])*100</f>
        <v>4.9367088607594933</v>
      </c>
    </row>
    <row r="2621" spans="1:12" x14ac:dyDescent="0.3">
      <c r="A2621" t="s">
        <v>5253</v>
      </c>
      <c r="B2621" s="1">
        <v>44076</v>
      </c>
      <c r="C2621" t="s">
        <v>1626</v>
      </c>
      <c r="D2621" t="s">
        <v>1627</v>
      </c>
      <c r="E2621" t="s">
        <v>14</v>
      </c>
      <c r="F2621" t="s">
        <v>23</v>
      </c>
      <c r="G2621" t="s">
        <v>24</v>
      </c>
      <c r="H2621" t="s">
        <v>1605</v>
      </c>
      <c r="I2621" s="2">
        <v>111.72</v>
      </c>
      <c r="J2621">
        <v>5</v>
      </c>
      <c r="K2621" s="2">
        <v>6.5519999999999996</v>
      </c>
      <c r="L2621" s="3">
        <f>(Table1[[#This Row],[Profit]]/Table1[[#This Row],[Sales]])*100</f>
        <v>5.8646616541353378</v>
      </c>
    </row>
    <row r="2622" spans="1:12" x14ac:dyDescent="0.3">
      <c r="A2622" t="s">
        <v>4292</v>
      </c>
      <c r="B2622" s="1">
        <v>43908</v>
      </c>
      <c r="C2622" t="s">
        <v>1616</v>
      </c>
      <c r="D2622" t="s">
        <v>1617</v>
      </c>
      <c r="E2622" t="s">
        <v>14</v>
      </c>
      <c r="F2622" t="s">
        <v>29</v>
      </c>
      <c r="G2622" t="s">
        <v>24</v>
      </c>
      <c r="H2622" t="s">
        <v>4293</v>
      </c>
      <c r="I2622" s="2">
        <v>119.83199999999999</v>
      </c>
      <c r="J2622">
        <v>3</v>
      </c>
      <c r="K2622" s="2">
        <v>6.5537999999999998</v>
      </c>
      <c r="L2622" s="3">
        <f>(Table1[[#This Row],[Profit]]/Table1[[#This Row],[Sales]])*100</f>
        <v>5.4691568195473668</v>
      </c>
    </row>
    <row r="2623" spans="1:12" x14ac:dyDescent="0.3">
      <c r="A2623" t="s">
        <v>5443</v>
      </c>
      <c r="B2623" s="1">
        <v>44093</v>
      </c>
      <c r="C2623" t="s">
        <v>328</v>
      </c>
      <c r="D2623" t="s">
        <v>329</v>
      </c>
      <c r="E2623" t="s">
        <v>14</v>
      </c>
      <c r="F2623" t="s">
        <v>23</v>
      </c>
      <c r="G2623" t="s">
        <v>24</v>
      </c>
      <c r="H2623" t="s">
        <v>4293</v>
      </c>
      <c r="I2623" s="2">
        <v>131.83199999999999</v>
      </c>
      <c r="J2623">
        <v>3</v>
      </c>
      <c r="K2623" s="2">
        <v>6.5537999999999998</v>
      </c>
      <c r="L2623" s="3">
        <f>(Table1[[#This Row],[Profit]]/Table1[[#This Row],[Sales]])*100</f>
        <v>4.9713271436373567</v>
      </c>
    </row>
    <row r="2624" spans="1:12" x14ac:dyDescent="0.3">
      <c r="A2624" t="s">
        <v>1144</v>
      </c>
      <c r="B2624" s="1">
        <v>43578</v>
      </c>
      <c r="C2624" t="s">
        <v>1145</v>
      </c>
      <c r="D2624" t="s">
        <v>1146</v>
      </c>
      <c r="E2624" t="s">
        <v>14</v>
      </c>
      <c r="F2624" t="s">
        <v>23</v>
      </c>
      <c r="G2624" t="s">
        <v>24</v>
      </c>
      <c r="H2624" t="s">
        <v>1147</v>
      </c>
      <c r="I2624" s="2">
        <v>18.088000000000001</v>
      </c>
      <c r="J2624">
        <v>7</v>
      </c>
      <c r="K2624" s="2">
        <v>6.5568999999999997</v>
      </c>
      <c r="L2624" s="3">
        <f>(Table1[[#This Row],[Profit]]/Table1[[#This Row],[Sales]])*100</f>
        <v>36.25</v>
      </c>
    </row>
    <row r="2625" spans="1:12" x14ac:dyDescent="0.3">
      <c r="A2625" t="s">
        <v>5731</v>
      </c>
      <c r="B2625" s="1">
        <v>44134</v>
      </c>
      <c r="C2625" t="s">
        <v>2985</v>
      </c>
      <c r="D2625" t="s">
        <v>2986</v>
      </c>
      <c r="E2625" t="s">
        <v>14</v>
      </c>
      <c r="F2625" t="s">
        <v>23</v>
      </c>
      <c r="G2625" t="s">
        <v>24</v>
      </c>
      <c r="H2625" t="s">
        <v>1322</v>
      </c>
      <c r="I2625" s="2">
        <v>89.9</v>
      </c>
      <c r="J2625">
        <v>5</v>
      </c>
      <c r="K2625" s="2">
        <v>6.5670000000000002</v>
      </c>
      <c r="L2625" s="3">
        <f>(Table1[[#This Row],[Profit]]/Table1[[#This Row],[Sales]])*100</f>
        <v>7.3047830923248052</v>
      </c>
    </row>
    <row r="2626" spans="1:12" x14ac:dyDescent="0.3">
      <c r="A2626" t="s">
        <v>3191</v>
      </c>
      <c r="B2626" s="1">
        <v>43766</v>
      </c>
      <c r="C2626" t="s">
        <v>197</v>
      </c>
      <c r="D2626" t="s">
        <v>198</v>
      </c>
      <c r="E2626" t="s">
        <v>14</v>
      </c>
      <c r="F2626" t="s">
        <v>15</v>
      </c>
      <c r="G2626" t="s">
        <v>24</v>
      </c>
      <c r="H2626" t="s">
        <v>3193</v>
      </c>
      <c r="I2626" s="2">
        <v>14.28</v>
      </c>
      <c r="J2626">
        <v>1</v>
      </c>
      <c r="K2626" s="2">
        <v>6.5688000000000004</v>
      </c>
      <c r="L2626" s="3">
        <f>(Table1[[#This Row],[Profit]]/Table1[[#This Row],[Sales]])*100</f>
        <v>46.000000000000007</v>
      </c>
    </row>
    <row r="2627" spans="1:12" x14ac:dyDescent="0.3">
      <c r="A2627" t="s">
        <v>3430</v>
      </c>
      <c r="B2627" s="1">
        <v>43783</v>
      </c>
      <c r="C2627" t="s">
        <v>1570</v>
      </c>
      <c r="D2627" t="s">
        <v>1571</v>
      </c>
      <c r="E2627" t="s">
        <v>14</v>
      </c>
      <c r="F2627" t="s">
        <v>15</v>
      </c>
      <c r="G2627" t="s">
        <v>16</v>
      </c>
      <c r="H2627" t="s">
        <v>1031</v>
      </c>
      <c r="I2627" s="2">
        <v>19.920000000000002</v>
      </c>
      <c r="J2627">
        <v>4</v>
      </c>
      <c r="K2627" s="2">
        <v>6.5735999999999999</v>
      </c>
      <c r="L2627" s="3">
        <f>(Table1[[#This Row],[Profit]]/Table1[[#This Row],[Sales]])*100</f>
        <v>32.999999999999993</v>
      </c>
    </row>
    <row r="2628" spans="1:12" x14ac:dyDescent="0.3">
      <c r="A2628" t="s">
        <v>5348</v>
      </c>
      <c r="B2628" s="1">
        <v>44084</v>
      </c>
      <c r="C2628" t="s">
        <v>1559</v>
      </c>
      <c r="D2628" t="s">
        <v>1560</v>
      </c>
      <c r="E2628" t="s">
        <v>14</v>
      </c>
      <c r="F2628" t="s">
        <v>29</v>
      </c>
      <c r="G2628" t="s">
        <v>24</v>
      </c>
      <c r="H2628" t="s">
        <v>1195</v>
      </c>
      <c r="I2628" s="2">
        <v>110.71</v>
      </c>
      <c r="J2628">
        <v>3</v>
      </c>
      <c r="K2628" s="2">
        <v>6.5808</v>
      </c>
      <c r="L2628" s="3">
        <f>(Table1[[#This Row],[Profit]]/Table1[[#This Row],[Sales]])*100</f>
        <v>5.9441784843284262</v>
      </c>
    </row>
    <row r="2629" spans="1:12" x14ac:dyDescent="0.3">
      <c r="A2629" t="s">
        <v>3105</v>
      </c>
      <c r="B2629" s="1">
        <v>43755</v>
      </c>
      <c r="C2629" t="s">
        <v>2104</v>
      </c>
      <c r="D2629" t="s">
        <v>2105</v>
      </c>
      <c r="E2629" t="s">
        <v>14</v>
      </c>
      <c r="F2629" t="s">
        <v>23</v>
      </c>
      <c r="G2629" t="s">
        <v>24</v>
      </c>
      <c r="H2629" t="s">
        <v>3106</v>
      </c>
      <c r="I2629" s="2">
        <v>18.16</v>
      </c>
      <c r="J2629">
        <v>5</v>
      </c>
      <c r="K2629" s="2">
        <v>6.5830000000000002</v>
      </c>
      <c r="L2629" s="3">
        <f>(Table1[[#This Row],[Profit]]/Table1[[#This Row],[Sales]])*100</f>
        <v>36.25</v>
      </c>
    </row>
    <row r="2630" spans="1:12" x14ac:dyDescent="0.3">
      <c r="A2630" t="s">
        <v>2573</v>
      </c>
      <c r="B2630" s="1">
        <v>43712</v>
      </c>
      <c r="C2630" t="s">
        <v>2574</v>
      </c>
      <c r="D2630" t="s">
        <v>2575</v>
      </c>
      <c r="E2630" t="s">
        <v>14</v>
      </c>
      <c r="F2630" t="s">
        <v>15</v>
      </c>
      <c r="G2630" t="s">
        <v>24</v>
      </c>
      <c r="H2630" t="s">
        <v>2576</v>
      </c>
      <c r="I2630" s="2">
        <v>22.72</v>
      </c>
      <c r="J2630">
        <v>4</v>
      </c>
      <c r="K2630" s="2">
        <v>6.5888</v>
      </c>
      <c r="L2630" s="3">
        <f>(Table1[[#This Row],[Profit]]/Table1[[#This Row],[Sales]])*100</f>
        <v>29.000000000000004</v>
      </c>
    </row>
    <row r="2631" spans="1:12" x14ac:dyDescent="0.3">
      <c r="A2631" t="s">
        <v>6171</v>
      </c>
      <c r="B2631" s="1">
        <v>44176</v>
      </c>
      <c r="C2631" t="s">
        <v>5954</v>
      </c>
      <c r="D2631" t="s">
        <v>5955</v>
      </c>
      <c r="E2631" t="s">
        <v>14</v>
      </c>
      <c r="F2631" t="s">
        <v>15</v>
      </c>
      <c r="G2631" t="s">
        <v>24</v>
      </c>
      <c r="H2631" t="s">
        <v>3500</v>
      </c>
      <c r="I2631" s="2">
        <v>303.75</v>
      </c>
      <c r="J2631">
        <v>7</v>
      </c>
      <c r="K2631" s="2">
        <v>6.5975000000000001</v>
      </c>
      <c r="L2631" s="3">
        <f>(Table1[[#This Row],[Profit]]/Table1[[#This Row],[Sales]])*100</f>
        <v>2.1720164609053501</v>
      </c>
    </row>
    <row r="2632" spans="1:12" x14ac:dyDescent="0.3">
      <c r="A2632" t="s">
        <v>4805</v>
      </c>
      <c r="B2632" s="1">
        <v>43993</v>
      </c>
      <c r="C2632" t="s">
        <v>871</v>
      </c>
      <c r="D2632" t="s">
        <v>872</v>
      </c>
      <c r="E2632" t="s">
        <v>14</v>
      </c>
      <c r="F2632" t="s">
        <v>23</v>
      </c>
      <c r="G2632" t="s">
        <v>24</v>
      </c>
      <c r="H2632" t="s">
        <v>835</v>
      </c>
      <c r="I2632" s="2">
        <v>123.04</v>
      </c>
      <c r="J2632">
        <v>5</v>
      </c>
      <c r="K2632" s="2">
        <v>6.6029999999999998</v>
      </c>
      <c r="L2632" s="3">
        <f>(Table1[[#This Row],[Profit]]/Table1[[#This Row],[Sales]])*100</f>
        <v>5.3665474642392716</v>
      </c>
    </row>
    <row r="2633" spans="1:12" x14ac:dyDescent="0.3">
      <c r="A2633" t="s">
        <v>1863</v>
      </c>
      <c r="B2633" s="1">
        <v>43642</v>
      </c>
      <c r="C2633" t="s">
        <v>1864</v>
      </c>
      <c r="D2633" t="s">
        <v>1865</v>
      </c>
      <c r="E2633" t="s">
        <v>14</v>
      </c>
      <c r="F2633" t="s">
        <v>15</v>
      </c>
      <c r="G2633" t="s">
        <v>24</v>
      </c>
      <c r="H2633" t="s">
        <v>1866</v>
      </c>
      <c r="I2633" s="2">
        <v>14.7</v>
      </c>
      <c r="J2633">
        <v>5</v>
      </c>
      <c r="K2633" s="2">
        <v>6.6150000000000002</v>
      </c>
      <c r="L2633" s="3">
        <f>(Table1[[#This Row],[Profit]]/Table1[[#This Row],[Sales]])*100</f>
        <v>45</v>
      </c>
    </row>
    <row r="2634" spans="1:12" x14ac:dyDescent="0.3">
      <c r="A2634" t="s">
        <v>4644</v>
      </c>
      <c r="B2634" s="1">
        <v>43965</v>
      </c>
      <c r="C2634" t="s">
        <v>3615</v>
      </c>
      <c r="D2634" t="s">
        <v>3616</v>
      </c>
      <c r="E2634" t="s">
        <v>14</v>
      </c>
      <c r="F2634" t="s">
        <v>15</v>
      </c>
      <c r="G2634" t="s">
        <v>24</v>
      </c>
      <c r="H2634" t="s">
        <v>1866</v>
      </c>
      <c r="I2634" s="2">
        <v>112.7</v>
      </c>
      <c r="J2634">
        <v>5</v>
      </c>
      <c r="K2634" s="2">
        <v>6.6150000000000002</v>
      </c>
      <c r="L2634" s="3">
        <f>(Table1[[#This Row],[Profit]]/Table1[[#This Row],[Sales]])*100</f>
        <v>5.8695652173913047</v>
      </c>
    </row>
    <row r="2635" spans="1:12" x14ac:dyDescent="0.3">
      <c r="A2635" t="s">
        <v>5929</v>
      </c>
      <c r="B2635" s="1">
        <v>44152</v>
      </c>
      <c r="C2635" t="s">
        <v>1898</v>
      </c>
      <c r="D2635" t="s">
        <v>1899</v>
      </c>
      <c r="E2635" t="s">
        <v>14</v>
      </c>
      <c r="F2635" t="s">
        <v>23</v>
      </c>
      <c r="G2635" t="s">
        <v>24</v>
      </c>
      <c r="H2635" t="s">
        <v>5046</v>
      </c>
      <c r="I2635" s="2">
        <v>133.608</v>
      </c>
      <c r="J2635">
        <v>3</v>
      </c>
      <c r="K2635" s="2">
        <v>6.6177000000000001</v>
      </c>
      <c r="L2635" s="3">
        <f>(Table1[[#This Row],[Profit]]/Table1[[#This Row],[Sales]])*100</f>
        <v>4.9530716723549491</v>
      </c>
    </row>
    <row r="2636" spans="1:12" x14ac:dyDescent="0.3">
      <c r="A2636" t="s">
        <v>4806</v>
      </c>
      <c r="B2636" s="1">
        <v>43993</v>
      </c>
      <c r="C2636" t="s">
        <v>1000</v>
      </c>
      <c r="D2636" t="s">
        <v>1001</v>
      </c>
      <c r="E2636" t="s">
        <v>14</v>
      </c>
      <c r="F2636" t="s">
        <v>23</v>
      </c>
      <c r="G2636" t="s">
        <v>24</v>
      </c>
      <c r="H2636" t="s">
        <v>3806</v>
      </c>
      <c r="I2636" s="2">
        <v>147.28800000000001</v>
      </c>
      <c r="J2636">
        <v>6</v>
      </c>
      <c r="K2636" s="2">
        <v>6.6294000000000004</v>
      </c>
      <c r="L2636" s="3">
        <f>(Table1[[#This Row],[Profit]]/Table1[[#This Row],[Sales]])*100</f>
        <v>4.5009776763891152</v>
      </c>
    </row>
    <row r="2637" spans="1:12" x14ac:dyDescent="0.3">
      <c r="A2637" t="s">
        <v>5855</v>
      </c>
      <c r="B2637" s="1">
        <v>44146</v>
      </c>
      <c r="C2637" t="s">
        <v>908</v>
      </c>
      <c r="D2637" t="s">
        <v>909</v>
      </c>
      <c r="E2637" t="s">
        <v>14</v>
      </c>
      <c r="F2637" t="s">
        <v>29</v>
      </c>
      <c r="G2637" t="s">
        <v>24</v>
      </c>
      <c r="H2637" t="s">
        <v>4634</v>
      </c>
      <c r="I2637" s="2">
        <v>107.5</v>
      </c>
      <c r="J2637">
        <v>3</v>
      </c>
      <c r="K2637" s="2">
        <v>6.63</v>
      </c>
      <c r="L2637" s="3">
        <f>(Table1[[#This Row],[Profit]]/Table1[[#This Row],[Sales]])*100</f>
        <v>6.1674418604651162</v>
      </c>
    </row>
    <row r="2638" spans="1:12" x14ac:dyDescent="0.3">
      <c r="A2638" t="s">
        <v>2233</v>
      </c>
      <c r="B2638" s="1">
        <v>43678</v>
      </c>
      <c r="C2638" t="s">
        <v>2234</v>
      </c>
      <c r="D2638" t="s">
        <v>2235</v>
      </c>
      <c r="E2638" t="s">
        <v>14</v>
      </c>
      <c r="F2638" t="s">
        <v>29</v>
      </c>
      <c r="G2638" t="s">
        <v>24</v>
      </c>
      <c r="H2638" t="s">
        <v>234</v>
      </c>
      <c r="I2638" s="2">
        <v>19.648</v>
      </c>
      <c r="J2638">
        <v>2</v>
      </c>
      <c r="K2638" s="2">
        <v>6.6311999999999998</v>
      </c>
      <c r="L2638" s="3">
        <f>(Table1[[#This Row],[Profit]]/Table1[[#This Row],[Sales]])*100</f>
        <v>33.75</v>
      </c>
    </row>
    <row r="2639" spans="1:12" x14ac:dyDescent="0.3">
      <c r="A2639" t="s">
        <v>3449</v>
      </c>
      <c r="B2639" s="1">
        <v>43787</v>
      </c>
      <c r="C2639" t="s">
        <v>1371</v>
      </c>
      <c r="D2639" t="s">
        <v>1372</v>
      </c>
      <c r="E2639" t="s">
        <v>14</v>
      </c>
      <c r="F2639" t="s">
        <v>29</v>
      </c>
      <c r="G2639" t="s">
        <v>24</v>
      </c>
      <c r="H2639" t="s">
        <v>1175</v>
      </c>
      <c r="I2639" s="2">
        <v>19.648</v>
      </c>
      <c r="J2639">
        <v>2</v>
      </c>
      <c r="K2639" s="2">
        <v>6.6311999999999998</v>
      </c>
      <c r="L2639" s="3">
        <f>(Table1[[#This Row],[Profit]]/Table1[[#This Row],[Sales]])*100</f>
        <v>33.75</v>
      </c>
    </row>
    <row r="2640" spans="1:12" x14ac:dyDescent="0.3">
      <c r="A2640" t="s">
        <v>2767</v>
      </c>
      <c r="B2640" s="1">
        <v>43725</v>
      </c>
      <c r="C2640" t="s">
        <v>1750</v>
      </c>
      <c r="D2640" t="s">
        <v>1751</v>
      </c>
      <c r="E2640" t="s">
        <v>14</v>
      </c>
      <c r="F2640" t="s">
        <v>23</v>
      </c>
      <c r="G2640" t="s">
        <v>24</v>
      </c>
      <c r="H2640" t="s">
        <v>2768</v>
      </c>
      <c r="I2640" s="2">
        <v>20.100000000000001</v>
      </c>
      <c r="J2640">
        <v>3</v>
      </c>
      <c r="K2640" s="2">
        <v>6.633</v>
      </c>
      <c r="L2640" s="3">
        <f>(Table1[[#This Row],[Profit]]/Table1[[#This Row],[Sales]])*100</f>
        <v>32.999999999999993</v>
      </c>
    </row>
    <row r="2641" spans="1:12" x14ac:dyDescent="0.3">
      <c r="A2641" t="s">
        <v>2749</v>
      </c>
      <c r="B2641" s="1">
        <v>43723</v>
      </c>
      <c r="C2641" t="s">
        <v>2750</v>
      </c>
      <c r="D2641" t="s">
        <v>2751</v>
      </c>
      <c r="E2641" t="s">
        <v>14</v>
      </c>
      <c r="F2641" t="s">
        <v>23</v>
      </c>
      <c r="G2641" t="s">
        <v>24</v>
      </c>
      <c r="H2641" t="s">
        <v>2752</v>
      </c>
      <c r="I2641" s="2">
        <v>20.416</v>
      </c>
      <c r="J2641">
        <v>4</v>
      </c>
      <c r="K2641" s="2">
        <v>6.6352000000000002</v>
      </c>
      <c r="L2641" s="3">
        <f>(Table1[[#This Row],[Profit]]/Table1[[#This Row],[Sales]])*100</f>
        <v>32.5</v>
      </c>
    </row>
    <row r="2642" spans="1:12" x14ac:dyDescent="0.3">
      <c r="A2642" t="s">
        <v>6059</v>
      </c>
      <c r="B2642" s="1">
        <v>44166</v>
      </c>
      <c r="C2642" t="s">
        <v>471</v>
      </c>
      <c r="D2642" t="s">
        <v>472</v>
      </c>
      <c r="E2642" t="s">
        <v>14</v>
      </c>
      <c r="F2642" t="s">
        <v>15</v>
      </c>
      <c r="G2642" t="s">
        <v>24</v>
      </c>
      <c r="H2642" t="s">
        <v>2788</v>
      </c>
      <c r="I2642" s="2">
        <v>238.55</v>
      </c>
      <c r="J2642">
        <v>3</v>
      </c>
      <c r="K2642" s="2">
        <v>6.6464999999999996</v>
      </c>
      <c r="L2642" s="3">
        <f>(Table1[[#This Row],[Profit]]/Table1[[#This Row],[Sales]])*100</f>
        <v>2.7862083420666526</v>
      </c>
    </row>
    <row r="2643" spans="1:12" x14ac:dyDescent="0.3">
      <c r="A2643" t="s">
        <v>4009</v>
      </c>
      <c r="B2643" s="1">
        <v>43844</v>
      </c>
      <c r="C2643" t="s">
        <v>460</v>
      </c>
      <c r="D2643" t="s">
        <v>461</v>
      </c>
      <c r="E2643" t="s">
        <v>14</v>
      </c>
      <c r="F2643" t="s">
        <v>41</v>
      </c>
      <c r="G2643" t="s">
        <v>24</v>
      </c>
      <c r="H2643" t="s">
        <v>3651</v>
      </c>
      <c r="I2643" s="2">
        <v>136.33600000000001</v>
      </c>
      <c r="J2643">
        <v>3</v>
      </c>
      <c r="K2643" s="2">
        <v>6.6467999999999998</v>
      </c>
      <c r="L2643" s="3">
        <f>(Table1[[#This Row],[Profit]]/Table1[[#This Row],[Sales]])*100</f>
        <v>4.8753080624339864</v>
      </c>
    </row>
    <row r="2644" spans="1:12" x14ac:dyDescent="0.3">
      <c r="A2644" t="s">
        <v>4576</v>
      </c>
      <c r="B2644" s="1">
        <v>43954</v>
      </c>
      <c r="C2644" t="s">
        <v>3673</v>
      </c>
      <c r="D2644" t="s">
        <v>3674</v>
      </c>
      <c r="E2644" t="s">
        <v>14</v>
      </c>
      <c r="F2644" t="s">
        <v>23</v>
      </c>
      <c r="G2644" t="s">
        <v>24</v>
      </c>
      <c r="H2644" t="s">
        <v>4577</v>
      </c>
      <c r="I2644" s="2">
        <v>149.96</v>
      </c>
      <c r="J2644">
        <v>7</v>
      </c>
      <c r="K2644" s="2">
        <v>6.6584000000000003</v>
      </c>
      <c r="L2644" s="3">
        <f>(Table1[[#This Row],[Profit]]/Table1[[#This Row],[Sales]])*100</f>
        <v>4.4401173646305683</v>
      </c>
    </row>
    <row r="2645" spans="1:12" x14ac:dyDescent="0.3">
      <c r="A2645" t="s">
        <v>5953</v>
      </c>
      <c r="B2645" s="1">
        <v>44154</v>
      </c>
      <c r="C2645" t="s">
        <v>5954</v>
      </c>
      <c r="D2645" t="s">
        <v>5955</v>
      </c>
      <c r="E2645" t="s">
        <v>14</v>
      </c>
      <c r="F2645" t="s">
        <v>41</v>
      </c>
      <c r="G2645" t="s">
        <v>24</v>
      </c>
      <c r="H2645" t="s">
        <v>5019</v>
      </c>
      <c r="I2645" s="2">
        <v>120.96</v>
      </c>
      <c r="J2645">
        <v>7</v>
      </c>
      <c r="K2645" s="2">
        <v>6.6584000000000003</v>
      </c>
      <c r="L2645" s="3">
        <f>(Table1[[#This Row],[Profit]]/Table1[[#This Row],[Sales]])*100</f>
        <v>5.5046296296296298</v>
      </c>
    </row>
    <row r="2646" spans="1:12" x14ac:dyDescent="0.3">
      <c r="A2646" t="s">
        <v>2709</v>
      </c>
      <c r="B2646" s="1">
        <v>43719</v>
      </c>
      <c r="C2646" t="s">
        <v>2710</v>
      </c>
      <c r="D2646" t="s">
        <v>2711</v>
      </c>
      <c r="E2646" t="s">
        <v>14</v>
      </c>
      <c r="F2646" t="s">
        <v>23</v>
      </c>
      <c r="G2646" t="s">
        <v>24</v>
      </c>
      <c r="H2646" t="s">
        <v>2712</v>
      </c>
      <c r="I2646" s="2">
        <v>332.94</v>
      </c>
      <c r="J2646">
        <v>3</v>
      </c>
      <c r="K2646" s="2">
        <v>6.6588000000000003</v>
      </c>
      <c r="L2646" s="3">
        <f>(Table1[[#This Row],[Profit]]/Table1[[#This Row],[Sales]])*100</f>
        <v>2</v>
      </c>
    </row>
    <row r="2647" spans="1:12" x14ac:dyDescent="0.3">
      <c r="A2647" t="s">
        <v>5366</v>
      </c>
      <c r="B2647" s="1">
        <v>44085</v>
      </c>
      <c r="C2647" t="s">
        <v>5354</v>
      </c>
      <c r="D2647" t="s">
        <v>5355</v>
      </c>
      <c r="E2647" t="s">
        <v>14</v>
      </c>
      <c r="F2647" t="s">
        <v>41</v>
      </c>
      <c r="G2647" t="s">
        <v>24</v>
      </c>
      <c r="H2647" t="s">
        <v>422</v>
      </c>
      <c r="I2647" s="2">
        <v>124.2</v>
      </c>
      <c r="J2647">
        <v>4</v>
      </c>
      <c r="K2647" s="2">
        <v>6.6740000000000004</v>
      </c>
      <c r="L2647" s="3">
        <f>(Table1[[#This Row],[Profit]]/Table1[[#This Row],[Sales]])*100</f>
        <v>5.3735909822866352</v>
      </c>
    </row>
    <row r="2648" spans="1:12" x14ac:dyDescent="0.3">
      <c r="A2648" t="s">
        <v>3482</v>
      </c>
      <c r="B2648" s="1">
        <v>43789</v>
      </c>
      <c r="C2648" t="s">
        <v>1941</v>
      </c>
      <c r="D2648" t="s">
        <v>1942</v>
      </c>
      <c r="E2648" t="s">
        <v>14</v>
      </c>
      <c r="F2648" t="s">
        <v>15</v>
      </c>
      <c r="G2648" t="s">
        <v>24</v>
      </c>
      <c r="H2648" t="s">
        <v>2429</v>
      </c>
      <c r="I2648" s="2">
        <v>19.096</v>
      </c>
      <c r="J2648">
        <v>7</v>
      </c>
      <c r="K2648" s="2">
        <v>6.6836000000000002</v>
      </c>
      <c r="L2648" s="3">
        <f>(Table1[[#This Row],[Profit]]/Table1[[#This Row],[Sales]])*100</f>
        <v>35</v>
      </c>
    </row>
    <row r="2649" spans="1:12" x14ac:dyDescent="0.3">
      <c r="A2649" t="s">
        <v>384</v>
      </c>
      <c r="B2649" s="1">
        <v>43515</v>
      </c>
      <c r="C2649" t="s">
        <v>249</v>
      </c>
      <c r="D2649" t="s">
        <v>250</v>
      </c>
      <c r="E2649" t="s">
        <v>14</v>
      </c>
      <c r="F2649" t="s">
        <v>15</v>
      </c>
      <c r="G2649" t="s">
        <v>24</v>
      </c>
      <c r="H2649" t="s">
        <v>386</v>
      </c>
      <c r="I2649" s="2">
        <v>25.71</v>
      </c>
      <c r="J2649">
        <v>3</v>
      </c>
      <c r="K2649" s="2">
        <v>6.6845999999999997</v>
      </c>
      <c r="L2649" s="3">
        <f>(Table1[[#This Row],[Profit]]/Table1[[#This Row],[Sales]])*100</f>
        <v>25.999999999999996</v>
      </c>
    </row>
    <row r="2650" spans="1:12" x14ac:dyDescent="0.3">
      <c r="A2650" t="s">
        <v>6183</v>
      </c>
      <c r="B2650" s="1">
        <v>44179</v>
      </c>
      <c r="C2650" t="s">
        <v>244</v>
      </c>
      <c r="D2650" t="s">
        <v>245</v>
      </c>
      <c r="E2650" t="s">
        <v>14</v>
      </c>
      <c r="F2650" t="s">
        <v>15</v>
      </c>
      <c r="G2650" t="s">
        <v>24</v>
      </c>
      <c r="H2650" t="s">
        <v>386</v>
      </c>
      <c r="I2650" s="2">
        <v>332.71</v>
      </c>
      <c r="J2650">
        <v>3</v>
      </c>
      <c r="K2650" s="2">
        <v>6.6845999999999997</v>
      </c>
      <c r="L2650" s="3">
        <f>(Table1[[#This Row],[Profit]]/Table1[[#This Row],[Sales]])*100</f>
        <v>2.0091370863514775</v>
      </c>
    </row>
    <row r="2651" spans="1:12" x14ac:dyDescent="0.3">
      <c r="A2651" t="s">
        <v>4297</v>
      </c>
      <c r="B2651" s="1">
        <v>43909</v>
      </c>
      <c r="C2651" t="s">
        <v>1235</v>
      </c>
      <c r="D2651" t="s">
        <v>1236</v>
      </c>
      <c r="E2651" t="s">
        <v>14</v>
      </c>
      <c r="F2651" t="s">
        <v>23</v>
      </c>
      <c r="G2651" t="s">
        <v>24</v>
      </c>
      <c r="H2651" t="s">
        <v>2526</v>
      </c>
      <c r="I2651" s="2">
        <v>97.823999999999998</v>
      </c>
      <c r="J2651">
        <v>6</v>
      </c>
      <c r="K2651" s="2">
        <v>6.6905999999999999</v>
      </c>
      <c r="L2651" s="3">
        <f>(Table1[[#This Row],[Profit]]/Table1[[#This Row],[Sales]])*100</f>
        <v>6.8394259077526982</v>
      </c>
    </row>
    <row r="2652" spans="1:12" x14ac:dyDescent="0.3">
      <c r="A2652" t="s">
        <v>3847</v>
      </c>
      <c r="B2652" s="1">
        <v>43817</v>
      </c>
      <c r="C2652" t="s">
        <v>3848</v>
      </c>
      <c r="D2652" t="s">
        <v>3849</v>
      </c>
      <c r="E2652" t="s">
        <v>14</v>
      </c>
      <c r="F2652" t="s">
        <v>23</v>
      </c>
      <c r="G2652" t="s">
        <v>18</v>
      </c>
      <c r="H2652" t="s">
        <v>1318</v>
      </c>
      <c r="I2652" s="2">
        <v>66.975999999999999</v>
      </c>
      <c r="J2652">
        <v>7</v>
      </c>
      <c r="K2652" s="2">
        <v>6.6976000000000004</v>
      </c>
      <c r="L2652" s="3">
        <f>(Table1[[#This Row],[Profit]]/Table1[[#This Row],[Sales]])*100</f>
        <v>10</v>
      </c>
    </row>
    <row r="2653" spans="1:12" x14ac:dyDescent="0.3">
      <c r="A2653" t="s">
        <v>4829</v>
      </c>
      <c r="B2653" s="1">
        <v>43997</v>
      </c>
      <c r="C2653" t="s">
        <v>2237</v>
      </c>
      <c r="D2653" t="s">
        <v>2238</v>
      </c>
      <c r="E2653" t="s">
        <v>14</v>
      </c>
      <c r="F2653" t="s">
        <v>41</v>
      </c>
      <c r="G2653" t="s">
        <v>24</v>
      </c>
      <c r="H2653" t="s">
        <v>1353</v>
      </c>
      <c r="I2653" s="2">
        <v>126.608</v>
      </c>
      <c r="J2653">
        <v>8</v>
      </c>
      <c r="K2653" s="2">
        <v>6.7031999999999998</v>
      </c>
      <c r="L2653" s="3">
        <f>(Table1[[#This Row],[Profit]]/Table1[[#This Row],[Sales]])*100</f>
        <v>5.2944521673195997</v>
      </c>
    </row>
    <row r="2654" spans="1:12" x14ac:dyDescent="0.3">
      <c r="A2654" t="s">
        <v>6244</v>
      </c>
      <c r="B2654" s="1">
        <v>44187</v>
      </c>
      <c r="C2654" t="s">
        <v>3209</v>
      </c>
      <c r="D2654" t="s">
        <v>3210</v>
      </c>
      <c r="E2654" t="s">
        <v>14</v>
      </c>
      <c r="F2654" t="s">
        <v>23</v>
      </c>
      <c r="G2654" t="s">
        <v>18</v>
      </c>
      <c r="H2654" t="s">
        <v>3122</v>
      </c>
      <c r="I2654" s="2">
        <v>299.04000000000002</v>
      </c>
      <c r="J2654">
        <v>4</v>
      </c>
      <c r="K2654" s="2">
        <v>6.7039999999999997</v>
      </c>
      <c r="L2654" s="3">
        <f>(Table1[[#This Row],[Profit]]/Table1[[#This Row],[Sales]])*100</f>
        <v>2.2418405564472978</v>
      </c>
    </row>
    <row r="2655" spans="1:12" x14ac:dyDescent="0.3">
      <c r="A2655" t="s">
        <v>1592</v>
      </c>
      <c r="B2655" s="1">
        <v>43616</v>
      </c>
      <c r="C2655" t="s">
        <v>977</v>
      </c>
      <c r="D2655" t="s">
        <v>978</v>
      </c>
      <c r="E2655" t="s">
        <v>14</v>
      </c>
      <c r="F2655" t="s">
        <v>29</v>
      </c>
      <c r="G2655" t="s">
        <v>24</v>
      </c>
      <c r="H2655" t="s">
        <v>1594</v>
      </c>
      <c r="I2655" s="2">
        <v>18.495999999999999</v>
      </c>
      <c r="J2655">
        <v>4</v>
      </c>
      <c r="K2655" s="2">
        <v>6.7047999999999996</v>
      </c>
      <c r="L2655" s="3">
        <f>(Table1[[#This Row],[Profit]]/Table1[[#This Row],[Sales]])*100</f>
        <v>36.25</v>
      </c>
    </row>
    <row r="2656" spans="1:12" x14ac:dyDescent="0.3">
      <c r="A2656" t="s">
        <v>2103</v>
      </c>
      <c r="B2656" s="1">
        <v>43664</v>
      </c>
      <c r="C2656" t="s">
        <v>2104</v>
      </c>
      <c r="D2656" t="s">
        <v>2105</v>
      </c>
      <c r="E2656" t="s">
        <v>14</v>
      </c>
      <c r="F2656" t="s">
        <v>15</v>
      </c>
      <c r="G2656" t="s">
        <v>24</v>
      </c>
      <c r="H2656" t="s">
        <v>1393</v>
      </c>
      <c r="I2656" s="2">
        <v>18.495999999999999</v>
      </c>
      <c r="J2656">
        <v>4</v>
      </c>
      <c r="K2656" s="2">
        <v>6.7047999999999996</v>
      </c>
      <c r="L2656" s="3">
        <f>(Table1[[#This Row],[Profit]]/Table1[[#This Row],[Sales]])*100</f>
        <v>36.25</v>
      </c>
    </row>
    <row r="2657" spans="1:12" x14ac:dyDescent="0.3">
      <c r="A2657" t="s">
        <v>3791</v>
      </c>
      <c r="B2657" s="1">
        <v>43811</v>
      </c>
      <c r="C2657" t="s">
        <v>3535</v>
      </c>
      <c r="D2657" t="s">
        <v>3536</v>
      </c>
      <c r="E2657" t="s">
        <v>14</v>
      </c>
      <c r="F2657" t="s">
        <v>29</v>
      </c>
      <c r="G2657" t="s">
        <v>24</v>
      </c>
      <c r="H2657" t="s">
        <v>3799</v>
      </c>
      <c r="I2657" s="2">
        <v>26.86</v>
      </c>
      <c r="J2657">
        <v>2</v>
      </c>
      <c r="K2657" s="2">
        <v>6.7149999999999999</v>
      </c>
      <c r="L2657" s="3">
        <f>(Table1[[#This Row],[Profit]]/Table1[[#This Row],[Sales]])*100</f>
        <v>25</v>
      </c>
    </row>
    <row r="2658" spans="1:12" x14ac:dyDescent="0.3">
      <c r="A2658" t="s">
        <v>3442</v>
      </c>
      <c r="B2658" s="1">
        <v>43786</v>
      </c>
      <c r="C2658" t="s">
        <v>3443</v>
      </c>
      <c r="D2658" t="s">
        <v>3444</v>
      </c>
      <c r="E2658" t="s">
        <v>14</v>
      </c>
      <c r="F2658" t="s">
        <v>29</v>
      </c>
      <c r="G2658" t="s">
        <v>18</v>
      </c>
      <c r="H2658" t="s">
        <v>2289</v>
      </c>
      <c r="I2658" s="2">
        <v>67.176000000000002</v>
      </c>
      <c r="J2658">
        <v>3</v>
      </c>
      <c r="K2658" s="2">
        <v>6.7176</v>
      </c>
      <c r="L2658" s="3">
        <f>(Table1[[#This Row],[Profit]]/Table1[[#This Row],[Sales]])*100</f>
        <v>10</v>
      </c>
    </row>
    <row r="2659" spans="1:12" x14ac:dyDescent="0.3">
      <c r="A2659" t="s">
        <v>3688</v>
      </c>
      <c r="B2659" s="1">
        <v>43802</v>
      </c>
      <c r="C2659" t="s">
        <v>1330</v>
      </c>
      <c r="D2659" t="s">
        <v>1331</v>
      </c>
      <c r="E2659" t="s">
        <v>14</v>
      </c>
      <c r="F2659" t="s">
        <v>23</v>
      </c>
      <c r="G2659" t="s">
        <v>16</v>
      </c>
      <c r="H2659" t="s">
        <v>2452</v>
      </c>
      <c r="I2659" s="2">
        <v>268.70400000000001</v>
      </c>
      <c r="J2659">
        <v>3</v>
      </c>
      <c r="K2659" s="2">
        <v>6.7176</v>
      </c>
      <c r="L2659" s="3">
        <f>(Table1[[#This Row],[Profit]]/Table1[[#This Row],[Sales]])*100</f>
        <v>2.5</v>
      </c>
    </row>
    <row r="2660" spans="1:12" x14ac:dyDescent="0.3">
      <c r="A2660" t="s">
        <v>4063</v>
      </c>
      <c r="B2660" s="1">
        <v>43854</v>
      </c>
      <c r="C2660" t="s">
        <v>2760</v>
      </c>
      <c r="D2660" t="s">
        <v>2761</v>
      </c>
      <c r="E2660" t="s">
        <v>14</v>
      </c>
      <c r="F2660" t="s">
        <v>23</v>
      </c>
      <c r="G2660" t="s">
        <v>24</v>
      </c>
      <c r="H2660" t="s">
        <v>2421</v>
      </c>
      <c r="I2660" s="2">
        <v>131.86000000000001</v>
      </c>
      <c r="J2660">
        <v>3</v>
      </c>
      <c r="K2660" s="2">
        <v>6.7236000000000002</v>
      </c>
      <c r="L2660" s="3">
        <f>(Table1[[#This Row],[Profit]]/Table1[[#This Row],[Sales]])*100</f>
        <v>5.0990444410738665</v>
      </c>
    </row>
    <row r="2661" spans="1:12" x14ac:dyDescent="0.3">
      <c r="A2661" t="s">
        <v>3807</v>
      </c>
      <c r="B2661" s="1">
        <v>43813</v>
      </c>
      <c r="C2661" t="s">
        <v>1038</v>
      </c>
      <c r="D2661" t="s">
        <v>1039</v>
      </c>
      <c r="E2661" t="s">
        <v>14</v>
      </c>
      <c r="F2661" t="s">
        <v>15</v>
      </c>
      <c r="G2661" t="s">
        <v>24</v>
      </c>
      <c r="H2661" t="s">
        <v>2075</v>
      </c>
      <c r="I2661" s="2">
        <v>14.62</v>
      </c>
      <c r="J2661">
        <v>2</v>
      </c>
      <c r="K2661" s="2">
        <v>6.7252000000000001</v>
      </c>
      <c r="L2661" s="3">
        <f>(Table1[[#This Row],[Profit]]/Table1[[#This Row],[Sales]])*100</f>
        <v>46</v>
      </c>
    </row>
    <row r="2662" spans="1:12" x14ac:dyDescent="0.3">
      <c r="A2662" t="s">
        <v>799</v>
      </c>
      <c r="B2662" s="1">
        <v>43553</v>
      </c>
      <c r="C2662" t="s">
        <v>800</v>
      </c>
      <c r="D2662" t="s">
        <v>801</v>
      </c>
      <c r="E2662" t="s">
        <v>14</v>
      </c>
      <c r="F2662" t="s">
        <v>15</v>
      </c>
      <c r="G2662" t="s">
        <v>24</v>
      </c>
      <c r="H2662" t="s">
        <v>802</v>
      </c>
      <c r="I2662" s="2">
        <v>13.48</v>
      </c>
      <c r="J2662">
        <v>2</v>
      </c>
      <c r="K2662" s="2">
        <v>6.74</v>
      </c>
      <c r="L2662" s="3">
        <f>(Table1[[#This Row],[Profit]]/Table1[[#This Row],[Sales]])*100</f>
        <v>50</v>
      </c>
    </row>
    <row r="2663" spans="1:12" x14ac:dyDescent="0.3">
      <c r="A2663" t="s">
        <v>5674</v>
      </c>
      <c r="B2663" s="1">
        <v>44125</v>
      </c>
      <c r="C2663" t="s">
        <v>769</v>
      </c>
      <c r="D2663" t="s">
        <v>770</v>
      </c>
      <c r="E2663" t="s">
        <v>14</v>
      </c>
      <c r="F2663" t="s">
        <v>23</v>
      </c>
      <c r="G2663" t="s">
        <v>18</v>
      </c>
      <c r="H2663" t="s">
        <v>2193</v>
      </c>
      <c r="I2663" s="2">
        <v>134.4</v>
      </c>
      <c r="J2663">
        <v>2</v>
      </c>
      <c r="K2663" s="2">
        <v>6.7450000000000001</v>
      </c>
      <c r="L2663" s="3">
        <f>(Table1[[#This Row],[Profit]]/Table1[[#This Row],[Sales]])*100</f>
        <v>5.0186011904761907</v>
      </c>
    </row>
    <row r="2664" spans="1:12" x14ac:dyDescent="0.3">
      <c r="A2664" t="s">
        <v>1725</v>
      </c>
      <c r="B2664" s="1">
        <v>43628</v>
      </c>
      <c r="C2664" t="s">
        <v>1726</v>
      </c>
      <c r="D2664" t="s">
        <v>1727</v>
      </c>
      <c r="E2664" t="s">
        <v>14</v>
      </c>
      <c r="F2664" t="s">
        <v>29</v>
      </c>
      <c r="G2664" t="s">
        <v>24</v>
      </c>
      <c r="H2664" t="s">
        <v>1733</v>
      </c>
      <c r="I2664" s="2">
        <v>67.536000000000001</v>
      </c>
      <c r="J2664">
        <v>9</v>
      </c>
      <c r="K2664" s="2">
        <v>6.7535999999999996</v>
      </c>
      <c r="L2664" s="3">
        <f>(Table1[[#This Row],[Profit]]/Table1[[#This Row],[Sales]])*100</f>
        <v>10</v>
      </c>
    </row>
    <row r="2665" spans="1:12" x14ac:dyDescent="0.3">
      <c r="A2665" t="s">
        <v>604</v>
      </c>
      <c r="B2665" s="1">
        <v>43536</v>
      </c>
      <c r="C2665" t="s">
        <v>605</v>
      </c>
      <c r="D2665" t="s">
        <v>606</v>
      </c>
      <c r="E2665" t="s">
        <v>14</v>
      </c>
      <c r="F2665" t="s">
        <v>23</v>
      </c>
      <c r="G2665" t="s">
        <v>24</v>
      </c>
      <c r="H2665" t="s">
        <v>607</v>
      </c>
      <c r="I2665" s="2">
        <v>676.55</v>
      </c>
      <c r="J2665">
        <v>5</v>
      </c>
      <c r="K2665" s="2">
        <v>6.7655000000000003</v>
      </c>
      <c r="L2665" s="3">
        <f>(Table1[[#This Row],[Profit]]/Table1[[#This Row],[Sales]])*100</f>
        <v>1.0000000000000002</v>
      </c>
    </row>
    <row r="2666" spans="1:12" x14ac:dyDescent="0.3">
      <c r="A2666" t="s">
        <v>5348</v>
      </c>
      <c r="B2666" s="1">
        <v>44084</v>
      </c>
      <c r="C2666" t="s">
        <v>1559</v>
      </c>
      <c r="D2666" t="s">
        <v>1560</v>
      </c>
      <c r="E2666" t="s">
        <v>14</v>
      </c>
      <c r="F2666" t="s">
        <v>29</v>
      </c>
      <c r="G2666" t="s">
        <v>18</v>
      </c>
      <c r="H2666" t="s">
        <v>30</v>
      </c>
      <c r="I2666" s="2">
        <v>138.80000000000001</v>
      </c>
      <c r="J2666">
        <v>6</v>
      </c>
      <c r="K2666" s="2">
        <v>6.7679999999999998</v>
      </c>
      <c r="L2666" s="3">
        <f>(Table1[[#This Row],[Profit]]/Table1[[#This Row],[Sales]])*100</f>
        <v>4.8760806916426507</v>
      </c>
    </row>
    <row r="2667" spans="1:12" x14ac:dyDescent="0.3">
      <c r="A2667" t="s">
        <v>4537</v>
      </c>
      <c r="B2667" s="1">
        <v>43946</v>
      </c>
      <c r="C2667" t="s">
        <v>2685</v>
      </c>
      <c r="D2667" t="s">
        <v>2686</v>
      </c>
      <c r="E2667" t="s">
        <v>14</v>
      </c>
      <c r="F2667" t="s">
        <v>41</v>
      </c>
      <c r="G2667" t="s">
        <v>24</v>
      </c>
      <c r="H2667" t="s">
        <v>2996</v>
      </c>
      <c r="I2667" s="2">
        <v>174.92</v>
      </c>
      <c r="J2667">
        <v>5</v>
      </c>
      <c r="K2667" s="2">
        <v>6.7919999999999998</v>
      </c>
      <c r="L2667" s="3">
        <f>(Table1[[#This Row],[Profit]]/Table1[[#This Row],[Sales]])*100</f>
        <v>3.8829179053281502</v>
      </c>
    </row>
    <row r="2668" spans="1:12" x14ac:dyDescent="0.3">
      <c r="A2668" t="s">
        <v>4891</v>
      </c>
      <c r="B2668" s="1">
        <v>44006</v>
      </c>
      <c r="C2668" t="s">
        <v>3425</v>
      </c>
      <c r="D2668" t="s">
        <v>3426</v>
      </c>
      <c r="E2668" t="s">
        <v>14</v>
      </c>
      <c r="F2668" t="s">
        <v>15</v>
      </c>
      <c r="G2668" t="s">
        <v>24</v>
      </c>
      <c r="H2668" t="s">
        <v>1137</v>
      </c>
      <c r="I2668" s="2">
        <v>103.744</v>
      </c>
      <c r="J2668">
        <v>3</v>
      </c>
      <c r="K2668" s="2">
        <v>6.7949999999999999</v>
      </c>
      <c r="L2668" s="3">
        <f>(Table1[[#This Row],[Profit]]/Table1[[#This Row],[Sales]])*100</f>
        <v>6.5497763726095002</v>
      </c>
    </row>
    <row r="2669" spans="1:12" x14ac:dyDescent="0.3">
      <c r="A2669" t="s">
        <v>5242</v>
      </c>
      <c r="B2669" s="1">
        <v>44075</v>
      </c>
      <c r="C2669" t="s">
        <v>2466</v>
      </c>
      <c r="D2669" t="s">
        <v>2467</v>
      </c>
      <c r="E2669" t="s">
        <v>14</v>
      </c>
      <c r="F2669" t="s">
        <v>23</v>
      </c>
      <c r="G2669" t="s">
        <v>18</v>
      </c>
      <c r="H2669" t="s">
        <v>4507</v>
      </c>
      <c r="I2669" s="2">
        <v>89.99</v>
      </c>
      <c r="J2669">
        <v>1</v>
      </c>
      <c r="K2669" s="2">
        <v>6.7965999999999998</v>
      </c>
      <c r="L2669" s="3">
        <f>(Table1[[#This Row],[Profit]]/Table1[[#This Row],[Sales]])*100</f>
        <v>7.5526169574397155</v>
      </c>
    </row>
    <row r="2670" spans="1:12" x14ac:dyDescent="0.3">
      <c r="A2670" t="s">
        <v>5709</v>
      </c>
      <c r="B2670" s="1">
        <v>44130</v>
      </c>
      <c r="C2670" t="s">
        <v>148</v>
      </c>
      <c r="D2670" t="s">
        <v>149</v>
      </c>
      <c r="E2670" t="s">
        <v>14</v>
      </c>
      <c r="F2670" t="s">
        <v>29</v>
      </c>
      <c r="G2670" t="s">
        <v>18</v>
      </c>
      <c r="H2670" t="s">
        <v>4507</v>
      </c>
      <c r="I2670" s="2">
        <v>95.99</v>
      </c>
      <c r="J2670">
        <v>1</v>
      </c>
      <c r="K2670" s="2">
        <v>6.7965999999999998</v>
      </c>
      <c r="L2670" s="3">
        <f>(Table1[[#This Row],[Profit]]/Table1[[#This Row],[Sales]])*100</f>
        <v>7.0805292217939364</v>
      </c>
    </row>
    <row r="2671" spans="1:12" x14ac:dyDescent="0.3">
      <c r="A2671" t="s">
        <v>2609</v>
      </c>
      <c r="B2671" s="1">
        <v>43713</v>
      </c>
      <c r="C2671" t="s">
        <v>1248</v>
      </c>
      <c r="D2671" t="s">
        <v>1249</v>
      </c>
      <c r="E2671" t="s">
        <v>14</v>
      </c>
      <c r="F2671" t="s">
        <v>41</v>
      </c>
      <c r="G2671" t="s">
        <v>18</v>
      </c>
      <c r="H2671" t="s">
        <v>2611</v>
      </c>
      <c r="I2671" s="2">
        <v>108.78400000000001</v>
      </c>
      <c r="J2671">
        <v>2</v>
      </c>
      <c r="K2671" s="2">
        <v>6.7990000000000004</v>
      </c>
      <c r="L2671" s="3">
        <f>(Table1[[#This Row],[Profit]]/Table1[[#This Row],[Sales]])*100</f>
        <v>6.25</v>
      </c>
    </row>
    <row r="2672" spans="1:12" x14ac:dyDescent="0.3">
      <c r="A2672" t="s">
        <v>6267</v>
      </c>
      <c r="B2672" s="1">
        <v>44189</v>
      </c>
      <c r="C2672" t="s">
        <v>4172</v>
      </c>
      <c r="D2672" t="s">
        <v>4173</v>
      </c>
      <c r="E2672" t="s">
        <v>14</v>
      </c>
      <c r="F2672" t="s">
        <v>15</v>
      </c>
      <c r="G2672" t="s">
        <v>16</v>
      </c>
      <c r="H2672" t="s">
        <v>1181</v>
      </c>
      <c r="I2672" s="2">
        <v>322.93</v>
      </c>
      <c r="J2672">
        <v>1</v>
      </c>
      <c r="K2672" s="2">
        <v>6.8273999999999999</v>
      </c>
      <c r="L2672" s="3">
        <f>(Table1[[#This Row],[Profit]]/Table1[[#This Row],[Sales]])*100</f>
        <v>2.1142043167249867</v>
      </c>
    </row>
    <row r="2673" spans="1:12" x14ac:dyDescent="0.3">
      <c r="A2673" t="s">
        <v>6097</v>
      </c>
      <c r="B2673" s="1">
        <v>44169</v>
      </c>
      <c r="C2673" t="s">
        <v>6098</v>
      </c>
      <c r="D2673" t="s">
        <v>6099</v>
      </c>
      <c r="E2673" t="s">
        <v>14</v>
      </c>
      <c r="F2673" t="s">
        <v>15</v>
      </c>
      <c r="G2673" t="s">
        <v>16</v>
      </c>
      <c r="H2673" t="s">
        <v>6107</v>
      </c>
      <c r="I2673" s="2">
        <v>168.768</v>
      </c>
      <c r="J2673">
        <v>2</v>
      </c>
      <c r="K2673" s="2">
        <v>6.8460000000000001</v>
      </c>
      <c r="L2673" s="3">
        <f>(Table1[[#This Row],[Profit]]/Table1[[#This Row],[Sales]])*100</f>
        <v>4.0564562002275313</v>
      </c>
    </row>
    <row r="2674" spans="1:12" x14ac:dyDescent="0.3">
      <c r="A2674" t="s">
        <v>5570</v>
      </c>
      <c r="B2674" s="1">
        <v>44109</v>
      </c>
      <c r="C2674" t="s">
        <v>2363</v>
      </c>
      <c r="D2674" t="s">
        <v>2364</v>
      </c>
      <c r="E2674" t="s">
        <v>14</v>
      </c>
      <c r="F2674" t="s">
        <v>23</v>
      </c>
      <c r="G2674" t="s">
        <v>24</v>
      </c>
      <c r="H2674" t="s">
        <v>449</v>
      </c>
      <c r="I2674" s="2">
        <v>107.9</v>
      </c>
      <c r="J2674">
        <v>5</v>
      </c>
      <c r="K2674" s="2">
        <v>6.8540000000000001</v>
      </c>
      <c r="L2674" s="3">
        <f>(Table1[[#This Row],[Profit]]/Table1[[#This Row],[Sales]])*100</f>
        <v>6.3521779425393889</v>
      </c>
    </row>
    <row r="2675" spans="1:12" x14ac:dyDescent="0.3">
      <c r="A2675" t="s">
        <v>1402</v>
      </c>
      <c r="B2675" s="1">
        <v>43602</v>
      </c>
      <c r="C2675" t="s">
        <v>1403</v>
      </c>
      <c r="D2675" t="s">
        <v>1404</v>
      </c>
      <c r="E2675" t="s">
        <v>14</v>
      </c>
      <c r="F2675" t="s">
        <v>15</v>
      </c>
      <c r="G2675" t="s">
        <v>24</v>
      </c>
      <c r="H2675" t="s">
        <v>1406</v>
      </c>
      <c r="I2675" s="2">
        <v>14.62</v>
      </c>
      <c r="J2675">
        <v>2</v>
      </c>
      <c r="K2675" s="2">
        <v>6.8714000000000004</v>
      </c>
      <c r="L2675" s="3">
        <f>(Table1[[#This Row],[Profit]]/Table1[[#This Row],[Sales]])*100</f>
        <v>47</v>
      </c>
    </row>
    <row r="2676" spans="1:12" x14ac:dyDescent="0.3">
      <c r="A2676" t="s">
        <v>1694</v>
      </c>
      <c r="B2676" s="1">
        <v>43627</v>
      </c>
      <c r="C2676" t="s">
        <v>261</v>
      </c>
      <c r="D2676" t="s">
        <v>262</v>
      </c>
      <c r="E2676" t="s">
        <v>14</v>
      </c>
      <c r="F2676" t="s">
        <v>23</v>
      </c>
      <c r="G2676" t="s">
        <v>24</v>
      </c>
      <c r="H2676" t="s">
        <v>1695</v>
      </c>
      <c r="I2676" s="2">
        <v>14.62</v>
      </c>
      <c r="J2676">
        <v>2</v>
      </c>
      <c r="K2676" s="2">
        <v>6.8714000000000004</v>
      </c>
      <c r="L2676" s="3">
        <f>(Table1[[#This Row],[Profit]]/Table1[[#This Row],[Sales]])*100</f>
        <v>47</v>
      </c>
    </row>
    <row r="2677" spans="1:12" x14ac:dyDescent="0.3">
      <c r="A2677" t="s">
        <v>1701</v>
      </c>
      <c r="B2677" s="1">
        <v>43628</v>
      </c>
      <c r="C2677" t="s">
        <v>1702</v>
      </c>
      <c r="D2677" t="s">
        <v>1703</v>
      </c>
      <c r="E2677" t="s">
        <v>14</v>
      </c>
      <c r="F2677" t="s">
        <v>23</v>
      </c>
      <c r="G2677" t="s">
        <v>24</v>
      </c>
      <c r="H2677" t="s">
        <v>1704</v>
      </c>
      <c r="I2677" s="2">
        <v>14.62</v>
      </c>
      <c r="J2677">
        <v>2</v>
      </c>
      <c r="K2677" s="2">
        <v>6.8714000000000004</v>
      </c>
      <c r="L2677" s="3">
        <f>(Table1[[#This Row],[Profit]]/Table1[[#This Row],[Sales]])*100</f>
        <v>47</v>
      </c>
    </row>
    <row r="2678" spans="1:12" x14ac:dyDescent="0.3">
      <c r="A2678" t="s">
        <v>3300</v>
      </c>
      <c r="B2678" s="1">
        <v>43776</v>
      </c>
      <c r="C2678" t="s">
        <v>3301</v>
      </c>
      <c r="D2678" t="s">
        <v>3302</v>
      </c>
      <c r="E2678" t="s">
        <v>14</v>
      </c>
      <c r="F2678" t="s">
        <v>23</v>
      </c>
      <c r="G2678" t="s">
        <v>24</v>
      </c>
      <c r="H2678" t="s">
        <v>1695</v>
      </c>
      <c r="I2678" s="2">
        <v>14.62</v>
      </c>
      <c r="J2678">
        <v>2</v>
      </c>
      <c r="K2678" s="2">
        <v>6.8714000000000004</v>
      </c>
      <c r="L2678" s="3">
        <f>(Table1[[#This Row],[Profit]]/Table1[[#This Row],[Sales]])*100</f>
        <v>47</v>
      </c>
    </row>
    <row r="2679" spans="1:12" x14ac:dyDescent="0.3">
      <c r="A2679" t="s">
        <v>3480</v>
      </c>
      <c r="B2679" s="1">
        <v>43789</v>
      </c>
      <c r="C2679" t="s">
        <v>2100</v>
      </c>
      <c r="D2679" t="s">
        <v>2101</v>
      </c>
      <c r="E2679" t="s">
        <v>14</v>
      </c>
      <c r="F2679" t="s">
        <v>29</v>
      </c>
      <c r="G2679" t="s">
        <v>24</v>
      </c>
      <c r="H2679" t="s">
        <v>1406</v>
      </c>
      <c r="I2679" s="2">
        <v>14.62</v>
      </c>
      <c r="J2679">
        <v>2</v>
      </c>
      <c r="K2679" s="2">
        <v>6.8714000000000004</v>
      </c>
      <c r="L2679" s="3">
        <f>(Table1[[#This Row],[Profit]]/Table1[[#This Row],[Sales]])*100</f>
        <v>47</v>
      </c>
    </row>
    <row r="2680" spans="1:12" x14ac:dyDescent="0.3">
      <c r="A2680" t="s">
        <v>5033</v>
      </c>
      <c r="B2680" s="1">
        <v>44032</v>
      </c>
      <c r="C2680" t="s">
        <v>2477</v>
      </c>
      <c r="D2680" t="s">
        <v>2478</v>
      </c>
      <c r="E2680" t="s">
        <v>14</v>
      </c>
      <c r="F2680" t="s">
        <v>29</v>
      </c>
      <c r="G2680" t="s">
        <v>24</v>
      </c>
      <c r="H2680" t="s">
        <v>1695</v>
      </c>
      <c r="I2680" s="2">
        <v>151.62</v>
      </c>
      <c r="J2680">
        <v>2</v>
      </c>
      <c r="K2680" s="2">
        <v>6.8714000000000004</v>
      </c>
      <c r="L2680" s="3">
        <f>(Table1[[#This Row],[Profit]]/Table1[[#This Row],[Sales]])*100</f>
        <v>4.5319878643978369</v>
      </c>
    </row>
    <row r="2681" spans="1:12" x14ac:dyDescent="0.3">
      <c r="A2681" t="s">
        <v>1625</v>
      </c>
      <c r="B2681" s="1">
        <v>43621</v>
      </c>
      <c r="C2681" t="s">
        <v>1626</v>
      </c>
      <c r="D2681" t="s">
        <v>1627</v>
      </c>
      <c r="E2681" t="s">
        <v>14</v>
      </c>
      <c r="F2681" t="s">
        <v>15</v>
      </c>
      <c r="G2681" t="s">
        <v>24</v>
      </c>
      <c r="H2681" t="s">
        <v>1629</v>
      </c>
      <c r="I2681" s="2">
        <v>14.94</v>
      </c>
      <c r="J2681">
        <v>3</v>
      </c>
      <c r="K2681" s="2">
        <v>6.8723999999999998</v>
      </c>
      <c r="L2681" s="3">
        <f>(Table1[[#This Row],[Profit]]/Table1[[#This Row],[Sales]])*100</f>
        <v>46</v>
      </c>
    </row>
    <row r="2682" spans="1:12" x14ac:dyDescent="0.3">
      <c r="A2682" t="s">
        <v>3415</v>
      </c>
      <c r="B2682" s="1">
        <v>43782</v>
      </c>
      <c r="C2682" t="s">
        <v>2276</v>
      </c>
      <c r="D2682" t="s">
        <v>2277</v>
      </c>
      <c r="E2682" t="s">
        <v>14</v>
      </c>
      <c r="F2682" t="s">
        <v>15</v>
      </c>
      <c r="G2682" t="s">
        <v>24</v>
      </c>
      <c r="H2682" t="s">
        <v>1193</v>
      </c>
      <c r="I2682" s="2">
        <v>14.94</v>
      </c>
      <c r="J2682">
        <v>3</v>
      </c>
      <c r="K2682" s="2">
        <v>6.8723999999999998</v>
      </c>
      <c r="L2682" s="3">
        <f>(Table1[[#This Row],[Profit]]/Table1[[#This Row],[Sales]])*100</f>
        <v>46</v>
      </c>
    </row>
    <row r="2683" spans="1:12" x14ac:dyDescent="0.3">
      <c r="A2683" t="s">
        <v>4406</v>
      </c>
      <c r="B2683" s="1">
        <v>43923</v>
      </c>
      <c r="C2683" t="s">
        <v>1255</v>
      </c>
      <c r="D2683" t="s">
        <v>1256</v>
      </c>
      <c r="E2683" t="s">
        <v>14</v>
      </c>
      <c r="F2683" t="s">
        <v>41</v>
      </c>
      <c r="G2683" t="s">
        <v>24</v>
      </c>
      <c r="H2683" t="s">
        <v>1193</v>
      </c>
      <c r="I2683" s="2">
        <v>90.94</v>
      </c>
      <c r="J2683">
        <v>3</v>
      </c>
      <c r="K2683" s="2">
        <v>6.8723999999999998</v>
      </c>
      <c r="L2683" s="3">
        <f>(Table1[[#This Row],[Profit]]/Table1[[#This Row],[Sales]])*100</f>
        <v>7.5570705959973603</v>
      </c>
    </row>
    <row r="2684" spans="1:12" x14ac:dyDescent="0.3">
      <c r="A2684" t="s">
        <v>5759</v>
      </c>
      <c r="B2684" s="1">
        <v>44138</v>
      </c>
      <c r="C2684" t="s">
        <v>5760</v>
      </c>
      <c r="D2684" t="s">
        <v>5761</v>
      </c>
      <c r="E2684" t="s">
        <v>14</v>
      </c>
      <c r="F2684" t="s">
        <v>29</v>
      </c>
      <c r="G2684" t="s">
        <v>24</v>
      </c>
      <c r="H2684" t="s">
        <v>2922</v>
      </c>
      <c r="I2684" s="2">
        <v>83.94</v>
      </c>
      <c r="J2684">
        <v>3</v>
      </c>
      <c r="K2684" s="2">
        <v>6.8723999999999998</v>
      </c>
      <c r="L2684" s="3">
        <f>(Table1[[#This Row],[Profit]]/Table1[[#This Row],[Sales]])*100</f>
        <v>8.1872766261615446</v>
      </c>
    </row>
    <row r="2685" spans="1:12" x14ac:dyDescent="0.3">
      <c r="A2685" t="s">
        <v>4061</v>
      </c>
      <c r="B2685" s="1">
        <v>43853</v>
      </c>
      <c r="C2685" t="s">
        <v>1907</v>
      </c>
      <c r="D2685" t="s">
        <v>1908</v>
      </c>
      <c r="E2685" t="s">
        <v>14</v>
      </c>
      <c r="F2685" t="s">
        <v>23</v>
      </c>
      <c r="G2685" t="s">
        <v>24</v>
      </c>
      <c r="H2685" t="s">
        <v>546</v>
      </c>
      <c r="I2685" s="2">
        <v>140.68</v>
      </c>
      <c r="J2685">
        <v>5</v>
      </c>
      <c r="K2685" s="2">
        <v>6.8879999999999999</v>
      </c>
      <c r="L2685" s="3">
        <f>(Table1[[#This Row],[Profit]]/Table1[[#This Row],[Sales]])*100</f>
        <v>4.8962183679272107</v>
      </c>
    </row>
    <row r="2686" spans="1:12" x14ac:dyDescent="0.3">
      <c r="A2686" t="s">
        <v>4273</v>
      </c>
      <c r="B2686" s="1">
        <v>43906</v>
      </c>
      <c r="C2686" t="s">
        <v>1189</v>
      </c>
      <c r="D2686" t="s">
        <v>1190</v>
      </c>
      <c r="E2686" t="s">
        <v>14</v>
      </c>
      <c r="F2686" t="s">
        <v>23</v>
      </c>
      <c r="G2686" t="s">
        <v>24</v>
      </c>
      <c r="H2686" t="s">
        <v>546</v>
      </c>
      <c r="I2686" s="2">
        <v>85.68</v>
      </c>
      <c r="J2686">
        <v>5</v>
      </c>
      <c r="K2686" s="2">
        <v>6.8879999999999999</v>
      </c>
      <c r="L2686" s="3">
        <f>(Table1[[#This Row],[Profit]]/Table1[[#This Row],[Sales]])*100</f>
        <v>8.0392156862745097</v>
      </c>
    </row>
    <row r="2687" spans="1:12" x14ac:dyDescent="0.3">
      <c r="A2687" t="s">
        <v>713</v>
      </c>
      <c r="B2687" s="1">
        <v>43543</v>
      </c>
      <c r="C2687" t="s">
        <v>714</v>
      </c>
      <c r="D2687" t="s">
        <v>715</v>
      </c>
      <c r="E2687" t="s">
        <v>14</v>
      </c>
      <c r="F2687" t="s">
        <v>15</v>
      </c>
      <c r="G2687" t="s">
        <v>16</v>
      </c>
      <c r="H2687" t="s">
        <v>716</v>
      </c>
      <c r="I2687" s="2">
        <v>14.98</v>
      </c>
      <c r="J2687">
        <v>1</v>
      </c>
      <c r="K2687" s="2">
        <v>6.8907999999999996</v>
      </c>
      <c r="L2687" s="3">
        <f>(Table1[[#This Row],[Profit]]/Table1[[#This Row],[Sales]])*100</f>
        <v>46</v>
      </c>
    </row>
    <row r="2688" spans="1:12" x14ac:dyDescent="0.3">
      <c r="A2688" t="s">
        <v>2023</v>
      </c>
      <c r="B2688" s="1">
        <v>43660</v>
      </c>
      <c r="C2688" t="s">
        <v>2024</v>
      </c>
      <c r="D2688" t="s">
        <v>2025</v>
      </c>
      <c r="E2688" t="s">
        <v>14</v>
      </c>
      <c r="F2688" t="s">
        <v>15</v>
      </c>
      <c r="G2688" t="s">
        <v>24</v>
      </c>
      <c r="H2688" t="s">
        <v>1018</v>
      </c>
      <c r="I2688" s="2">
        <v>14.07</v>
      </c>
      <c r="J2688">
        <v>7</v>
      </c>
      <c r="K2688" s="2">
        <v>6.8943000000000003</v>
      </c>
      <c r="L2688" s="3">
        <f>(Table1[[#This Row],[Profit]]/Table1[[#This Row],[Sales]])*100</f>
        <v>49</v>
      </c>
    </row>
    <row r="2689" spans="1:12" x14ac:dyDescent="0.3">
      <c r="A2689" t="s">
        <v>4366</v>
      </c>
      <c r="B2689" s="1">
        <v>43918</v>
      </c>
      <c r="C2689" t="s">
        <v>1854</v>
      </c>
      <c r="D2689" t="s">
        <v>1855</v>
      </c>
      <c r="E2689" t="s">
        <v>14</v>
      </c>
      <c r="F2689" t="s">
        <v>23</v>
      </c>
      <c r="G2689" t="s">
        <v>16</v>
      </c>
      <c r="H2689" t="s">
        <v>4368</v>
      </c>
      <c r="I2689" s="2">
        <v>127.56</v>
      </c>
      <c r="J2689">
        <v>7</v>
      </c>
      <c r="K2689" s="2">
        <v>6.8992000000000004</v>
      </c>
      <c r="L2689" s="3">
        <f>(Table1[[#This Row],[Profit]]/Table1[[#This Row],[Sales]])*100</f>
        <v>5.4085920351207273</v>
      </c>
    </row>
    <row r="2690" spans="1:12" x14ac:dyDescent="0.3">
      <c r="A2690" t="s">
        <v>713</v>
      </c>
      <c r="B2690" s="1">
        <v>43543</v>
      </c>
      <c r="C2690" t="s">
        <v>714</v>
      </c>
      <c r="D2690" t="s">
        <v>715</v>
      </c>
      <c r="E2690" t="s">
        <v>14</v>
      </c>
      <c r="F2690" t="s">
        <v>15</v>
      </c>
      <c r="G2690" t="s">
        <v>16</v>
      </c>
      <c r="H2690" t="s">
        <v>717</v>
      </c>
      <c r="I2690" s="2">
        <v>20.32</v>
      </c>
      <c r="J2690">
        <v>4</v>
      </c>
      <c r="K2690" s="2">
        <v>6.9088000000000003</v>
      </c>
      <c r="L2690" s="3">
        <f>(Table1[[#This Row],[Profit]]/Table1[[#This Row],[Sales]])*100</f>
        <v>34</v>
      </c>
    </row>
    <row r="2691" spans="1:12" x14ac:dyDescent="0.3">
      <c r="A2691" t="s">
        <v>5434</v>
      </c>
      <c r="B2691" s="1">
        <v>44092</v>
      </c>
      <c r="C2691" t="s">
        <v>3913</v>
      </c>
      <c r="D2691" t="s">
        <v>3914</v>
      </c>
      <c r="E2691" t="s">
        <v>14</v>
      </c>
      <c r="F2691" t="s">
        <v>41</v>
      </c>
      <c r="G2691" t="s">
        <v>16</v>
      </c>
      <c r="H2691" t="s">
        <v>5441</v>
      </c>
      <c r="I2691" s="2">
        <v>146.32</v>
      </c>
      <c r="J2691">
        <v>4</v>
      </c>
      <c r="K2691" s="2">
        <v>6.9088000000000003</v>
      </c>
      <c r="L2691" s="3">
        <f>(Table1[[#This Row],[Profit]]/Table1[[#This Row],[Sales]])*100</f>
        <v>4.7217058501913618</v>
      </c>
    </row>
    <row r="2692" spans="1:12" x14ac:dyDescent="0.3">
      <c r="A2692" t="s">
        <v>3648</v>
      </c>
      <c r="B2692" s="1">
        <v>43800</v>
      </c>
      <c r="C2692" t="s">
        <v>3649</v>
      </c>
      <c r="D2692" t="s">
        <v>3650</v>
      </c>
      <c r="E2692" t="s">
        <v>14</v>
      </c>
      <c r="F2692" t="s">
        <v>23</v>
      </c>
      <c r="G2692" t="s">
        <v>24</v>
      </c>
      <c r="H2692" t="s">
        <v>2965</v>
      </c>
      <c r="I2692" s="2">
        <v>23.04</v>
      </c>
      <c r="J2692">
        <v>8</v>
      </c>
      <c r="K2692" s="2">
        <v>6.9119999999999999</v>
      </c>
      <c r="L2692" s="3">
        <f>(Table1[[#This Row],[Profit]]/Table1[[#This Row],[Sales]])*100</f>
        <v>30</v>
      </c>
    </row>
    <row r="2693" spans="1:12" x14ac:dyDescent="0.3">
      <c r="A2693" t="s">
        <v>4715</v>
      </c>
      <c r="B2693" s="1">
        <v>43977</v>
      </c>
      <c r="C2693" t="s">
        <v>1034</v>
      </c>
      <c r="D2693" t="s">
        <v>1035</v>
      </c>
      <c r="E2693" t="s">
        <v>14</v>
      </c>
      <c r="F2693" t="s">
        <v>41</v>
      </c>
      <c r="G2693" t="s">
        <v>18</v>
      </c>
      <c r="H2693" t="s">
        <v>1754</v>
      </c>
      <c r="I2693" s="2">
        <v>130.08000000000001</v>
      </c>
      <c r="J2693">
        <v>2</v>
      </c>
      <c r="K2693" s="2">
        <v>6.9240000000000004</v>
      </c>
      <c r="L2693" s="3">
        <f>(Table1[[#This Row],[Profit]]/Table1[[#This Row],[Sales]])*100</f>
        <v>5.3228782287822876</v>
      </c>
    </row>
    <row r="2694" spans="1:12" x14ac:dyDescent="0.3">
      <c r="A2694" t="s">
        <v>6059</v>
      </c>
      <c r="B2694" s="1">
        <v>44166</v>
      </c>
      <c r="C2694" t="s">
        <v>471</v>
      </c>
      <c r="D2694" t="s">
        <v>472</v>
      </c>
      <c r="E2694" t="s">
        <v>14</v>
      </c>
      <c r="F2694" t="s">
        <v>15</v>
      </c>
      <c r="G2694" t="s">
        <v>18</v>
      </c>
      <c r="H2694" t="s">
        <v>2509</v>
      </c>
      <c r="I2694" s="2">
        <v>127.37</v>
      </c>
      <c r="J2694">
        <v>3</v>
      </c>
      <c r="K2694" s="2">
        <v>6.9257999999999997</v>
      </c>
      <c r="L2694" s="3">
        <f>(Table1[[#This Row],[Profit]]/Table1[[#This Row],[Sales]])*100</f>
        <v>5.4375441626756693</v>
      </c>
    </row>
    <row r="2695" spans="1:12" x14ac:dyDescent="0.3">
      <c r="A2695" t="s">
        <v>4341</v>
      </c>
      <c r="B2695" s="1">
        <v>43915</v>
      </c>
      <c r="C2695" t="s">
        <v>956</v>
      </c>
      <c r="D2695" t="s">
        <v>957</v>
      </c>
      <c r="E2695" t="s">
        <v>14</v>
      </c>
      <c r="F2695" t="s">
        <v>23</v>
      </c>
      <c r="G2695" t="s">
        <v>24</v>
      </c>
      <c r="H2695" t="s">
        <v>3067</v>
      </c>
      <c r="I2695" s="2">
        <v>102.1</v>
      </c>
      <c r="J2695">
        <v>2</v>
      </c>
      <c r="K2695" s="2">
        <v>6.93</v>
      </c>
      <c r="L2695" s="3">
        <f>(Table1[[#This Row],[Profit]]/Table1[[#This Row],[Sales]])*100</f>
        <v>6.787463271302645</v>
      </c>
    </row>
    <row r="2696" spans="1:12" x14ac:dyDescent="0.3">
      <c r="A2696" t="s">
        <v>2662</v>
      </c>
      <c r="B2696" s="1">
        <v>43716</v>
      </c>
      <c r="C2696" t="s">
        <v>1476</v>
      </c>
      <c r="D2696" t="s">
        <v>1477</v>
      </c>
      <c r="E2696" t="s">
        <v>14</v>
      </c>
      <c r="F2696" t="s">
        <v>15</v>
      </c>
      <c r="G2696" t="s">
        <v>24</v>
      </c>
      <c r="H2696" t="s">
        <v>1831</v>
      </c>
      <c r="I2696" s="2">
        <v>14.76</v>
      </c>
      <c r="J2696">
        <v>4</v>
      </c>
      <c r="K2696" s="2">
        <v>6.9371999999999998</v>
      </c>
      <c r="L2696" s="3">
        <f>(Table1[[#This Row],[Profit]]/Table1[[#This Row],[Sales]])*100</f>
        <v>47</v>
      </c>
    </row>
    <row r="2697" spans="1:12" x14ac:dyDescent="0.3">
      <c r="A2697" t="s">
        <v>3865</v>
      </c>
      <c r="B2697" s="1">
        <v>43819</v>
      </c>
      <c r="C2697" t="s">
        <v>1869</v>
      </c>
      <c r="D2697" t="s">
        <v>1870</v>
      </c>
      <c r="E2697" t="s">
        <v>14</v>
      </c>
      <c r="F2697" t="s">
        <v>41</v>
      </c>
      <c r="G2697" t="s">
        <v>24</v>
      </c>
      <c r="H2697" t="s">
        <v>1709</v>
      </c>
      <c r="I2697" s="2">
        <v>15.42</v>
      </c>
      <c r="J2697">
        <v>2</v>
      </c>
      <c r="K2697" s="2">
        <v>6.9390000000000001</v>
      </c>
      <c r="L2697" s="3">
        <f>(Table1[[#This Row],[Profit]]/Table1[[#This Row],[Sales]])*100</f>
        <v>45</v>
      </c>
    </row>
    <row r="2698" spans="1:12" x14ac:dyDescent="0.3">
      <c r="A2698" t="s">
        <v>2909</v>
      </c>
      <c r="B2698" s="1">
        <v>43733</v>
      </c>
      <c r="C2698" t="s">
        <v>1307</v>
      </c>
      <c r="D2698" t="s">
        <v>1308</v>
      </c>
      <c r="E2698" t="s">
        <v>14</v>
      </c>
      <c r="F2698" t="s">
        <v>23</v>
      </c>
      <c r="G2698" t="s">
        <v>24</v>
      </c>
      <c r="H2698" t="s">
        <v>2910</v>
      </c>
      <c r="I2698" s="2">
        <v>16.559999999999999</v>
      </c>
      <c r="J2698">
        <v>4</v>
      </c>
      <c r="K2698" s="2">
        <v>6.9551999999999996</v>
      </c>
      <c r="L2698" s="3">
        <f>(Table1[[#This Row],[Profit]]/Table1[[#This Row],[Sales]])*100</f>
        <v>42</v>
      </c>
    </row>
    <row r="2699" spans="1:12" x14ac:dyDescent="0.3">
      <c r="A2699" t="s">
        <v>5293</v>
      </c>
      <c r="B2699" s="1">
        <v>44078</v>
      </c>
      <c r="C2699" t="s">
        <v>687</v>
      </c>
      <c r="D2699" t="s">
        <v>688</v>
      </c>
      <c r="E2699" t="s">
        <v>14</v>
      </c>
      <c r="F2699" t="s">
        <v>15</v>
      </c>
      <c r="G2699" t="s">
        <v>24</v>
      </c>
      <c r="H2699" t="s">
        <v>449</v>
      </c>
      <c r="I2699" s="2">
        <v>141.82</v>
      </c>
      <c r="J2699">
        <v>6</v>
      </c>
      <c r="K2699" s="2">
        <v>6.9653999999999998</v>
      </c>
      <c r="L2699" s="3">
        <f>(Table1[[#This Row],[Profit]]/Table1[[#This Row],[Sales]])*100</f>
        <v>4.9114370328585535</v>
      </c>
    </row>
    <row r="2700" spans="1:12" x14ac:dyDescent="0.3">
      <c r="A2700" t="s">
        <v>3410</v>
      </c>
      <c r="B2700" s="1">
        <v>43782</v>
      </c>
      <c r="C2700" t="s">
        <v>249</v>
      </c>
      <c r="D2700" t="s">
        <v>250</v>
      </c>
      <c r="E2700" t="s">
        <v>14</v>
      </c>
      <c r="F2700" t="s">
        <v>15</v>
      </c>
      <c r="G2700" t="s">
        <v>24</v>
      </c>
      <c r="H2700" t="s">
        <v>1580</v>
      </c>
      <c r="I2700" s="2">
        <v>24.88</v>
      </c>
      <c r="J2700">
        <v>2</v>
      </c>
      <c r="K2700" s="2">
        <v>6.9664000000000001</v>
      </c>
      <c r="L2700" s="3">
        <f>(Table1[[#This Row],[Profit]]/Table1[[#This Row],[Sales]])*100</f>
        <v>28.000000000000004</v>
      </c>
    </row>
    <row r="2701" spans="1:12" x14ac:dyDescent="0.3">
      <c r="A2701" t="s">
        <v>298</v>
      </c>
      <c r="B2701" s="1">
        <v>43501</v>
      </c>
      <c r="C2701" t="s">
        <v>299</v>
      </c>
      <c r="D2701" t="s">
        <v>300</v>
      </c>
      <c r="E2701" t="s">
        <v>14</v>
      </c>
      <c r="F2701" t="s">
        <v>23</v>
      </c>
      <c r="G2701" t="s">
        <v>16</v>
      </c>
      <c r="H2701" t="s">
        <v>200</v>
      </c>
      <c r="I2701" s="2">
        <v>557.72799999999995</v>
      </c>
      <c r="J2701">
        <v>4</v>
      </c>
      <c r="K2701" s="2">
        <v>6.9715999999999996</v>
      </c>
      <c r="L2701" s="3">
        <f>(Table1[[#This Row],[Profit]]/Table1[[#This Row],[Sales]])*100</f>
        <v>1.25</v>
      </c>
    </row>
    <row r="2702" spans="1:12" x14ac:dyDescent="0.3">
      <c r="A2702" t="s">
        <v>4098</v>
      </c>
      <c r="B2702" s="1">
        <v>43863</v>
      </c>
      <c r="C2702" t="s">
        <v>2270</v>
      </c>
      <c r="D2702" t="s">
        <v>2271</v>
      </c>
      <c r="E2702" t="s">
        <v>14</v>
      </c>
      <c r="F2702" t="s">
        <v>15</v>
      </c>
      <c r="G2702" t="s">
        <v>24</v>
      </c>
      <c r="H2702" t="s">
        <v>449</v>
      </c>
      <c r="I2702" s="2">
        <v>110.456</v>
      </c>
      <c r="J2702">
        <v>9</v>
      </c>
      <c r="K2702" s="2">
        <v>6.9732000000000003</v>
      </c>
      <c r="L2702" s="3">
        <f>(Table1[[#This Row],[Profit]]/Table1[[#This Row],[Sales]])*100</f>
        <v>6.3131020496849422</v>
      </c>
    </row>
    <row r="2703" spans="1:12" x14ac:dyDescent="0.3">
      <c r="A2703" t="s">
        <v>5539</v>
      </c>
      <c r="B2703" s="1">
        <v>44104</v>
      </c>
      <c r="C2703" t="s">
        <v>3493</v>
      </c>
      <c r="D2703" t="s">
        <v>3494</v>
      </c>
      <c r="E2703" t="s">
        <v>14</v>
      </c>
      <c r="F2703" t="s">
        <v>15</v>
      </c>
      <c r="G2703" t="s">
        <v>24</v>
      </c>
      <c r="H2703" t="s">
        <v>5540</v>
      </c>
      <c r="I2703" s="2">
        <v>152.66399999999999</v>
      </c>
      <c r="J2703">
        <v>7</v>
      </c>
      <c r="K2703" s="2">
        <v>6.9741</v>
      </c>
      <c r="L2703" s="3">
        <f>(Table1[[#This Row],[Profit]]/Table1[[#This Row],[Sales]])*100</f>
        <v>4.5682675679924545</v>
      </c>
    </row>
    <row r="2704" spans="1:12" x14ac:dyDescent="0.3">
      <c r="A2704" t="s">
        <v>3142</v>
      </c>
      <c r="B2704" s="1">
        <v>43759</v>
      </c>
      <c r="C2704" t="s">
        <v>371</v>
      </c>
      <c r="D2704" t="s">
        <v>372</v>
      </c>
      <c r="E2704" t="s">
        <v>14</v>
      </c>
      <c r="F2704" t="s">
        <v>41</v>
      </c>
      <c r="G2704" t="s">
        <v>24</v>
      </c>
      <c r="H2704" t="s">
        <v>3143</v>
      </c>
      <c r="I2704" s="2">
        <v>111.672</v>
      </c>
      <c r="J2704">
        <v>9</v>
      </c>
      <c r="K2704" s="2">
        <v>6.9794999999999998</v>
      </c>
      <c r="L2704" s="3">
        <f>(Table1[[#This Row],[Profit]]/Table1[[#This Row],[Sales]])*100</f>
        <v>6.25</v>
      </c>
    </row>
    <row r="2705" spans="1:12" x14ac:dyDescent="0.3">
      <c r="A2705" t="s">
        <v>3232</v>
      </c>
      <c r="B2705" s="1">
        <v>43770</v>
      </c>
      <c r="C2705" t="s">
        <v>1071</v>
      </c>
      <c r="D2705" t="s">
        <v>1072</v>
      </c>
      <c r="E2705" t="s">
        <v>14</v>
      </c>
      <c r="F2705" t="s">
        <v>29</v>
      </c>
      <c r="G2705" t="s">
        <v>24</v>
      </c>
      <c r="H2705" t="s">
        <v>3143</v>
      </c>
      <c r="I2705" s="2">
        <v>111.672</v>
      </c>
      <c r="J2705">
        <v>9</v>
      </c>
      <c r="K2705" s="2">
        <v>6.9794999999999998</v>
      </c>
      <c r="L2705" s="3">
        <f>(Table1[[#This Row],[Profit]]/Table1[[#This Row],[Sales]])*100</f>
        <v>6.25</v>
      </c>
    </row>
    <row r="2706" spans="1:12" x14ac:dyDescent="0.3">
      <c r="A2706" t="s">
        <v>907</v>
      </c>
      <c r="B2706" s="1">
        <v>43563</v>
      </c>
      <c r="C2706" t="s">
        <v>908</v>
      </c>
      <c r="D2706" t="s">
        <v>909</v>
      </c>
      <c r="E2706" t="s">
        <v>14</v>
      </c>
      <c r="F2706" t="s">
        <v>15</v>
      </c>
      <c r="G2706" t="s">
        <v>24</v>
      </c>
      <c r="H2706" t="s">
        <v>911</v>
      </c>
      <c r="I2706" s="2">
        <v>17.04</v>
      </c>
      <c r="J2706">
        <v>4</v>
      </c>
      <c r="K2706" s="2">
        <v>6.9863999999999997</v>
      </c>
      <c r="L2706" s="3">
        <f>(Table1[[#This Row],[Profit]]/Table1[[#This Row],[Sales]])*100</f>
        <v>41</v>
      </c>
    </row>
    <row r="2707" spans="1:12" x14ac:dyDescent="0.3">
      <c r="A2707" t="s">
        <v>1768</v>
      </c>
      <c r="B2707" s="1">
        <v>43633</v>
      </c>
      <c r="C2707" t="s">
        <v>1769</v>
      </c>
      <c r="D2707" t="s">
        <v>1770</v>
      </c>
      <c r="E2707" t="s">
        <v>14</v>
      </c>
      <c r="F2707" t="s">
        <v>15</v>
      </c>
      <c r="G2707" t="s">
        <v>24</v>
      </c>
      <c r="H2707" t="s">
        <v>1773</v>
      </c>
      <c r="I2707" s="2">
        <v>14.56</v>
      </c>
      <c r="J2707">
        <v>2</v>
      </c>
      <c r="K2707" s="2">
        <v>6.9888000000000003</v>
      </c>
      <c r="L2707" s="3">
        <f>(Table1[[#This Row],[Profit]]/Table1[[#This Row],[Sales]])*100</f>
        <v>48</v>
      </c>
    </row>
    <row r="2708" spans="1:12" x14ac:dyDescent="0.3">
      <c r="A2708" t="s">
        <v>4360</v>
      </c>
      <c r="B2708" s="1">
        <v>43917</v>
      </c>
      <c r="C2708" t="s">
        <v>565</v>
      </c>
      <c r="D2708" t="s">
        <v>566</v>
      </c>
      <c r="E2708" t="s">
        <v>14</v>
      </c>
      <c r="F2708" t="s">
        <v>29</v>
      </c>
      <c r="G2708" t="s">
        <v>18</v>
      </c>
      <c r="H2708" t="s">
        <v>3346</v>
      </c>
      <c r="I2708" s="2">
        <v>139.99199999999999</v>
      </c>
      <c r="J2708">
        <v>1</v>
      </c>
      <c r="K2708" s="2">
        <v>6.9985999999999997</v>
      </c>
      <c r="L2708" s="3">
        <f>(Table1[[#This Row],[Profit]]/Table1[[#This Row],[Sales]])*100</f>
        <v>4.9992856734670559</v>
      </c>
    </row>
    <row r="2709" spans="1:12" x14ac:dyDescent="0.3">
      <c r="A2709" t="s">
        <v>4009</v>
      </c>
      <c r="B2709" s="1">
        <v>43844</v>
      </c>
      <c r="C2709" t="s">
        <v>460</v>
      </c>
      <c r="D2709" t="s">
        <v>461</v>
      </c>
      <c r="E2709" t="s">
        <v>14</v>
      </c>
      <c r="F2709" t="s">
        <v>41</v>
      </c>
      <c r="G2709" t="s">
        <v>18</v>
      </c>
      <c r="H2709" t="s">
        <v>2102</v>
      </c>
      <c r="I2709" s="2">
        <v>129.98400000000001</v>
      </c>
      <c r="J2709">
        <v>2</v>
      </c>
      <c r="K2709" s="2">
        <v>6.9989999999999997</v>
      </c>
      <c r="L2709" s="3">
        <f>(Table1[[#This Row],[Profit]]/Table1[[#This Row],[Sales]])*100</f>
        <v>5.3845088626292466</v>
      </c>
    </row>
    <row r="2710" spans="1:12" x14ac:dyDescent="0.3">
      <c r="A2710" t="s">
        <v>1630</v>
      </c>
      <c r="B2710" s="1">
        <v>43621</v>
      </c>
      <c r="C2710" t="s">
        <v>1631</v>
      </c>
      <c r="D2710" t="s">
        <v>1632</v>
      </c>
      <c r="E2710" t="s">
        <v>14</v>
      </c>
      <c r="F2710" t="s">
        <v>23</v>
      </c>
      <c r="G2710" t="s">
        <v>24</v>
      </c>
      <c r="H2710" t="s">
        <v>845</v>
      </c>
      <c r="I2710" s="2">
        <v>21.552</v>
      </c>
      <c r="J2710">
        <v>6</v>
      </c>
      <c r="K2710" s="2">
        <v>7.0044000000000004</v>
      </c>
      <c r="L2710" s="3">
        <f>(Table1[[#This Row],[Profit]]/Table1[[#This Row],[Sales]])*100</f>
        <v>32.5</v>
      </c>
    </row>
    <row r="2711" spans="1:12" x14ac:dyDescent="0.3">
      <c r="A2711" t="s">
        <v>6228</v>
      </c>
      <c r="B2711" s="1">
        <v>44186</v>
      </c>
      <c r="C2711" t="s">
        <v>554</v>
      </c>
      <c r="D2711" t="s">
        <v>555</v>
      </c>
      <c r="E2711" t="s">
        <v>14</v>
      </c>
      <c r="F2711" t="s">
        <v>29</v>
      </c>
      <c r="G2711" t="s">
        <v>16</v>
      </c>
      <c r="H2711" t="s">
        <v>1286</v>
      </c>
      <c r="I2711" s="2">
        <v>348.92</v>
      </c>
      <c r="J2711">
        <v>2</v>
      </c>
      <c r="K2711" s="2">
        <v>7.0048000000000004</v>
      </c>
      <c r="L2711" s="3">
        <f>(Table1[[#This Row],[Profit]]/Table1[[#This Row],[Sales]])*100</f>
        <v>2.007566204287516</v>
      </c>
    </row>
    <row r="2712" spans="1:12" x14ac:dyDescent="0.3">
      <c r="A2712" t="s">
        <v>4519</v>
      </c>
      <c r="B2712" s="1">
        <v>43944</v>
      </c>
      <c r="C2712" t="s">
        <v>4011</v>
      </c>
      <c r="D2712" t="s">
        <v>4012</v>
      </c>
      <c r="E2712" t="s">
        <v>14</v>
      </c>
      <c r="F2712" t="s">
        <v>23</v>
      </c>
      <c r="G2712" t="s">
        <v>24</v>
      </c>
      <c r="H2712" t="s">
        <v>242</v>
      </c>
      <c r="I2712" s="2">
        <v>131.68799999999999</v>
      </c>
      <c r="J2712">
        <v>2</v>
      </c>
      <c r="K2712" s="2">
        <v>7.008</v>
      </c>
      <c r="L2712" s="3">
        <f>(Table1[[#This Row],[Profit]]/Table1[[#This Row],[Sales]])*100</f>
        <v>5.3216694004009479</v>
      </c>
    </row>
    <row r="2713" spans="1:12" x14ac:dyDescent="0.3">
      <c r="A2713" t="s">
        <v>6086</v>
      </c>
      <c r="B2713" s="1">
        <v>44168</v>
      </c>
      <c r="C2713" t="s">
        <v>443</v>
      </c>
      <c r="D2713" t="s">
        <v>444</v>
      </c>
      <c r="E2713" t="s">
        <v>14</v>
      </c>
      <c r="F2713" t="s">
        <v>23</v>
      </c>
      <c r="G2713" t="s">
        <v>16</v>
      </c>
      <c r="H2713" t="s">
        <v>1286</v>
      </c>
      <c r="I2713" s="2">
        <v>117.376</v>
      </c>
      <c r="J2713">
        <v>3</v>
      </c>
      <c r="K2713" s="2">
        <v>7.0128000000000004</v>
      </c>
      <c r="L2713" s="3">
        <f>(Table1[[#This Row],[Profit]]/Table1[[#This Row],[Sales]])*100</f>
        <v>5.9746455834242091</v>
      </c>
    </row>
    <row r="2714" spans="1:12" x14ac:dyDescent="0.3">
      <c r="A2714" t="s">
        <v>4211</v>
      </c>
      <c r="B2714" s="1">
        <v>43894</v>
      </c>
      <c r="C2714" t="s">
        <v>3557</v>
      </c>
      <c r="D2714" t="s">
        <v>3558</v>
      </c>
      <c r="E2714" t="s">
        <v>14</v>
      </c>
      <c r="F2714" t="s">
        <v>23</v>
      </c>
      <c r="G2714" t="s">
        <v>24</v>
      </c>
      <c r="H2714" t="s">
        <v>479</v>
      </c>
      <c r="I2714" s="2">
        <v>93.25</v>
      </c>
      <c r="J2714">
        <v>1</v>
      </c>
      <c r="K2714" s="2">
        <v>7.0149999999999997</v>
      </c>
      <c r="L2714" s="3">
        <f>(Table1[[#This Row],[Profit]]/Table1[[#This Row],[Sales]])*100</f>
        <v>7.5227882037533513</v>
      </c>
    </row>
    <row r="2715" spans="1:12" x14ac:dyDescent="0.3">
      <c r="A2715" t="s">
        <v>2571</v>
      </c>
      <c r="B2715" s="1">
        <v>43712</v>
      </c>
      <c r="C2715" t="s">
        <v>2159</v>
      </c>
      <c r="D2715" t="s">
        <v>2160</v>
      </c>
      <c r="E2715" t="s">
        <v>14</v>
      </c>
      <c r="F2715" t="s">
        <v>29</v>
      </c>
      <c r="G2715" t="s">
        <v>24</v>
      </c>
      <c r="H2715" t="s">
        <v>657</v>
      </c>
      <c r="I2715" s="2">
        <v>62.375999999999998</v>
      </c>
      <c r="J2715">
        <v>3</v>
      </c>
      <c r="K2715" s="2">
        <v>7.0172999999999996</v>
      </c>
      <c r="L2715" s="3">
        <f>(Table1[[#This Row],[Profit]]/Table1[[#This Row],[Sales]])*100</f>
        <v>11.25</v>
      </c>
    </row>
    <row r="2716" spans="1:12" x14ac:dyDescent="0.3">
      <c r="A2716" t="s">
        <v>1615</v>
      </c>
      <c r="B2716" s="1">
        <v>43620</v>
      </c>
      <c r="C2716" t="s">
        <v>1616</v>
      </c>
      <c r="D2716" t="s">
        <v>1617</v>
      </c>
      <c r="E2716" t="s">
        <v>14</v>
      </c>
      <c r="F2716" t="s">
        <v>15</v>
      </c>
      <c r="G2716" t="s">
        <v>24</v>
      </c>
      <c r="H2716" t="s">
        <v>234</v>
      </c>
      <c r="I2716" s="2">
        <v>14.94</v>
      </c>
      <c r="J2716">
        <v>3</v>
      </c>
      <c r="K2716" s="2">
        <v>7.0217999999999998</v>
      </c>
      <c r="L2716" s="3">
        <f>(Table1[[#This Row],[Profit]]/Table1[[#This Row],[Sales]])*100</f>
        <v>47</v>
      </c>
    </row>
    <row r="2717" spans="1:12" x14ac:dyDescent="0.3">
      <c r="A2717" t="s">
        <v>6139</v>
      </c>
      <c r="B2717" s="1">
        <v>44174</v>
      </c>
      <c r="C2717" t="s">
        <v>774</v>
      </c>
      <c r="D2717" t="s">
        <v>775</v>
      </c>
      <c r="E2717" t="s">
        <v>14</v>
      </c>
      <c r="F2717" t="s">
        <v>29</v>
      </c>
      <c r="G2717" t="s">
        <v>24</v>
      </c>
      <c r="H2717" t="s">
        <v>234</v>
      </c>
      <c r="I2717" s="2">
        <v>130.94</v>
      </c>
      <c r="J2717">
        <v>3</v>
      </c>
      <c r="K2717" s="2">
        <v>7.0217999999999998</v>
      </c>
      <c r="L2717" s="3">
        <f>(Table1[[#This Row],[Profit]]/Table1[[#This Row],[Sales]])*100</f>
        <v>5.362608828471056</v>
      </c>
    </row>
    <row r="2718" spans="1:12" x14ac:dyDescent="0.3">
      <c r="A2718" t="s">
        <v>3820</v>
      </c>
      <c r="B2718" s="1">
        <v>43815</v>
      </c>
      <c r="C2718" t="s">
        <v>1038</v>
      </c>
      <c r="D2718" t="s">
        <v>1039</v>
      </c>
      <c r="E2718" t="s">
        <v>14</v>
      </c>
      <c r="F2718" t="s">
        <v>23</v>
      </c>
      <c r="G2718" t="s">
        <v>16</v>
      </c>
      <c r="H2718" t="s">
        <v>2165</v>
      </c>
      <c r="I2718" s="2">
        <v>563.91999999999996</v>
      </c>
      <c r="J2718">
        <v>5</v>
      </c>
      <c r="K2718" s="2">
        <v>7.0490000000000004</v>
      </c>
      <c r="L2718" s="3">
        <f>(Table1[[#This Row],[Profit]]/Table1[[#This Row],[Sales]])*100</f>
        <v>1.2500000000000002</v>
      </c>
    </row>
    <row r="2719" spans="1:12" x14ac:dyDescent="0.3">
      <c r="A2719" t="s">
        <v>4031</v>
      </c>
      <c r="B2719" s="1">
        <v>43849</v>
      </c>
      <c r="C2719" t="s">
        <v>3546</v>
      </c>
      <c r="D2719" t="s">
        <v>3547</v>
      </c>
      <c r="E2719" t="s">
        <v>14</v>
      </c>
      <c r="F2719" t="s">
        <v>15</v>
      </c>
      <c r="G2719" t="s">
        <v>24</v>
      </c>
      <c r="H2719" t="s">
        <v>3864</v>
      </c>
      <c r="I2719" s="2">
        <v>117.696</v>
      </c>
      <c r="J2719">
        <v>4</v>
      </c>
      <c r="K2719" s="2">
        <v>7.0511999999999997</v>
      </c>
      <c r="L2719" s="3">
        <f>(Table1[[#This Row],[Profit]]/Table1[[#This Row],[Sales]])*100</f>
        <v>5.9910277324632952</v>
      </c>
    </row>
    <row r="2720" spans="1:12" x14ac:dyDescent="0.3">
      <c r="A2720" t="s">
        <v>2733</v>
      </c>
      <c r="B2720" s="1">
        <v>43721</v>
      </c>
      <c r="C2720" t="s">
        <v>2734</v>
      </c>
      <c r="D2720" t="s">
        <v>2735</v>
      </c>
      <c r="E2720" t="s">
        <v>14</v>
      </c>
      <c r="F2720" t="s">
        <v>29</v>
      </c>
      <c r="G2720" t="s">
        <v>24</v>
      </c>
      <c r="H2720" t="s">
        <v>2378</v>
      </c>
      <c r="I2720" s="2">
        <v>14.4</v>
      </c>
      <c r="J2720">
        <v>5</v>
      </c>
      <c r="K2720" s="2">
        <v>7.056</v>
      </c>
      <c r="L2720" s="3">
        <f>(Table1[[#This Row],[Profit]]/Table1[[#This Row],[Sales]])*100</f>
        <v>49</v>
      </c>
    </row>
    <row r="2721" spans="1:12" x14ac:dyDescent="0.3">
      <c r="A2721" t="s">
        <v>4046</v>
      </c>
      <c r="B2721" s="1">
        <v>43851</v>
      </c>
      <c r="C2721" t="s">
        <v>2414</v>
      </c>
      <c r="D2721" t="s">
        <v>2415</v>
      </c>
      <c r="E2721" t="s">
        <v>14</v>
      </c>
      <c r="F2721" t="s">
        <v>29</v>
      </c>
      <c r="G2721" t="s">
        <v>24</v>
      </c>
      <c r="H2721" t="s">
        <v>228</v>
      </c>
      <c r="I2721" s="2">
        <v>87.4</v>
      </c>
      <c r="J2721">
        <v>5</v>
      </c>
      <c r="K2721" s="2">
        <v>7.056</v>
      </c>
      <c r="L2721" s="3">
        <f>(Table1[[#This Row],[Profit]]/Table1[[#This Row],[Sales]])*100</f>
        <v>8.0732265446224254</v>
      </c>
    </row>
    <row r="2722" spans="1:12" x14ac:dyDescent="0.3">
      <c r="A2722" t="s">
        <v>5425</v>
      </c>
      <c r="B2722" s="1">
        <v>44091</v>
      </c>
      <c r="C2722" t="s">
        <v>3665</v>
      </c>
      <c r="D2722" t="s">
        <v>3666</v>
      </c>
      <c r="E2722" t="s">
        <v>14</v>
      </c>
      <c r="F2722" t="s">
        <v>23</v>
      </c>
      <c r="G2722" t="s">
        <v>24</v>
      </c>
      <c r="H2722" t="s">
        <v>5430</v>
      </c>
      <c r="I2722" s="2">
        <v>123.4</v>
      </c>
      <c r="J2722">
        <v>5</v>
      </c>
      <c r="K2722" s="2">
        <v>7.056</v>
      </c>
      <c r="L2722" s="3">
        <f>(Table1[[#This Row],[Profit]]/Table1[[#This Row],[Sales]])*100</f>
        <v>5.7179902755267422</v>
      </c>
    </row>
    <row r="2723" spans="1:12" x14ac:dyDescent="0.3">
      <c r="A2723" t="s">
        <v>4570</v>
      </c>
      <c r="B2723" s="1">
        <v>43953</v>
      </c>
      <c r="C2723" t="s">
        <v>2397</v>
      </c>
      <c r="D2723" t="s">
        <v>2398</v>
      </c>
      <c r="E2723" t="s">
        <v>14</v>
      </c>
      <c r="F2723" t="s">
        <v>23</v>
      </c>
      <c r="G2723" t="s">
        <v>24</v>
      </c>
      <c r="H2723" t="s">
        <v>4571</v>
      </c>
      <c r="I2723" s="2">
        <v>95.7</v>
      </c>
      <c r="J2723">
        <v>5</v>
      </c>
      <c r="K2723" s="2">
        <v>7.0650000000000004</v>
      </c>
      <c r="L2723" s="3">
        <f>(Table1[[#This Row],[Profit]]/Table1[[#This Row],[Sales]])*100</f>
        <v>7.3824451410658316</v>
      </c>
    </row>
    <row r="2724" spans="1:12" x14ac:dyDescent="0.3">
      <c r="A2724" t="s">
        <v>2189</v>
      </c>
      <c r="B2724" s="1">
        <v>43671</v>
      </c>
      <c r="C2724" t="s">
        <v>124</v>
      </c>
      <c r="D2724" t="s">
        <v>125</v>
      </c>
      <c r="E2724" t="s">
        <v>14</v>
      </c>
      <c r="F2724" t="s">
        <v>29</v>
      </c>
      <c r="G2724" t="s">
        <v>24</v>
      </c>
      <c r="H2724" t="s">
        <v>110</v>
      </c>
      <c r="I2724" s="2">
        <v>20.936</v>
      </c>
      <c r="J2724">
        <v>1</v>
      </c>
      <c r="K2724" s="2">
        <v>7.0659000000000001</v>
      </c>
      <c r="L2724" s="3">
        <f>(Table1[[#This Row],[Profit]]/Table1[[#This Row],[Sales]])*100</f>
        <v>33.75</v>
      </c>
    </row>
    <row r="2725" spans="1:12" x14ac:dyDescent="0.3">
      <c r="A2725" t="s">
        <v>1106</v>
      </c>
      <c r="B2725" s="1">
        <v>43577</v>
      </c>
      <c r="C2725" t="s">
        <v>1107</v>
      </c>
      <c r="D2725" t="s">
        <v>1108</v>
      </c>
      <c r="E2725" t="s">
        <v>14</v>
      </c>
      <c r="F2725" t="s">
        <v>23</v>
      </c>
      <c r="G2725" t="s">
        <v>16</v>
      </c>
      <c r="H2725" t="s">
        <v>1109</v>
      </c>
      <c r="I2725" s="2">
        <v>23.56</v>
      </c>
      <c r="J2725">
        <v>5</v>
      </c>
      <c r="K2725" s="2">
        <v>7.0679999999999996</v>
      </c>
      <c r="L2725" s="3">
        <f>(Table1[[#This Row],[Profit]]/Table1[[#This Row],[Sales]])*100</f>
        <v>30</v>
      </c>
    </row>
    <row r="2726" spans="1:12" x14ac:dyDescent="0.3">
      <c r="A2726" t="s">
        <v>2257</v>
      </c>
      <c r="B2726" s="1">
        <v>43681</v>
      </c>
      <c r="C2726" t="s">
        <v>1444</v>
      </c>
      <c r="D2726" t="s">
        <v>1445</v>
      </c>
      <c r="E2726" t="s">
        <v>14</v>
      </c>
      <c r="F2726" t="s">
        <v>23</v>
      </c>
      <c r="G2726" t="s">
        <v>24</v>
      </c>
      <c r="H2726" t="s">
        <v>587</v>
      </c>
      <c r="I2726" s="2">
        <v>20.952000000000002</v>
      </c>
      <c r="J2726">
        <v>3</v>
      </c>
      <c r="K2726" s="2">
        <v>7.0712999999999999</v>
      </c>
      <c r="L2726" s="3">
        <f>(Table1[[#This Row],[Profit]]/Table1[[#This Row],[Sales]])*100</f>
        <v>33.75</v>
      </c>
    </row>
    <row r="2727" spans="1:12" x14ac:dyDescent="0.3">
      <c r="A2727" t="s">
        <v>4689</v>
      </c>
      <c r="B2727" s="1">
        <v>43971</v>
      </c>
      <c r="C2727" t="s">
        <v>3539</v>
      </c>
      <c r="D2727" t="s">
        <v>3540</v>
      </c>
      <c r="E2727" t="s">
        <v>14</v>
      </c>
      <c r="F2727" t="s">
        <v>29</v>
      </c>
      <c r="G2727" t="s">
        <v>24</v>
      </c>
      <c r="H2727" t="s">
        <v>4693</v>
      </c>
      <c r="I2727" s="2">
        <v>148.5</v>
      </c>
      <c r="J2727">
        <v>10</v>
      </c>
      <c r="K2727" s="2">
        <v>7.0949999999999998</v>
      </c>
      <c r="L2727" s="3">
        <f>(Table1[[#This Row],[Profit]]/Table1[[#This Row],[Sales]])*100</f>
        <v>4.7777777777777777</v>
      </c>
    </row>
    <row r="2728" spans="1:12" x14ac:dyDescent="0.3">
      <c r="A2728" t="s">
        <v>1768</v>
      </c>
      <c r="B2728" s="1">
        <v>43633</v>
      </c>
      <c r="C2728" t="s">
        <v>1769</v>
      </c>
      <c r="D2728" t="s">
        <v>1770</v>
      </c>
      <c r="E2728" t="s">
        <v>14</v>
      </c>
      <c r="F2728" t="s">
        <v>15</v>
      </c>
      <c r="G2728" t="s">
        <v>16</v>
      </c>
      <c r="H2728" t="s">
        <v>1772</v>
      </c>
      <c r="I2728" s="2">
        <v>319.41000000000003</v>
      </c>
      <c r="J2728">
        <v>5</v>
      </c>
      <c r="K2728" s="2">
        <v>7.0979999999999999</v>
      </c>
      <c r="L2728" s="3">
        <f>(Table1[[#This Row],[Profit]]/Table1[[#This Row],[Sales]])*100</f>
        <v>2.2222222222222219</v>
      </c>
    </row>
    <row r="2729" spans="1:12" x14ac:dyDescent="0.3">
      <c r="A2729" t="s">
        <v>260</v>
      </c>
      <c r="B2729" s="1">
        <v>43498</v>
      </c>
      <c r="C2729" t="s">
        <v>261</v>
      </c>
      <c r="D2729" t="s">
        <v>262</v>
      </c>
      <c r="E2729" t="s">
        <v>14</v>
      </c>
      <c r="F2729" t="s">
        <v>41</v>
      </c>
      <c r="G2729" t="s">
        <v>16</v>
      </c>
      <c r="H2729" t="s">
        <v>265</v>
      </c>
      <c r="I2729" s="2">
        <v>18.690000000000001</v>
      </c>
      <c r="J2729">
        <v>7</v>
      </c>
      <c r="K2729" s="2">
        <v>7.1021999999999998</v>
      </c>
      <c r="L2729" s="3">
        <f>(Table1[[#This Row],[Profit]]/Table1[[#This Row],[Sales]])*100</f>
        <v>37.999999999999993</v>
      </c>
    </row>
    <row r="2730" spans="1:12" x14ac:dyDescent="0.3">
      <c r="A2730" t="s">
        <v>5948</v>
      </c>
      <c r="B2730" s="1">
        <v>44154</v>
      </c>
      <c r="C2730" t="s">
        <v>3034</v>
      </c>
      <c r="D2730" t="s">
        <v>3035</v>
      </c>
      <c r="E2730" t="s">
        <v>14</v>
      </c>
      <c r="F2730" t="s">
        <v>23</v>
      </c>
      <c r="G2730" t="s">
        <v>16</v>
      </c>
      <c r="H2730" t="s">
        <v>5959</v>
      </c>
      <c r="I2730" s="2">
        <v>130.69999999999999</v>
      </c>
      <c r="J2730">
        <v>1</v>
      </c>
      <c r="K2730" s="2">
        <v>7.1059999999999999</v>
      </c>
      <c r="L2730" s="3">
        <f>(Table1[[#This Row],[Profit]]/Table1[[#This Row],[Sales]])*100</f>
        <v>5.4368783473603672</v>
      </c>
    </row>
    <row r="2731" spans="1:12" x14ac:dyDescent="0.3">
      <c r="A2731" t="s">
        <v>5194</v>
      </c>
      <c r="B2731" s="1">
        <v>44064</v>
      </c>
      <c r="C2731" t="s">
        <v>3392</v>
      </c>
      <c r="D2731" t="s">
        <v>3393</v>
      </c>
      <c r="E2731" t="s">
        <v>14</v>
      </c>
      <c r="F2731" t="s">
        <v>23</v>
      </c>
      <c r="G2731" t="s">
        <v>16</v>
      </c>
      <c r="H2731" t="s">
        <v>597</v>
      </c>
      <c r="I2731" s="2">
        <v>121.752</v>
      </c>
      <c r="J2731">
        <v>3</v>
      </c>
      <c r="K2731" s="2">
        <v>7.11</v>
      </c>
      <c r="L2731" s="3">
        <f>(Table1[[#This Row],[Profit]]/Table1[[#This Row],[Sales]])*100</f>
        <v>5.8397397989355415</v>
      </c>
    </row>
    <row r="2732" spans="1:12" x14ac:dyDescent="0.3">
      <c r="A2732" t="s">
        <v>5231</v>
      </c>
      <c r="B2732" s="1">
        <v>44074</v>
      </c>
      <c r="C2732" t="s">
        <v>3037</v>
      </c>
      <c r="D2732" t="s">
        <v>3038</v>
      </c>
      <c r="E2732" t="s">
        <v>14</v>
      </c>
      <c r="F2732" t="s">
        <v>23</v>
      </c>
      <c r="G2732" t="s">
        <v>16</v>
      </c>
      <c r="H2732" t="s">
        <v>2090</v>
      </c>
      <c r="I2732" s="2">
        <v>599.56799999999998</v>
      </c>
      <c r="J2732">
        <v>2</v>
      </c>
      <c r="K2732" s="2">
        <v>7.1196000000000002</v>
      </c>
      <c r="L2732" s="3">
        <f>(Table1[[#This Row],[Profit]]/Table1[[#This Row],[Sales]])*100</f>
        <v>1.1874549675766553</v>
      </c>
    </row>
    <row r="2733" spans="1:12" x14ac:dyDescent="0.3">
      <c r="A2733" t="s">
        <v>5298</v>
      </c>
      <c r="B2733" s="1">
        <v>44081</v>
      </c>
      <c r="C2733" t="s">
        <v>744</v>
      </c>
      <c r="D2733" t="s">
        <v>745</v>
      </c>
      <c r="E2733" t="s">
        <v>14</v>
      </c>
      <c r="F2733" t="s">
        <v>41</v>
      </c>
      <c r="G2733" t="s">
        <v>24</v>
      </c>
      <c r="H2733" t="s">
        <v>1063</v>
      </c>
      <c r="I2733" s="2">
        <v>102.568</v>
      </c>
      <c r="J2733">
        <v>2</v>
      </c>
      <c r="K2733" s="2">
        <v>7.1372</v>
      </c>
      <c r="L2733" s="3">
        <f>(Table1[[#This Row],[Profit]]/Table1[[#This Row],[Sales]])*100</f>
        <v>6.9585055767880819</v>
      </c>
    </row>
    <row r="2734" spans="1:12" x14ac:dyDescent="0.3">
      <c r="A2734" t="s">
        <v>572</v>
      </c>
      <c r="B2734" s="1">
        <v>43534</v>
      </c>
      <c r="C2734" t="s">
        <v>573</v>
      </c>
      <c r="D2734" t="s">
        <v>574</v>
      </c>
      <c r="E2734" t="s">
        <v>14</v>
      </c>
      <c r="F2734" t="s">
        <v>23</v>
      </c>
      <c r="G2734" t="s">
        <v>24</v>
      </c>
      <c r="H2734" t="s">
        <v>575</v>
      </c>
      <c r="I2734" s="2">
        <v>14.9</v>
      </c>
      <c r="J2734">
        <v>5</v>
      </c>
      <c r="K2734" s="2">
        <v>7.1520000000000001</v>
      </c>
      <c r="L2734" s="3">
        <f>(Table1[[#This Row],[Profit]]/Table1[[#This Row],[Sales]])*100</f>
        <v>48</v>
      </c>
    </row>
    <row r="2735" spans="1:12" x14ac:dyDescent="0.3">
      <c r="A2735" t="s">
        <v>285</v>
      </c>
      <c r="B2735" s="1">
        <v>43501</v>
      </c>
      <c r="C2735" t="s">
        <v>286</v>
      </c>
      <c r="D2735" t="s">
        <v>287</v>
      </c>
      <c r="E2735" t="s">
        <v>14</v>
      </c>
      <c r="F2735" t="s">
        <v>41</v>
      </c>
      <c r="G2735" t="s">
        <v>16</v>
      </c>
      <c r="H2735" t="s">
        <v>291</v>
      </c>
      <c r="I2735" s="2">
        <v>18.84</v>
      </c>
      <c r="J2735">
        <v>3</v>
      </c>
      <c r="K2735" s="2">
        <v>7.1592000000000002</v>
      </c>
      <c r="L2735" s="3">
        <f>(Table1[[#This Row],[Profit]]/Table1[[#This Row],[Sales]])*100</f>
        <v>38</v>
      </c>
    </row>
    <row r="2736" spans="1:12" x14ac:dyDescent="0.3">
      <c r="A2736" t="s">
        <v>5037</v>
      </c>
      <c r="B2736" s="1">
        <v>44033</v>
      </c>
      <c r="C2736" t="s">
        <v>2796</v>
      </c>
      <c r="D2736" t="s">
        <v>2797</v>
      </c>
      <c r="E2736" t="s">
        <v>14</v>
      </c>
      <c r="F2736" t="s">
        <v>41</v>
      </c>
      <c r="G2736" t="s">
        <v>24</v>
      </c>
      <c r="H2736" t="s">
        <v>1155</v>
      </c>
      <c r="I2736" s="2">
        <v>138.94</v>
      </c>
      <c r="J2736">
        <v>3</v>
      </c>
      <c r="K2736" s="2">
        <v>7.1711999999999998</v>
      </c>
      <c r="L2736" s="3">
        <f>(Table1[[#This Row],[Profit]]/Table1[[#This Row],[Sales]])*100</f>
        <v>5.1613646178206425</v>
      </c>
    </row>
    <row r="2737" spans="1:12" x14ac:dyDescent="0.3">
      <c r="A2737" t="s">
        <v>2013</v>
      </c>
      <c r="B2737" s="1">
        <v>43658</v>
      </c>
      <c r="C2737" t="s">
        <v>2014</v>
      </c>
      <c r="D2737" t="s">
        <v>2015</v>
      </c>
      <c r="E2737" t="s">
        <v>14</v>
      </c>
      <c r="F2737" t="s">
        <v>23</v>
      </c>
      <c r="G2737" t="s">
        <v>18</v>
      </c>
      <c r="H2737" t="s">
        <v>2016</v>
      </c>
      <c r="I2737" s="2">
        <v>95.76</v>
      </c>
      <c r="J2737">
        <v>6</v>
      </c>
      <c r="K2737" s="2">
        <v>7.1820000000000004</v>
      </c>
      <c r="L2737" s="3">
        <f>(Table1[[#This Row],[Profit]]/Table1[[#This Row],[Sales]])*100</f>
        <v>7.5</v>
      </c>
    </row>
    <row r="2738" spans="1:12" x14ac:dyDescent="0.3">
      <c r="A2738" t="s">
        <v>4314</v>
      </c>
      <c r="B2738" s="1">
        <v>43911</v>
      </c>
      <c r="C2738" t="s">
        <v>1310</v>
      </c>
      <c r="D2738" t="s">
        <v>1311</v>
      </c>
      <c r="E2738" t="s">
        <v>14</v>
      </c>
      <c r="F2738" t="s">
        <v>23</v>
      </c>
      <c r="G2738" t="s">
        <v>24</v>
      </c>
      <c r="H2738" t="s">
        <v>398</v>
      </c>
      <c r="I2738" s="2">
        <v>397.32</v>
      </c>
      <c r="J2738">
        <v>4</v>
      </c>
      <c r="K2738" s="2">
        <v>7.1863999999999999</v>
      </c>
      <c r="L2738" s="3">
        <f>(Table1[[#This Row],[Profit]]/Table1[[#This Row],[Sales]])*100</f>
        <v>1.8087184133695762</v>
      </c>
    </row>
    <row r="2739" spans="1:12" x14ac:dyDescent="0.3">
      <c r="A2739" t="s">
        <v>5295</v>
      </c>
      <c r="B2739" s="1">
        <v>44079</v>
      </c>
      <c r="C2739" t="s">
        <v>1656</v>
      </c>
      <c r="D2739" t="s">
        <v>1657</v>
      </c>
      <c r="E2739" t="s">
        <v>14</v>
      </c>
      <c r="F2739" t="s">
        <v>41</v>
      </c>
      <c r="G2739" t="s">
        <v>24</v>
      </c>
      <c r="H2739" t="s">
        <v>3922</v>
      </c>
      <c r="I2739" s="2">
        <v>115.96</v>
      </c>
      <c r="J2739">
        <v>5</v>
      </c>
      <c r="K2739" s="2">
        <v>7.1959999999999997</v>
      </c>
      <c r="L2739" s="3">
        <f>(Table1[[#This Row],[Profit]]/Table1[[#This Row],[Sales]])*100</f>
        <v>6.2055881338392549</v>
      </c>
    </row>
    <row r="2740" spans="1:12" x14ac:dyDescent="0.3">
      <c r="A2740" t="s">
        <v>5713</v>
      </c>
      <c r="B2740" s="1">
        <v>44131</v>
      </c>
      <c r="C2740" t="s">
        <v>3209</v>
      </c>
      <c r="D2740" t="s">
        <v>3210</v>
      </c>
      <c r="E2740" t="s">
        <v>14</v>
      </c>
      <c r="F2740" t="s">
        <v>23</v>
      </c>
      <c r="G2740" t="s">
        <v>18</v>
      </c>
      <c r="H2740" t="s">
        <v>2161</v>
      </c>
      <c r="I2740" s="2">
        <v>155.96</v>
      </c>
      <c r="J2740">
        <v>5</v>
      </c>
      <c r="K2740" s="2">
        <v>7.1959999999999997</v>
      </c>
      <c r="L2740" s="3">
        <f>(Table1[[#This Row],[Profit]]/Table1[[#This Row],[Sales]])*100</f>
        <v>4.6140035906642725</v>
      </c>
    </row>
    <row r="2741" spans="1:12" x14ac:dyDescent="0.3">
      <c r="A2741" t="s">
        <v>2336</v>
      </c>
      <c r="B2741" s="1">
        <v>43692</v>
      </c>
      <c r="C2741" t="s">
        <v>2337</v>
      </c>
      <c r="D2741" t="s">
        <v>2338</v>
      </c>
      <c r="E2741" t="s">
        <v>14</v>
      </c>
      <c r="F2741" t="s">
        <v>23</v>
      </c>
      <c r="G2741" t="s">
        <v>18</v>
      </c>
      <c r="H2741" t="s">
        <v>2339</v>
      </c>
      <c r="I2741" s="2">
        <v>71.975999999999999</v>
      </c>
      <c r="J2741">
        <v>3</v>
      </c>
      <c r="K2741" s="2">
        <v>7.1976000000000004</v>
      </c>
      <c r="L2741" s="3">
        <f>(Table1[[#This Row],[Profit]]/Table1[[#This Row],[Sales]])*100</f>
        <v>10</v>
      </c>
    </row>
    <row r="2742" spans="1:12" x14ac:dyDescent="0.3">
      <c r="A2742" t="s">
        <v>6092</v>
      </c>
      <c r="B2742" s="1">
        <v>44168</v>
      </c>
      <c r="C2742" t="s">
        <v>1235</v>
      </c>
      <c r="D2742" t="s">
        <v>1236</v>
      </c>
      <c r="E2742" t="s">
        <v>14</v>
      </c>
      <c r="F2742" t="s">
        <v>41</v>
      </c>
      <c r="G2742" t="s">
        <v>18</v>
      </c>
      <c r="H2742" t="s">
        <v>920</v>
      </c>
      <c r="I2742" s="2">
        <v>137.99199999999999</v>
      </c>
      <c r="J2742">
        <v>1</v>
      </c>
      <c r="K2742" s="2">
        <v>7.1988000000000003</v>
      </c>
      <c r="L2742" s="3">
        <f>(Table1[[#This Row],[Profit]]/Table1[[#This Row],[Sales]])*100</f>
        <v>5.216824163719636</v>
      </c>
    </row>
    <row r="2743" spans="1:12" x14ac:dyDescent="0.3">
      <c r="A2743" t="s">
        <v>6180</v>
      </c>
      <c r="B2743" s="1">
        <v>44178</v>
      </c>
      <c r="C2743" t="s">
        <v>3178</v>
      </c>
      <c r="D2743" t="s">
        <v>3179</v>
      </c>
      <c r="E2743" t="s">
        <v>14</v>
      </c>
      <c r="F2743" t="s">
        <v>15</v>
      </c>
      <c r="G2743" t="s">
        <v>16</v>
      </c>
      <c r="H2743" t="s">
        <v>292</v>
      </c>
      <c r="I2743" s="2">
        <v>241.976</v>
      </c>
      <c r="J2743">
        <v>3</v>
      </c>
      <c r="K2743" s="2">
        <v>7.1993999999999998</v>
      </c>
      <c r="L2743" s="3">
        <f>(Table1[[#This Row],[Profit]]/Table1[[#This Row],[Sales]])*100</f>
        <v>2.9752537441729756</v>
      </c>
    </row>
    <row r="2744" spans="1:12" x14ac:dyDescent="0.3">
      <c r="A2744" t="s">
        <v>4411</v>
      </c>
      <c r="B2744" s="1">
        <v>43925</v>
      </c>
      <c r="C2744" t="s">
        <v>4044</v>
      </c>
      <c r="D2744" t="s">
        <v>4045</v>
      </c>
      <c r="E2744" t="s">
        <v>14</v>
      </c>
      <c r="F2744" t="s">
        <v>15</v>
      </c>
      <c r="G2744" t="s">
        <v>24</v>
      </c>
      <c r="H2744" t="s">
        <v>882</v>
      </c>
      <c r="I2744" s="2">
        <v>254.37</v>
      </c>
      <c r="J2744">
        <v>1</v>
      </c>
      <c r="K2744" s="2">
        <v>7.2111000000000001</v>
      </c>
      <c r="L2744" s="3">
        <f>(Table1[[#This Row],[Profit]]/Table1[[#This Row],[Sales]])*100</f>
        <v>2.8348861894091284</v>
      </c>
    </row>
    <row r="2745" spans="1:12" x14ac:dyDescent="0.3">
      <c r="A2745" t="s">
        <v>5994</v>
      </c>
      <c r="B2745" s="1">
        <v>44158</v>
      </c>
      <c r="C2745" t="s">
        <v>143</v>
      </c>
      <c r="D2745" t="s">
        <v>144</v>
      </c>
      <c r="E2745" t="s">
        <v>14</v>
      </c>
      <c r="F2745" t="s">
        <v>15</v>
      </c>
      <c r="G2745" t="s">
        <v>16</v>
      </c>
      <c r="H2745" t="s">
        <v>1349</v>
      </c>
      <c r="I2745" s="2">
        <v>138.048</v>
      </c>
      <c r="J2745">
        <v>9</v>
      </c>
      <c r="K2745" s="2">
        <v>7.2144000000000004</v>
      </c>
      <c r="L2745" s="3">
        <f>(Table1[[#This Row],[Profit]]/Table1[[#This Row],[Sales]])*100</f>
        <v>5.2260083449235051</v>
      </c>
    </row>
    <row r="2746" spans="1:12" x14ac:dyDescent="0.3">
      <c r="A2746" t="s">
        <v>298</v>
      </c>
      <c r="B2746" s="1">
        <v>43501</v>
      </c>
      <c r="C2746" t="s">
        <v>299</v>
      </c>
      <c r="D2746" t="s">
        <v>300</v>
      </c>
      <c r="E2746" t="s">
        <v>14</v>
      </c>
      <c r="F2746" t="s">
        <v>23</v>
      </c>
      <c r="G2746" t="s">
        <v>24</v>
      </c>
      <c r="H2746" t="s">
        <v>301</v>
      </c>
      <c r="I2746" s="2">
        <v>14.73</v>
      </c>
      <c r="J2746">
        <v>3</v>
      </c>
      <c r="K2746" s="2">
        <v>7.2176999999999998</v>
      </c>
      <c r="L2746" s="3">
        <f>(Table1[[#This Row],[Profit]]/Table1[[#This Row],[Sales]])*100</f>
        <v>49</v>
      </c>
    </row>
    <row r="2747" spans="1:12" x14ac:dyDescent="0.3">
      <c r="A2747" t="s">
        <v>1463</v>
      </c>
      <c r="B2747" s="1">
        <v>43607</v>
      </c>
      <c r="C2747" t="s">
        <v>206</v>
      </c>
      <c r="D2747" t="s">
        <v>207</v>
      </c>
      <c r="E2747" t="s">
        <v>14</v>
      </c>
      <c r="F2747" t="s">
        <v>41</v>
      </c>
      <c r="G2747" t="s">
        <v>24</v>
      </c>
      <c r="H2747" t="s">
        <v>1171</v>
      </c>
      <c r="I2747" s="2">
        <v>14.73</v>
      </c>
      <c r="J2747">
        <v>3</v>
      </c>
      <c r="K2747" s="2">
        <v>7.2176999999999998</v>
      </c>
      <c r="L2747" s="3">
        <f>(Table1[[#This Row],[Profit]]/Table1[[#This Row],[Sales]])*100</f>
        <v>49</v>
      </c>
    </row>
    <row r="2748" spans="1:12" x14ac:dyDescent="0.3">
      <c r="A2748" t="s">
        <v>5632</v>
      </c>
      <c r="B2748" s="1">
        <v>44119</v>
      </c>
      <c r="C2748" t="s">
        <v>160</v>
      </c>
      <c r="D2748" t="s">
        <v>161</v>
      </c>
      <c r="E2748" t="s">
        <v>14</v>
      </c>
      <c r="F2748" t="s">
        <v>23</v>
      </c>
      <c r="G2748" t="s">
        <v>24</v>
      </c>
      <c r="H2748" t="s">
        <v>2253</v>
      </c>
      <c r="I2748" s="2">
        <v>108.73</v>
      </c>
      <c r="J2748">
        <v>3</v>
      </c>
      <c r="K2748" s="2">
        <v>7.2176999999999998</v>
      </c>
      <c r="L2748" s="3">
        <f>(Table1[[#This Row],[Profit]]/Table1[[#This Row],[Sales]])*100</f>
        <v>6.6381863331187336</v>
      </c>
    </row>
    <row r="2749" spans="1:12" x14ac:dyDescent="0.3">
      <c r="A2749" t="s">
        <v>5576</v>
      </c>
      <c r="B2749" s="1">
        <v>44109</v>
      </c>
      <c r="C2749" t="s">
        <v>3714</v>
      </c>
      <c r="D2749" t="s">
        <v>3715</v>
      </c>
      <c r="E2749" t="s">
        <v>14</v>
      </c>
      <c r="F2749" t="s">
        <v>23</v>
      </c>
      <c r="G2749" t="s">
        <v>24</v>
      </c>
      <c r="H2749" t="s">
        <v>4219</v>
      </c>
      <c r="I2749" s="2">
        <v>113.93600000000001</v>
      </c>
      <c r="J2749">
        <v>4</v>
      </c>
      <c r="K2749" s="2">
        <v>7.2267999999999999</v>
      </c>
      <c r="L2749" s="3">
        <f>(Table1[[#This Row],[Profit]]/Table1[[#This Row],[Sales]])*100</f>
        <v>6.3428591489959274</v>
      </c>
    </row>
    <row r="2750" spans="1:12" x14ac:dyDescent="0.3">
      <c r="A2750" t="s">
        <v>6162</v>
      </c>
      <c r="B2750" s="1">
        <v>44175</v>
      </c>
      <c r="C2750" t="s">
        <v>44</v>
      </c>
      <c r="D2750" t="s">
        <v>45</v>
      </c>
      <c r="E2750" t="s">
        <v>14</v>
      </c>
      <c r="F2750" t="s">
        <v>23</v>
      </c>
      <c r="G2750" t="s">
        <v>24</v>
      </c>
      <c r="H2750" t="s">
        <v>4219</v>
      </c>
      <c r="I2750" s="2">
        <v>429.93599999999998</v>
      </c>
      <c r="J2750">
        <v>4</v>
      </c>
      <c r="K2750" s="2">
        <v>7.2267999999999999</v>
      </c>
      <c r="L2750" s="3">
        <f>(Table1[[#This Row],[Profit]]/Table1[[#This Row],[Sales]])*100</f>
        <v>1.6809013434557702</v>
      </c>
    </row>
    <row r="2751" spans="1:12" x14ac:dyDescent="0.3">
      <c r="A2751" t="s">
        <v>3417</v>
      </c>
      <c r="B2751" s="1">
        <v>43782</v>
      </c>
      <c r="C2751" t="s">
        <v>1713</v>
      </c>
      <c r="D2751" t="s">
        <v>1714</v>
      </c>
      <c r="E2751" t="s">
        <v>14</v>
      </c>
      <c r="F2751" t="s">
        <v>23</v>
      </c>
      <c r="G2751" t="s">
        <v>16</v>
      </c>
      <c r="H2751" t="s">
        <v>1271</v>
      </c>
      <c r="I2751" s="2">
        <v>19.54</v>
      </c>
      <c r="J2751">
        <v>2</v>
      </c>
      <c r="K2751" s="2">
        <v>7.2298</v>
      </c>
      <c r="L2751" s="3">
        <f>(Table1[[#This Row],[Profit]]/Table1[[#This Row],[Sales]])*100</f>
        <v>37</v>
      </c>
    </row>
    <row r="2752" spans="1:12" x14ac:dyDescent="0.3">
      <c r="A2752" t="s">
        <v>2033</v>
      </c>
      <c r="B2752" s="1">
        <v>43660</v>
      </c>
      <c r="C2752" t="s">
        <v>2034</v>
      </c>
      <c r="D2752" t="s">
        <v>2035</v>
      </c>
      <c r="E2752" t="s">
        <v>14</v>
      </c>
      <c r="F2752" t="s">
        <v>41</v>
      </c>
      <c r="G2752" t="s">
        <v>18</v>
      </c>
      <c r="H2752" t="s">
        <v>2036</v>
      </c>
      <c r="I2752" s="2">
        <v>29</v>
      </c>
      <c r="J2752">
        <v>2</v>
      </c>
      <c r="K2752" s="2">
        <v>7.25</v>
      </c>
      <c r="L2752" s="3">
        <f>(Table1[[#This Row],[Profit]]/Table1[[#This Row],[Sales]])*100</f>
        <v>25</v>
      </c>
    </row>
    <row r="2753" spans="1:12" x14ac:dyDescent="0.3">
      <c r="A2753" t="s">
        <v>5348</v>
      </c>
      <c r="B2753" s="1">
        <v>44084</v>
      </c>
      <c r="C2753" t="s">
        <v>1559</v>
      </c>
      <c r="D2753" t="s">
        <v>1560</v>
      </c>
      <c r="E2753" t="s">
        <v>14</v>
      </c>
      <c r="F2753" t="s">
        <v>29</v>
      </c>
      <c r="G2753" t="s">
        <v>24</v>
      </c>
      <c r="H2753" t="s">
        <v>5358</v>
      </c>
      <c r="I2753" s="2">
        <v>104.18</v>
      </c>
      <c r="J2753">
        <v>2</v>
      </c>
      <c r="K2753" s="2">
        <v>7.2539999999999996</v>
      </c>
      <c r="L2753" s="3">
        <f>(Table1[[#This Row],[Profit]]/Table1[[#This Row],[Sales]])*100</f>
        <v>6.9629487425609513</v>
      </c>
    </row>
    <row r="2754" spans="1:12" x14ac:dyDescent="0.3">
      <c r="A2754" t="s">
        <v>722</v>
      </c>
      <c r="B2754" s="1">
        <v>43544</v>
      </c>
      <c r="C2754" t="s">
        <v>528</v>
      </c>
      <c r="D2754" t="s">
        <v>529</v>
      </c>
      <c r="E2754" t="s">
        <v>14</v>
      </c>
      <c r="F2754" t="s">
        <v>23</v>
      </c>
      <c r="G2754" t="s">
        <v>24</v>
      </c>
      <c r="H2754" t="s">
        <v>723</v>
      </c>
      <c r="I2754" s="2">
        <v>20.736000000000001</v>
      </c>
      <c r="J2754">
        <v>4</v>
      </c>
      <c r="K2754" s="2">
        <v>7.2576000000000001</v>
      </c>
      <c r="L2754" s="3">
        <f>(Table1[[#This Row],[Profit]]/Table1[[#This Row],[Sales]])*100</f>
        <v>35</v>
      </c>
    </row>
    <row r="2755" spans="1:12" x14ac:dyDescent="0.3">
      <c r="A2755" t="s">
        <v>2716</v>
      </c>
      <c r="B2755" s="1">
        <v>43719</v>
      </c>
      <c r="C2755" t="s">
        <v>1444</v>
      </c>
      <c r="D2755" t="s">
        <v>1445</v>
      </c>
      <c r="E2755" t="s">
        <v>14</v>
      </c>
      <c r="F2755" t="s">
        <v>23</v>
      </c>
      <c r="G2755" t="s">
        <v>24</v>
      </c>
      <c r="H2755" t="s">
        <v>2718</v>
      </c>
      <c r="I2755" s="2">
        <v>20.736000000000001</v>
      </c>
      <c r="J2755">
        <v>4</v>
      </c>
      <c r="K2755" s="2">
        <v>7.2576000000000001</v>
      </c>
      <c r="L2755" s="3">
        <f>(Table1[[#This Row],[Profit]]/Table1[[#This Row],[Sales]])*100</f>
        <v>35</v>
      </c>
    </row>
    <row r="2756" spans="1:12" x14ac:dyDescent="0.3">
      <c r="A2756" t="s">
        <v>4473</v>
      </c>
      <c r="B2756" s="1">
        <v>43936</v>
      </c>
      <c r="C2756" t="s">
        <v>2816</v>
      </c>
      <c r="D2756" t="s">
        <v>2817</v>
      </c>
      <c r="E2756" t="s">
        <v>14</v>
      </c>
      <c r="F2756" t="s">
        <v>29</v>
      </c>
      <c r="G2756" t="s">
        <v>24</v>
      </c>
      <c r="H2756" t="s">
        <v>4474</v>
      </c>
      <c r="I2756" s="2">
        <v>97.736000000000004</v>
      </c>
      <c r="J2756">
        <v>4</v>
      </c>
      <c r="K2756" s="2">
        <v>7.2576000000000001</v>
      </c>
      <c r="L2756" s="3">
        <f>(Table1[[#This Row],[Profit]]/Table1[[#This Row],[Sales]])*100</f>
        <v>7.4257182614389778</v>
      </c>
    </row>
    <row r="2757" spans="1:12" x14ac:dyDescent="0.3">
      <c r="A2757" t="s">
        <v>4490</v>
      </c>
      <c r="B2757" s="1">
        <v>43938</v>
      </c>
      <c r="C2757" t="s">
        <v>4491</v>
      </c>
      <c r="D2757" t="s">
        <v>4492</v>
      </c>
      <c r="E2757" t="s">
        <v>14</v>
      </c>
      <c r="F2757" t="s">
        <v>23</v>
      </c>
      <c r="G2757" t="s">
        <v>24</v>
      </c>
      <c r="H2757" t="s">
        <v>723</v>
      </c>
      <c r="I2757" s="2">
        <v>131.73599999999999</v>
      </c>
      <c r="J2757">
        <v>4</v>
      </c>
      <c r="K2757" s="2">
        <v>7.2576000000000001</v>
      </c>
      <c r="L2757" s="3">
        <f>(Table1[[#This Row],[Profit]]/Table1[[#This Row],[Sales]])*100</f>
        <v>5.509200218619057</v>
      </c>
    </row>
    <row r="2758" spans="1:12" x14ac:dyDescent="0.3">
      <c r="A2758" t="s">
        <v>4502</v>
      </c>
      <c r="B2758" s="1">
        <v>43942</v>
      </c>
      <c r="C2758" t="s">
        <v>4503</v>
      </c>
      <c r="D2758" t="s">
        <v>4504</v>
      </c>
      <c r="E2758" t="s">
        <v>14</v>
      </c>
      <c r="F2758" t="s">
        <v>29</v>
      </c>
      <c r="G2758" t="s">
        <v>24</v>
      </c>
      <c r="H2758" t="s">
        <v>1647</v>
      </c>
      <c r="I2758" s="2">
        <v>91.736000000000004</v>
      </c>
      <c r="J2758">
        <v>4</v>
      </c>
      <c r="K2758" s="2">
        <v>7.2576000000000001</v>
      </c>
      <c r="L2758" s="3">
        <f>(Table1[[#This Row],[Profit]]/Table1[[#This Row],[Sales]])*100</f>
        <v>7.9113979244789396</v>
      </c>
    </row>
    <row r="2759" spans="1:12" x14ac:dyDescent="0.3">
      <c r="A2759" t="s">
        <v>4779</v>
      </c>
      <c r="B2759" s="1">
        <v>43987</v>
      </c>
      <c r="C2759" t="s">
        <v>267</v>
      </c>
      <c r="D2759" t="s">
        <v>268</v>
      </c>
      <c r="E2759" t="s">
        <v>14</v>
      </c>
      <c r="F2759" t="s">
        <v>41</v>
      </c>
      <c r="G2759" t="s">
        <v>24</v>
      </c>
      <c r="H2759" t="s">
        <v>958</v>
      </c>
      <c r="I2759" s="2">
        <v>118.736</v>
      </c>
      <c r="J2759">
        <v>4</v>
      </c>
      <c r="K2759" s="2">
        <v>7.2576000000000001</v>
      </c>
      <c r="L2759" s="3">
        <f>(Table1[[#This Row],[Profit]]/Table1[[#This Row],[Sales]])*100</f>
        <v>6.112383775771459</v>
      </c>
    </row>
    <row r="2760" spans="1:12" x14ac:dyDescent="0.3">
      <c r="A2760" t="s">
        <v>5061</v>
      </c>
      <c r="B2760" s="1">
        <v>44037</v>
      </c>
      <c r="C2760" t="s">
        <v>2341</v>
      </c>
      <c r="D2760" t="s">
        <v>2342</v>
      </c>
      <c r="E2760" t="s">
        <v>14</v>
      </c>
      <c r="F2760" t="s">
        <v>15</v>
      </c>
      <c r="G2760" t="s">
        <v>24</v>
      </c>
      <c r="H2760" t="s">
        <v>2144</v>
      </c>
      <c r="I2760" s="2">
        <v>130.73599999999999</v>
      </c>
      <c r="J2760">
        <v>4</v>
      </c>
      <c r="K2760" s="2">
        <v>7.2576000000000001</v>
      </c>
      <c r="L2760" s="3">
        <f>(Table1[[#This Row],[Profit]]/Table1[[#This Row],[Sales]])*100</f>
        <v>5.5513401052502758</v>
      </c>
    </row>
    <row r="2761" spans="1:12" x14ac:dyDescent="0.3">
      <c r="A2761" t="s">
        <v>5139</v>
      </c>
      <c r="B2761" s="1">
        <v>44055</v>
      </c>
      <c r="C2761" t="s">
        <v>5140</v>
      </c>
      <c r="D2761" t="s">
        <v>5141</v>
      </c>
      <c r="E2761" t="s">
        <v>14</v>
      </c>
      <c r="F2761" t="s">
        <v>41</v>
      </c>
      <c r="G2761" t="s">
        <v>24</v>
      </c>
      <c r="H2761" t="s">
        <v>5142</v>
      </c>
      <c r="I2761" s="2">
        <v>150.73599999999999</v>
      </c>
      <c r="J2761">
        <v>4</v>
      </c>
      <c r="K2761" s="2">
        <v>7.2576000000000001</v>
      </c>
      <c r="L2761" s="3">
        <f>(Table1[[#This Row],[Profit]]/Table1[[#This Row],[Sales]])*100</f>
        <v>4.8147755015391152</v>
      </c>
    </row>
    <row r="2762" spans="1:12" x14ac:dyDescent="0.3">
      <c r="A2762" t="s">
        <v>5322</v>
      </c>
      <c r="B2762" s="1">
        <v>44082</v>
      </c>
      <c r="C2762" t="s">
        <v>1976</v>
      </c>
      <c r="D2762" t="s">
        <v>1977</v>
      </c>
      <c r="E2762" t="s">
        <v>14</v>
      </c>
      <c r="F2762" t="s">
        <v>29</v>
      </c>
      <c r="G2762" t="s">
        <v>24</v>
      </c>
      <c r="H2762" t="s">
        <v>5328</v>
      </c>
      <c r="I2762" s="2">
        <v>115.736</v>
      </c>
      <c r="J2762">
        <v>4</v>
      </c>
      <c r="K2762" s="2">
        <v>7.2576000000000001</v>
      </c>
      <c r="L2762" s="3">
        <f>(Table1[[#This Row],[Profit]]/Table1[[#This Row],[Sales]])*100</f>
        <v>6.2708232529204393</v>
      </c>
    </row>
    <row r="2763" spans="1:12" x14ac:dyDescent="0.3">
      <c r="A2763" t="s">
        <v>5420</v>
      </c>
      <c r="B2763" s="1">
        <v>44090</v>
      </c>
      <c r="C2763" t="s">
        <v>627</v>
      </c>
      <c r="D2763" t="s">
        <v>628</v>
      </c>
      <c r="E2763" t="s">
        <v>14</v>
      </c>
      <c r="F2763" t="s">
        <v>15</v>
      </c>
      <c r="G2763" t="s">
        <v>24</v>
      </c>
      <c r="H2763" t="s">
        <v>2156</v>
      </c>
      <c r="I2763" s="2">
        <v>109.736</v>
      </c>
      <c r="J2763">
        <v>4</v>
      </c>
      <c r="K2763" s="2">
        <v>7.2576000000000001</v>
      </c>
      <c r="L2763" s="3">
        <f>(Table1[[#This Row],[Profit]]/Table1[[#This Row],[Sales]])*100</f>
        <v>6.6136910403149365</v>
      </c>
    </row>
    <row r="2764" spans="1:12" x14ac:dyDescent="0.3">
      <c r="A2764" t="s">
        <v>5490</v>
      </c>
      <c r="B2764" s="1">
        <v>44097</v>
      </c>
      <c r="C2764" t="s">
        <v>443</v>
      </c>
      <c r="D2764" t="s">
        <v>444</v>
      </c>
      <c r="E2764" t="s">
        <v>14</v>
      </c>
      <c r="F2764" t="s">
        <v>29</v>
      </c>
      <c r="G2764" t="s">
        <v>24</v>
      </c>
      <c r="H2764" t="s">
        <v>1582</v>
      </c>
      <c r="I2764" s="2">
        <v>123.736</v>
      </c>
      <c r="J2764">
        <v>4</v>
      </c>
      <c r="K2764" s="2">
        <v>7.2576000000000001</v>
      </c>
      <c r="L2764" s="3">
        <f>(Table1[[#This Row],[Profit]]/Table1[[#This Row],[Sales]])*100</f>
        <v>5.8653908320941355</v>
      </c>
    </row>
    <row r="2765" spans="1:12" x14ac:dyDescent="0.3">
      <c r="A2765" t="s">
        <v>5558</v>
      </c>
      <c r="B2765" s="1">
        <v>44106</v>
      </c>
      <c r="C2765" t="s">
        <v>108</v>
      </c>
      <c r="D2765" t="s">
        <v>109</v>
      </c>
      <c r="E2765" t="s">
        <v>14</v>
      </c>
      <c r="F2765" t="s">
        <v>41</v>
      </c>
      <c r="G2765" t="s">
        <v>24</v>
      </c>
      <c r="H2765" t="s">
        <v>3332</v>
      </c>
      <c r="I2765" s="2">
        <v>146.73599999999999</v>
      </c>
      <c r="J2765">
        <v>4</v>
      </c>
      <c r="K2765" s="2">
        <v>7.2576000000000001</v>
      </c>
      <c r="L2765" s="3">
        <f>(Table1[[#This Row],[Profit]]/Table1[[#This Row],[Sales]])*100</f>
        <v>4.9460255152109918</v>
      </c>
    </row>
    <row r="2766" spans="1:12" x14ac:dyDescent="0.3">
      <c r="A2766" t="s">
        <v>5733</v>
      </c>
      <c r="B2766" s="1">
        <v>44134</v>
      </c>
      <c r="C2766" t="s">
        <v>3034</v>
      </c>
      <c r="D2766" t="s">
        <v>3035</v>
      </c>
      <c r="E2766" t="s">
        <v>14</v>
      </c>
      <c r="F2766" t="s">
        <v>15</v>
      </c>
      <c r="G2766" t="s">
        <v>24</v>
      </c>
      <c r="H2766" t="s">
        <v>2156</v>
      </c>
      <c r="I2766" s="2">
        <v>104.736</v>
      </c>
      <c r="J2766">
        <v>4</v>
      </c>
      <c r="K2766" s="2">
        <v>7.2576000000000001</v>
      </c>
      <c r="L2766" s="3">
        <f>(Table1[[#This Row],[Profit]]/Table1[[#This Row],[Sales]])*100</f>
        <v>6.9294225481209892</v>
      </c>
    </row>
    <row r="2767" spans="1:12" x14ac:dyDescent="0.3">
      <c r="A2767" t="s">
        <v>5933</v>
      </c>
      <c r="B2767" s="1">
        <v>44153</v>
      </c>
      <c r="C2767" t="s">
        <v>1750</v>
      </c>
      <c r="D2767" t="s">
        <v>1751</v>
      </c>
      <c r="E2767" t="s">
        <v>14</v>
      </c>
      <c r="F2767" t="s">
        <v>41</v>
      </c>
      <c r="G2767" t="s">
        <v>24</v>
      </c>
      <c r="H2767" t="s">
        <v>3772</v>
      </c>
      <c r="I2767" s="2">
        <v>147.73599999999999</v>
      </c>
      <c r="J2767">
        <v>4</v>
      </c>
      <c r="K2767" s="2">
        <v>7.2576000000000001</v>
      </c>
      <c r="L2767" s="3">
        <f>(Table1[[#This Row],[Profit]]/Table1[[#This Row],[Sales]])*100</f>
        <v>4.9125467049331251</v>
      </c>
    </row>
    <row r="2768" spans="1:12" x14ac:dyDescent="0.3">
      <c r="A2768" t="s">
        <v>1291</v>
      </c>
      <c r="B2768" s="1">
        <v>43593</v>
      </c>
      <c r="C2768" t="s">
        <v>1292</v>
      </c>
      <c r="D2768" t="s">
        <v>1293</v>
      </c>
      <c r="E2768" t="s">
        <v>14</v>
      </c>
      <c r="F2768" t="s">
        <v>15</v>
      </c>
      <c r="G2768" t="s">
        <v>18</v>
      </c>
      <c r="H2768" t="s">
        <v>1297</v>
      </c>
      <c r="I2768" s="2">
        <v>58.112000000000002</v>
      </c>
      <c r="J2768">
        <v>2</v>
      </c>
      <c r="K2768" s="2">
        <v>7.2640000000000002</v>
      </c>
      <c r="L2768" s="3">
        <f>(Table1[[#This Row],[Profit]]/Table1[[#This Row],[Sales]])*100</f>
        <v>12.5</v>
      </c>
    </row>
    <row r="2769" spans="1:12" x14ac:dyDescent="0.3">
      <c r="A2769" t="s">
        <v>3950</v>
      </c>
      <c r="B2769" s="1">
        <v>43828</v>
      </c>
      <c r="C2769" t="s">
        <v>3223</v>
      </c>
      <c r="D2769" t="s">
        <v>3224</v>
      </c>
      <c r="E2769" t="s">
        <v>14</v>
      </c>
      <c r="F2769" t="s">
        <v>23</v>
      </c>
      <c r="G2769" t="s">
        <v>24</v>
      </c>
      <c r="H2769" t="s">
        <v>3951</v>
      </c>
      <c r="I2769" s="2">
        <v>27.96</v>
      </c>
      <c r="J2769">
        <v>2</v>
      </c>
      <c r="K2769" s="2">
        <v>7.2695999999999996</v>
      </c>
      <c r="L2769" s="3">
        <f>(Table1[[#This Row],[Profit]]/Table1[[#This Row],[Sales]])*100</f>
        <v>25.999999999999996</v>
      </c>
    </row>
    <row r="2770" spans="1:12" x14ac:dyDescent="0.3">
      <c r="A2770" t="s">
        <v>4863</v>
      </c>
      <c r="B2770" s="1">
        <v>44001</v>
      </c>
      <c r="C2770" t="s">
        <v>1898</v>
      </c>
      <c r="D2770" t="s">
        <v>1899</v>
      </c>
      <c r="E2770" t="s">
        <v>14</v>
      </c>
      <c r="F2770" t="s">
        <v>15</v>
      </c>
      <c r="G2770" t="s">
        <v>16</v>
      </c>
      <c r="H2770" t="s">
        <v>3039</v>
      </c>
      <c r="I2770" s="2">
        <v>143.78399999999999</v>
      </c>
      <c r="J2770">
        <v>3</v>
      </c>
      <c r="K2770" s="2">
        <v>7.2720000000000002</v>
      </c>
      <c r="L2770" s="3">
        <f>(Table1[[#This Row],[Profit]]/Table1[[#This Row],[Sales]])*100</f>
        <v>5.0575863795693543</v>
      </c>
    </row>
    <row r="2771" spans="1:12" x14ac:dyDescent="0.3">
      <c r="A2771" t="s">
        <v>5299</v>
      </c>
      <c r="B2771" s="1">
        <v>44081</v>
      </c>
      <c r="C2771" t="s">
        <v>1894</v>
      </c>
      <c r="D2771" t="s">
        <v>1895</v>
      </c>
      <c r="E2771" t="s">
        <v>14</v>
      </c>
      <c r="F2771" t="s">
        <v>23</v>
      </c>
      <c r="G2771" t="s">
        <v>24</v>
      </c>
      <c r="H2771" t="s">
        <v>4825</v>
      </c>
      <c r="I2771" s="2">
        <v>138.97999999999999</v>
      </c>
      <c r="J2771">
        <v>1</v>
      </c>
      <c r="K2771" s="2">
        <v>7.2744</v>
      </c>
      <c r="L2771" s="3">
        <f>(Table1[[#This Row],[Profit]]/Table1[[#This Row],[Sales]])*100</f>
        <v>5.2341344078284644</v>
      </c>
    </row>
    <row r="2772" spans="1:12" x14ac:dyDescent="0.3">
      <c r="A2772" t="s">
        <v>4572</v>
      </c>
      <c r="B2772" s="1">
        <v>43954</v>
      </c>
      <c r="C2772" t="s">
        <v>34</v>
      </c>
      <c r="D2772" t="s">
        <v>35</v>
      </c>
      <c r="E2772" t="s">
        <v>14</v>
      </c>
      <c r="F2772" t="s">
        <v>15</v>
      </c>
      <c r="G2772" t="s">
        <v>16</v>
      </c>
      <c r="H2772" t="s">
        <v>4345</v>
      </c>
      <c r="I2772" s="2">
        <v>149.44800000000001</v>
      </c>
      <c r="J2772">
        <v>2</v>
      </c>
      <c r="K2772" s="2">
        <v>7.3007999999999997</v>
      </c>
      <c r="L2772" s="3">
        <f>(Table1[[#This Row],[Profit]]/Table1[[#This Row],[Sales]])*100</f>
        <v>4.8851774530271399</v>
      </c>
    </row>
    <row r="2773" spans="1:12" x14ac:dyDescent="0.3">
      <c r="A2773" t="s">
        <v>3688</v>
      </c>
      <c r="B2773" s="1">
        <v>43802</v>
      </c>
      <c r="C2773" t="s">
        <v>1330</v>
      </c>
      <c r="D2773" t="s">
        <v>1331</v>
      </c>
      <c r="E2773" t="s">
        <v>14</v>
      </c>
      <c r="F2773" t="s">
        <v>23</v>
      </c>
      <c r="G2773" t="s">
        <v>24</v>
      </c>
      <c r="H2773" t="s">
        <v>512</v>
      </c>
      <c r="I2773" s="2">
        <v>48.72</v>
      </c>
      <c r="J2773">
        <v>3</v>
      </c>
      <c r="K2773" s="2">
        <v>7.3079999999999998</v>
      </c>
      <c r="L2773" s="3">
        <f>(Table1[[#This Row],[Profit]]/Table1[[#This Row],[Sales]])*100</f>
        <v>15</v>
      </c>
    </row>
    <row r="2774" spans="1:12" x14ac:dyDescent="0.3">
      <c r="A2774" t="s">
        <v>4636</v>
      </c>
      <c r="B2774" s="1">
        <v>43964</v>
      </c>
      <c r="C2774" t="s">
        <v>2950</v>
      </c>
      <c r="D2774" t="s">
        <v>2951</v>
      </c>
      <c r="E2774" t="s">
        <v>14</v>
      </c>
      <c r="F2774" t="s">
        <v>29</v>
      </c>
      <c r="G2774" t="s">
        <v>24</v>
      </c>
      <c r="H2774" t="s">
        <v>4640</v>
      </c>
      <c r="I2774" s="2">
        <v>88.94</v>
      </c>
      <c r="J2774">
        <v>3</v>
      </c>
      <c r="K2774" s="2">
        <v>7.3205999999999998</v>
      </c>
      <c r="L2774" s="3">
        <f>(Table1[[#This Row],[Profit]]/Table1[[#This Row],[Sales]])*100</f>
        <v>8.2309422082302675</v>
      </c>
    </row>
    <row r="2775" spans="1:12" x14ac:dyDescent="0.3">
      <c r="A2775" t="s">
        <v>4163</v>
      </c>
      <c r="B2775" s="1">
        <v>43881</v>
      </c>
      <c r="C2775" t="s">
        <v>2359</v>
      </c>
      <c r="D2775" t="s">
        <v>2360</v>
      </c>
      <c r="E2775" t="s">
        <v>14</v>
      </c>
      <c r="F2775" t="s">
        <v>23</v>
      </c>
      <c r="G2775" t="s">
        <v>16</v>
      </c>
      <c r="H2775" t="s">
        <v>382</v>
      </c>
      <c r="I2775" s="2">
        <v>115.23</v>
      </c>
      <c r="J2775">
        <v>1</v>
      </c>
      <c r="K2775" s="2">
        <v>7.3358999999999996</v>
      </c>
      <c r="L2775" s="3">
        <f>(Table1[[#This Row],[Profit]]/Table1[[#This Row],[Sales]])*100</f>
        <v>6.3663108565477726</v>
      </c>
    </row>
    <row r="2776" spans="1:12" x14ac:dyDescent="0.3">
      <c r="A2776" t="s">
        <v>4017</v>
      </c>
      <c r="B2776" s="1">
        <v>43844</v>
      </c>
      <c r="C2776" t="s">
        <v>1179</v>
      </c>
      <c r="D2776" t="s">
        <v>1180</v>
      </c>
      <c r="E2776" t="s">
        <v>14</v>
      </c>
      <c r="F2776" t="s">
        <v>41</v>
      </c>
      <c r="G2776" t="s">
        <v>24</v>
      </c>
      <c r="H2776" t="s">
        <v>2246</v>
      </c>
      <c r="I2776" s="2">
        <v>114.744</v>
      </c>
      <c r="J2776">
        <v>1</v>
      </c>
      <c r="K2776" s="2">
        <v>7.3385999999999996</v>
      </c>
      <c r="L2776" s="3">
        <f>(Table1[[#This Row],[Profit]]/Table1[[#This Row],[Sales]])*100</f>
        <v>6.3956285295963182</v>
      </c>
    </row>
    <row r="2777" spans="1:12" x14ac:dyDescent="0.3">
      <c r="A2777" t="s">
        <v>4137</v>
      </c>
      <c r="B2777" s="1">
        <v>43877</v>
      </c>
      <c r="C2777" t="s">
        <v>4138</v>
      </c>
      <c r="D2777" t="s">
        <v>4139</v>
      </c>
      <c r="E2777" t="s">
        <v>14</v>
      </c>
      <c r="F2777" t="s">
        <v>15</v>
      </c>
      <c r="G2777" t="s">
        <v>18</v>
      </c>
      <c r="H2777" t="s">
        <v>2670</v>
      </c>
      <c r="I2777" s="2">
        <v>850.99</v>
      </c>
      <c r="J2777">
        <v>1</v>
      </c>
      <c r="K2777" s="2">
        <v>7.3451000000000004</v>
      </c>
      <c r="L2777" s="3">
        <f>(Table1[[#This Row],[Profit]]/Table1[[#This Row],[Sales]])*100</f>
        <v>0.86312412601793209</v>
      </c>
    </row>
    <row r="2778" spans="1:12" x14ac:dyDescent="0.3">
      <c r="A2778" t="s">
        <v>632</v>
      </c>
      <c r="B2778" s="1">
        <v>43537</v>
      </c>
      <c r="C2778" t="s">
        <v>633</v>
      </c>
      <c r="D2778" t="s">
        <v>634</v>
      </c>
      <c r="E2778" t="s">
        <v>14</v>
      </c>
      <c r="F2778" t="s">
        <v>23</v>
      </c>
      <c r="G2778" t="s">
        <v>16</v>
      </c>
      <c r="H2778" t="s">
        <v>635</v>
      </c>
      <c r="I2778" s="2">
        <v>28.28</v>
      </c>
      <c r="J2778">
        <v>2</v>
      </c>
      <c r="K2778" s="2">
        <v>7.3528000000000002</v>
      </c>
      <c r="L2778" s="3">
        <f>(Table1[[#This Row],[Profit]]/Table1[[#This Row],[Sales]])*100</f>
        <v>26</v>
      </c>
    </row>
    <row r="2779" spans="1:12" x14ac:dyDescent="0.3">
      <c r="A2779" t="s">
        <v>5998</v>
      </c>
      <c r="B2779" s="1">
        <v>44159</v>
      </c>
      <c r="C2779" t="s">
        <v>3942</v>
      </c>
      <c r="D2779" t="s">
        <v>3943</v>
      </c>
      <c r="E2779" t="s">
        <v>14</v>
      </c>
      <c r="F2779" t="s">
        <v>15</v>
      </c>
      <c r="G2779" t="s">
        <v>24</v>
      </c>
      <c r="H2779" t="s">
        <v>2717</v>
      </c>
      <c r="I2779" s="2">
        <v>128.38</v>
      </c>
      <c r="J2779">
        <v>9</v>
      </c>
      <c r="K2779" s="2">
        <v>7.3710000000000004</v>
      </c>
      <c r="L2779" s="3">
        <f>(Table1[[#This Row],[Profit]]/Table1[[#This Row],[Sales]])*100</f>
        <v>5.7415485278080709</v>
      </c>
    </row>
    <row r="2780" spans="1:12" x14ac:dyDescent="0.3">
      <c r="A2780" t="s">
        <v>3865</v>
      </c>
      <c r="B2780" s="1">
        <v>43819</v>
      </c>
      <c r="C2780" t="s">
        <v>1869</v>
      </c>
      <c r="D2780" t="s">
        <v>1870</v>
      </c>
      <c r="E2780" t="s">
        <v>14</v>
      </c>
      <c r="F2780" t="s">
        <v>41</v>
      </c>
      <c r="G2780" t="s">
        <v>16</v>
      </c>
      <c r="H2780" t="s">
        <v>2723</v>
      </c>
      <c r="I2780" s="2">
        <v>18.920000000000002</v>
      </c>
      <c r="J2780">
        <v>4</v>
      </c>
      <c r="K2780" s="2">
        <v>7.3788</v>
      </c>
      <c r="L2780" s="3">
        <f>(Table1[[#This Row],[Profit]]/Table1[[#This Row],[Sales]])*100</f>
        <v>38.999999999999993</v>
      </c>
    </row>
    <row r="2781" spans="1:12" x14ac:dyDescent="0.3">
      <c r="A2781" t="s">
        <v>3350</v>
      </c>
      <c r="B2781" s="1">
        <v>43779</v>
      </c>
      <c r="C2781" t="s">
        <v>1456</v>
      </c>
      <c r="D2781" t="s">
        <v>1457</v>
      </c>
      <c r="E2781" t="s">
        <v>14</v>
      </c>
      <c r="F2781" t="s">
        <v>15</v>
      </c>
      <c r="G2781" t="s">
        <v>24</v>
      </c>
      <c r="H2781" t="s">
        <v>3201</v>
      </c>
      <c r="I2781" s="2">
        <v>20.367999999999999</v>
      </c>
      <c r="J2781">
        <v>1</v>
      </c>
      <c r="K2781" s="2">
        <v>7.3834</v>
      </c>
      <c r="L2781" s="3">
        <f>(Table1[[#This Row],[Profit]]/Table1[[#This Row],[Sales]])*100</f>
        <v>36.250000000000007</v>
      </c>
    </row>
    <row r="2782" spans="1:12" x14ac:dyDescent="0.3">
      <c r="A2782" t="s">
        <v>1539</v>
      </c>
      <c r="B2782" s="1">
        <v>43613</v>
      </c>
      <c r="C2782" t="s">
        <v>1292</v>
      </c>
      <c r="D2782" t="s">
        <v>1293</v>
      </c>
      <c r="E2782" t="s">
        <v>14</v>
      </c>
      <c r="F2782" t="s">
        <v>23</v>
      </c>
      <c r="G2782" t="s">
        <v>24</v>
      </c>
      <c r="H2782" t="s">
        <v>782</v>
      </c>
      <c r="I2782" s="2">
        <v>22.72</v>
      </c>
      <c r="J2782">
        <v>4</v>
      </c>
      <c r="K2782" s="2">
        <v>7.3840000000000003</v>
      </c>
      <c r="L2782" s="3">
        <f>(Table1[[#This Row],[Profit]]/Table1[[#This Row],[Sales]])*100</f>
        <v>32.5</v>
      </c>
    </row>
    <row r="2783" spans="1:12" x14ac:dyDescent="0.3">
      <c r="A2783" t="s">
        <v>5117</v>
      </c>
      <c r="B2783" s="1">
        <v>44049</v>
      </c>
      <c r="C2783" t="s">
        <v>1698</v>
      </c>
      <c r="D2783" t="s">
        <v>1699</v>
      </c>
      <c r="E2783" t="s">
        <v>14</v>
      </c>
      <c r="F2783" t="s">
        <v>41</v>
      </c>
      <c r="G2783" t="s">
        <v>16</v>
      </c>
      <c r="H2783" t="s">
        <v>3070</v>
      </c>
      <c r="I2783" s="2">
        <v>120.4</v>
      </c>
      <c r="J2783">
        <v>5</v>
      </c>
      <c r="K2783" s="2">
        <v>7.3920000000000003</v>
      </c>
      <c r="L2783" s="3">
        <f>(Table1[[#This Row],[Profit]]/Table1[[#This Row],[Sales]])*100</f>
        <v>6.1395348837209305</v>
      </c>
    </row>
    <row r="2784" spans="1:12" x14ac:dyDescent="0.3">
      <c r="A2784" t="s">
        <v>3931</v>
      </c>
      <c r="B2784" s="1">
        <v>43826</v>
      </c>
      <c r="C2784" t="s">
        <v>2182</v>
      </c>
      <c r="D2784" t="s">
        <v>2183</v>
      </c>
      <c r="E2784" t="s">
        <v>14</v>
      </c>
      <c r="F2784" t="s">
        <v>29</v>
      </c>
      <c r="G2784" t="s">
        <v>24</v>
      </c>
      <c r="H2784" t="s">
        <v>3932</v>
      </c>
      <c r="I2784" s="2">
        <v>23.68</v>
      </c>
      <c r="J2784">
        <v>4</v>
      </c>
      <c r="K2784" s="2">
        <v>7.4</v>
      </c>
      <c r="L2784" s="3">
        <f>(Table1[[#This Row],[Profit]]/Table1[[#This Row],[Sales]])*100</f>
        <v>31.25</v>
      </c>
    </row>
    <row r="2785" spans="1:12" x14ac:dyDescent="0.3">
      <c r="A2785" t="s">
        <v>5651</v>
      </c>
      <c r="B2785" s="1">
        <v>44123</v>
      </c>
      <c r="C2785" t="s">
        <v>1347</v>
      </c>
      <c r="D2785" t="s">
        <v>1348</v>
      </c>
      <c r="E2785" t="s">
        <v>14</v>
      </c>
      <c r="F2785" t="s">
        <v>15</v>
      </c>
      <c r="G2785" t="s">
        <v>24</v>
      </c>
      <c r="H2785" t="s">
        <v>3932</v>
      </c>
      <c r="I2785" s="2">
        <v>135.68</v>
      </c>
      <c r="J2785">
        <v>4</v>
      </c>
      <c r="K2785" s="2">
        <v>7.4</v>
      </c>
      <c r="L2785" s="3">
        <f>(Table1[[#This Row],[Profit]]/Table1[[#This Row],[Sales]])*100</f>
        <v>5.4540094339622636</v>
      </c>
    </row>
    <row r="2786" spans="1:12" x14ac:dyDescent="0.3">
      <c r="A2786" t="s">
        <v>3918</v>
      </c>
      <c r="B2786" s="1">
        <v>43825</v>
      </c>
      <c r="C2786" t="s">
        <v>3373</v>
      </c>
      <c r="D2786" t="s">
        <v>3374</v>
      </c>
      <c r="E2786" t="s">
        <v>14</v>
      </c>
      <c r="F2786" t="s">
        <v>15</v>
      </c>
      <c r="G2786" t="s">
        <v>24</v>
      </c>
      <c r="H2786" t="s">
        <v>3568</v>
      </c>
      <c r="I2786" s="2">
        <v>26.49</v>
      </c>
      <c r="J2786">
        <v>1</v>
      </c>
      <c r="K2786" s="2">
        <v>7.4172000000000002</v>
      </c>
      <c r="L2786" s="3">
        <f>(Table1[[#This Row],[Profit]]/Table1[[#This Row],[Sales]])*100</f>
        <v>28.000000000000004</v>
      </c>
    </row>
    <row r="2787" spans="1:12" x14ac:dyDescent="0.3">
      <c r="A2787" t="s">
        <v>4583</v>
      </c>
      <c r="B2787" s="1">
        <v>43956</v>
      </c>
      <c r="C2787" t="s">
        <v>3257</v>
      </c>
      <c r="D2787" t="s">
        <v>3258</v>
      </c>
      <c r="E2787" t="s">
        <v>14</v>
      </c>
      <c r="F2787" t="s">
        <v>23</v>
      </c>
      <c r="G2787" t="s">
        <v>24</v>
      </c>
      <c r="H2787" t="s">
        <v>1586</v>
      </c>
      <c r="I2787" s="2">
        <v>147.24</v>
      </c>
      <c r="J2787">
        <v>9</v>
      </c>
      <c r="K2787" s="2">
        <v>7.4340000000000002</v>
      </c>
      <c r="L2787" s="3">
        <f>(Table1[[#This Row],[Profit]]/Table1[[#This Row],[Sales]])*100</f>
        <v>5.0488997555012221</v>
      </c>
    </row>
    <row r="2788" spans="1:12" x14ac:dyDescent="0.3">
      <c r="A2788" t="s">
        <v>5522</v>
      </c>
      <c r="B2788" s="1">
        <v>44103</v>
      </c>
      <c r="C2788" t="s">
        <v>4784</v>
      </c>
      <c r="D2788" t="s">
        <v>4785</v>
      </c>
      <c r="E2788" t="s">
        <v>14</v>
      </c>
      <c r="F2788" t="s">
        <v>15</v>
      </c>
      <c r="G2788" t="s">
        <v>16</v>
      </c>
      <c r="H2788" t="s">
        <v>2856</v>
      </c>
      <c r="I2788" s="2">
        <v>111.248</v>
      </c>
      <c r="J2788">
        <v>4</v>
      </c>
      <c r="K2788" s="2">
        <v>7.4367999999999999</v>
      </c>
      <c r="L2788" s="3">
        <f>(Table1[[#This Row],[Profit]]/Table1[[#This Row],[Sales]])*100</f>
        <v>6.6848842226377103</v>
      </c>
    </row>
    <row r="2789" spans="1:12" x14ac:dyDescent="0.3">
      <c r="A2789" t="s">
        <v>870</v>
      </c>
      <c r="B2789" s="1">
        <v>43559</v>
      </c>
      <c r="C2789" t="s">
        <v>871</v>
      </c>
      <c r="D2789" t="s">
        <v>872</v>
      </c>
      <c r="E2789" t="s">
        <v>14</v>
      </c>
      <c r="F2789" t="s">
        <v>15</v>
      </c>
      <c r="G2789" t="s">
        <v>16</v>
      </c>
      <c r="H2789" t="s">
        <v>307</v>
      </c>
      <c r="I2789" s="2">
        <v>82.64</v>
      </c>
      <c r="J2789">
        <v>2</v>
      </c>
      <c r="K2789" s="2">
        <v>7.4375999999999998</v>
      </c>
      <c r="L2789" s="3">
        <f>(Table1[[#This Row],[Profit]]/Table1[[#This Row],[Sales]])*100</f>
        <v>9</v>
      </c>
    </row>
    <row r="2790" spans="1:12" x14ac:dyDescent="0.3">
      <c r="A2790" t="s">
        <v>3783</v>
      </c>
      <c r="B2790" s="1">
        <v>43810</v>
      </c>
      <c r="C2790" t="s">
        <v>21</v>
      </c>
      <c r="D2790" t="s">
        <v>22</v>
      </c>
      <c r="E2790" t="s">
        <v>14</v>
      </c>
      <c r="F2790" t="s">
        <v>41</v>
      </c>
      <c r="G2790" t="s">
        <v>24</v>
      </c>
      <c r="H2790" t="s">
        <v>2106</v>
      </c>
      <c r="I2790" s="2">
        <v>85.224000000000004</v>
      </c>
      <c r="J2790">
        <v>3</v>
      </c>
      <c r="K2790" s="2">
        <v>7.4570999999999996</v>
      </c>
      <c r="L2790" s="3">
        <f>(Table1[[#This Row],[Profit]]/Table1[[#This Row],[Sales]])*100</f>
        <v>8.75</v>
      </c>
    </row>
    <row r="2791" spans="1:12" x14ac:dyDescent="0.3">
      <c r="A2791" t="s">
        <v>4600</v>
      </c>
      <c r="B2791" s="1">
        <v>43958</v>
      </c>
      <c r="C2791" t="s">
        <v>4601</v>
      </c>
      <c r="D2791" t="s">
        <v>4602</v>
      </c>
      <c r="E2791" t="s">
        <v>14</v>
      </c>
      <c r="F2791" t="s">
        <v>29</v>
      </c>
      <c r="G2791" t="s">
        <v>16</v>
      </c>
      <c r="H2791" t="s">
        <v>4604</v>
      </c>
      <c r="I2791" s="2">
        <v>131.63999999999999</v>
      </c>
      <c r="J2791">
        <v>1</v>
      </c>
      <c r="K2791" s="2">
        <v>7.4592000000000001</v>
      </c>
      <c r="L2791" s="3">
        <f>(Table1[[#This Row],[Profit]]/Table1[[#This Row],[Sales]])*100</f>
        <v>5.6663628076572481</v>
      </c>
    </row>
    <row r="2792" spans="1:12" x14ac:dyDescent="0.3">
      <c r="A2792" t="s">
        <v>5108</v>
      </c>
      <c r="B2792" s="1">
        <v>44046</v>
      </c>
      <c r="C2792" t="s">
        <v>257</v>
      </c>
      <c r="D2792" t="s">
        <v>258</v>
      </c>
      <c r="E2792" t="s">
        <v>14</v>
      </c>
      <c r="F2792" t="s">
        <v>29</v>
      </c>
      <c r="G2792" t="s">
        <v>18</v>
      </c>
      <c r="H2792" t="s">
        <v>3239</v>
      </c>
      <c r="I2792" s="2">
        <v>141.816</v>
      </c>
      <c r="J2792">
        <v>3</v>
      </c>
      <c r="K2792" s="2">
        <v>7.4654999999999996</v>
      </c>
      <c r="L2792" s="3">
        <f>(Table1[[#This Row],[Profit]]/Table1[[#This Row],[Sales]])*100</f>
        <v>5.2642156033169742</v>
      </c>
    </row>
    <row r="2793" spans="1:12" x14ac:dyDescent="0.3">
      <c r="A2793" t="s">
        <v>1247</v>
      </c>
      <c r="B2793" s="1">
        <v>43590</v>
      </c>
      <c r="C2793" t="s">
        <v>1248</v>
      </c>
      <c r="D2793" t="s">
        <v>1249</v>
      </c>
      <c r="E2793" t="s">
        <v>14</v>
      </c>
      <c r="F2793" t="s">
        <v>23</v>
      </c>
      <c r="G2793" t="s">
        <v>16</v>
      </c>
      <c r="H2793" t="s">
        <v>1251</v>
      </c>
      <c r="I2793" s="2">
        <v>298.77600000000001</v>
      </c>
      <c r="J2793">
        <v>3</v>
      </c>
      <c r="K2793" s="2">
        <v>7.4694000000000003</v>
      </c>
      <c r="L2793" s="3">
        <f>(Table1[[#This Row],[Profit]]/Table1[[#This Row],[Sales]])*100</f>
        <v>2.5</v>
      </c>
    </row>
    <row r="2794" spans="1:12" x14ac:dyDescent="0.3">
      <c r="A2794" t="s">
        <v>335</v>
      </c>
      <c r="B2794" s="1">
        <v>43508</v>
      </c>
      <c r="C2794" t="s">
        <v>336</v>
      </c>
      <c r="D2794" t="s">
        <v>337</v>
      </c>
      <c r="E2794" t="s">
        <v>14</v>
      </c>
      <c r="F2794" t="s">
        <v>41</v>
      </c>
      <c r="G2794" t="s">
        <v>24</v>
      </c>
      <c r="H2794" t="s">
        <v>339</v>
      </c>
      <c r="I2794" s="2">
        <v>15.92</v>
      </c>
      <c r="J2794">
        <v>4</v>
      </c>
      <c r="K2794" s="2">
        <v>7.4824000000000002</v>
      </c>
      <c r="L2794" s="3">
        <f>(Table1[[#This Row],[Profit]]/Table1[[#This Row],[Sales]])*100</f>
        <v>47</v>
      </c>
    </row>
    <row r="2795" spans="1:12" x14ac:dyDescent="0.3">
      <c r="A2795" t="s">
        <v>6053</v>
      </c>
      <c r="B2795" s="1">
        <v>44166</v>
      </c>
      <c r="C2795" t="s">
        <v>2616</v>
      </c>
      <c r="D2795" t="s">
        <v>2617</v>
      </c>
      <c r="E2795" t="s">
        <v>14</v>
      </c>
      <c r="F2795" t="s">
        <v>29</v>
      </c>
      <c r="G2795" t="s">
        <v>24</v>
      </c>
      <c r="H2795" t="s">
        <v>339</v>
      </c>
      <c r="I2795" s="2">
        <v>134.91999999999999</v>
      </c>
      <c r="J2795">
        <v>4</v>
      </c>
      <c r="K2795" s="2">
        <v>7.4824000000000002</v>
      </c>
      <c r="L2795" s="3">
        <f>(Table1[[#This Row],[Profit]]/Table1[[#This Row],[Sales]])*100</f>
        <v>5.5458049214349252</v>
      </c>
    </row>
    <row r="2796" spans="1:12" x14ac:dyDescent="0.3">
      <c r="A2796" t="s">
        <v>6141</v>
      </c>
      <c r="B2796" s="1">
        <v>44174</v>
      </c>
      <c r="C2796" t="s">
        <v>1183</v>
      </c>
      <c r="D2796" t="s">
        <v>1184</v>
      </c>
      <c r="E2796" t="s">
        <v>14</v>
      </c>
      <c r="F2796" t="s">
        <v>41</v>
      </c>
      <c r="G2796" t="s">
        <v>24</v>
      </c>
      <c r="H2796" t="s">
        <v>339</v>
      </c>
      <c r="I2796" s="2">
        <v>135.91999999999999</v>
      </c>
      <c r="J2796">
        <v>4</v>
      </c>
      <c r="K2796" s="2">
        <v>7.4824000000000002</v>
      </c>
      <c r="L2796" s="3">
        <f>(Table1[[#This Row],[Profit]]/Table1[[#This Row],[Sales]])*100</f>
        <v>5.5050029429075931</v>
      </c>
    </row>
    <row r="2797" spans="1:12" x14ac:dyDescent="0.3">
      <c r="A2797" t="s">
        <v>5198</v>
      </c>
      <c r="B2797" s="1">
        <v>44064</v>
      </c>
      <c r="C2797" t="s">
        <v>380</v>
      </c>
      <c r="D2797" t="s">
        <v>381</v>
      </c>
      <c r="E2797" t="s">
        <v>14</v>
      </c>
      <c r="F2797" t="s">
        <v>29</v>
      </c>
      <c r="G2797" t="s">
        <v>24</v>
      </c>
      <c r="H2797" t="s">
        <v>609</v>
      </c>
      <c r="I2797" s="2">
        <v>91.28</v>
      </c>
      <c r="J2797">
        <v>2</v>
      </c>
      <c r="K2797" s="2">
        <v>7.4871999999999996</v>
      </c>
      <c r="L2797" s="3">
        <f>(Table1[[#This Row],[Profit]]/Table1[[#This Row],[Sales]])*100</f>
        <v>8.2024539877300615</v>
      </c>
    </row>
    <row r="2798" spans="1:12" x14ac:dyDescent="0.3">
      <c r="A2798" t="s">
        <v>5802</v>
      </c>
      <c r="B2798" s="1">
        <v>44141</v>
      </c>
      <c r="C2798" t="s">
        <v>528</v>
      </c>
      <c r="D2798" t="s">
        <v>529</v>
      </c>
      <c r="E2798" t="s">
        <v>14</v>
      </c>
      <c r="F2798" t="s">
        <v>23</v>
      </c>
      <c r="G2798" t="s">
        <v>24</v>
      </c>
      <c r="H2798" t="s">
        <v>3651</v>
      </c>
      <c r="I2798" s="2">
        <v>116.28</v>
      </c>
      <c r="J2798">
        <v>2</v>
      </c>
      <c r="K2798" s="2">
        <v>7.4871999999999996</v>
      </c>
      <c r="L2798" s="3">
        <f>(Table1[[#This Row],[Profit]]/Table1[[#This Row],[Sales]])*100</f>
        <v>6.4389404884760912</v>
      </c>
    </row>
    <row r="2799" spans="1:12" x14ac:dyDescent="0.3">
      <c r="A2799" t="s">
        <v>5901</v>
      </c>
      <c r="B2799" s="1">
        <v>44149</v>
      </c>
      <c r="C2799" t="s">
        <v>1726</v>
      </c>
      <c r="D2799" t="s">
        <v>1727</v>
      </c>
      <c r="E2799" t="s">
        <v>14</v>
      </c>
      <c r="F2799" t="s">
        <v>29</v>
      </c>
      <c r="G2799" t="s">
        <v>24</v>
      </c>
      <c r="H2799" t="s">
        <v>609</v>
      </c>
      <c r="I2799" s="2">
        <v>127.28</v>
      </c>
      <c r="J2799">
        <v>2</v>
      </c>
      <c r="K2799" s="2">
        <v>7.4871999999999996</v>
      </c>
      <c r="L2799" s="3">
        <f>(Table1[[#This Row],[Profit]]/Table1[[#This Row],[Sales]])*100</f>
        <v>5.8824638592080447</v>
      </c>
    </row>
    <row r="2800" spans="1:12" x14ac:dyDescent="0.3">
      <c r="A2800" t="s">
        <v>3521</v>
      </c>
      <c r="B2800" s="1">
        <v>43791</v>
      </c>
      <c r="C2800" t="s">
        <v>192</v>
      </c>
      <c r="D2800" t="s">
        <v>193</v>
      </c>
      <c r="E2800" t="s">
        <v>14</v>
      </c>
      <c r="F2800" t="s">
        <v>15</v>
      </c>
      <c r="G2800" t="s">
        <v>24</v>
      </c>
      <c r="H2800" t="s">
        <v>1490</v>
      </c>
      <c r="I2800" s="2">
        <v>20.82</v>
      </c>
      <c r="J2800">
        <v>3</v>
      </c>
      <c r="K2800" s="2">
        <v>7.4951999999999996</v>
      </c>
      <c r="L2800" s="3">
        <f>(Table1[[#This Row],[Profit]]/Table1[[#This Row],[Sales]])*100</f>
        <v>36</v>
      </c>
    </row>
    <row r="2801" spans="1:12" x14ac:dyDescent="0.3">
      <c r="A2801" t="s">
        <v>4831</v>
      </c>
      <c r="B2801" s="1">
        <v>43997</v>
      </c>
      <c r="C2801" t="s">
        <v>2014</v>
      </c>
      <c r="D2801" t="s">
        <v>2015</v>
      </c>
      <c r="E2801" t="s">
        <v>14</v>
      </c>
      <c r="F2801" t="s">
        <v>23</v>
      </c>
      <c r="G2801" t="s">
        <v>18</v>
      </c>
      <c r="H2801" t="s">
        <v>4262</v>
      </c>
      <c r="I2801" s="2">
        <v>143.96</v>
      </c>
      <c r="J2801">
        <v>1</v>
      </c>
      <c r="K2801" s="2">
        <v>7.4974999999999996</v>
      </c>
      <c r="L2801" s="3">
        <f>(Table1[[#This Row],[Profit]]/Table1[[#This Row],[Sales]])*100</f>
        <v>5.2080439010836335</v>
      </c>
    </row>
    <row r="2802" spans="1:12" x14ac:dyDescent="0.3">
      <c r="A2802" t="s">
        <v>568</v>
      </c>
      <c r="B2802" s="1">
        <v>43534</v>
      </c>
      <c r="C2802" t="s">
        <v>569</v>
      </c>
      <c r="D2802" t="s">
        <v>570</v>
      </c>
      <c r="E2802" t="s">
        <v>14</v>
      </c>
      <c r="F2802" t="s">
        <v>15</v>
      </c>
      <c r="G2802" t="s">
        <v>18</v>
      </c>
      <c r="H2802" t="s">
        <v>571</v>
      </c>
      <c r="I2802" s="2">
        <v>39.991999999999997</v>
      </c>
      <c r="J2802">
        <v>1</v>
      </c>
      <c r="K2802" s="2">
        <v>7.4984999999999999</v>
      </c>
      <c r="L2802" s="3">
        <f>(Table1[[#This Row],[Profit]]/Table1[[#This Row],[Sales]])*100</f>
        <v>18.75</v>
      </c>
    </row>
    <row r="2803" spans="1:12" x14ac:dyDescent="0.3">
      <c r="A2803" t="s">
        <v>2893</v>
      </c>
      <c r="B2803" s="1">
        <v>43732</v>
      </c>
      <c r="C2803" t="s">
        <v>1157</v>
      </c>
      <c r="D2803" t="s">
        <v>1158</v>
      </c>
      <c r="E2803" t="s">
        <v>14</v>
      </c>
      <c r="F2803" t="s">
        <v>23</v>
      </c>
      <c r="G2803" t="s">
        <v>16</v>
      </c>
      <c r="H2803" t="s">
        <v>2894</v>
      </c>
      <c r="I2803" s="2">
        <v>21.44</v>
      </c>
      <c r="J2803">
        <v>2</v>
      </c>
      <c r="K2803" s="2">
        <v>7.5039999999999996</v>
      </c>
      <c r="L2803" s="3">
        <f>(Table1[[#This Row],[Profit]]/Table1[[#This Row],[Sales]])*100</f>
        <v>35</v>
      </c>
    </row>
    <row r="2804" spans="1:12" x14ac:dyDescent="0.3">
      <c r="A2804" t="s">
        <v>3339</v>
      </c>
      <c r="B2804" s="1">
        <v>43779</v>
      </c>
      <c r="C2804" t="s">
        <v>286</v>
      </c>
      <c r="D2804" t="s">
        <v>287</v>
      </c>
      <c r="E2804" t="s">
        <v>14</v>
      </c>
      <c r="F2804" t="s">
        <v>15</v>
      </c>
      <c r="G2804" t="s">
        <v>24</v>
      </c>
      <c r="H2804" t="s">
        <v>865</v>
      </c>
      <c r="I2804" s="2">
        <v>22.248000000000001</v>
      </c>
      <c r="J2804">
        <v>3</v>
      </c>
      <c r="K2804" s="2">
        <v>7.5087000000000002</v>
      </c>
      <c r="L2804" s="3">
        <f>(Table1[[#This Row],[Profit]]/Table1[[#This Row],[Sales]])*100</f>
        <v>33.75</v>
      </c>
    </row>
    <row r="2805" spans="1:12" x14ac:dyDescent="0.3">
      <c r="A2805" t="s">
        <v>6037</v>
      </c>
      <c r="B2805" s="1">
        <v>44163</v>
      </c>
      <c r="C2805" t="s">
        <v>2220</v>
      </c>
      <c r="D2805" t="s">
        <v>2221</v>
      </c>
      <c r="E2805" t="s">
        <v>14</v>
      </c>
      <c r="F2805" t="s">
        <v>15</v>
      </c>
      <c r="G2805" t="s">
        <v>16</v>
      </c>
      <c r="H2805" t="s">
        <v>1253</v>
      </c>
      <c r="I2805" s="2">
        <v>116.9</v>
      </c>
      <c r="J2805">
        <v>5</v>
      </c>
      <c r="K2805" s="2">
        <v>7.524</v>
      </c>
      <c r="L2805" s="3">
        <f>(Table1[[#This Row],[Profit]]/Table1[[#This Row],[Sales]])*100</f>
        <v>6.4362703165098374</v>
      </c>
    </row>
    <row r="2806" spans="1:12" x14ac:dyDescent="0.3">
      <c r="A2806" t="s">
        <v>5036</v>
      </c>
      <c r="B2806" s="1">
        <v>44033</v>
      </c>
      <c r="C2806" t="s">
        <v>895</v>
      </c>
      <c r="D2806" t="s">
        <v>896</v>
      </c>
      <c r="E2806" t="s">
        <v>14</v>
      </c>
      <c r="F2806" t="s">
        <v>23</v>
      </c>
      <c r="G2806" t="s">
        <v>24</v>
      </c>
      <c r="H2806" t="s">
        <v>657</v>
      </c>
      <c r="I2806" s="2">
        <v>142.99</v>
      </c>
      <c r="J2806">
        <v>1</v>
      </c>
      <c r="K2806" s="2">
        <v>7.5370999999999997</v>
      </c>
      <c r="L2806" s="3">
        <f>(Table1[[#This Row],[Profit]]/Table1[[#This Row],[Sales]])*100</f>
        <v>5.271067906846632</v>
      </c>
    </row>
    <row r="2807" spans="1:12" x14ac:dyDescent="0.3">
      <c r="A2807" t="s">
        <v>5112</v>
      </c>
      <c r="B2807" s="1">
        <v>44048</v>
      </c>
      <c r="C2807" t="s">
        <v>1941</v>
      </c>
      <c r="D2807" t="s">
        <v>1942</v>
      </c>
      <c r="E2807" t="s">
        <v>14</v>
      </c>
      <c r="F2807" t="s">
        <v>29</v>
      </c>
      <c r="G2807" t="s">
        <v>24</v>
      </c>
      <c r="H2807" t="s">
        <v>5113</v>
      </c>
      <c r="I2807" s="2">
        <v>200.05600000000001</v>
      </c>
      <c r="J2807">
        <v>9</v>
      </c>
      <c r="K2807" s="2">
        <v>7.5528000000000004</v>
      </c>
      <c r="L2807" s="3">
        <f>(Table1[[#This Row],[Profit]]/Table1[[#This Row],[Sales]])*100</f>
        <v>3.7753429039868838</v>
      </c>
    </row>
    <row r="2808" spans="1:12" x14ac:dyDescent="0.3">
      <c r="A2808" t="s">
        <v>4555</v>
      </c>
      <c r="B2808" s="1">
        <v>43951</v>
      </c>
      <c r="C2808" t="s">
        <v>1941</v>
      </c>
      <c r="D2808" t="s">
        <v>1942</v>
      </c>
      <c r="E2808" t="s">
        <v>14</v>
      </c>
      <c r="F2808" t="s">
        <v>23</v>
      </c>
      <c r="G2808" t="s">
        <v>24</v>
      </c>
      <c r="H2808" t="s">
        <v>2498</v>
      </c>
      <c r="I2808" s="2">
        <v>116.24</v>
      </c>
      <c r="J2808">
        <v>5</v>
      </c>
      <c r="K2808" s="2">
        <v>7.5529999999999999</v>
      </c>
      <c r="L2808" s="3">
        <f>(Table1[[#This Row],[Profit]]/Table1[[#This Row],[Sales]])*100</f>
        <v>6.4977632484514798</v>
      </c>
    </row>
    <row r="2809" spans="1:12" x14ac:dyDescent="0.3">
      <c r="A2809" t="s">
        <v>5493</v>
      </c>
      <c r="B2809" s="1">
        <v>44098</v>
      </c>
      <c r="C2809" t="s">
        <v>573</v>
      </c>
      <c r="D2809" t="s">
        <v>574</v>
      </c>
      <c r="E2809" t="s">
        <v>14</v>
      </c>
      <c r="F2809" t="s">
        <v>41</v>
      </c>
      <c r="G2809" t="s">
        <v>24</v>
      </c>
      <c r="H2809" t="s">
        <v>2130</v>
      </c>
      <c r="I2809" s="2">
        <v>97.75</v>
      </c>
      <c r="J2809">
        <v>5</v>
      </c>
      <c r="K2809" s="2">
        <v>7.56</v>
      </c>
      <c r="L2809" s="3">
        <f>(Table1[[#This Row],[Profit]]/Table1[[#This Row],[Sales]])*100</f>
        <v>7.7340153452685412</v>
      </c>
    </row>
    <row r="2810" spans="1:12" x14ac:dyDescent="0.3">
      <c r="A2810" t="s">
        <v>3430</v>
      </c>
      <c r="B2810" s="1">
        <v>43783</v>
      </c>
      <c r="C2810" t="s">
        <v>1570</v>
      </c>
      <c r="D2810" t="s">
        <v>1571</v>
      </c>
      <c r="E2810" t="s">
        <v>14</v>
      </c>
      <c r="F2810" t="s">
        <v>15</v>
      </c>
      <c r="G2810" t="s">
        <v>24</v>
      </c>
      <c r="H2810" t="s">
        <v>1978</v>
      </c>
      <c r="I2810" s="2">
        <v>16.45</v>
      </c>
      <c r="J2810">
        <v>5</v>
      </c>
      <c r="K2810" s="2">
        <v>7.5670000000000002</v>
      </c>
      <c r="L2810" s="3">
        <f>(Table1[[#This Row],[Profit]]/Table1[[#This Row],[Sales]])*100</f>
        <v>46</v>
      </c>
    </row>
    <row r="2811" spans="1:12" x14ac:dyDescent="0.3">
      <c r="A2811" t="s">
        <v>2863</v>
      </c>
      <c r="B2811" s="1">
        <v>43730</v>
      </c>
      <c r="C2811" t="s">
        <v>1907</v>
      </c>
      <c r="D2811" t="s">
        <v>1908</v>
      </c>
      <c r="E2811" t="s">
        <v>14</v>
      </c>
      <c r="F2811" t="s">
        <v>29</v>
      </c>
      <c r="G2811" t="s">
        <v>16</v>
      </c>
      <c r="H2811" t="s">
        <v>82</v>
      </c>
      <c r="I2811" s="2">
        <v>18.96</v>
      </c>
      <c r="J2811">
        <v>2</v>
      </c>
      <c r="K2811" s="2">
        <v>7.5839999999999996</v>
      </c>
      <c r="L2811" s="3">
        <f>(Table1[[#This Row],[Profit]]/Table1[[#This Row],[Sales]])*100</f>
        <v>40</v>
      </c>
    </row>
    <row r="2812" spans="1:12" x14ac:dyDescent="0.3">
      <c r="A2812" t="s">
        <v>6191</v>
      </c>
      <c r="B2812" s="1">
        <v>44181</v>
      </c>
      <c r="C2812" t="s">
        <v>3848</v>
      </c>
      <c r="D2812" t="s">
        <v>3849</v>
      </c>
      <c r="E2812" t="s">
        <v>14</v>
      </c>
      <c r="F2812" t="s">
        <v>23</v>
      </c>
      <c r="G2812" t="s">
        <v>16</v>
      </c>
      <c r="H2812" t="s">
        <v>82</v>
      </c>
      <c r="I2812" s="2">
        <v>286.95999999999998</v>
      </c>
      <c r="J2812">
        <v>2</v>
      </c>
      <c r="K2812" s="2">
        <v>7.5839999999999996</v>
      </c>
      <c r="L2812" s="3">
        <f>(Table1[[#This Row],[Profit]]/Table1[[#This Row],[Sales]])*100</f>
        <v>2.6428770560356845</v>
      </c>
    </row>
    <row r="2813" spans="1:12" x14ac:dyDescent="0.3">
      <c r="A2813" t="s">
        <v>5666</v>
      </c>
      <c r="B2813" s="1">
        <v>44124</v>
      </c>
      <c r="C2813" t="s">
        <v>3699</v>
      </c>
      <c r="D2813" t="s">
        <v>3700</v>
      </c>
      <c r="E2813" t="s">
        <v>14</v>
      </c>
      <c r="F2813" t="s">
        <v>23</v>
      </c>
      <c r="G2813" t="s">
        <v>24</v>
      </c>
      <c r="H2813" t="s">
        <v>4686</v>
      </c>
      <c r="I2813" s="2">
        <v>127.928</v>
      </c>
      <c r="J2813">
        <v>4</v>
      </c>
      <c r="K2813" s="2">
        <v>7.5864000000000003</v>
      </c>
      <c r="L2813" s="3">
        <f>(Table1[[#This Row],[Profit]]/Table1[[#This Row],[Sales]])*100</f>
        <v>5.9302107435432436</v>
      </c>
    </row>
    <row r="2814" spans="1:12" x14ac:dyDescent="0.3">
      <c r="A2814" t="s">
        <v>117</v>
      </c>
      <c r="B2814" s="1">
        <v>43480</v>
      </c>
      <c r="C2814" t="s">
        <v>118</v>
      </c>
      <c r="D2814" t="s">
        <v>119</v>
      </c>
      <c r="E2814" t="s">
        <v>14</v>
      </c>
      <c r="F2814" t="s">
        <v>15</v>
      </c>
      <c r="G2814" t="s">
        <v>24</v>
      </c>
      <c r="H2814" t="s">
        <v>120</v>
      </c>
      <c r="I2814" s="2">
        <v>16.52</v>
      </c>
      <c r="J2814">
        <v>4</v>
      </c>
      <c r="K2814" s="2">
        <v>7.5991999999999997</v>
      </c>
      <c r="L2814" s="3">
        <f>(Table1[[#This Row],[Profit]]/Table1[[#This Row],[Sales]])*100</f>
        <v>46</v>
      </c>
    </row>
    <row r="2815" spans="1:12" x14ac:dyDescent="0.3">
      <c r="A2815" t="s">
        <v>480</v>
      </c>
      <c r="B2815" s="1">
        <v>43527</v>
      </c>
      <c r="C2815" t="s">
        <v>481</v>
      </c>
      <c r="D2815" t="s">
        <v>482</v>
      </c>
      <c r="E2815" t="s">
        <v>14</v>
      </c>
      <c r="F2815" t="s">
        <v>23</v>
      </c>
      <c r="G2815" t="s">
        <v>24</v>
      </c>
      <c r="H2815" t="s">
        <v>483</v>
      </c>
      <c r="I2815" s="2">
        <v>25.35</v>
      </c>
      <c r="J2815">
        <v>3</v>
      </c>
      <c r="K2815" s="2">
        <v>7.6050000000000004</v>
      </c>
      <c r="L2815" s="3">
        <f>(Table1[[#This Row],[Profit]]/Table1[[#This Row],[Sales]])*100</f>
        <v>30</v>
      </c>
    </row>
    <row r="2816" spans="1:12" x14ac:dyDescent="0.3">
      <c r="A2816" t="s">
        <v>3564</v>
      </c>
      <c r="B2816" s="1">
        <v>43793</v>
      </c>
      <c r="C2816" t="s">
        <v>1056</v>
      </c>
      <c r="D2816" t="s">
        <v>1057</v>
      </c>
      <c r="E2816" t="s">
        <v>14</v>
      </c>
      <c r="F2816" t="s">
        <v>23</v>
      </c>
      <c r="G2816" t="s">
        <v>24</v>
      </c>
      <c r="H2816" t="s">
        <v>483</v>
      </c>
      <c r="I2816" s="2">
        <v>25.35</v>
      </c>
      <c r="J2816">
        <v>3</v>
      </c>
      <c r="K2816" s="2">
        <v>7.6050000000000004</v>
      </c>
      <c r="L2816" s="3">
        <f>(Table1[[#This Row],[Profit]]/Table1[[#This Row],[Sales]])*100</f>
        <v>30</v>
      </c>
    </row>
    <row r="2817" spans="1:12" x14ac:dyDescent="0.3">
      <c r="A2817" t="s">
        <v>2323</v>
      </c>
      <c r="B2817" s="1">
        <v>43691</v>
      </c>
      <c r="C2817" t="s">
        <v>1003</v>
      </c>
      <c r="D2817" t="s">
        <v>1004</v>
      </c>
      <c r="E2817" t="s">
        <v>14</v>
      </c>
      <c r="F2817" t="s">
        <v>23</v>
      </c>
      <c r="G2817" t="s">
        <v>24</v>
      </c>
      <c r="H2817" t="s">
        <v>2324</v>
      </c>
      <c r="I2817" s="2">
        <v>15.54</v>
      </c>
      <c r="J2817">
        <v>3</v>
      </c>
      <c r="K2817" s="2">
        <v>7.6146000000000003</v>
      </c>
      <c r="L2817" s="3">
        <f>(Table1[[#This Row],[Profit]]/Table1[[#This Row],[Sales]])*100</f>
        <v>49.000000000000007</v>
      </c>
    </row>
    <row r="2818" spans="1:12" x14ac:dyDescent="0.3">
      <c r="A2818" t="s">
        <v>6242</v>
      </c>
      <c r="B2818" s="1">
        <v>44187</v>
      </c>
      <c r="C2818" t="s">
        <v>1153</v>
      </c>
      <c r="D2818" t="s">
        <v>1154</v>
      </c>
      <c r="E2818" t="s">
        <v>14</v>
      </c>
      <c r="F2818" t="s">
        <v>41</v>
      </c>
      <c r="G2818" t="s">
        <v>18</v>
      </c>
      <c r="H2818" t="s">
        <v>751</v>
      </c>
      <c r="I2818" s="2">
        <v>159.864</v>
      </c>
      <c r="J2818">
        <v>2</v>
      </c>
      <c r="K2818" s="2">
        <v>7.6154000000000002</v>
      </c>
      <c r="L2818" s="3">
        <f>(Table1[[#This Row],[Profit]]/Table1[[#This Row],[Sales]])*100</f>
        <v>4.7636741230045541</v>
      </c>
    </row>
    <row r="2819" spans="1:12" x14ac:dyDescent="0.3">
      <c r="A2819" t="s">
        <v>5813</v>
      </c>
      <c r="B2819" s="1">
        <v>44142</v>
      </c>
      <c r="C2819" t="s">
        <v>2915</v>
      </c>
      <c r="D2819" t="s">
        <v>2916</v>
      </c>
      <c r="E2819" t="s">
        <v>14</v>
      </c>
      <c r="F2819" t="s">
        <v>23</v>
      </c>
      <c r="G2819" t="s">
        <v>24</v>
      </c>
      <c r="H2819" t="s">
        <v>517</v>
      </c>
      <c r="I2819" s="2">
        <v>144.792</v>
      </c>
      <c r="J2819">
        <v>4</v>
      </c>
      <c r="K2819" s="2">
        <v>7.6272000000000002</v>
      </c>
      <c r="L2819" s="3">
        <f>(Table1[[#This Row],[Profit]]/Table1[[#This Row],[Sales]])*100</f>
        <v>5.2676943477540199</v>
      </c>
    </row>
    <row r="2820" spans="1:12" x14ac:dyDescent="0.3">
      <c r="A2820" t="s">
        <v>2609</v>
      </c>
      <c r="B2820" s="1">
        <v>43713</v>
      </c>
      <c r="C2820" t="s">
        <v>1248</v>
      </c>
      <c r="D2820" t="s">
        <v>1249</v>
      </c>
      <c r="E2820" t="s">
        <v>14</v>
      </c>
      <c r="F2820" t="s">
        <v>41</v>
      </c>
      <c r="G2820" t="s">
        <v>24</v>
      </c>
      <c r="H2820" t="s">
        <v>242</v>
      </c>
      <c r="I2820" s="2">
        <v>23.472000000000001</v>
      </c>
      <c r="J2820">
        <v>3</v>
      </c>
      <c r="K2820" s="2">
        <v>7.6284000000000001</v>
      </c>
      <c r="L2820" s="3">
        <f>(Table1[[#This Row],[Profit]]/Table1[[#This Row],[Sales]])*100</f>
        <v>32.5</v>
      </c>
    </row>
    <row r="2821" spans="1:12" x14ac:dyDescent="0.3">
      <c r="A2821" t="s">
        <v>4410</v>
      </c>
      <c r="B2821" s="1">
        <v>43924</v>
      </c>
      <c r="C2821" t="s">
        <v>1947</v>
      </c>
      <c r="D2821" t="s">
        <v>1948</v>
      </c>
      <c r="E2821" t="s">
        <v>14</v>
      </c>
      <c r="F2821" t="s">
        <v>15</v>
      </c>
      <c r="G2821" t="s">
        <v>16</v>
      </c>
      <c r="H2821" t="s">
        <v>1286</v>
      </c>
      <c r="I2821" s="2">
        <v>112.47199999999999</v>
      </c>
      <c r="J2821">
        <v>4</v>
      </c>
      <c r="K2821" s="2">
        <v>7.6416000000000004</v>
      </c>
      <c r="L2821" s="3">
        <f>(Table1[[#This Row],[Profit]]/Table1[[#This Row],[Sales]])*100</f>
        <v>6.7942243402802482</v>
      </c>
    </row>
    <row r="2822" spans="1:12" x14ac:dyDescent="0.3">
      <c r="A2822" t="s">
        <v>5175</v>
      </c>
      <c r="B2822" s="1">
        <v>44061</v>
      </c>
      <c r="C2822" t="s">
        <v>3134</v>
      </c>
      <c r="D2822" t="s">
        <v>3135</v>
      </c>
      <c r="E2822" t="s">
        <v>14</v>
      </c>
      <c r="F2822" t="s">
        <v>15</v>
      </c>
      <c r="G2822" t="s">
        <v>18</v>
      </c>
      <c r="H2822" t="s">
        <v>4296</v>
      </c>
      <c r="I2822" s="2">
        <v>142.18</v>
      </c>
      <c r="J2822">
        <v>2</v>
      </c>
      <c r="K2822" s="2">
        <v>7.6494</v>
      </c>
      <c r="L2822" s="3">
        <f>(Table1[[#This Row],[Profit]]/Table1[[#This Row],[Sales]])*100</f>
        <v>5.3800815867210572</v>
      </c>
    </row>
    <row r="2823" spans="1:12" x14ac:dyDescent="0.3">
      <c r="A2823" t="s">
        <v>2812</v>
      </c>
      <c r="B2823" s="1">
        <v>43727</v>
      </c>
      <c r="C2823" t="s">
        <v>578</v>
      </c>
      <c r="D2823" t="s">
        <v>579</v>
      </c>
      <c r="E2823" t="s">
        <v>14</v>
      </c>
      <c r="F2823" t="s">
        <v>15</v>
      </c>
      <c r="G2823" t="s">
        <v>24</v>
      </c>
      <c r="H2823" t="s">
        <v>1084</v>
      </c>
      <c r="I2823" s="2">
        <v>17.04</v>
      </c>
      <c r="J2823">
        <v>3</v>
      </c>
      <c r="K2823" s="2">
        <v>7.6680000000000001</v>
      </c>
      <c r="L2823" s="3">
        <f>(Table1[[#This Row],[Profit]]/Table1[[#This Row],[Sales]])*100</f>
        <v>45</v>
      </c>
    </row>
    <row r="2824" spans="1:12" x14ac:dyDescent="0.3">
      <c r="A2824" t="s">
        <v>5581</v>
      </c>
      <c r="B2824" s="1">
        <v>44110</v>
      </c>
      <c r="C2824" t="s">
        <v>4146</v>
      </c>
      <c r="D2824" t="s">
        <v>4147</v>
      </c>
      <c r="E2824" t="s">
        <v>14</v>
      </c>
      <c r="F2824" t="s">
        <v>15</v>
      </c>
      <c r="G2824" t="s">
        <v>24</v>
      </c>
      <c r="H2824" t="s">
        <v>1084</v>
      </c>
      <c r="I2824" s="2">
        <v>119.04</v>
      </c>
      <c r="J2824">
        <v>3</v>
      </c>
      <c r="K2824" s="2">
        <v>7.6680000000000001</v>
      </c>
      <c r="L2824" s="3">
        <f>(Table1[[#This Row],[Profit]]/Table1[[#This Row],[Sales]])*100</f>
        <v>6.4415322580645151</v>
      </c>
    </row>
    <row r="2825" spans="1:12" x14ac:dyDescent="0.3">
      <c r="A2825" t="s">
        <v>5042</v>
      </c>
      <c r="B2825" s="1">
        <v>44033</v>
      </c>
      <c r="C2825" t="s">
        <v>2953</v>
      </c>
      <c r="D2825" t="s">
        <v>2954</v>
      </c>
      <c r="E2825" t="s">
        <v>14</v>
      </c>
      <c r="F2825" t="s">
        <v>23</v>
      </c>
      <c r="G2825" t="s">
        <v>24</v>
      </c>
      <c r="H2825" t="s">
        <v>5046</v>
      </c>
      <c r="I2825" s="2">
        <v>88.34</v>
      </c>
      <c r="J2825">
        <v>2</v>
      </c>
      <c r="K2825" s="2">
        <v>7.6798000000000002</v>
      </c>
      <c r="L2825" s="3">
        <f>(Table1[[#This Row],[Profit]]/Table1[[#This Row],[Sales]])*100</f>
        <v>8.6934570975775411</v>
      </c>
    </row>
    <row r="2826" spans="1:12" x14ac:dyDescent="0.3">
      <c r="A2826" t="s">
        <v>4275</v>
      </c>
      <c r="B2826" s="1">
        <v>43906</v>
      </c>
      <c r="C2826" t="s">
        <v>989</v>
      </c>
      <c r="D2826" t="s">
        <v>990</v>
      </c>
      <c r="E2826" t="s">
        <v>14</v>
      </c>
      <c r="F2826" t="s">
        <v>15</v>
      </c>
      <c r="G2826" t="s">
        <v>16</v>
      </c>
      <c r="H2826" t="s">
        <v>2822</v>
      </c>
      <c r="I2826" s="2">
        <v>168.26400000000001</v>
      </c>
      <c r="J2826">
        <v>6</v>
      </c>
      <c r="K2826" s="2">
        <v>7.6896000000000004</v>
      </c>
      <c r="L2826" s="3">
        <f>(Table1[[#This Row],[Profit]]/Table1[[#This Row],[Sales]])*100</f>
        <v>4.5699614890885751</v>
      </c>
    </row>
    <row r="2827" spans="1:12" x14ac:dyDescent="0.3">
      <c r="A2827" t="s">
        <v>1975</v>
      </c>
      <c r="B2827" s="1">
        <v>43653</v>
      </c>
      <c r="C2827" t="s">
        <v>1976</v>
      </c>
      <c r="D2827" t="s">
        <v>1977</v>
      </c>
      <c r="E2827" t="s">
        <v>14</v>
      </c>
      <c r="F2827" t="s">
        <v>29</v>
      </c>
      <c r="G2827" t="s">
        <v>24</v>
      </c>
      <c r="H2827" t="s">
        <v>1978</v>
      </c>
      <c r="I2827" s="2">
        <v>23.687999999999999</v>
      </c>
      <c r="J2827">
        <v>9</v>
      </c>
      <c r="K2827" s="2">
        <v>7.6985999999999999</v>
      </c>
      <c r="L2827" s="3">
        <f>(Table1[[#This Row],[Profit]]/Table1[[#This Row],[Sales]])*100</f>
        <v>32.5</v>
      </c>
    </row>
    <row r="2828" spans="1:12" x14ac:dyDescent="0.3">
      <c r="A2828" t="s">
        <v>2881</v>
      </c>
      <c r="B2828" s="1">
        <v>43731</v>
      </c>
      <c r="C2828" t="s">
        <v>1622</v>
      </c>
      <c r="D2828" t="s">
        <v>1623</v>
      </c>
      <c r="E2828" t="s">
        <v>14</v>
      </c>
      <c r="F2828" t="s">
        <v>15</v>
      </c>
      <c r="G2828" t="s">
        <v>16</v>
      </c>
      <c r="H2828" t="s">
        <v>2883</v>
      </c>
      <c r="I2828" s="2">
        <v>28</v>
      </c>
      <c r="J2828">
        <v>4</v>
      </c>
      <c r="K2828" s="2">
        <v>7.7</v>
      </c>
      <c r="L2828" s="3">
        <f>(Table1[[#This Row],[Profit]]/Table1[[#This Row],[Sales]])*100</f>
        <v>27.500000000000004</v>
      </c>
    </row>
    <row r="2829" spans="1:12" x14ac:dyDescent="0.3">
      <c r="A2829" t="s">
        <v>4805</v>
      </c>
      <c r="B2829" s="1">
        <v>43993</v>
      </c>
      <c r="C2829" t="s">
        <v>871</v>
      </c>
      <c r="D2829" t="s">
        <v>872</v>
      </c>
      <c r="E2829" t="s">
        <v>14</v>
      </c>
      <c r="F2829" t="s">
        <v>23</v>
      </c>
      <c r="G2829" t="s">
        <v>24</v>
      </c>
      <c r="H2829" t="s">
        <v>2859</v>
      </c>
      <c r="I2829" s="2">
        <v>102.44799999999999</v>
      </c>
      <c r="J2829">
        <v>4</v>
      </c>
      <c r="K2829" s="2">
        <v>7.7004000000000001</v>
      </c>
      <c r="L2829" s="3">
        <f>(Table1[[#This Row],[Profit]]/Table1[[#This Row],[Sales]])*100</f>
        <v>7.5163985631735128</v>
      </c>
    </row>
    <row r="2830" spans="1:12" x14ac:dyDescent="0.3">
      <c r="A2830" t="s">
        <v>88</v>
      </c>
      <c r="B2830" s="1">
        <v>43475</v>
      </c>
      <c r="C2830" t="s">
        <v>89</v>
      </c>
      <c r="D2830" t="s">
        <v>90</v>
      </c>
      <c r="E2830" t="s">
        <v>14</v>
      </c>
      <c r="F2830" t="s">
        <v>23</v>
      </c>
      <c r="G2830" t="s">
        <v>16</v>
      </c>
      <c r="H2830" t="s">
        <v>91</v>
      </c>
      <c r="I2830" s="2">
        <v>24.85</v>
      </c>
      <c r="J2830">
        <v>5</v>
      </c>
      <c r="K2830" s="2">
        <v>7.7035</v>
      </c>
      <c r="L2830" s="3">
        <f>(Table1[[#This Row],[Profit]]/Table1[[#This Row],[Sales]])*100</f>
        <v>31</v>
      </c>
    </row>
    <row r="2831" spans="1:12" x14ac:dyDescent="0.3">
      <c r="A2831" t="s">
        <v>5250</v>
      </c>
      <c r="B2831" s="1">
        <v>44076</v>
      </c>
      <c r="C2831" t="s">
        <v>4172</v>
      </c>
      <c r="D2831" t="s">
        <v>4173</v>
      </c>
      <c r="E2831" t="s">
        <v>14</v>
      </c>
      <c r="F2831" t="s">
        <v>15</v>
      </c>
      <c r="G2831" t="s">
        <v>24</v>
      </c>
      <c r="H2831" t="s">
        <v>863</v>
      </c>
      <c r="I2831" s="2">
        <v>90.12</v>
      </c>
      <c r="J2831">
        <v>4</v>
      </c>
      <c r="K2831" s="2">
        <v>7.7039999999999997</v>
      </c>
      <c r="L2831" s="3">
        <f>(Table1[[#This Row],[Profit]]/Table1[[#This Row],[Sales]])*100</f>
        <v>8.5486018641810908</v>
      </c>
    </row>
    <row r="2832" spans="1:12" x14ac:dyDescent="0.3">
      <c r="A2832" t="s">
        <v>5205</v>
      </c>
      <c r="B2832" s="1">
        <v>44067</v>
      </c>
      <c r="C2832" t="s">
        <v>3838</v>
      </c>
      <c r="D2832" t="s">
        <v>3839</v>
      </c>
      <c r="E2832" t="s">
        <v>14</v>
      </c>
      <c r="F2832" t="s">
        <v>15</v>
      </c>
      <c r="G2832" t="s">
        <v>24</v>
      </c>
      <c r="H2832" t="s">
        <v>1709</v>
      </c>
      <c r="I2832" s="2">
        <v>121.672</v>
      </c>
      <c r="J2832">
        <v>4</v>
      </c>
      <c r="K2832" s="2">
        <v>7.71</v>
      </c>
      <c r="L2832" s="3">
        <f>(Table1[[#This Row],[Profit]]/Table1[[#This Row],[Sales]])*100</f>
        <v>6.3367085278453557</v>
      </c>
    </row>
    <row r="2833" spans="1:12" x14ac:dyDescent="0.3">
      <c r="A2833" t="s">
        <v>4127</v>
      </c>
      <c r="B2833" s="1">
        <v>43872</v>
      </c>
      <c r="C2833" t="s">
        <v>3138</v>
      </c>
      <c r="D2833" t="s">
        <v>3139</v>
      </c>
      <c r="E2833" t="s">
        <v>14</v>
      </c>
      <c r="F2833" t="s">
        <v>23</v>
      </c>
      <c r="G2833" t="s">
        <v>24</v>
      </c>
      <c r="H2833" t="s">
        <v>3806</v>
      </c>
      <c r="I2833" s="2">
        <v>840.33600000000001</v>
      </c>
      <c r="J2833">
        <v>7</v>
      </c>
      <c r="K2833" s="2">
        <v>7.7343000000000002</v>
      </c>
      <c r="L2833" s="3">
        <f>(Table1[[#This Row],[Profit]]/Table1[[#This Row],[Sales]])*100</f>
        <v>0.92038184726109562</v>
      </c>
    </row>
    <row r="2834" spans="1:12" x14ac:dyDescent="0.3">
      <c r="A2834" t="s">
        <v>3550</v>
      </c>
      <c r="B2834" s="1">
        <v>43793</v>
      </c>
      <c r="C2834" t="s">
        <v>3551</v>
      </c>
      <c r="D2834" t="s">
        <v>3552</v>
      </c>
      <c r="E2834" t="s">
        <v>14</v>
      </c>
      <c r="F2834" t="s">
        <v>23</v>
      </c>
      <c r="G2834" t="s">
        <v>24</v>
      </c>
      <c r="H2834" t="s">
        <v>1722</v>
      </c>
      <c r="I2834" s="2">
        <v>24.783999999999999</v>
      </c>
      <c r="J2834">
        <v>1</v>
      </c>
      <c r="K2834" s="2">
        <v>7.7450000000000001</v>
      </c>
      <c r="L2834" s="3">
        <f>(Table1[[#This Row],[Profit]]/Table1[[#This Row],[Sales]])*100</f>
        <v>31.25</v>
      </c>
    </row>
    <row r="2835" spans="1:12" x14ac:dyDescent="0.3">
      <c r="A2835" t="s">
        <v>4649</v>
      </c>
      <c r="B2835" s="1">
        <v>43965</v>
      </c>
      <c r="C2835" t="s">
        <v>1380</v>
      </c>
      <c r="D2835" t="s">
        <v>1381</v>
      </c>
      <c r="E2835" t="s">
        <v>14</v>
      </c>
      <c r="F2835" t="s">
        <v>15</v>
      </c>
      <c r="G2835" t="s">
        <v>24</v>
      </c>
      <c r="H2835" t="s">
        <v>1759</v>
      </c>
      <c r="I2835" s="2">
        <v>149.78399999999999</v>
      </c>
      <c r="J2835">
        <v>1</v>
      </c>
      <c r="K2835" s="2">
        <v>7.7450000000000001</v>
      </c>
      <c r="L2835" s="3">
        <f>(Table1[[#This Row],[Profit]]/Table1[[#This Row],[Sales]])*100</f>
        <v>5.1707792554611975</v>
      </c>
    </row>
    <row r="2836" spans="1:12" x14ac:dyDescent="0.3">
      <c r="A2836" t="s">
        <v>2725</v>
      </c>
      <c r="B2836" s="1">
        <v>43720</v>
      </c>
      <c r="C2836" t="s">
        <v>895</v>
      </c>
      <c r="D2836" t="s">
        <v>896</v>
      </c>
      <c r="E2836" t="s">
        <v>14</v>
      </c>
      <c r="F2836" t="s">
        <v>23</v>
      </c>
      <c r="G2836" t="s">
        <v>24</v>
      </c>
      <c r="H2836" t="s">
        <v>1382</v>
      </c>
      <c r="I2836" s="2">
        <v>20.704000000000001</v>
      </c>
      <c r="J2836">
        <v>4</v>
      </c>
      <c r="K2836" s="2">
        <v>7.7640000000000002</v>
      </c>
      <c r="L2836" s="3">
        <f>(Table1[[#This Row],[Profit]]/Table1[[#This Row],[Sales]])*100</f>
        <v>37.5</v>
      </c>
    </row>
    <row r="2837" spans="1:12" x14ac:dyDescent="0.3">
      <c r="A2837" t="s">
        <v>4123</v>
      </c>
      <c r="B2837" s="1">
        <v>43872</v>
      </c>
      <c r="C2837" t="s">
        <v>4124</v>
      </c>
      <c r="D2837" t="s">
        <v>4125</v>
      </c>
      <c r="E2837" t="s">
        <v>14</v>
      </c>
      <c r="F2837" t="s">
        <v>23</v>
      </c>
      <c r="G2837" t="s">
        <v>18</v>
      </c>
      <c r="H2837" t="s">
        <v>53</v>
      </c>
      <c r="I2837" s="2">
        <v>126.776</v>
      </c>
      <c r="J2837">
        <v>3</v>
      </c>
      <c r="K2837" s="2">
        <v>7.7679</v>
      </c>
      <c r="L2837" s="3">
        <f>(Table1[[#This Row],[Profit]]/Table1[[#This Row],[Sales]])*100</f>
        <v>6.1272638354262634</v>
      </c>
    </row>
    <row r="2838" spans="1:12" x14ac:dyDescent="0.3">
      <c r="A2838" t="s">
        <v>4795</v>
      </c>
      <c r="B2838" s="1">
        <v>43992</v>
      </c>
      <c r="C2838" t="s">
        <v>1013</v>
      </c>
      <c r="D2838" t="s">
        <v>1014</v>
      </c>
      <c r="E2838" t="s">
        <v>14</v>
      </c>
      <c r="F2838" t="s">
        <v>23</v>
      </c>
      <c r="G2838" t="s">
        <v>18</v>
      </c>
      <c r="H2838" t="s">
        <v>53</v>
      </c>
      <c r="I2838" s="2">
        <v>126.776</v>
      </c>
      <c r="J2838">
        <v>3</v>
      </c>
      <c r="K2838" s="2">
        <v>7.7679</v>
      </c>
      <c r="L2838" s="3">
        <f>(Table1[[#This Row],[Profit]]/Table1[[#This Row],[Sales]])*100</f>
        <v>6.1272638354262634</v>
      </c>
    </row>
    <row r="2839" spans="1:12" x14ac:dyDescent="0.3">
      <c r="A2839" t="s">
        <v>215</v>
      </c>
      <c r="B2839" s="1">
        <v>43495</v>
      </c>
      <c r="C2839" t="s">
        <v>216</v>
      </c>
      <c r="D2839" t="s">
        <v>217</v>
      </c>
      <c r="E2839" t="s">
        <v>14</v>
      </c>
      <c r="F2839" t="s">
        <v>23</v>
      </c>
      <c r="G2839" t="s">
        <v>16</v>
      </c>
      <c r="H2839" t="s">
        <v>219</v>
      </c>
      <c r="I2839" s="2">
        <v>48.58</v>
      </c>
      <c r="J2839">
        <v>1</v>
      </c>
      <c r="K2839" s="2">
        <v>7.7728000000000002</v>
      </c>
      <c r="L2839" s="3">
        <f>(Table1[[#This Row],[Profit]]/Table1[[#This Row],[Sales]])*100</f>
        <v>16</v>
      </c>
    </row>
    <row r="2840" spans="1:12" x14ac:dyDescent="0.3">
      <c r="A2840" t="s">
        <v>5940</v>
      </c>
      <c r="B2840" s="1">
        <v>44153</v>
      </c>
      <c r="C2840" t="s">
        <v>2808</v>
      </c>
      <c r="D2840" t="s">
        <v>2809</v>
      </c>
      <c r="E2840" t="s">
        <v>14</v>
      </c>
      <c r="F2840" t="s">
        <v>15</v>
      </c>
      <c r="G2840" t="s">
        <v>24</v>
      </c>
      <c r="H2840" t="s">
        <v>1490</v>
      </c>
      <c r="I2840" s="2">
        <v>170.864</v>
      </c>
      <c r="J2840">
        <v>7</v>
      </c>
      <c r="K2840" s="2">
        <v>7.7728000000000002</v>
      </c>
      <c r="L2840" s="3">
        <f>(Table1[[#This Row],[Profit]]/Table1[[#This Row],[Sales]])*100</f>
        <v>4.54911508568218</v>
      </c>
    </row>
    <row r="2841" spans="1:12" x14ac:dyDescent="0.3">
      <c r="A2841" t="s">
        <v>5314</v>
      </c>
      <c r="B2841" s="1">
        <v>44081</v>
      </c>
      <c r="C2841" t="s">
        <v>2005</v>
      </c>
      <c r="D2841" t="s">
        <v>2006</v>
      </c>
      <c r="E2841" t="s">
        <v>14</v>
      </c>
      <c r="F2841" t="s">
        <v>15</v>
      </c>
      <c r="G2841" t="s">
        <v>24</v>
      </c>
      <c r="H2841" t="s">
        <v>5315</v>
      </c>
      <c r="I2841" s="2">
        <v>118.9</v>
      </c>
      <c r="J2841">
        <v>5</v>
      </c>
      <c r="K2841" s="2">
        <v>7.774</v>
      </c>
      <c r="L2841" s="3">
        <f>(Table1[[#This Row],[Profit]]/Table1[[#This Row],[Sales]])*100</f>
        <v>6.5382674516400323</v>
      </c>
    </row>
    <row r="2842" spans="1:12" x14ac:dyDescent="0.3">
      <c r="A2842" t="s">
        <v>2964</v>
      </c>
      <c r="B2842" s="1">
        <v>43737</v>
      </c>
      <c r="C2842" t="s">
        <v>1436</v>
      </c>
      <c r="D2842" t="s">
        <v>1437</v>
      </c>
      <c r="E2842" t="s">
        <v>14</v>
      </c>
      <c r="F2842" t="s">
        <v>41</v>
      </c>
      <c r="G2842" t="s">
        <v>24</v>
      </c>
      <c r="H2842" t="s">
        <v>2965</v>
      </c>
      <c r="I2842" s="2">
        <v>25.92</v>
      </c>
      <c r="J2842">
        <v>9</v>
      </c>
      <c r="K2842" s="2">
        <v>7.7759999999999998</v>
      </c>
      <c r="L2842" s="3">
        <f>(Table1[[#This Row],[Profit]]/Table1[[#This Row],[Sales]])*100</f>
        <v>30</v>
      </c>
    </row>
    <row r="2843" spans="1:12" x14ac:dyDescent="0.3">
      <c r="A2843" t="s">
        <v>5348</v>
      </c>
      <c r="B2843" s="1">
        <v>44084</v>
      </c>
      <c r="C2843" t="s">
        <v>1559</v>
      </c>
      <c r="D2843" t="s">
        <v>1560</v>
      </c>
      <c r="E2843" t="s">
        <v>14</v>
      </c>
      <c r="F2843" t="s">
        <v>29</v>
      </c>
      <c r="G2843" t="s">
        <v>24</v>
      </c>
      <c r="H2843" t="s">
        <v>4230</v>
      </c>
      <c r="I2843" s="2">
        <v>113.2</v>
      </c>
      <c r="J2843">
        <v>3</v>
      </c>
      <c r="K2843" s="2">
        <v>7.7759999999999998</v>
      </c>
      <c r="L2843" s="3">
        <f>(Table1[[#This Row],[Profit]]/Table1[[#This Row],[Sales]])*100</f>
        <v>6.8692579505300344</v>
      </c>
    </row>
    <row r="2844" spans="1:12" x14ac:dyDescent="0.3">
      <c r="A2844" t="s">
        <v>2584</v>
      </c>
      <c r="B2844" s="1">
        <v>43712</v>
      </c>
      <c r="C2844" t="s">
        <v>589</v>
      </c>
      <c r="D2844" t="s">
        <v>590</v>
      </c>
      <c r="E2844" t="s">
        <v>14</v>
      </c>
      <c r="F2844" t="s">
        <v>29</v>
      </c>
      <c r="G2844" t="s">
        <v>24</v>
      </c>
      <c r="H2844" t="s">
        <v>242</v>
      </c>
      <c r="I2844" s="2">
        <v>16.559999999999999</v>
      </c>
      <c r="J2844">
        <v>2</v>
      </c>
      <c r="K2844" s="2">
        <v>7.7831999999999999</v>
      </c>
      <c r="L2844" s="3">
        <f>(Table1[[#This Row],[Profit]]/Table1[[#This Row],[Sales]])*100</f>
        <v>47</v>
      </c>
    </row>
    <row r="2845" spans="1:12" x14ac:dyDescent="0.3">
      <c r="A2845" t="s">
        <v>6237</v>
      </c>
      <c r="B2845" s="1">
        <v>44187</v>
      </c>
      <c r="C2845" t="s">
        <v>5103</v>
      </c>
      <c r="D2845" t="s">
        <v>5104</v>
      </c>
      <c r="E2845" t="s">
        <v>14</v>
      </c>
      <c r="F2845" t="s">
        <v>29</v>
      </c>
      <c r="G2845" t="s">
        <v>24</v>
      </c>
      <c r="H2845" t="s">
        <v>4800</v>
      </c>
      <c r="I2845" s="2">
        <v>132.16</v>
      </c>
      <c r="J2845">
        <v>2</v>
      </c>
      <c r="K2845" s="2">
        <v>7.79</v>
      </c>
      <c r="L2845" s="3">
        <f>(Table1[[#This Row],[Profit]]/Table1[[#This Row],[Sales]])*100</f>
        <v>5.8943704600484264</v>
      </c>
    </row>
    <row r="2846" spans="1:12" x14ac:dyDescent="0.3">
      <c r="A2846" t="s">
        <v>3807</v>
      </c>
      <c r="B2846" s="1">
        <v>43813</v>
      </c>
      <c r="C2846" t="s">
        <v>1038</v>
      </c>
      <c r="D2846" t="s">
        <v>1039</v>
      </c>
      <c r="E2846" t="s">
        <v>14</v>
      </c>
      <c r="F2846" t="s">
        <v>15</v>
      </c>
      <c r="G2846" t="s">
        <v>24</v>
      </c>
      <c r="H2846" t="s">
        <v>1410</v>
      </c>
      <c r="I2846" s="2">
        <v>23.12</v>
      </c>
      <c r="J2846">
        <v>2</v>
      </c>
      <c r="K2846" s="2">
        <v>7.8029999999999999</v>
      </c>
      <c r="L2846" s="3">
        <f>(Table1[[#This Row],[Profit]]/Table1[[#This Row],[Sales]])*100</f>
        <v>33.75</v>
      </c>
    </row>
    <row r="2847" spans="1:12" x14ac:dyDescent="0.3">
      <c r="A2847" t="s">
        <v>5119</v>
      </c>
      <c r="B2847" s="1">
        <v>44050</v>
      </c>
      <c r="C2847" t="s">
        <v>908</v>
      </c>
      <c r="D2847" t="s">
        <v>909</v>
      </c>
      <c r="E2847" t="s">
        <v>14</v>
      </c>
      <c r="F2847" t="s">
        <v>23</v>
      </c>
      <c r="G2847" t="s">
        <v>18</v>
      </c>
      <c r="H2847" t="s">
        <v>2247</v>
      </c>
      <c r="I2847" s="2">
        <v>150.76</v>
      </c>
      <c r="J2847">
        <v>4</v>
      </c>
      <c r="K2847" s="2">
        <v>7.8064</v>
      </c>
      <c r="L2847" s="3">
        <f>(Table1[[#This Row],[Profit]]/Table1[[#This Row],[Sales]])*100</f>
        <v>5.1780313080392677</v>
      </c>
    </row>
    <row r="2848" spans="1:12" x14ac:dyDescent="0.3">
      <c r="A2848" t="s">
        <v>196</v>
      </c>
      <c r="B2848" s="1">
        <v>43490</v>
      </c>
      <c r="C2848" t="s">
        <v>197</v>
      </c>
      <c r="D2848" t="s">
        <v>198</v>
      </c>
      <c r="E2848" t="s">
        <v>14</v>
      </c>
      <c r="F2848" t="s">
        <v>15</v>
      </c>
      <c r="G2848" t="s">
        <v>16</v>
      </c>
      <c r="H2848" t="s">
        <v>201</v>
      </c>
      <c r="I2848" s="2">
        <v>45.98</v>
      </c>
      <c r="J2848">
        <v>1</v>
      </c>
      <c r="K2848" s="2">
        <v>7.8166000000000002</v>
      </c>
      <c r="L2848" s="3">
        <f>(Table1[[#This Row],[Profit]]/Table1[[#This Row],[Sales]])*100</f>
        <v>17</v>
      </c>
    </row>
    <row r="2849" spans="1:12" x14ac:dyDescent="0.3">
      <c r="A2849" t="s">
        <v>4976</v>
      </c>
      <c r="B2849" s="1">
        <v>44020</v>
      </c>
      <c r="C2849" t="s">
        <v>4977</v>
      </c>
      <c r="D2849" t="s">
        <v>4978</v>
      </c>
      <c r="E2849" t="s">
        <v>14</v>
      </c>
      <c r="F2849" t="s">
        <v>23</v>
      </c>
      <c r="G2849" t="s">
        <v>24</v>
      </c>
      <c r="H2849" t="s">
        <v>3668</v>
      </c>
      <c r="I2849" s="2">
        <v>135.16800000000001</v>
      </c>
      <c r="J2849">
        <v>2</v>
      </c>
      <c r="K2849" s="2">
        <v>7.8192000000000004</v>
      </c>
      <c r="L2849" s="3">
        <f>(Table1[[#This Row],[Profit]]/Table1[[#This Row],[Sales]])*100</f>
        <v>5.7848011363636358</v>
      </c>
    </row>
    <row r="2850" spans="1:12" x14ac:dyDescent="0.3">
      <c r="A2850" t="s">
        <v>3177</v>
      </c>
      <c r="B2850" s="1">
        <v>43765</v>
      </c>
      <c r="C2850" t="s">
        <v>3178</v>
      </c>
      <c r="D2850" t="s">
        <v>3179</v>
      </c>
      <c r="E2850" t="s">
        <v>14</v>
      </c>
      <c r="F2850" t="s">
        <v>23</v>
      </c>
      <c r="G2850" t="s">
        <v>24</v>
      </c>
      <c r="H2850" t="s">
        <v>3095</v>
      </c>
      <c r="I2850" s="2">
        <v>25.032</v>
      </c>
      <c r="J2850">
        <v>3</v>
      </c>
      <c r="K2850" s="2">
        <v>7.8224999999999998</v>
      </c>
      <c r="L2850" s="3">
        <f>(Table1[[#This Row],[Profit]]/Table1[[#This Row],[Sales]])*100</f>
        <v>31.25</v>
      </c>
    </row>
    <row r="2851" spans="1:12" x14ac:dyDescent="0.3">
      <c r="A2851" t="s">
        <v>787</v>
      </c>
      <c r="B2851" s="1">
        <v>43552</v>
      </c>
      <c r="C2851" t="s">
        <v>788</v>
      </c>
      <c r="D2851" t="s">
        <v>789</v>
      </c>
      <c r="E2851" t="s">
        <v>14</v>
      </c>
      <c r="F2851" t="s">
        <v>41</v>
      </c>
      <c r="G2851" t="s">
        <v>24</v>
      </c>
      <c r="H2851" t="s">
        <v>790</v>
      </c>
      <c r="I2851" s="2">
        <v>31.4</v>
      </c>
      <c r="J2851">
        <v>2</v>
      </c>
      <c r="K2851" s="2">
        <v>7.85</v>
      </c>
      <c r="L2851" s="3">
        <f>(Table1[[#This Row],[Profit]]/Table1[[#This Row],[Sales]])*100</f>
        <v>25</v>
      </c>
    </row>
    <row r="2852" spans="1:12" x14ac:dyDescent="0.3">
      <c r="A2852" t="s">
        <v>5739</v>
      </c>
      <c r="B2852" s="1">
        <v>44136</v>
      </c>
      <c r="C2852" t="s">
        <v>895</v>
      </c>
      <c r="D2852" t="s">
        <v>896</v>
      </c>
      <c r="E2852" t="s">
        <v>14</v>
      </c>
      <c r="F2852" t="s">
        <v>23</v>
      </c>
      <c r="G2852" t="s">
        <v>24</v>
      </c>
      <c r="H2852" t="s">
        <v>1987</v>
      </c>
      <c r="I2852" s="2">
        <v>138.12</v>
      </c>
      <c r="J2852">
        <v>5</v>
      </c>
      <c r="K2852" s="2">
        <v>7.85</v>
      </c>
      <c r="L2852" s="3">
        <f>(Table1[[#This Row],[Profit]]/Table1[[#This Row],[Sales]])*100</f>
        <v>5.6834636547929334</v>
      </c>
    </row>
    <row r="2853" spans="1:12" x14ac:dyDescent="0.3">
      <c r="A2853" t="s">
        <v>4716</v>
      </c>
      <c r="B2853" s="1">
        <v>43978</v>
      </c>
      <c r="C2853" t="s">
        <v>1400</v>
      </c>
      <c r="D2853" t="s">
        <v>1401</v>
      </c>
      <c r="E2853" t="s">
        <v>14</v>
      </c>
      <c r="F2853" t="s">
        <v>23</v>
      </c>
      <c r="G2853" t="s">
        <v>24</v>
      </c>
      <c r="H2853" t="s">
        <v>2987</v>
      </c>
      <c r="I2853" s="2">
        <v>136.44</v>
      </c>
      <c r="J2853">
        <v>3</v>
      </c>
      <c r="K2853" s="2">
        <v>7.86</v>
      </c>
      <c r="L2853" s="3">
        <f>(Table1[[#This Row],[Profit]]/Table1[[#This Row],[Sales]])*100</f>
        <v>5.7607739665787161</v>
      </c>
    </row>
    <row r="2854" spans="1:12" x14ac:dyDescent="0.3">
      <c r="A2854" t="s">
        <v>3382</v>
      </c>
      <c r="B2854" s="1">
        <v>43780</v>
      </c>
      <c r="C2854" t="s">
        <v>942</v>
      </c>
      <c r="D2854" t="s">
        <v>943</v>
      </c>
      <c r="E2854" t="s">
        <v>14</v>
      </c>
      <c r="F2854" t="s">
        <v>15</v>
      </c>
      <c r="G2854" t="s">
        <v>24</v>
      </c>
      <c r="H2854" t="s">
        <v>1733</v>
      </c>
      <c r="I2854" s="2">
        <v>28.14</v>
      </c>
      <c r="J2854">
        <v>3</v>
      </c>
      <c r="K2854" s="2">
        <v>7.8792</v>
      </c>
      <c r="L2854" s="3">
        <f>(Table1[[#This Row],[Profit]]/Table1[[#This Row],[Sales]])*100</f>
        <v>27.999999999999996</v>
      </c>
    </row>
    <row r="2855" spans="1:12" x14ac:dyDescent="0.3">
      <c r="A2855" t="s">
        <v>6177</v>
      </c>
      <c r="B2855" s="1">
        <v>44176</v>
      </c>
      <c r="C2855" t="s">
        <v>1782</v>
      </c>
      <c r="D2855" t="s">
        <v>1783</v>
      </c>
      <c r="E2855" t="s">
        <v>14</v>
      </c>
      <c r="F2855" t="s">
        <v>15</v>
      </c>
      <c r="G2855" t="s">
        <v>24</v>
      </c>
      <c r="H2855" t="s">
        <v>1083</v>
      </c>
      <c r="I2855" s="2">
        <v>398.36</v>
      </c>
      <c r="J2855">
        <v>4</v>
      </c>
      <c r="K2855" s="2">
        <v>7.8840000000000003</v>
      </c>
      <c r="L2855" s="3">
        <f>(Table1[[#This Row],[Profit]]/Table1[[#This Row],[Sales]])*100</f>
        <v>1.9791143689125414</v>
      </c>
    </row>
    <row r="2856" spans="1:12" x14ac:dyDescent="0.3">
      <c r="A2856" t="s">
        <v>3119</v>
      </c>
      <c r="B2856" s="1">
        <v>43758</v>
      </c>
      <c r="C2856" t="s">
        <v>2930</v>
      </c>
      <c r="D2856" t="s">
        <v>2931</v>
      </c>
      <c r="E2856" t="s">
        <v>14</v>
      </c>
      <c r="F2856" t="s">
        <v>29</v>
      </c>
      <c r="G2856" t="s">
        <v>24</v>
      </c>
      <c r="H2856" t="s">
        <v>449</v>
      </c>
      <c r="I2856" s="2">
        <v>25.248000000000001</v>
      </c>
      <c r="J2856">
        <v>4</v>
      </c>
      <c r="K2856" s="2">
        <v>7.89</v>
      </c>
      <c r="L2856" s="3">
        <f>(Table1[[#This Row],[Profit]]/Table1[[#This Row],[Sales]])*100</f>
        <v>31.25</v>
      </c>
    </row>
    <row r="2857" spans="1:12" x14ac:dyDescent="0.3">
      <c r="A2857" t="s">
        <v>1539</v>
      </c>
      <c r="B2857" s="1">
        <v>43613</v>
      </c>
      <c r="C2857" t="s">
        <v>1292</v>
      </c>
      <c r="D2857" t="s">
        <v>1293</v>
      </c>
      <c r="E2857" t="s">
        <v>14</v>
      </c>
      <c r="F2857" t="s">
        <v>23</v>
      </c>
      <c r="G2857" t="s">
        <v>18</v>
      </c>
      <c r="H2857" t="s">
        <v>30</v>
      </c>
      <c r="I2857" s="2">
        <v>131.6</v>
      </c>
      <c r="J2857">
        <v>7</v>
      </c>
      <c r="K2857" s="2">
        <v>7.8959999999999999</v>
      </c>
      <c r="L2857" s="3">
        <f>(Table1[[#This Row],[Profit]]/Table1[[#This Row],[Sales]])*100</f>
        <v>6.0000000000000009</v>
      </c>
    </row>
    <row r="2858" spans="1:12" x14ac:dyDescent="0.3">
      <c r="A2858" t="s">
        <v>4996</v>
      </c>
      <c r="B2858" s="1">
        <v>44022</v>
      </c>
      <c r="C2858" t="s">
        <v>1911</v>
      </c>
      <c r="D2858" t="s">
        <v>1912</v>
      </c>
      <c r="E2858" t="s">
        <v>14</v>
      </c>
      <c r="F2858" t="s">
        <v>41</v>
      </c>
      <c r="G2858" t="s">
        <v>16</v>
      </c>
      <c r="H2858" t="s">
        <v>3895</v>
      </c>
      <c r="I2858" s="2">
        <v>101.84</v>
      </c>
      <c r="J2858">
        <v>3</v>
      </c>
      <c r="K2858" s="2">
        <v>7.9127999999999998</v>
      </c>
      <c r="L2858" s="3">
        <f>(Table1[[#This Row],[Profit]]/Table1[[#This Row],[Sales]])*100</f>
        <v>7.7698350353495673</v>
      </c>
    </row>
    <row r="2859" spans="1:12" x14ac:dyDescent="0.3">
      <c r="A2859" t="s">
        <v>5009</v>
      </c>
      <c r="B2859" s="1">
        <v>44026</v>
      </c>
      <c r="C2859" t="s">
        <v>1671</v>
      </c>
      <c r="D2859" t="s">
        <v>1672</v>
      </c>
      <c r="E2859" t="s">
        <v>14</v>
      </c>
      <c r="F2859" t="s">
        <v>23</v>
      </c>
      <c r="G2859" t="s">
        <v>16</v>
      </c>
      <c r="H2859" t="s">
        <v>4770</v>
      </c>
      <c r="I2859" s="2">
        <v>117.84</v>
      </c>
      <c r="J2859">
        <v>3</v>
      </c>
      <c r="K2859" s="2">
        <v>7.9127999999999998</v>
      </c>
      <c r="L2859" s="3">
        <f>(Table1[[#This Row],[Profit]]/Table1[[#This Row],[Sales]])*100</f>
        <v>6.7148676171079433</v>
      </c>
    </row>
    <row r="2860" spans="1:12" x14ac:dyDescent="0.3">
      <c r="A2860" t="s">
        <v>2776</v>
      </c>
      <c r="B2860" s="1">
        <v>43725</v>
      </c>
      <c r="C2860" t="s">
        <v>544</v>
      </c>
      <c r="D2860" t="s">
        <v>545</v>
      </c>
      <c r="E2860" t="s">
        <v>14</v>
      </c>
      <c r="F2860" t="s">
        <v>23</v>
      </c>
      <c r="G2860" t="s">
        <v>18</v>
      </c>
      <c r="H2860" t="s">
        <v>2778</v>
      </c>
      <c r="I2860" s="2">
        <v>105.584</v>
      </c>
      <c r="J2860">
        <v>2</v>
      </c>
      <c r="K2860" s="2">
        <v>7.9188000000000001</v>
      </c>
      <c r="L2860" s="3">
        <f>(Table1[[#This Row],[Profit]]/Table1[[#This Row],[Sales]])*100</f>
        <v>7.5</v>
      </c>
    </row>
    <row r="2861" spans="1:12" x14ac:dyDescent="0.3">
      <c r="A2861" t="s">
        <v>4756</v>
      </c>
      <c r="B2861" s="1">
        <v>43984</v>
      </c>
      <c r="C2861" t="s">
        <v>1391</v>
      </c>
      <c r="D2861" t="s">
        <v>1392</v>
      </c>
      <c r="E2861" t="s">
        <v>14</v>
      </c>
      <c r="F2861" t="s">
        <v>23</v>
      </c>
      <c r="G2861" t="s">
        <v>24</v>
      </c>
      <c r="H2861" t="s">
        <v>3419</v>
      </c>
      <c r="I2861" s="2">
        <v>120.34399999999999</v>
      </c>
      <c r="J2861">
        <v>6</v>
      </c>
      <c r="K2861" s="2">
        <v>7.92</v>
      </c>
      <c r="L2861" s="3">
        <f>(Table1[[#This Row],[Profit]]/Table1[[#This Row],[Sales]])*100</f>
        <v>6.5811340822974147</v>
      </c>
    </row>
    <row r="2862" spans="1:12" x14ac:dyDescent="0.3">
      <c r="A2862" t="s">
        <v>5226</v>
      </c>
      <c r="B2862" s="1">
        <v>44071</v>
      </c>
      <c r="C2862" t="s">
        <v>3893</v>
      </c>
      <c r="D2862" t="s">
        <v>3894</v>
      </c>
      <c r="E2862" t="s">
        <v>14</v>
      </c>
      <c r="F2862" t="s">
        <v>29</v>
      </c>
      <c r="G2862" t="s">
        <v>24</v>
      </c>
      <c r="H2862" t="s">
        <v>3419</v>
      </c>
      <c r="I2862" s="2">
        <v>137.34399999999999</v>
      </c>
      <c r="J2862">
        <v>6</v>
      </c>
      <c r="K2862" s="2">
        <v>7.92</v>
      </c>
      <c r="L2862" s="3">
        <f>(Table1[[#This Row],[Profit]]/Table1[[#This Row],[Sales]])*100</f>
        <v>5.766542404473439</v>
      </c>
    </row>
    <row r="2863" spans="1:12" x14ac:dyDescent="0.3">
      <c r="A2863" t="s">
        <v>6036</v>
      </c>
      <c r="B2863" s="1">
        <v>44163</v>
      </c>
      <c r="C2863" t="s">
        <v>1007</v>
      </c>
      <c r="D2863" t="s">
        <v>1008</v>
      </c>
      <c r="E2863" t="s">
        <v>14</v>
      </c>
      <c r="F2863" t="s">
        <v>15</v>
      </c>
      <c r="G2863" t="s">
        <v>24</v>
      </c>
      <c r="H2863" t="s">
        <v>3419</v>
      </c>
      <c r="I2863" s="2">
        <v>102.34399999999999</v>
      </c>
      <c r="J2863">
        <v>6</v>
      </c>
      <c r="K2863" s="2">
        <v>7.92</v>
      </c>
      <c r="L2863" s="3">
        <f>(Table1[[#This Row],[Profit]]/Table1[[#This Row],[Sales]])*100</f>
        <v>7.7386070507308684</v>
      </c>
    </row>
    <row r="2864" spans="1:12" x14ac:dyDescent="0.3">
      <c r="A2864" t="s">
        <v>2423</v>
      </c>
      <c r="B2864" s="1">
        <v>43700</v>
      </c>
      <c r="C2864" t="s">
        <v>2095</v>
      </c>
      <c r="D2864" t="s">
        <v>2096</v>
      </c>
      <c r="E2864" t="s">
        <v>14</v>
      </c>
      <c r="F2864" t="s">
        <v>15</v>
      </c>
      <c r="G2864" t="s">
        <v>24</v>
      </c>
      <c r="H2864" t="s">
        <v>2424</v>
      </c>
      <c r="I2864" s="2">
        <v>29.34</v>
      </c>
      <c r="J2864">
        <v>6</v>
      </c>
      <c r="K2864" s="2">
        <v>7.9218000000000002</v>
      </c>
      <c r="L2864" s="3">
        <f>(Table1[[#This Row],[Profit]]/Table1[[#This Row],[Sales]])*100</f>
        <v>27</v>
      </c>
    </row>
    <row r="2865" spans="1:12" x14ac:dyDescent="0.3">
      <c r="A2865" t="s">
        <v>823</v>
      </c>
      <c r="B2865" s="1">
        <v>43556</v>
      </c>
      <c r="C2865" t="s">
        <v>824</v>
      </c>
      <c r="D2865" t="s">
        <v>825</v>
      </c>
      <c r="E2865" t="s">
        <v>14</v>
      </c>
      <c r="F2865" t="s">
        <v>15</v>
      </c>
      <c r="G2865" t="s">
        <v>24</v>
      </c>
      <c r="H2865" t="s">
        <v>828</v>
      </c>
      <c r="I2865" s="2">
        <v>30.48</v>
      </c>
      <c r="J2865">
        <v>3</v>
      </c>
      <c r="K2865" s="2">
        <v>7.9248000000000003</v>
      </c>
      <c r="L2865" s="3">
        <f>(Table1[[#This Row],[Profit]]/Table1[[#This Row],[Sales]])*100</f>
        <v>26</v>
      </c>
    </row>
    <row r="2866" spans="1:12" x14ac:dyDescent="0.3">
      <c r="A2866" t="s">
        <v>6193</v>
      </c>
      <c r="B2866" s="1">
        <v>44181</v>
      </c>
      <c r="C2866" t="s">
        <v>554</v>
      </c>
      <c r="D2866" t="s">
        <v>555</v>
      </c>
      <c r="E2866" t="s">
        <v>14</v>
      </c>
      <c r="F2866" t="s">
        <v>23</v>
      </c>
      <c r="G2866" t="s">
        <v>24</v>
      </c>
      <c r="H2866" t="s">
        <v>5829</v>
      </c>
      <c r="I2866" s="2">
        <v>485.9</v>
      </c>
      <c r="J2866">
        <v>5</v>
      </c>
      <c r="K2866" s="2">
        <v>7.9450000000000003</v>
      </c>
      <c r="L2866" s="3">
        <f>(Table1[[#This Row],[Profit]]/Table1[[#This Row],[Sales]])*100</f>
        <v>1.6351101049598682</v>
      </c>
    </row>
    <row r="2867" spans="1:12" x14ac:dyDescent="0.3">
      <c r="A2867" t="s">
        <v>4366</v>
      </c>
      <c r="B2867" s="1">
        <v>43918</v>
      </c>
      <c r="C2867" t="s">
        <v>1854</v>
      </c>
      <c r="D2867" t="s">
        <v>1855</v>
      </c>
      <c r="E2867" t="s">
        <v>14</v>
      </c>
      <c r="F2867" t="s">
        <v>23</v>
      </c>
      <c r="G2867" t="s">
        <v>24</v>
      </c>
      <c r="H2867" t="s">
        <v>2416</v>
      </c>
      <c r="I2867" s="2">
        <v>830.48</v>
      </c>
      <c r="J2867">
        <v>7</v>
      </c>
      <c r="K2867" s="2">
        <v>7.9547999999999996</v>
      </c>
      <c r="L2867" s="3">
        <f>(Table1[[#This Row],[Profit]]/Table1[[#This Row],[Sales]])*100</f>
        <v>0.95785569790964253</v>
      </c>
    </row>
    <row r="2868" spans="1:12" x14ac:dyDescent="0.3">
      <c r="A2868" t="s">
        <v>4513</v>
      </c>
      <c r="B2868" s="1">
        <v>43944</v>
      </c>
      <c r="C2868" t="s">
        <v>1929</v>
      </c>
      <c r="D2868" t="s">
        <v>1930</v>
      </c>
      <c r="E2868" t="s">
        <v>14</v>
      </c>
      <c r="F2868" t="s">
        <v>23</v>
      </c>
      <c r="G2868" t="s">
        <v>16</v>
      </c>
      <c r="H2868" t="s">
        <v>2240</v>
      </c>
      <c r="I2868" s="2">
        <v>149.13999999999999</v>
      </c>
      <c r="J2868">
        <v>2</v>
      </c>
      <c r="K2868" s="2">
        <v>7.9661999999999997</v>
      </c>
      <c r="L2868" s="3">
        <f>(Table1[[#This Row],[Profit]]/Table1[[#This Row],[Sales]])*100</f>
        <v>5.3414241652138932</v>
      </c>
    </row>
    <row r="2869" spans="1:12" x14ac:dyDescent="0.3">
      <c r="A2869" t="s">
        <v>1683</v>
      </c>
      <c r="B2869" s="1">
        <v>43626</v>
      </c>
      <c r="C2869" t="s">
        <v>89</v>
      </c>
      <c r="D2869" t="s">
        <v>90</v>
      </c>
      <c r="E2869" t="s">
        <v>14</v>
      </c>
      <c r="F2869" t="s">
        <v>15</v>
      </c>
      <c r="G2869" t="s">
        <v>24</v>
      </c>
      <c r="H2869" t="s">
        <v>1684</v>
      </c>
      <c r="I2869" s="2">
        <v>23.616</v>
      </c>
      <c r="J2869">
        <v>8</v>
      </c>
      <c r="K2869" s="2">
        <v>7.9703999999999997</v>
      </c>
      <c r="L2869" s="3">
        <f>(Table1[[#This Row],[Profit]]/Table1[[#This Row],[Sales]])*100</f>
        <v>33.75</v>
      </c>
    </row>
    <row r="2870" spans="1:12" x14ac:dyDescent="0.3">
      <c r="A2870" t="s">
        <v>4918</v>
      </c>
      <c r="B2870" s="1">
        <v>44011</v>
      </c>
      <c r="C2870" t="s">
        <v>754</v>
      </c>
      <c r="D2870" t="s">
        <v>755</v>
      </c>
      <c r="E2870" t="s">
        <v>14</v>
      </c>
      <c r="F2870" t="s">
        <v>15</v>
      </c>
      <c r="G2870" t="s">
        <v>24</v>
      </c>
      <c r="H2870" t="s">
        <v>1637</v>
      </c>
      <c r="I2870" s="2">
        <v>157.69</v>
      </c>
      <c r="J2870">
        <v>3</v>
      </c>
      <c r="K2870" s="2">
        <v>7.9794</v>
      </c>
      <c r="L2870" s="3">
        <f>(Table1[[#This Row],[Profit]]/Table1[[#This Row],[Sales]])*100</f>
        <v>5.0601813685078314</v>
      </c>
    </row>
    <row r="2871" spans="1:12" x14ac:dyDescent="0.3">
      <c r="A2871" t="s">
        <v>5438</v>
      </c>
      <c r="B2871" s="1">
        <v>44092</v>
      </c>
      <c r="C2871" t="s">
        <v>4039</v>
      </c>
      <c r="D2871" t="s">
        <v>4040</v>
      </c>
      <c r="E2871" t="s">
        <v>14</v>
      </c>
      <c r="F2871" t="s">
        <v>29</v>
      </c>
      <c r="G2871" t="s">
        <v>24</v>
      </c>
      <c r="H2871" t="s">
        <v>4737</v>
      </c>
      <c r="I2871" s="2">
        <v>99.96</v>
      </c>
      <c r="J2871">
        <v>2</v>
      </c>
      <c r="K2871" s="2">
        <v>7.98</v>
      </c>
      <c r="L2871" s="3">
        <f>(Table1[[#This Row],[Profit]]/Table1[[#This Row],[Sales]])*100</f>
        <v>7.9831932773109253</v>
      </c>
    </row>
    <row r="2872" spans="1:12" x14ac:dyDescent="0.3">
      <c r="A2872" t="s">
        <v>1060</v>
      </c>
      <c r="B2872" s="1">
        <v>43573</v>
      </c>
      <c r="C2872" t="s">
        <v>1061</v>
      </c>
      <c r="D2872" t="s">
        <v>1062</v>
      </c>
      <c r="E2872" t="s">
        <v>14</v>
      </c>
      <c r="F2872" t="s">
        <v>41</v>
      </c>
      <c r="G2872" t="s">
        <v>18</v>
      </c>
      <c r="H2872" t="s">
        <v>1064</v>
      </c>
      <c r="I2872" s="2">
        <v>29.56</v>
      </c>
      <c r="J2872">
        <v>4</v>
      </c>
      <c r="K2872" s="2">
        <v>7.9812000000000003</v>
      </c>
      <c r="L2872" s="3">
        <f>(Table1[[#This Row],[Profit]]/Table1[[#This Row],[Sales]])*100</f>
        <v>27</v>
      </c>
    </row>
    <row r="2873" spans="1:12" x14ac:dyDescent="0.3">
      <c r="A2873" t="s">
        <v>4038</v>
      </c>
      <c r="B2873" s="1">
        <v>43850</v>
      </c>
      <c r="C2873" t="s">
        <v>4039</v>
      </c>
      <c r="D2873" t="s">
        <v>4040</v>
      </c>
      <c r="E2873" t="s">
        <v>14</v>
      </c>
      <c r="F2873" t="s">
        <v>23</v>
      </c>
      <c r="G2873" t="s">
        <v>24</v>
      </c>
      <c r="H2873" t="s">
        <v>2987</v>
      </c>
      <c r="I2873" s="2">
        <v>152.19999999999999</v>
      </c>
      <c r="J2873">
        <v>5</v>
      </c>
      <c r="K2873" s="2">
        <v>7.9859999999999998</v>
      </c>
      <c r="L2873" s="3">
        <f>(Table1[[#This Row],[Profit]]/Table1[[#This Row],[Sales]])*100</f>
        <v>5.2470433639947442</v>
      </c>
    </row>
    <row r="2874" spans="1:12" x14ac:dyDescent="0.3">
      <c r="A2874" t="s">
        <v>5904</v>
      </c>
      <c r="B2874" s="1">
        <v>44151</v>
      </c>
      <c r="C2874" t="s">
        <v>475</v>
      </c>
      <c r="D2874" t="s">
        <v>476</v>
      </c>
      <c r="E2874" t="s">
        <v>14</v>
      </c>
      <c r="F2874" t="s">
        <v>23</v>
      </c>
      <c r="G2874" t="s">
        <v>24</v>
      </c>
      <c r="H2874" t="s">
        <v>3078</v>
      </c>
      <c r="I2874" s="2">
        <v>110.29</v>
      </c>
      <c r="J2874">
        <v>1</v>
      </c>
      <c r="K2874" s="2">
        <v>7.9896000000000003</v>
      </c>
      <c r="L2874" s="3">
        <f>(Table1[[#This Row],[Profit]]/Table1[[#This Row],[Sales]])*100</f>
        <v>7.244174449179436</v>
      </c>
    </row>
    <row r="2875" spans="1:12" x14ac:dyDescent="0.3">
      <c r="A2875" t="s">
        <v>6007</v>
      </c>
      <c r="B2875" s="1">
        <v>44159</v>
      </c>
      <c r="C2875" t="s">
        <v>1563</v>
      </c>
      <c r="D2875" t="s">
        <v>1564</v>
      </c>
      <c r="E2875" t="s">
        <v>14</v>
      </c>
      <c r="F2875" t="s">
        <v>29</v>
      </c>
      <c r="G2875" t="s">
        <v>24</v>
      </c>
      <c r="H2875" t="s">
        <v>3078</v>
      </c>
      <c r="I2875" s="2">
        <v>133.29</v>
      </c>
      <c r="J2875">
        <v>1</v>
      </c>
      <c r="K2875" s="2">
        <v>7.9896000000000003</v>
      </c>
      <c r="L2875" s="3">
        <f>(Table1[[#This Row],[Profit]]/Table1[[#This Row],[Sales]])*100</f>
        <v>5.9941480981318938</v>
      </c>
    </row>
    <row r="2876" spans="1:12" x14ac:dyDescent="0.3">
      <c r="A2876" t="s">
        <v>6268</v>
      </c>
      <c r="B2876" s="1">
        <v>44189</v>
      </c>
      <c r="C2876" t="s">
        <v>1808</v>
      </c>
      <c r="D2876" t="s">
        <v>1809</v>
      </c>
      <c r="E2876" t="s">
        <v>14</v>
      </c>
      <c r="F2876" t="s">
        <v>23</v>
      </c>
      <c r="G2876" t="s">
        <v>24</v>
      </c>
      <c r="H2876" t="s">
        <v>4364</v>
      </c>
      <c r="I2876" s="2">
        <v>379.31200000000001</v>
      </c>
      <c r="J2876">
        <v>3</v>
      </c>
      <c r="K2876" s="2">
        <v>7.992</v>
      </c>
      <c r="L2876" s="3">
        <f>(Table1[[#This Row],[Profit]]/Table1[[#This Row],[Sales]])*100</f>
        <v>2.1069726241194582</v>
      </c>
    </row>
    <row r="2877" spans="1:12" x14ac:dyDescent="0.3">
      <c r="A2877" t="s">
        <v>1588</v>
      </c>
      <c r="B2877" s="1">
        <v>43615</v>
      </c>
      <c r="C2877" t="s">
        <v>1589</v>
      </c>
      <c r="D2877" t="s">
        <v>1590</v>
      </c>
      <c r="E2877" t="s">
        <v>14</v>
      </c>
      <c r="F2877" t="s">
        <v>29</v>
      </c>
      <c r="G2877" t="s">
        <v>18</v>
      </c>
      <c r="H2877" t="s">
        <v>1591</v>
      </c>
      <c r="I2877" s="2">
        <v>79.959999999999994</v>
      </c>
      <c r="J2877">
        <v>5</v>
      </c>
      <c r="K2877" s="2">
        <v>7.9960000000000004</v>
      </c>
      <c r="L2877" s="3">
        <f>(Table1[[#This Row],[Profit]]/Table1[[#This Row],[Sales]])*100</f>
        <v>10.000000000000002</v>
      </c>
    </row>
    <row r="2878" spans="1:12" x14ac:dyDescent="0.3">
      <c r="A2878" t="s">
        <v>4394</v>
      </c>
      <c r="B2878" s="1">
        <v>43921</v>
      </c>
      <c r="C2878" t="s">
        <v>188</v>
      </c>
      <c r="D2878" t="s">
        <v>189</v>
      </c>
      <c r="E2878" t="s">
        <v>14</v>
      </c>
      <c r="F2878" t="s">
        <v>23</v>
      </c>
      <c r="G2878" t="s">
        <v>24</v>
      </c>
      <c r="H2878" t="s">
        <v>3446</v>
      </c>
      <c r="I2878" s="2">
        <v>104.7</v>
      </c>
      <c r="J2878">
        <v>3</v>
      </c>
      <c r="K2878" s="2">
        <v>8.0190000000000001</v>
      </c>
      <c r="L2878" s="3">
        <f>(Table1[[#This Row],[Profit]]/Table1[[#This Row],[Sales]])*100</f>
        <v>7.6590257879656161</v>
      </c>
    </row>
    <row r="2879" spans="1:12" x14ac:dyDescent="0.3">
      <c r="A2879" t="s">
        <v>5242</v>
      </c>
      <c r="B2879" s="1">
        <v>44075</v>
      </c>
      <c r="C2879" t="s">
        <v>2466</v>
      </c>
      <c r="D2879" t="s">
        <v>2467</v>
      </c>
      <c r="E2879" t="s">
        <v>14</v>
      </c>
      <c r="F2879" t="s">
        <v>23</v>
      </c>
      <c r="G2879" t="s">
        <v>24</v>
      </c>
      <c r="H2879" t="s">
        <v>5200</v>
      </c>
      <c r="I2879" s="2">
        <v>130.91999999999999</v>
      </c>
      <c r="J2879">
        <v>5</v>
      </c>
      <c r="K2879" s="2">
        <v>8.0220000000000002</v>
      </c>
      <c r="L2879" s="3">
        <f>(Table1[[#This Row],[Profit]]/Table1[[#This Row],[Sales]])*100</f>
        <v>6.1274060494958764</v>
      </c>
    </row>
    <row r="2880" spans="1:12" x14ac:dyDescent="0.3">
      <c r="A2880" t="s">
        <v>1705</v>
      </c>
      <c r="B2880" s="1">
        <v>43628</v>
      </c>
      <c r="C2880" t="s">
        <v>637</v>
      </c>
      <c r="D2880" t="s">
        <v>638</v>
      </c>
      <c r="E2880" t="s">
        <v>14</v>
      </c>
      <c r="F2880" t="s">
        <v>41</v>
      </c>
      <c r="G2880" t="s">
        <v>24</v>
      </c>
      <c r="H2880" t="s">
        <v>399</v>
      </c>
      <c r="I2880" s="2">
        <v>16.739999999999998</v>
      </c>
      <c r="J2880">
        <v>3</v>
      </c>
      <c r="K2880" s="2">
        <v>8.0351999999999997</v>
      </c>
      <c r="L2880" s="3">
        <f>(Table1[[#This Row],[Profit]]/Table1[[#This Row],[Sales]])*100</f>
        <v>48.000000000000007</v>
      </c>
    </row>
    <row r="2881" spans="1:12" x14ac:dyDescent="0.3">
      <c r="A2881" t="s">
        <v>4388</v>
      </c>
      <c r="B2881" s="1">
        <v>43921</v>
      </c>
      <c r="C2881" t="s">
        <v>4389</v>
      </c>
      <c r="D2881" t="s">
        <v>4390</v>
      </c>
      <c r="E2881" t="s">
        <v>14</v>
      </c>
      <c r="F2881" t="s">
        <v>15</v>
      </c>
      <c r="G2881" t="s">
        <v>16</v>
      </c>
      <c r="H2881" t="s">
        <v>4161</v>
      </c>
      <c r="I2881" s="2">
        <v>160.78</v>
      </c>
      <c r="J2881">
        <v>2</v>
      </c>
      <c r="K2881" s="2">
        <v>8.0405999999999995</v>
      </c>
      <c r="L2881" s="3">
        <f>(Table1[[#This Row],[Profit]]/Table1[[#This Row],[Sales]])*100</f>
        <v>5.000995148650329</v>
      </c>
    </row>
    <row r="2882" spans="1:12" x14ac:dyDescent="0.3">
      <c r="A2882" t="s">
        <v>1802</v>
      </c>
      <c r="B2882" s="1">
        <v>43635</v>
      </c>
      <c r="C2882" t="s">
        <v>1600</v>
      </c>
      <c r="D2882" t="s">
        <v>1601</v>
      </c>
      <c r="E2882" t="s">
        <v>14</v>
      </c>
      <c r="F2882" t="s">
        <v>23</v>
      </c>
      <c r="G2882" t="s">
        <v>24</v>
      </c>
      <c r="H2882" t="s">
        <v>1803</v>
      </c>
      <c r="I2882" s="2">
        <v>17.12</v>
      </c>
      <c r="J2882">
        <v>2</v>
      </c>
      <c r="K2882" s="2">
        <v>8.0464000000000002</v>
      </c>
      <c r="L2882" s="3">
        <f>(Table1[[#This Row],[Profit]]/Table1[[#This Row],[Sales]])*100</f>
        <v>47</v>
      </c>
    </row>
    <row r="2883" spans="1:12" x14ac:dyDescent="0.3">
      <c r="A2883" t="s">
        <v>4312</v>
      </c>
      <c r="B2883" s="1">
        <v>43911</v>
      </c>
      <c r="C2883" t="s">
        <v>2411</v>
      </c>
      <c r="D2883" t="s">
        <v>2412</v>
      </c>
      <c r="E2883" t="s">
        <v>14</v>
      </c>
      <c r="F2883" t="s">
        <v>41</v>
      </c>
      <c r="G2883" t="s">
        <v>24</v>
      </c>
      <c r="H2883" t="s">
        <v>1728</v>
      </c>
      <c r="I2883" s="2">
        <v>100.384</v>
      </c>
      <c r="J2883">
        <v>1</v>
      </c>
      <c r="K2883" s="2">
        <v>8.048</v>
      </c>
      <c r="L2883" s="3">
        <f>(Table1[[#This Row],[Profit]]/Table1[[#This Row],[Sales]])*100</f>
        <v>8.0172138986292634</v>
      </c>
    </row>
    <row r="2884" spans="1:12" x14ac:dyDescent="0.3">
      <c r="A2884" t="s">
        <v>870</v>
      </c>
      <c r="B2884" s="1">
        <v>43559</v>
      </c>
      <c r="C2884" t="s">
        <v>871</v>
      </c>
      <c r="D2884" t="s">
        <v>872</v>
      </c>
      <c r="E2884" t="s">
        <v>14</v>
      </c>
      <c r="F2884" t="s">
        <v>15</v>
      </c>
      <c r="G2884" t="s">
        <v>24</v>
      </c>
      <c r="H2884" t="s">
        <v>873</v>
      </c>
      <c r="I2884" s="2">
        <v>31.02</v>
      </c>
      <c r="J2884">
        <v>2</v>
      </c>
      <c r="K2884" s="2">
        <v>8.0652000000000008</v>
      </c>
      <c r="L2884" s="3">
        <f>(Table1[[#This Row],[Profit]]/Table1[[#This Row],[Sales]])*100</f>
        <v>26</v>
      </c>
    </row>
    <row r="2885" spans="1:12" x14ac:dyDescent="0.3">
      <c r="A2885" t="s">
        <v>1298</v>
      </c>
      <c r="B2885" s="1">
        <v>43593</v>
      </c>
      <c r="C2885" t="s">
        <v>1299</v>
      </c>
      <c r="D2885" t="s">
        <v>1300</v>
      </c>
      <c r="E2885" t="s">
        <v>14</v>
      </c>
      <c r="F2885" t="s">
        <v>23</v>
      </c>
      <c r="G2885" t="s">
        <v>24</v>
      </c>
      <c r="H2885" t="s">
        <v>1301</v>
      </c>
      <c r="I2885" s="2">
        <v>17.940000000000001</v>
      </c>
      <c r="J2885">
        <v>3</v>
      </c>
      <c r="K2885" s="2">
        <v>8.0730000000000004</v>
      </c>
      <c r="L2885" s="3">
        <f>(Table1[[#This Row],[Profit]]/Table1[[#This Row],[Sales]])*100</f>
        <v>45</v>
      </c>
    </row>
    <row r="2886" spans="1:12" x14ac:dyDescent="0.3">
      <c r="A2886" t="s">
        <v>6168</v>
      </c>
      <c r="B2886" s="1">
        <v>44176</v>
      </c>
      <c r="C2886" t="s">
        <v>2005</v>
      </c>
      <c r="D2886" t="s">
        <v>2006</v>
      </c>
      <c r="E2886" t="s">
        <v>14</v>
      </c>
      <c r="F2886" t="s">
        <v>15</v>
      </c>
      <c r="G2886" t="s">
        <v>24</v>
      </c>
      <c r="H2886" t="s">
        <v>2861</v>
      </c>
      <c r="I2886" s="2">
        <v>470.94</v>
      </c>
      <c r="J2886">
        <v>3</v>
      </c>
      <c r="K2886" s="2">
        <v>8.0730000000000004</v>
      </c>
      <c r="L2886" s="3">
        <f>(Table1[[#This Row],[Profit]]/Table1[[#This Row],[Sales]])*100</f>
        <v>1.7142311122435978</v>
      </c>
    </row>
    <row r="2887" spans="1:12" x14ac:dyDescent="0.3">
      <c r="A2887" t="s">
        <v>3681</v>
      </c>
      <c r="B2887" s="1">
        <v>43802</v>
      </c>
      <c r="C2887" t="s">
        <v>1125</v>
      </c>
      <c r="D2887" t="s">
        <v>1126</v>
      </c>
      <c r="E2887" t="s">
        <v>14</v>
      </c>
      <c r="F2887" t="s">
        <v>29</v>
      </c>
      <c r="G2887" t="s">
        <v>16</v>
      </c>
      <c r="H2887" t="s">
        <v>364</v>
      </c>
      <c r="I2887" s="2">
        <v>29.98</v>
      </c>
      <c r="J2887">
        <v>1</v>
      </c>
      <c r="K2887" s="2">
        <v>8.0945999999999998</v>
      </c>
      <c r="L2887" s="3">
        <f>(Table1[[#This Row],[Profit]]/Table1[[#This Row],[Sales]])*100</f>
        <v>26.999999999999996</v>
      </c>
    </row>
    <row r="2888" spans="1:12" x14ac:dyDescent="0.3">
      <c r="A2888" t="s">
        <v>4027</v>
      </c>
      <c r="B2888" s="1">
        <v>43846</v>
      </c>
      <c r="C2888" t="s">
        <v>64</v>
      </c>
      <c r="D2888" t="s">
        <v>65</v>
      </c>
      <c r="E2888" t="s">
        <v>14</v>
      </c>
      <c r="F2888" t="s">
        <v>23</v>
      </c>
      <c r="G2888" t="s">
        <v>16</v>
      </c>
      <c r="H2888" t="s">
        <v>4029</v>
      </c>
      <c r="I2888" s="2">
        <v>141.91999999999999</v>
      </c>
      <c r="J2888">
        <v>4</v>
      </c>
      <c r="K2888" s="2">
        <v>8.0968</v>
      </c>
      <c r="L2888" s="3">
        <f>(Table1[[#This Row],[Profit]]/Table1[[#This Row],[Sales]])*100</f>
        <v>5.7051860202931239</v>
      </c>
    </row>
    <row r="2889" spans="1:12" x14ac:dyDescent="0.3">
      <c r="A2889" t="s">
        <v>5450</v>
      </c>
      <c r="B2889" s="1">
        <v>44094</v>
      </c>
      <c r="C2889" t="s">
        <v>1698</v>
      </c>
      <c r="D2889" t="s">
        <v>1699</v>
      </c>
      <c r="E2889" t="s">
        <v>14</v>
      </c>
      <c r="F2889" t="s">
        <v>15</v>
      </c>
      <c r="G2889" t="s">
        <v>16</v>
      </c>
      <c r="H2889" t="s">
        <v>1980</v>
      </c>
      <c r="I2889" s="2">
        <v>116.991</v>
      </c>
      <c r="J2889">
        <v>1</v>
      </c>
      <c r="K2889" s="2">
        <v>8.0991</v>
      </c>
      <c r="L2889" s="3">
        <f>(Table1[[#This Row],[Profit]]/Table1[[#This Row],[Sales]])*100</f>
        <v>6.9228402184783446</v>
      </c>
    </row>
    <row r="2890" spans="1:12" x14ac:dyDescent="0.3">
      <c r="A2890" t="s">
        <v>2492</v>
      </c>
      <c r="B2890" s="1">
        <v>43706</v>
      </c>
      <c r="C2890" t="s">
        <v>627</v>
      </c>
      <c r="D2890" t="s">
        <v>628</v>
      </c>
      <c r="E2890" t="s">
        <v>14</v>
      </c>
      <c r="F2890" t="s">
        <v>15</v>
      </c>
      <c r="G2890" t="s">
        <v>24</v>
      </c>
      <c r="H2890" t="s">
        <v>1405</v>
      </c>
      <c r="I2890" s="2">
        <v>27.93</v>
      </c>
      <c r="J2890">
        <v>3</v>
      </c>
      <c r="K2890" s="2">
        <v>8.0997000000000003</v>
      </c>
      <c r="L2890" s="3">
        <f>(Table1[[#This Row],[Profit]]/Table1[[#This Row],[Sales]])*100</f>
        <v>29.000000000000004</v>
      </c>
    </row>
    <row r="2891" spans="1:12" x14ac:dyDescent="0.3">
      <c r="A2891" t="s">
        <v>2815</v>
      </c>
      <c r="B2891" s="1">
        <v>43727</v>
      </c>
      <c r="C2891" t="s">
        <v>2816</v>
      </c>
      <c r="D2891" t="s">
        <v>2817</v>
      </c>
      <c r="E2891" t="s">
        <v>14</v>
      </c>
      <c r="F2891" t="s">
        <v>15</v>
      </c>
      <c r="G2891" t="s">
        <v>24</v>
      </c>
      <c r="H2891" t="s">
        <v>1405</v>
      </c>
      <c r="I2891" s="2">
        <v>27.93</v>
      </c>
      <c r="J2891">
        <v>3</v>
      </c>
      <c r="K2891" s="2">
        <v>8.0997000000000003</v>
      </c>
      <c r="L2891" s="3">
        <f>(Table1[[#This Row],[Profit]]/Table1[[#This Row],[Sales]])*100</f>
        <v>29.000000000000004</v>
      </c>
    </row>
    <row r="2892" spans="1:12" x14ac:dyDescent="0.3">
      <c r="A2892" t="s">
        <v>5871</v>
      </c>
      <c r="B2892" s="1">
        <v>44147</v>
      </c>
      <c r="C2892" t="s">
        <v>684</v>
      </c>
      <c r="D2892" t="s">
        <v>685</v>
      </c>
      <c r="E2892" t="s">
        <v>14</v>
      </c>
      <c r="F2892" t="s">
        <v>23</v>
      </c>
      <c r="G2892" t="s">
        <v>24</v>
      </c>
      <c r="H2892" t="s">
        <v>1405</v>
      </c>
      <c r="I2892" s="2">
        <v>137.93</v>
      </c>
      <c r="J2892">
        <v>3</v>
      </c>
      <c r="K2892" s="2">
        <v>8.0997000000000003</v>
      </c>
      <c r="L2892" s="3">
        <f>(Table1[[#This Row],[Profit]]/Table1[[#This Row],[Sales]])*100</f>
        <v>5.872326542449068</v>
      </c>
    </row>
    <row r="2893" spans="1:12" x14ac:dyDescent="0.3">
      <c r="A2893" t="s">
        <v>4847</v>
      </c>
      <c r="B2893" s="1">
        <v>43999</v>
      </c>
      <c r="C2893" t="s">
        <v>861</v>
      </c>
      <c r="D2893" t="s">
        <v>862</v>
      </c>
      <c r="E2893" t="s">
        <v>14</v>
      </c>
      <c r="F2893" t="s">
        <v>15</v>
      </c>
      <c r="G2893" t="s">
        <v>18</v>
      </c>
      <c r="H2893" t="s">
        <v>4848</v>
      </c>
      <c r="I2893" s="2">
        <v>114.34</v>
      </c>
      <c r="J2893">
        <v>3</v>
      </c>
      <c r="K2893" s="2">
        <v>8.1072000000000006</v>
      </c>
      <c r="L2893" s="3">
        <f>(Table1[[#This Row],[Profit]]/Table1[[#This Row],[Sales]])*100</f>
        <v>7.0904320447787299</v>
      </c>
    </row>
    <row r="2894" spans="1:12" x14ac:dyDescent="0.3">
      <c r="A2894" t="s">
        <v>5433</v>
      </c>
      <c r="B2894" s="1">
        <v>44092</v>
      </c>
      <c r="C2894" t="s">
        <v>2915</v>
      </c>
      <c r="D2894" t="s">
        <v>2916</v>
      </c>
      <c r="E2894" t="s">
        <v>14</v>
      </c>
      <c r="F2894" t="s">
        <v>23</v>
      </c>
      <c r="G2894" t="s">
        <v>18</v>
      </c>
      <c r="H2894" t="s">
        <v>4848</v>
      </c>
      <c r="I2894" s="2">
        <v>111.34</v>
      </c>
      <c r="J2894">
        <v>3</v>
      </c>
      <c r="K2894" s="2">
        <v>8.1072000000000006</v>
      </c>
      <c r="L2894" s="3">
        <f>(Table1[[#This Row],[Profit]]/Table1[[#This Row],[Sales]])*100</f>
        <v>7.2814801508891689</v>
      </c>
    </row>
    <row r="2895" spans="1:12" x14ac:dyDescent="0.3">
      <c r="A2895" t="s">
        <v>4358</v>
      </c>
      <c r="B2895" s="1">
        <v>43917</v>
      </c>
      <c r="C2895" t="s">
        <v>443</v>
      </c>
      <c r="D2895" t="s">
        <v>444</v>
      </c>
      <c r="E2895" t="s">
        <v>14</v>
      </c>
      <c r="F2895" t="s">
        <v>41</v>
      </c>
      <c r="G2895" t="s">
        <v>24</v>
      </c>
      <c r="H2895" t="s">
        <v>2469</v>
      </c>
      <c r="I2895" s="2">
        <v>121.64</v>
      </c>
      <c r="J2895">
        <v>4</v>
      </c>
      <c r="K2895" s="2">
        <v>8.1143999999999998</v>
      </c>
      <c r="L2895" s="3">
        <f>(Table1[[#This Row],[Profit]]/Table1[[#This Row],[Sales]])*100</f>
        <v>6.6708319631700093</v>
      </c>
    </row>
    <row r="2896" spans="1:12" x14ac:dyDescent="0.3">
      <c r="A2896" t="s">
        <v>4220</v>
      </c>
      <c r="B2896" s="1">
        <v>43896</v>
      </c>
      <c r="C2896" t="s">
        <v>3109</v>
      </c>
      <c r="D2896" t="s">
        <v>3110</v>
      </c>
      <c r="E2896" t="s">
        <v>14</v>
      </c>
      <c r="F2896" t="s">
        <v>23</v>
      </c>
      <c r="G2896" t="s">
        <v>24</v>
      </c>
      <c r="H2896" t="s">
        <v>3975</v>
      </c>
      <c r="I2896" s="2">
        <v>117.88</v>
      </c>
      <c r="J2896">
        <v>6</v>
      </c>
      <c r="K2896" s="2">
        <v>8.1191999999999993</v>
      </c>
      <c r="L2896" s="3">
        <f>(Table1[[#This Row],[Profit]]/Table1[[#This Row],[Sales]])*100</f>
        <v>6.8876823888700365</v>
      </c>
    </row>
    <row r="2897" spans="1:12" x14ac:dyDescent="0.3">
      <c r="A2897" t="s">
        <v>955</v>
      </c>
      <c r="B2897" s="1">
        <v>43565</v>
      </c>
      <c r="C2897" t="s">
        <v>956</v>
      </c>
      <c r="D2897" t="s">
        <v>957</v>
      </c>
      <c r="E2897" t="s">
        <v>14</v>
      </c>
      <c r="F2897" t="s">
        <v>23</v>
      </c>
      <c r="G2897" t="s">
        <v>24</v>
      </c>
      <c r="H2897" t="s">
        <v>397</v>
      </c>
      <c r="I2897" s="2">
        <v>23.2</v>
      </c>
      <c r="J2897">
        <v>5</v>
      </c>
      <c r="K2897" s="2">
        <v>8.1199999999999992</v>
      </c>
      <c r="L2897" s="3">
        <f>(Table1[[#This Row],[Profit]]/Table1[[#This Row],[Sales]])*100</f>
        <v>35</v>
      </c>
    </row>
    <row r="2898" spans="1:12" x14ac:dyDescent="0.3">
      <c r="A2898" t="s">
        <v>6183</v>
      </c>
      <c r="B2898" s="1">
        <v>44179</v>
      </c>
      <c r="C2898" t="s">
        <v>244</v>
      </c>
      <c r="D2898" t="s">
        <v>245</v>
      </c>
      <c r="E2898" t="s">
        <v>14</v>
      </c>
      <c r="F2898" t="s">
        <v>15</v>
      </c>
      <c r="G2898" t="s">
        <v>24</v>
      </c>
      <c r="H2898" t="s">
        <v>489</v>
      </c>
      <c r="I2898" s="2">
        <v>413.28</v>
      </c>
      <c r="J2898">
        <v>6</v>
      </c>
      <c r="K2898" s="2">
        <v>8.1216000000000008</v>
      </c>
      <c r="L2898" s="3">
        <f>(Table1[[#This Row],[Profit]]/Table1[[#This Row],[Sales]])*100</f>
        <v>1.9651567944250874</v>
      </c>
    </row>
    <row r="2899" spans="1:12" x14ac:dyDescent="0.3">
      <c r="A2899" t="s">
        <v>2480</v>
      </c>
      <c r="B2899" s="1">
        <v>43705</v>
      </c>
      <c r="C2899" t="s">
        <v>2481</v>
      </c>
      <c r="D2899" t="s">
        <v>2482</v>
      </c>
      <c r="E2899" t="s">
        <v>14</v>
      </c>
      <c r="F2899" t="s">
        <v>23</v>
      </c>
      <c r="G2899" t="s">
        <v>18</v>
      </c>
      <c r="H2899" t="s">
        <v>32</v>
      </c>
      <c r="I2899" s="2">
        <v>108.57599999999999</v>
      </c>
      <c r="J2899">
        <v>3</v>
      </c>
      <c r="K2899" s="2">
        <v>8.1432000000000002</v>
      </c>
      <c r="L2899" s="3">
        <f>(Table1[[#This Row],[Profit]]/Table1[[#This Row],[Sales]])*100</f>
        <v>7.5000000000000009</v>
      </c>
    </row>
    <row r="2900" spans="1:12" x14ac:dyDescent="0.3">
      <c r="A2900" t="s">
        <v>3159</v>
      </c>
      <c r="B2900" s="1">
        <v>43761</v>
      </c>
      <c r="C2900" t="s">
        <v>1869</v>
      </c>
      <c r="D2900" t="s">
        <v>1870</v>
      </c>
      <c r="E2900" t="s">
        <v>14</v>
      </c>
      <c r="F2900" t="s">
        <v>23</v>
      </c>
      <c r="G2900" t="s">
        <v>24</v>
      </c>
      <c r="H2900" t="s">
        <v>2429</v>
      </c>
      <c r="I2900" s="2">
        <v>17.05</v>
      </c>
      <c r="J2900">
        <v>5</v>
      </c>
      <c r="K2900" s="2">
        <v>8.1839999999999993</v>
      </c>
      <c r="L2900" s="3">
        <f>(Table1[[#This Row],[Profit]]/Table1[[#This Row],[Sales]])*100</f>
        <v>47.999999999999993</v>
      </c>
    </row>
    <row r="2901" spans="1:12" x14ac:dyDescent="0.3">
      <c r="A2901" t="s">
        <v>3382</v>
      </c>
      <c r="B2901" s="1">
        <v>43780</v>
      </c>
      <c r="C2901" t="s">
        <v>942</v>
      </c>
      <c r="D2901" t="s">
        <v>943</v>
      </c>
      <c r="E2901" t="s">
        <v>14</v>
      </c>
      <c r="F2901" t="s">
        <v>15</v>
      </c>
      <c r="G2901" t="s">
        <v>16</v>
      </c>
      <c r="H2901" t="s">
        <v>3383</v>
      </c>
      <c r="I2901" s="2">
        <v>245.64599999999999</v>
      </c>
      <c r="J2901">
        <v>3</v>
      </c>
      <c r="K2901" s="2">
        <v>8.1882000000000001</v>
      </c>
      <c r="L2901" s="3">
        <f>(Table1[[#This Row],[Profit]]/Table1[[#This Row],[Sales]])*100</f>
        <v>3.3333333333333335</v>
      </c>
    </row>
    <row r="2902" spans="1:12" x14ac:dyDescent="0.3">
      <c r="A2902" t="s">
        <v>3263</v>
      </c>
      <c r="B2902" s="1">
        <v>43773</v>
      </c>
      <c r="C2902" t="s">
        <v>80</v>
      </c>
      <c r="D2902" t="s">
        <v>81</v>
      </c>
      <c r="E2902" t="s">
        <v>14</v>
      </c>
      <c r="F2902" t="s">
        <v>41</v>
      </c>
      <c r="G2902" t="s">
        <v>16</v>
      </c>
      <c r="H2902" t="s">
        <v>1123</v>
      </c>
      <c r="I2902" s="2">
        <v>50.496000000000002</v>
      </c>
      <c r="J2902">
        <v>6</v>
      </c>
      <c r="K2902" s="2">
        <v>8.2056000000000004</v>
      </c>
      <c r="L2902" s="3">
        <f>(Table1[[#This Row],[Profit]]/Table1[[#This Row],[Sales]])*100</f>
        <v>16.25</v>
      </c>
    </row>
    <row r="2903" spans="1:12" x14ac:dyDescent="0.3">
      <c r="A2903" t="s">
        <v>586</v>
      </c>
      <c r="B2903" s="1">
        <v>43535</v>
      </c>
      <c r="C2903" t="s">
        <v>456</v>
      </c>
      <c r="D2903" t="s">
        <v>457</v>
      </c>
      <c r="E2903" t="s">
        <v>14</v>
      </c>
      <c r="F2903" t="s">
        <v>29</v>
      </c>
      <c r="G2903" t="s">
        <v>24</v>
      </c>
      <c r="H2903" t="s">
        <v>587</v>
      </c>
      <c r="I2903" s="2">
        <v>17.46</v>
      </c>
      <c r="J2903">
        <v>2</v>
      </c>
      <c r="K2903" s="2">
        <v>8.2062000000000008</v>
      </c>
      <c r="L2903" s="3">
        <f>(Table1[[#This Row],[Profit]]/Table1[[#This Row],[Sales]])*100</f>
        <v>47</v>
      </c>
    </row>
    <row r="2904" spans="1:12" x14ac:dyDescent="0.3">
      <c r="A2904" t="s">
        <v>6191</v>
      </c>
      <c r="B2904" s="1">
        <v>44181</v>
      </c>
      <c r="C2904" t="s">
        <v>3848</v>
      </c>
      <c r="D2904" t="s">
        <v>3849</v>
      </c>
      <c r="E2904" t="s">
        <v>14</v>
      </c>
      <c r="F2904" t="s">
        <v>23</v>
      </c>
      <c r="G2904" t="s">
        <v>24</v>
      </c>
      <c r="H2904" t="s">
        <v>3188</v>
      </c>
      <c r="I2904" s="2">
        <v>318.32</v>
      </c>
      <c r="J2904">
        <v>5</v>
      </c>
      <c r="K2904" s="2">
        <v>8.2080000000000002</v>
      </c>
      <c r="L2904" s="3">
        <f>(Table1[[#This Row],[Profit]]/Table1[[#This Row],[Sales]])*100</f>
        <v>2.5785373209349083</v>
      </c>
    </row>
    <row r="2905" spans="1:12" x14ac:dyDescent="0.3">
      <c r="A2905" t="s">
        <v>5341</v>
      </c>
      <c r="B2905" s="1">
        <v>44083</v>
      </c>
      <c r="C2905" t="s">
        <v>89</v>
      </c>
      <c r="D2905" t="s">
        <v>90</v>
      </c>
      <c r="E2905" t="s">
        <v>14</v>
      </c>
      <c r="F2905" t="s">
        <v>29</v>
      </c>
      <c r="G2905" t="s">
        <v>24</v>
      </c>
      <c r="H2905" t="s">
        <v>5342</v>
      </c>
      <c r="I2905" s="2">
        <v>89.48</v>
      </c>
      <c r="J2905">
        <v>2</v>
      </c>
      <c r="K2905" s="2">
        <v>8.2156000000000002</v>
      </c>
      <c r="L2905" s="3">
        <f>(Table1[[#This Row],[Profit]]/Table1[[#This Row],[Sales]])*100</f>
        <v>9.1814930710773357</v>
      </c>
    </row>
    <row r="2906" spans="1:12" x14ac:dyDescent="0.3">
      <c r="A2906" t="s">
        <v>3970</v>
      </c>
      <c r="B2906" s="1">
        <v>43830</v>
      </c>
      <c r="C2906" t="s">
        <v>3064</v>
      </c>
      <c r="D2906" t="s">
        <v>3065</v>
      </c>
      <c r="E2906" t="s">
        <v>14</v>
      </c>
      <c r="F2906" t="s">
        <v>41</v>
      </c>
      <c r="G2906" t="s">
        <v>24</v>
      </c>
      <c r="H2906" t="s">
        <v>2737</v>
      </c>
      <c r="I2906" s="2">
        <v>23.48</v>
      </c>
      <c r="J2906">
        <v>5</v>
      </c>
      <c r="K2906" s="2">
        <v>8.218</v>
      </c>
      <c r="L2906" s="3">
        <f>(Table1[[#This Row],[Profit]]/Table1[[#This Row],[Sales]])*100</f>
        <v>35</v>
      </c>
    </row>
    <row r="2907" spans="1:12" x14ac:dyDescent="0.3">
      <c r="A2907" t="s">
        <v>230</v>
      </c>
      <c r="B2907" s="1">
        <v>43496</v>
      </c>
      <c r="C2907" t="s">
        <v>231</v>
      </c>
      <c r="D2907" t="s">
        <v>232</v>
      </c>
      <c r="E2907" t="s">
        <v>14</v>
      </c>
      <c r="F2907" t="s">
        <v>23</v>
      </c>
      <c r="G2907" t="s">
        <v>18</v>
      </c>
      <c r="H2907" t="s">
        <v>233</v>
      </c>
      <c r="I2907" s="2">
        <v>109.592</v>
      </c>
      <c r="J2907">
        <v>1</v>
      </c>
      <c r="K2907" s="2">
        <v>8.2194000000000003</v>
      </c>
      <c r="L2907" s="3">
        <f>(Table1[[#This Row],[Profit]]/Table1[[#This Row],[Sales]])*100</f>
        <v>7.5</v>
      </c>
    </row>
    <row r="2908" spans="1:12" x14ac:dyDescent="0.3">
      <c r="A2908" t="s">
        <v>4897</v>
      </c>
      <c r="B2908" s="1">
        <v>44008</v>
      </c>
      <c r="C2908" t="s">
        <v>4396</v>
      </c>
      <c r="D2908" t="s">
        <v>4397</v>
      </c>
      <c r="E2908" t="s">
        <v>14</v>
      </c>
      <c r="F2908" t="s">
        <v>15</v>
      </c>
      <c r="G2908" t="s">
        <v>24</v>
      </c>
      <c r="H2908" t="s">
        <v>2576</v>
      </c>
      <c r="I2908" s="2">
        <v>114.4</v>
      </c>
      <c r="J2908">
        <v>5</v>
      </c>
      <c r="K2908" s="2">
        <v>8.2360000000000007</v>
      </c>
      <c r="L2908" s="3">
        <f>(Table1[[#This Row],[Profit]]/Table1[[#This Row],[Sales]])*100</f>
        <v>7.1993006993006992</v>
      </c>
    </row>
    <row r="2909" spans="1:12" x14ac:dyDescent="0.3">
      <c r="A2909" t="s">
        <v>5213</v>
      </c>
      <c r="B2909" s="1">
        <v>44070</v>
      </c>
      <c r="C2909" t="s">
        <v>754</v>
      </c>
      <c r="D2909" t="s">
        <v>755</v>
      </c>
      <c r="E2909" t="s">
        <v>14</v>
      </c>
      <c r="F2909" t="s">
        <v>23</v>
      </c>
      <c r="G2909" t="s">
        <v>24</v>
      </c>
      <c r="H2909" t="s">
        <v>2576</v>
      </c>
      <c r="I2909" s="2">
        <v>149.4</v>
      </c>
      <c r="J2909">
        <v>5</v>
      </c>
      <c r="K2909" s="2">
        <v>8.2360000000000007</v>
      </c>
      <c r="L2909" s="3">
        <f>(Table1[[#This Row],[Profit]]/Table1[[#This Row],[Sales]])*100</f>
        <v>5.5127175368139225</v>
      </c>
    </row>
    <row r="2910" spans="1:12" x14ac:dyDescent="0.3">
      <c r="A2910" t="s">
        <v>2443</v>
      </c>
      <c r="B2910" s="1">
        <v>43703</v>
      </c>
      <c r="C2910" t="s">
        <v>754</v>
      </c>
      <c r="D2910" t="s">
        <v>755</v>
      </c>
      <c r="E2910" t="s">
        <v>14</v>
      </c>
      <c r="F2910" t="s">
        <v>15</v>
      </c>
      <c r="G2910" t="s">
        <v>18</v>
      </c>
      <c r="H2910" t="s">
        <v>2444</v>
      </c>
      <c r="I2910" s="2">
        <v>33</v>
      </c>
      <c r="J2910">
        <v>6</v>
      </c>
      <c r="K2910" s="2">
        <v>8.25</v>
      </c>
      <c r="L2910" s="3">
        <f>(Table1[[#This Row],[Profit]]/Table1[[#This Row],[Sales]])*100</f>
        <v>25</v>
      </c>
    </row>
    <row r="2911" spans="1:12" x14ac:dyDescent="0.3">
      <c r="A2911" t="s">
        <v>4063</v>
      </c>
      <c r="B2911" s="1">
        <v>43854</v>
      </c>
      <c r="C2911" t="s">
        <v>2760</v>
      </c>
      <c r="D2911" t="s">
        <v>2761</v>
      </c>
      <c r="E2911" t="s">
        <v>14</v>
      </c>
      <c r="F2911" t="s">
        <v>23</v>
      </c>
      <c r="G2911" t="s">
        <v>18</v>
      </c>
      <c r="H2911" t="s">
        <v>3645</v>
      </c>
      <c r="I2911" s="2">
        <v>149.352</v>
      </c>
      <c r="J2911">
        <v>3</v>
      </c>
      <c r="K2911" s="2">
        <v>8.2764000000000006</v>
      </c>
      <c r="L2911" s="3">
        <f>(Table1[[#This Row],[Profit]]/Table1[[#This Row],[Sales]])*100</f>
        <v>5.54153945042584</v>
      </c>
    </row>
    <row r="2912" spans="1:12" x14ac:dyDescent="0.3">
      <c r="A2912" t="s">
        <v>2767</v>
      </c>
      <c r="B2912" s="1">
        <v>43725</v>
      </c>
      <c r="C2912" t="s">
        <v>1750</v>
      </c>
      <c r="D2912" t="s">
        <v>1751</v>
      </c>
      <c r="E2912" t="s">
        <v>14</v>
      </c>
      <c r="F2912" t="s">
        <v>23</v>
      </c>
      <c r="G2912" t="s">
        <v>18</v>
      </c>
      <c r="H2912" t="s">
        <v>171</v>
      </c>
      <c r="I2912" s="2">
        <v>73.584000000000003</v>
      </c>
      <c r="J2912">
        <v>2</v>
      </c>
      <c r="K2912" s="2">
        <v>8.2782</v>
      </c>
      <c r="L2912" s="3">
        <f>(Table1[[#This Row],[Profit]]/Table1[[#This Row],[Sales]])*100</f>
        <v>11.249999999999998</v>
      </c>
    </row>
    <row r="2913" spans="1:12" x14ac:dyDescent="0.3">
      <c r="A2913" t="s">
        <v>191</v>
      </c>
      <c r="B2913" s="1">
        <v>43490</v>
      </c>
      <c r="C2913" t="s">
        <v>192</v>
      </c>
      <c r="D2913" t="s">
        <v>193</v>
      </c>
      <c r="E2913" t="s">
        <v>14</v>
      </c>
      <c r="F2913" t="s">
        <v>15</v>
      </c>
      <c r="G2913" t="s">
        <v>24</v>
      </c>
      <c r="H2913" t="s">
        <v>195</v>
      </c>
      <c r="I2913" s="2">
        <v>18</v>
      </c>
      <c r="J2913">
        <v>5</v>
      </c>
      <c r="K2913" s="2">
        <v>8.2799999999999994</v>
      </c>
      <c r="L2913" s="3">
        <f>(Table1[[#This Row],[Profit]]/Table1[[#This Row],[Sales]])*100</f>
        <v>46</v>
      </c>
    </row>
    <row r="2914" spans="1:12" x14ac:dyDescent="0.3">
      <c r="A2914" t="s">
        <v>5089</v>
      </c>
      <c r="B2914" s="1">
        <v>44043</v>
      </c>
      <c r="C2914" t="s">
        <v>924</v>
      </c>
      <c r="D2914" t="s">
        <v>925</v>
      </c>
      <c r="E2914" t="s">
        <v>14</v>
      </c>
      <c r="F2914" t="s">
        <v>41</v>
      </c>
      <c r="G2914" t="s">
        <v>18</v>
      </c>
      <c r="H2914" t="s">
        <v>4516</v>
      </c>
      <c r="I2914" s="2">
        <v>134.42400000000001</v>
      </c>
      <c r="J2914">
        <v>2</v>
      </c>
      <c r="K2914" s="2">
        <v>8.2848000000000006</v>
      </c>
      <c r="L2914" s="3">
        <f>(Table1[[#This Row],[Profit]]/Table1[[#This Row],[Sales]])*100</f>
        <v>6.1631851455097308</v>
      </c>
    </row>
    <row r="2915" spans="1:12" x14ac:dyDescent="0.3">
      <c r="A2915" t="s">
        <v>4143</v>
      </c>
      <c r="B2915" s="1">
        <v>43878</v>
      </c>
      <c r="C2915" t="s">
        <v>937</v>
      </c>
      <c r="D2915" t="s">
        <v>938</v>
      </c>
      <c r="E2915" t="s">
        <v>14</v>
      </c>
      <c r="F2915" t="s">
        <v>15</v>
      </c>
      <c r="G2915" t="s">
        <v>16</v>
      </c>
      <c r="H2915" t="s">
        <v>1187</v>
      </c>
      <c r="I2915" s="2">
        <v>126.14400000000001</v>
      </c>
      <c r="J2915">
        <v>2</v>
      </c>
      <c r="K2915" s="2">
        <v>8.2896000000000001</v>
      </c>
      <c r="L2915" s="3">
        <f>(Table1[[#This Row],[Profit]]/Table1[[#This Row],[Sales]])*100</f>
        <v>6.571537290715372</v>
      </c>
    </row>
    <row r="2916" spans="1:12" x14ac:dyDescent="0.3">
      <c r="A2916" t="s">
        <v>4689</v>
      </c>
      <c r="B2916" s="1">
        <v>43971</v>
      </c>
      <c r="C2916" t="s">
        <v>3539</v>
      </c>
      <c r="D2916" t="s">
        <v>3540</v>
      </c>
      <c r="E2916" t="s">
        <v>14</v>
      </c>
      <c r="F2916" t="s">
        <v>29</v>
      </c>
      <c r="G2916" t="s">
        <v>24</v>
      </c>
      <c r="H2916" t="s">
        <v>4692</v>
      </c>
      <c r="I2916" s="2">
        <v>137.91999999999999</v>
      </c>
      <c r="J2916">
        <v>4</v>
      </c>
      <c r="K2916" s="2">
        <v>8.2943999999999996</v>
      </c>
      <c r="L2916" s="3">
        <f>(Table1[[#This Row],[Profit]]/Table1[[#This Row],[Sales]])*100</f>
        <v>6.0139211136890953</v>
      </c>
    </row>
    <row r="2917" spans="1:12" x14ac:dyDescent="0.3">
      <c r="A2917" t="s">
        <v>5316</v>
      </c>
      <c r="B2917" s="1">
        <v>44081</v>
      </c>
      <c r="C2917" t="s">
        <v>3484</v>
      </c>
      <c r="D2917" t="s">
        <v>3485</v>
      </c>
      <c r="E2917" t="s">
        <v>14</v>
      </c>
      <c r="F2917" t="s">
        <v>23</v>
      </c>
      <c r="G2917" t="s">
        <v>16</v>
      </c>
      <c r="H2917" t="s">
        <v>929</v>
      </c>
      <c r="I2917" s="2">
        <v>137.76</v>
      </c>
      <c r="J2917">
        <v>4</v>
      </c>
      <c r="K2917" s="2">
        <v>8.2992000000000008</v>
      </c>
      <c r="L2917" s="3">
        <f>(Table1[[#This Row],[Profit]]/Table1[[#This Row],[Sales]])*100</f>
        <v>6.0243902439024399</v>
      </c>
    </row>
    <row r="2918" spans="1:12" x14ac:dyDescent="0.3">
      <c r="A2918" t="s">
        <v>5937</v>
      </c>
      <c r="B2918" s="1">
        <v>44153</v>
      </c>
      <c r="C2918" t="s">
        <v>795</v>
      </c>
      <c r="D2918" t="s">
        <v>796</v>
      </c>
      <c r="E2918" t="s">
        <v>14</v>
      </c>
      <c r="F2918" t="s">
        <v>29</v>
      </c>
      <c r="G2918" t="s">
        <v>16</v>
      </c>
      <c r="H2918" t="s">
        <v>929</v>
      </c>
      <c r="I2918" s="2">
        <v>118.76</v>
      </c>
      <c r="J2918">
        <v>4</v>
      </c>
      <c r="K2918" s="2">
        <v>8.2992000000000008</v>
      </c>
      <c r="L2918" s="3">
        <f>(Table1[[#This Row],[Profit]]/Table1[[#This Row],[Sales]])*100</f>
        <v>6.9882115190299769</v>
      </c>
    </row>
    <row r="2919" spans="1:12" x14ac:dyDescent="0.3">
      <c r="A2919" t="s">
        <v>6133</v>
      </c>
      <c r="B2919" s="1">
        <v>44173</v>
      </c>
      <c r="C2919" t="s">
        <v>2578</v>
      </c>
      <c r="D2919" t="s">
        <v>2579</v>
      </c>
      <c r="E2919" t="s">
        <v>14</v>
      </c>
      <c r="F2919" t="s">
        <v>15</v>
      </c>
      <c r="G2919" t="s">
        <v>24</v>
      </c>
      <c r="H2919" t="s">
        <v>4334</v>
      </c>
      <c r="I2919" s="2">
        <v>131.91999999999999</v>
      </c>
      <c r="J2919">
        <v>4</v>
      </c>
      <c r="K2919" s="2">
        <v>8.2992000000000008</v>
      </c>
      <c r="L2919" s="3">
        <f>(Table1[[#This Row],[Profit]]/Table1[[#This Row],[Sales]])*100</f>
        <v>6.2910855063674971</v>
      </c>
    </row>
    <row r="2920" spans="1:12" x14ac:dyDescent="0.3">
      <c r="A2920" t="s">
        <v>1358</v>
      </c>
      <c r="B2920" s="1">
        <v>43599</v>
      </c>
      <c r="C2920" t="s">
        <v>1359</v>
      </c>
      <c r="D2920" t="s">
        <v>1360</v>
      </c>
      <c r="E2920" t="s">
        <v>14</v>
      </c>
      <c r="F2920" t="s">
        <v>41</v>
      </c>
      <c r="G2920" t="s">
        <v>16</v>
      </c>
      <c r="H2920" t="s">
        <v>1363</v>
      </c>
      <c r="I2920" s="2">
        <v>30.192</v>
      </c>
      <c r="J2920">
        <v>3</v>
      </c>
      <c r="K2920" s="2">
        <v>8.3027999999999995</v>
      </c>
      <c r="L2920" s="3">
        <f>(Table1[[#This Row],[Profit]]/Table1[[#This Row],[Sales]])*100</f>
        <v>27.499999999999996</v>
      </c>
    </row>
    <row r="2921" spans="1:12" x14ac:dyDescent="0.3">
      <c r="A2921" t="s">
        <v>3575</v>
      </c>
      <c r="B2921" s="1">
        <v>43794</v>
      </c>
      <c r="C2921" t="s">
        <v>3373</v>
      </c>
      <c r="D2921" t="s">
        <v>3374</v>
      </c>
      <c r="E2921" t="s">
        <v>14</v>
      </c>
      <c r="F2921" t="s">
        <v>29</v>
      </c>
      <c r="G2921" t="s">
        <v>24</v>
      </c>
      <c r="H2921" t="s">
        <v>1366</v>
      </c>
      <c r="I2921" s="2">
        <v>17.3</v>
      </c>
      <c r="J2921">
        <v>1</v>
      </c>
      <c r="K2921" s="2">
        <v>8.3040000000000003</v>
      </c>
      <c r="L2921" s="3">
        <f>(Table1[[#This Row],[Profit]]/Table1[[#This Row],[Sales]])*100</f>
        <v>48</v>
      </c>
    </row>
    <row r="2922" spans="1:12" x14ac:dyDescent="0.3">
      <c r="A2922" t="s">
        <v>442</v>
      </c>
      <c r="B2922" s="1">
        <v>43524</v>
      </c>
      <c r="C2922" t="s">
        <v>443</v>
      </c>
      <c r="D2922" t="s">
        <v>444</v>
      </c>
      <c r="E2922" t="s">
        <v>14</v>
      </c>
      <c r="F2922" t="s">
        <v>15</v>
      </c>
      <c r="G2922" t="s">
        <v>24</v>
      </c>
      <c r="H2922" t="s">
        <v>445</v>
      </c>
      <c r="I2922" s="2">
        <v>111.104</v>
      </c>
      <c r="J2922">
        <v>7</v>
      </c>
      <c r="K2922" s="2">
        <v>8.3328000000000007</v>
      </c>
      <c r="L2922" s="3">
        <f>(Table1[[#This Row],[Profit]]/Table1[[#This Row],[Sales]])*100</f>
        <v>7.5000000000000009</v>
      </c>
    </row>
    <row r="2923" spans="1:12" x14ac:dyDescent="0.3">
      <c r="A2923" t="s">
        <v>2577</v>
      </c>
      <c r="B2923" s="1">
        <v>43712</v>
      </c>
      <c r="C2923" t="s">
        <v>2578</v>
      </c>
      <c r="D2923" t="s">
        <v>2579</v>
      </c>
      <c r="E2923" t="s">
        <v>14</v>
      </c>
      <c r="F2923" t="s">
        <v>41</v>
      </c>
      <c r="G2923" t="s">
        <v>24</v>
      </c>
      <c r="H2923" t="s">
        <v>2581</v>
      </c>
      <c r="I2923" s="2">
        <v>31.744</v>
      </c>
      <c r="J2923">
        <v>2</v>
      </c>
      <c r="K2923" s="2">
        <v>8.3328000000000007</v>
      </c>
      <c r="L2923" s="3">
        <f>(Table1[[#This Row],[Profit]]/Table1[[#This Row],[Sales]])*100</f>
        <v>26.25</v>
      </c>
    </row>
    <row r="2924" spans="1:12" x14ac:dyDescent="0.3">
      <c r="A2924" t="s">
        <v>5407</v>
      </c>
      <c r="B2924" s="1">
        <v>44089</v>
      </c>
      <c r="C2924" t="s">
        <v>2282</v>
      </c>
      <c r="D2924" t="s">
        <v>2283</v>
      </c>
      <c r="E2924" t="s">
        <v>14</v>
      </c>
      <c r="F2924" t="s">
        <v>29</v>
      </c>
      <c r="G2924" t="s">
        <v>24</v>
      </c>
      <c r="H2924" t="s">
        <v>2581</v>
      </c>
      <c r="I2924" s="2">
        <v>122.744</v>
      </c>
      <c r="J2924">
        <v>2</v>
      </c>
      <c r="K2924" s="2">
        <v>8.3328000000000007</v>
      </c>
      <c r="L2924" s="3">
        <f>(Table1[[#This Row],[Profit]]/Table1[[#This Row],[Sales]])*100</f>
        <v>6.7887636055530223</v>
      </c>
    </row>
    <row r="2925" spans="1:12" x14ac:dyDescent="0.3">
      <c r="A2925" t="s">
        <v>1037</v>
      </c>
      <c r="B2925" s="1">
        <v>43571</v>
      </c>
      <c r="C2925" t="s">
        <v>1038</v>
      </c>
      <c r="D2925" t="s">
        <v>1039</v>
      </c>
      <c r="E2925" t="s">
        <v>14</v>
      </c>
      <c r="F2925" t="s">
        <v>41</v>
      </c>
      <c r="G2925" t="s">
        <v>18</v>
      </c>
      <c r="H2925" t="s">
        <v>1040</v>
      </c>
      <c r="I2925" s="2">
        <v>35.167999999999999</v>
      </c>
      <c r="J2925">
        <v>4</v>
      </c>
      <c r="K2925" s="2">
        <v>8.3523999999999994</v>
      </c>
      <c r="L2925" s="3">
        <f>(Table1[[#This Row],[Profit]]/Table1[[#This Row],[Sales]])*100</f>
        <v>23.75</v>
      </c>
    </row>
    <row r="2926" spans="1:12" x14ac:dyDescent="0.3">
      <c r="A2926" t="s">
        <v>2671</v>
      </c>
      <c r="B2926" s="1">
        <v>43716</v>
      </c>
      <c r="C2926" t="s">
        <v>1003</v>
      </c>
      <c r="D2926" t="s">
        <v>1004</v>
      </c>
      <c r="E2926" t="s">
        <v>14</v>
      </c>
      <c r="F2926" t="s">
        <v>41</v>
      </c>
      <c r="G2926" t="s">
        <v>18</v>
      </c>
      <c r="H2926" t="s">
        <v>1040</v>
      </c>
      <c r="I2926" s="2">
        <v>35.167999999999999</v>
      </c>
      <c r="J2926">
        <v>4</v>
      </c>
      <c r="K2926" s="2">
        <v>8.3523999999999994</v>
      </c>
      <c r="L2926" s="3">
        <f>(Table1[[#This Row],[Profit]]/Table1[[#This Row],[Sales]])*100</f>
        <v>23.75</v>
      </c>
    </row>
    <row r="2927" spans="1:12" x14ac:dyDescent="0.3">
      <c r="A2927" t="s">
        <v>1124</v>
      </c>
      <c r="B2927" s="1">
        <v>43577</v>
      </c>
      <c r="C2927" t="s">
        <v>1125</v>
      </c>
      <c r="D2927" t="s">
        <v>1126</v>
      </c>
      <c r="E2927" t="s">
        <v>14</v>
      </c>
      <c r="F2927" t="s">
        <v>15</v>
      </c>
      <c r="G2927" t="s">
        <v>24</v>
      </c>
      <c r="H2927" t="s">
        <v>1127</v>
      </c>
      <c r="I2927" s="2">
        <v>32.130000000000003</v>
      </c>
      <c r="J2927">
        <v>9</v>
      </c>
      <c r="K2927" s="2">
        <v>8.3537999999999997</v>
      </c>
      <c r="L2927" s="3">
        <f>(Table1[[#This Row],[Profit]]/Table1[[#This Row],[Sales]])*100</f>
        <v>25.999999999999996</v>
      </c>
    </row>
    <row r="2928" spans="1:12" x14ac:dyDescent="0.3">
      <c r="A2928" t="s">
        <v>5951</v>
      </c>
      <c r="B2928" s="1">
        <v>44154</v>
      </c>
      <c r="C2928" t="s">
        <v>2750</v>
      </c>
      <c r="D2928" t="s">
        <v>2751</v>
      </c>
      <c r="E2928" t="s">
        <v>14</v>
      </c>
      <c r="F2928" t="s">
        <v>15</v>
      </c>
      <c r="G2928" t="s">
        <v>24</v>
      </c>
      <c r="H2928" t="s">
        <v>242</v>
      </c>
      <c r="I2928" s="2">
        <v>124.74</v>
      </c>
      <c r="J2928">
        <v>3</v>
      </c>
      <c r="K2928" s="2">
        <v>8.3699999999999992</v>
      </c>
      <c r="L2928" s="3">
        <f>(Table1[[#This Row],[Profit]]/Table1[[#This Row],[Sales]])*100</f>
        <v>6.7099567099567086</v>
      </c>
    </row>
    <row r="2929" spans="1:12" x14ac:dyDescent="0.3">
      <c r="A2929" t="s">
        <v>6118</v>
      </c>
      <c r="B2929" s="1">
        <v>44170</v>
      </c>
      <c r="C2929" t="s">
        <v>4373</v>
      </c>
      <c r="D2929" t="s">
        <v>4374</v>
      </c>
      <c r="E2929" t="s">
        <v>14</v>
      </c>
      <c r="F2929" t="s">
        <v>23</v>
      </c>
      <c r="G2929" t="s">
        <v>24</v>
      </c>
      <c r="H2929" t="s">
        <v>1688</v>
      </c>
      <c r="I2929" s="2">
        <v>119.816</v>
      </c>
      <c r="J2929">
        <v>3</v>
      </c>
      <c r="K2929" s="2">
        <v>8.3754000000000008</v>
      </c>
      <c r="L2929" s="3">
        <f>(Table1[[#This Row],[Profit]]/Table1[[#This Row],[Sales]])*100</f>
        <v>6.9902183347799962</v>
      </c>
    </row>
    <row r="2930" spans="1:12" x14ac:dyDescent="0.3">
      <c r="A2930" t="s">
        <v>6197</v>
      </c>
      <c r="B2930" s="1">
        <v>44182</v>
      </c>
      <c r="C2930" t="s">
        <v>1589</v>
      </c>
      <c r="D2930" t="s">
        <v>1590</v>
      </c>
      <c r="E2930" t="s">
        <v>14</v>
      </c>
      <c r="F2930" t="s">
        <v>15</v>
      </c>
      <c r="G2930" t="s">
        <v>24</v>
      </c>
      <c r="H2930" t="s">
        <v>1688</v>
      </c>
      <c r="I2930" s="2">
        <v>444.81599999999997</v>
      </c>
      <c r="J2930">
        <v>3</v>
      </c>
      <c r="K2930" s="2">
        <v>8.3754000000000008</v>
      </c>
      <c r="L2930" s="3">
        <f>(Table1[[#This Row],[Profit]]/Table1[[#This Row],[Sales]])*100</f>
        <v>1.8828909032049208</v>
      </c>
    </row>
    <row r="2931" spans="1:12" x14ac:dyDescent="0.3">
      <c r="A2931" t="s">
        <v>1717</v>
      </c>
      <c r="B2931" s="1">
        <v>43628</v>
      </c>
      <c r="C2931" t="s">
        <v>1718</v>
      </c>
      <c r="D2931" t="s">
        <v>1719</v>
      </c>
      <c r="E2931" t="s">
        <v>14</v>
      </c>
      <c r="F2931" t="s">
        <v>29</v>
      </c>
      <c r="G2931" t="s">
        <v>24</v>
      </c>
      <c r="H2931" t="s">
        <v>1720</v>
      </c>
      <c r="I2931" s="2">
        <v>23.12</v>
      </c>
      <c r="J2931">
        <v>5</v>
      </c>
      <c r="K2931" s="2">
        <v>8.3810000000000002</v>
      </c>
      <c r="L2931" s="3">
        <f>(Table1[[#This Row],[Profit]]/Table1[[#This Row],[Sales]])*100</f>
        <v>36.25</v>
      </c>
    </row>
    <row r="2932" spans="1:12" x14ac:dyDescent="0.3">
      <c r="A2932" t="s">
        <v>5863</v>
      </c>
      <c r="B2932" s="1">
        <v>44147</v>
      </c>
      <c r="C2932" t="s">
        <v>1577</v>
      </c>
      <c r="D2932" t="s">
        <v>1578</v>
      </c>
      <c r="E2932" t="s">
        <v>14</v>
      </c>
      <c r="F2932" t="s">
        <v>23</v>
      </c>
      <c r="G2932" t="s">
        <v>24</v>
      </c>
      <c r="H2932" t="s">
        <v>1720</v>
      </c>
      <c r="I2932" s="2">
        <v>156.12</v>
      </c>
      <c r="J2932">
        <v>5</v>
      </c>
      <c r="K2932" s="2">
        <v>8.3810000000000002</v>
      </c>
      <c r="L2932" s="3">
        <f>(Table1[[#This Row],[Profit]]/Table1[[#This Row],[Sales]])*100</f>
        <v>5.3683064309505504</v>
      </c>
    </row>
    <row r="2933" spans="1:12" x14ac:dyDescent="0.3">
      <c r="A2933" t="s">
        <v>543</v>
      </c>
      <c r="B2933" s="1">
        <v>43532</v>
      </c>
      <c r="C2933" t="s">
        <v>544</v>
      </c>
      <c r="D2933" t="s">
        <v>545</v>
      </c>
      <c r="E2933" t="s">
        <v>14</v>
      </c>
      <c r="F2933" t="s">
        <v>29</v>
      </c>
      <c r="G2933" t="s">
        <v>18</v>
      </c>
      <c r="H2933" t="s">
        <v>547</v>
      </c>
      <c r="I2933" s="2">
        <v>27.96</v>
      </c>
      <c r="J2933">
        <v>5</v>
      </c>
      <c r="K2933" s="2">
        <v>8.3879999999999999</v>
      </c>
      <c r="L2933" s="3">
        <f>(Table1[[#This Row],[Profit]]/Table1[[#This Row],[Sales]])*100</f>
        <v>30</v>
      </c>
    </row>
    <row r="2934" spans="1:12" x14ac:dyDescent="0.3">
      <c r="A2934" t="s">
        <v>4502</v>
      </c>
      <c r="B2934" s="1">
        <v>43942</v>
      </c>
      <c r="C2934" t="s">
        <v>4503</v>
      </c>
      <c r="D2934" t="s">
        <v>4504</v>
      </c>
      <c r="E2934" t="s">
        <v>14</v>
      </c>
      <c r="F2934" t="s">
        <v>29</v>
      </c>
      <c r="G2934" t="s">
        <v>18</v>
      </c>
      <c r="H2934" t="s">
        <v>4507</v>
      </c>
      <c r="I2934" s="2">
        <v>116.976</v>
      </c>
      <c r="J2934">
        <v>3</v>
      </c>
      <c r="K2934" s="2">
        <v>8.3957999999999995</v>
      </c>
      <c r="L2934" s="3">
        <f>(Table1[[#This Row],[Profit]]/Table1[[#This Row],[Sales]])*100</f>
        <v>7.1773697168649981</v>
      </c>
    </row>
    <row r="2935" spans="1:12" x14ac:dyDescent="0.3">
      <c r="A2935" t="s">
        <v>6130</v>
      </c>
      <c r="B2935" s="1">
        <v>44173</v>
      </c>
      <c r="C2935" t="s">
        <v>1794</v>
      </c>
      <c r="D2935" t="s">
        <v>1795</v>
      </c>
      <c r="E2935" t="s">
        <v>14</v>
      </c>
      <c r="F2935" t="s">
        <v>23</v>
      </c>
      <c r="G2935" t="s">
        <v>24</v>
      </c>
      <c r="H2935" t="s">
        <v>1098</v>
      </c>
      <c r="I2935" s="2">
        <v>117.42400000000001</v>
      </c>
      <c r="J2935">
        <v>1</v>
      </c>
      <c r="K2935" s="2">
        <v>8.4090000000000007</v>
      </c>
      <c r="L2935" s="3">
        <f>(Table1[[#This Row],[Profit]]/Table1[[#This Row],[Sales]])*100</f>
        <v>7.161227687695872</v>
      </c>
    </row>
    <row r="2936" spans="1:12" x14ac:dyDescent="0.3">
      <c r="A2936" t="s">
        <v>5084</v>
      </c>
      <c r="B2936" s="1">
        <v>44043</v>
      </c>
      <c r="C2936" t="s">
        <v>3532</v>
      </c>
      <c r="D2936" t="s">
        <v>3533</v>
      </c>
      <c r="E2936" t="s">
        <v>14</v>
      </c>
      <c r="F2936" t="s">
        <v>29</v>
      </c>
      <c r="G2936" t="s">
        <v>24</v>
      </c>
      <c r="H2936" t="s">
        <v>3487</v>
      </c>
      <c r="I2936" s="2">
        <v>103.52</v>
      </c>
      <c r="J2936">
        <v>4</v>
      </c>
      <c r="K2936" s="2">
        <v>8.4095999999999993</v>
      </c>
      <c r="L2936" s="3">
        <f>(Table1[[#This Row],[Profit]]/Table1[[#This Row],[Sales]])*100</f>
        <v>8.1236476043276653</v>
      </c>
    </row>
    <row r="2937" spans="1:12" x14ac:dyDescent="0.3">
      <c r="A2937" t="s">
        <v>2688</v>
      </c>
      <c r="B2937" s="1">
        <v>43718</v>
      </c>
      <c r="C2937" t="s">
        <v>1813</v>
      </c>
      <c r="D2937" t="s">
        <v>1814</v>
      </c>
      <c r="E2937" t="s">
        <v>14</v>
      </c>
      <c r="F2937" t="s">
        <v>41</v>
      </c>
      <c r="G2937" t="s">
        <v>24</v>
      </c>
      <c r="H2937" t="s">
        <v>2260</v>
      </c>
      <c r="I2937" s="2">
        <v>67.56</v>
      </c>
      <c r="J2937">
        <v>3</v>
      </c>
      <c r="K2937" s="2">
        <v>8.4450000000000003</v>
      </c>
      <c r="L2937" s="3">
        <f>(Table1[[#This Row],[Profit]]/Table1[[#This Row],[Sales]])*100</f>
        <v>12.5</v>
      </c>
    </row>
    <row r="2938" spans="1:12" x14ac:dyDescent="0.3">
      <c r="A2938" t="s">
        <v>2733</v>
      </c>
      <c r="B2938" s="1">
        <v>43721</v>
      </c>
      <c r="C2938" t="s">
        <v>2734</v>
      </c>
      <c r="D2938" t="s">
        <v>2735</v>
      </c>
      <c r="E2938" t="s">
        <v>14</v>
      </c>
      <c r="F2938" t="s">
        <v>29</v>
      </c>
      <c r="G2938" t="s">
        <v>24</v>
      </c>
      <c r="H2938" t="s">
        <v>2737</v>
      </c>
      <c r="I2938" s="2">
        <v>17.61</v>
      </c>
      <c r="J2938">
        <v>3</v>
      </c>
      <c r="K2938" s="2">
        <v>8.4527999999999999</v>
      </c>
      <c r="L2938" s="3">
        <f>(Table1[[#This Row],[Profit]]/Table1[[#This Row],[Sales]])*100</f>
        <v>48</v>
      </c>
    </row>
    <row r="2939" spans="1:12" x14ac:dyDescent="0.3">
      <c r="A2939" t="s">
        <v>4578</v>
      </c>
      <c r="B2939" s="1">
        <v>43955</v>
      </c>
      <c r="C2939" t="s">
        <v>1259</v>
      </c>
      <c r="D2939" t="s">
        <v>1260</v>
      </c>
      <c r="E2939" t="s">
        <v>14</v>
      </c>
      <c r="F2939" t="s">
        <v>23</v>
      </c>
      <c r="G2939" t="s">
        <v>24</v>
      </c>
      <c r="H2939" t="s">
        <v>2737</v>
      </c>
      <c r="I2939" s="2">
        <v>103.61</v>
      </c>
      <c r="J2939">
        <v>3</v>
      </c>
      <c r="K2939" s="2">
        <v>8.4527999999999999</v>
      </c>
      <c r="L2939" s="3">
        <f>(Table1[[#This Row],[Profit]]/Table1[[#This Row],[Sales]])*100</f>
        <v>8.1582858797413387</v>
      </c>
    </row>
    <row r="2940" spans="1:12" x14ac:dyDescent="0.3">
      <c r="A2940" t="s">
        <v>4153</v>
      </c>
      <c r="B2940" s="1">
        <v>43878</v>
      </c>
      <c r="C2940" t="s">
        <v>4154</v>
      </c>
      <c r="D2940" t="s">
        <v>4155</v>
      </c>
      <c r="E2940" t="s">
        <v>14</v>
      </c>
      <c r="F2940" t="s">
        <v>41</v>
      </c>
      <c r="G2940" t="s">
        <v>18</v>
      </c>
      <c r="H2940" t="s">
        <v>1711</v>
      </c>
      <c r="I2940" s="2">
        <v>125.16</v>
      </c>
      <c r="J2940">
        <v>3</v>
      </c>
      <c r="K2940" s="2">
        <v>8.4564000000000004</v>
      </c>
      <c r="L2940" s="3">
        <f>(Table1[[#This Row],[Profit]]/Table1[[#This Row],[Sales]])*100</f>
        <v>6.7564717162032606</v>
      </c>
    </row>
    <row r="2941" spans="1:12" x14ac:dyDescent="0.3">
      <c r="A2941" t="s">
        <v>6199</v>
      </c>
      <c r="B2941" s="1">
        <v>44182</v>
      </c>
      <c r="C2941" t="s">
        <v>1808</v>
      </c>
      <c r="D2941" t="s">
        <v>1809</v>
      </c>
      <c r="E2941" t="s">
        <v>14</v>
      </c>
      <c r="F2941" t="s">
        <v>29</v>
      </c>
      <c r="G2941" t="s">
        <v>24</v>
      </c>
      <c r="H2941" t="s">
        <v>4371</v>
      </c>
      <c r="I2941" s="2">
        <v>639.55999999999995</v>
      </c>
      <c r="J2941">
        <v>2</v>
      </c>
      <c r="K2941" s="2">
        <v>8.4656000000000002</v>
      </c>
      <c r="L2941" s="3">
        <f>(Table1[[#This Row],[Profit]]/Table1[[#This Row],[Sales]])*100</f>
        <v>1.3236600162611796</v>
      </c>
    </row>
    <row r="2942" spans="1:12" x14ac:dyDescent="0.3">
      <c r="A2942" t="s">
        <v>5143</v>
      </c>
      <c r="B2942" s="1">
        <v>44056</v>
      </c>
      <c r="C2942" t="s">
        <v>2390</v>
      </c>
      <c r="D2942" t="s">
        <v>2391</v>
      </c>
      <c r="E2942" t="s">
        <v>14</v>
      </c>
      <c r="F2942" t="s">
        <v>23</v>
      </c>
      <c r="G2942" t="s">
        <v>24</v>
      </c>
      <c r="H2942" t="s">
        <v>2007</v>
      </c>
      <c r="I2942" s="2">
        <v>126.44</v>
      </c>
      <c r="J2942">
        <v>3</v>
      </c>
      <c r="K2942" s="2">
        <v>8.4887999999999995</v>
      </c>
      <c r="L2942" s="3">
        <f>(Table1[[#This Row],[Profit]]/Table1[[#This Row],[Sales]])*100</f>
        <v>6.7136981967731728</v>
      </c>
    </row>
    <row r="2943" spans="1:12" x14ac:dyDescent="0.3">
      <c r="A2943" t="s">
        <v>5481</v>
      </c>
      <c r="B2943" s="1">
        <v>44097</v>
      </c>
      <c r="C2943" t="s">
        <v>439</v>
      </c>
      <c r="D2943" t="s">
        <v>440</v>
      </c>
      <c r="E2943" t="s">
        <v>14</v>
      </c>
      <c r="F2943" t="s">
        <v>23</v>
      </c>
      <c r="G2943" t="s">
        <v>24</v>
      </c>
      <c r="H2943" t="s">
        <v>2007</v>
      </c>
      <c r="I2943" s="2">
        <v>134.44</v>
      </c>
      <c r="J2943">
        <v>3</v>
      </c>
      <c r="K2943" s="2">
        <v>8.4887999999999995</v>
      </c>
      <c r="L2943" s="3">
        <f>(Table1[[#This Row],[Profit]]/Table1[[#This Row],[Sales]])*100</f>
        <v>6.3141922047009817</v>
      </c>
    </row>
    <row r="2944" spans="1:12" x14ac:dyDescent="0.3">
      <c r="A2944" t="s">
        <v>6181</v>
      </c>
      <c r="B2944" s="1">
        <v>44178</v>
      </c>
      <c r="C2944" t="s">
        <v>3929</v>
      </c>
      <c r="D2944" t="s">
        <v>3930</v>
      </c>
      <c r="E2944" t="s">
        <v>14</v>
      </c>
      <c r="F2944" t="s">
        <v>23</v>
      </c>
      <c r="G2944" t="s">
        <v>24</v>
      </c>
      <c r="H2944" t="s">
        <v>2007</v>
      </c>
      <c r="I2944" s="2">
        <v>373.44</v>
      </c>
      <c r="J2944">
        <v>3</v>
      </c>
      <c r="K2944" s="2">
        <v>8.4887999999999995</v>
      </c>
      <c r="L2944" s="3">
        <f>(Table1[[#This Row],[Profit]]/Table1[[#This Row],[Sales]])*100</f>
        <v>2.2731362467866325</v>
      </c>
    </row>
    <row r="2945" spans="1:12" x14ac:dyDescent="0.3">
      <c r="A2945" t="s">
        <v>4413</v>
      </c>
      <c r="B2945" s="1">
        <v>43925</v>
      </c>
      <c r="C2945" t="s">
        <v>3309</v>
      </c>
      <c r="D2945" t="s">
        <v>3310</v>
      </c>
      <c r="E2945" t="s">
        <v>14</v>
      </c>
      <c r="F2945" t="s">
        <v>15</v>
      </c>
      <c r="G2945" t="s">
        <v>24</v>
      </c>
      <c r="H2945" t="s">
        <v>3563</v>
      </c>
      <c r="I2945" s="2">
        <v>123.98</v>
      </c>
      <c r="J2945">
        <v>1</v>
      </c>
      <c r="K2945" s="2">
        <v>8.49</v>
      </c>
      <c r="L2945" s="3">
        <f>(Table1[[#This Row],[Profit]]/Table1[[#This Row],[Sales]])*100</f>
        <v>6.8478786901113082</v>
      </c>
    </row>
    <row r="2946" spans="1:12" x14ac:dyDescent="0.3">
      <c r="A2946" t="s">
        <v>4108</v>
      </c>
      <c r="B2946" s="1">
        <v>43865</v>
      </c>
      <c r="C2946" t="s">
        <v>1929</v>
      </c>
      <c r="D2946" t="s">
        <v>1930</v>
      </c>
      <c r="E2946" t="s">
        <v>14</v>
      </c>
      <c r="F2946" t="s">
        <v>15</v>
      </c>
      <c r="G2946" t="s">
        <v>24</v>
      </c>
      <c r="H2946" t="s">
        <v>1818</v>
      </c>
      <c r="I2946" s="2">
        <v>138.66999999999999</v>
      </c>
      <c r="J2946">
        <v>3</v>
      </c>
      <c r="K2946" s="2">
        <v>8.4941999999999993</v>
      </c>
      <c r="L2946" s="3">
        <f>(Table1[[#This Row],[Profit]]/Table1[[#This Row],[Sales]])*100</f>
        <v>6.1254777529386315</v>
      </c>
    </row>
    <row r="2947" spans="1:12" x14ac:dyDescent="0.3">
      <c r="A2947" t="s">
        <v>1390</v>
      </c>
      <c r="B2947" s="1">
        <v>43601</v>
      </c>
      <c r="C2947" t="s">
        <v>1391</v>
      </c>
      <c r="D2947" t="s">
        <v>1392</v>
      </c>
      <c r="E2947" t="s">
        <v>14</v>
      </c>
      <c r="F2947" t="s">
        <v>23</v>
      </c>
      <c r="G2947" t="s">
        <v>24</v>
      </c>
      <c r="H2947" t="s">
        <v>1393</v>
      </c>
      <c r="I2947" s="2">
        <v>17.34</v>
      </c>
      <c r="J2947">
        <v>3</v>
      </c>
      <c r="K2947" s="2">
        <v>8.4966000000000008</v>
      </c>
      <c r="L2947" s="3">
        <f>(Table1[[#This Row],[Profit]]/Table1[[#This Row],[Sales]])*100</f>
        <v>49.000000000000007</v>
      </c>
    </row>
    <row r="2948" spans="1:12" x14ac:dyDescent="0.3">
      <c r="A2948" t="s">
        <v>3566</v>
      </c>
      <c r="B2948" s="1">
        <v>43793</v>
      </c>
      <c r="C2948" t="s">
        <v>231</v>
      </c>
      <c r="D2948" t="s">
        <v>232</v>
      </c>
      <c r="E2948" t="s">
        <v>14</v>
      </c>
      <c r="F2948" t="s">
        <v>41</v>
      </c>
      <c r="G2948" t="s">
        <v>16</v>
      </c>
      <c r="H2948" t="s">
        <v>3567</v>
      </c>
      <c r="I2948" s="2">
        <v>339.92</v>
      </c>
      <c r="J2948">
        <v>5</v>
      </c>
      <c r="K2948" s="2">
        <v>8.4979999999999993</v>
      </c>
      <c r="L2948" s="3">
        <f>(Table1[[#This Row],[Profit]]/Table1[[#This Row],[Sales]])*100</f>
        <v>2.5</v>
      </c>
    </row>
    <row r="2949" spans="1:12" x14ac:dyDescent="0.3">
      <c r="A2949" t="s">
        <v>5860</v>
      </c>
      <c r="B2949" s="1">
        <v>44147</v>
      </c>
      <c r="C2949" t="s">
        <v>2220</v>
      </c>
      <c r="D2949" t="s">
        <v>2221</v>
      </c>
      <c r="E2949" t="s">
        <v>14</v>
      </c>
      <c r="F2949" t="s">
        <v>29</v>
      </c>
      <c r="G2949" t="s">
        <v>18</v>
      </c>
      <c r="H2949" t="s">
        <v>2506</v>
      </c>
      <c r="I2949" s="2">
        <v>102.992</v>
      </c>
      <c r="J2949">
        <v>1</v>
      </c>
      <c r="K2949" s="2">
        <v>8.4990000000000006</v>
      </c>
      <c r="L2949" s="3">
        <f>(Table1[[#This Row],[Profit]]/Table1[[#This Row],[Sales]])*100</f>
        <v>8.2520972502718664</v>
      </c>
    </row>
    <row r="2950" spans="1:12" x14ac:dyDescent="0.3">
      <c r="A2950" t="s">
        <v>5661</v>
      </c>
      <c r="B2950" s="1">
        <v>44123</v>
      </c>
      <c r="C2950" t="s">
        <v>3051</v>
      </c>
      <c r="D2950" t="s">
        <v>3052</v>
      </c>
      <c r="E2950" t="s">
        <v>14</v>
      </c>
      <c r="F2950" t="s">
        <v>15</v>
      </c>
      <c r="G2950" t="s">
        <v>24</v>
      </c>
      <c r="H2950" t="s">
        <v>2562</v>
      </c>
      <c r="I2950" s="2">
        <v>128.69999999999999</v>
      </c>
      <c r="J2950">
        <v>3</v>
      </c>
      <c r="K2950" s="2">
        <v>8.5020000000000007</v>
      </c>
      <c r="L2950" s="3">
        <f>(Table1[[#This Row],[Profit]]/Table1[[#This Row],[Sales]])*100</f>
        <v>6.6060606060606073</v>
      </c>
    </row>
    <row r="2951" spans="1:12" x14ac:dyDescent="0.3">
      <c r="A2951" t="s">
        <v>3763</v>
      </c>
      <c r="B2951" s="1">
        <v>43809</v>
      </c>
      <c r="C2951" t="s">
        <v>1024</v>
      </c>
      <c r="D2951" t="s">
        <v>1025</v>
      </c>
      <c r="E2951" t="s">
        <v>14</v>
      </c>
      <c r="F2951" t="s">
        <v>23</v>
      </c>
      <c r="G2951" t="s">
        <v>18</v>
      </c>
      <c r="H2951" t="s">
        <v>580</v>
      </c>
      <c r="I2951" s="2">
        <v>44.75</v>
      </c>
      <c r="J2951">
        <v>5</v>
      </c>
      <c r="K2951" s="2">
        <v>8.5024999999999995</v>
      </c>
      <c r="L2951" s="3">
        <f>(Table1[[#This Row],[Profit]]/Table1[[#This Row],[Sales]])*100</f>
        <v>19</v>
      </c>
    </row>
    <row r="2952" spans="1:12" x14ac:dyDescent="0.3">
      <c r="A2952" t="s">
        <v>4768</v>
      </c>
      <c r="B2952" s="1">
        <v>43985</v>
      </c>
      <c r="C2952" t="s">
        <v>3913</v>
      </c>
      <c r="D2952" t="s">
        <v>3914</v>
      </c>
      <c r="E2952" t="s">
        <v>14</v>
      </c>
      <c r="F2952" t="s">
        <v>23</v>
      </c>
      <c r="G2952" t="s">
        <v>18</v>
      </c>
      <c r="H2952" t="s">
        <v>580</v>
      </c>
      <c r="I2952" s="2">
        <v>156.75</v>
      </c>
      <c r="J2952">
        <v>5</v>
      </c>
      <c r="K2952" s="2">
        <v>8.5024999999999995</v>
      </c>
      <c r="L2952" s="3">
        <f>(Table1[[#This Row],[Profit]]/Table1[[#This Row],[Sales]])*100</f>
        <v>5.4242424242424239</v>
      </c>
    </row>
    <row r="2953" spans="1:12" x14ac:dyDescent="0.3">
      <c r="A2953" t="s">
        <v>6185</v>
      </c>
      <c r="B2953" s="1">
        <v>44179</v>
      </c>
      <c r="C2953" t="s">
        <v>2869</v>
      </c>
      <c r="D2953" t="s">
        <v>2870</v>
      </c>
      <c r="E2953" t="s">
        <v>14</v>
      </c>
      <c r="F2953" t="s">
        <v>41</v>
      </c>
      <c r="G2953" t="s">
        <v>18</v>
      </c>
      <c r="H2953" t="s">
        <v>580</v>
      </c>
      <c r="I2953" s="2">
        <v>367.75</v>
      </c>
      <c r="J2953">
        <v>5</v>
      </c>
      <c r="K2953" s="2">
        <v>8.5024999999999995</v>
      </c>
      <c r="L2953" s="3">
        <f>(Table1[[#This Row],[Profit]]/Table1[[#This Row],[Sales]])*100</f>
        <v>2.3120326308633579</v>
      </c>
    </row>
    <row r="2954" spans="1:12" x14ac:dyDescent="0.3">
      <c r="A2954" t="s">
        <v>2392</v>
      </c>
      <c r="B2954" s="1">
        <v>43699</v>
      </c>
      <c r="C2954" t="s">
        <v>1718</v>
      </c>
      <c r="D2954" t="s">
        <v>1719</v>
      </c>
      <c r="E2954" t="s">
        <v>14</v>
      </c>
      <c r="F2954" t="s">
        <v>15</v>
      </c>
      <c r="G2954" t="s">
        <v>24</v>
      </c>
      <c r="H2954" t="s">
        <v>2393</v>
      </c>
      <c r="I2954" s="2">
        <v>113.55200000000001</v>
      </c>
      <c r="J2954">
        <v>2</v>
      </c>
      <c r="K2954" s="2">
        <v>8.5164000000000009</v>
      </c>
      <c r="L2954" s="3">
        <f>(Table1[[#This Row],[Profit]]/Table1[[#This Row],[Sales]])*100</f>
        <v>7.5</v>
      </c>
    </row>
    <row r="2955" spans="1:12" x14ac:dyDescent="0.3">
      <c r="A2955" t="s">
        <v>4013</v>
      </c>
      <c r="B2955" s="1">
        <v>43844</v>
      </c>
      <c r="C2955" t="s">
        <v>4014</v>
      </c>
      <c r="D2955" t="s">
        <v>4015</v>
      </c>
      <c r="E2955" t="s">
        <v>14</v>
      </c>
      <c r="F2955" t="s">
        <v>29</v>
      </c>
      <c r="G2955" t="s">
        <v>16</v>
      </c>
      <c r="H2955" t="s">
        <v>597</v>
      </c>
      <c r="I2955" s="2">
        <v>89.96</v>
      </c>
      <c r="J2955">
        <v>2</v>
      </c>
      <c r="K2955" s="2">
        <v>8.532</v>
      </c>
      <c r="L2955" s="3">
        <f>(Table1[[#This Row],[Profit]]/Table1[[#This Row],[Sales]])*100</f>
        <v>9.4842152067585594</v>
      </c>
    </row>
    <row r="2956" spans="1:12" x14ac:dyDescent="0.3">
      <c r="A2956" t="s">
        <v>6214</v>
      </c>
      <c r="B2956" s="1">
        <v>44183</v>
      </c>
      <c r="C2956" t="s">
        <v>3968</v>
      </c>
      <c r="D2956" t="s">
        <v>3969</v>
      </c>
      <c r="E2956" t="s">
        <v>14</v>
      </c>
      <c r="F2956" t="s">
        <v>15</v>
      </c>
      <c r="G2956" t="s">
        <v>16</v>
      </c>
      <c r="H2956" t="s">
        <v>597</v>
      </c>
      <c r="I2956" s="2">
        <v>332.96</v>
      </c>
      <c r="J2956">
        <v>2</v>
      </c>
      <c r="K2956" s="2">
        <v>8.532</v>
      </c>
      <c r="L2956" s="3">
        <f>(Table1[[#This Row],[Profit]]/Table1[[#This Row],[Sales]])*100</f>
        <v>2.5624699663623263</v>
      </c>
    </row>
    <row r="2957" spans="1:12" x14ac:dyDescent="0.3">
      <c r="A2957" t="s">
        <v>2862</v>
      </c>
      <c r="B2957" s="1">
        <v>43730</v>
      </c>
      <c r="C2957" t="s">
        <v>253</v>
      </c>
      <c r="D2957" t="s">
        <v>254</v>
      </c>
      <c r="E2957" t="s">
        <v>14</v>
      </c>
      <c r="F2957" t="s">
        <v>23</v>
      </c>
      <c r="G2957" t="s">
        <v>16</v>
      </c>
      <c r="H2957" t="s">
        <v>2593</v>
      </c>
      <c r="I2957" s="2">
        <v>68.432000000000002</v>
      </c>
      <c r="J2957">
        <v>7</v>
      </c>
      <c r="K2957" s="2">
        <v>8.5540000000000003</v>
      </c>
      <c r="L2957" s="3">
        <f>(Table1[[#This Row],[Profit]]/Table1[[#This Row],[Sales]])*100</f>
        <v>12.5</v>
      </c>
    </row>
    <row r="2958" spans="1:12" x14ac:dyDescent="0.3">
      <c r="A2958" t="s">
        <v>4918</v>
      </c>
      <c r="B2958" s="1">
        <v>44011</v>
      </c>
      <c r="C2958" t="s">
        <v>754</v>
      </c>
      <c r="D2958" t="s">
        <v>755</v>
      </c>
      <c r="E2958" t="s">
        <v>14</v>
      </c>
      <c r="F2958" t="s">
        <v>15</v>
      </c>
      <c r="G2958" t="s">
        <v>16</v>
      </c>
      <c r="H2958" t="s">
        <v>1892</v>
      </c>
      <c r="I2958" s="2">
        <v>88.16</v>
      </c>
      <c r="J2958">
        <v>2</v>
      </c>
      <c r="K2958" s="2">
        <v>8.5543999999999993</v>
      </c>
      <c r="L2958" s="3">
        <f>(Table1[[#This Row],[Profit]]/Table1[[#This Row],[Sales]])*100</f>
        <v>9.7032667876588015</v>
      </c>
    </row>
    <row r="2959" spans="1:12" x14ac:dyDescent="0.3">
      <c r="A2959" t="s">
        <v>5190</v>
      </c>
      <c r="B2959" s="1">
        <v>44064</v>
      </c>
      <c r="C2959" t="s">
        <v>4906</v>
      </c>
      <c r="D2959" t="s">
        <v>4907</v>
      </c>
      <c r="E2959" t="s">
        <v>14</v>
      </c>
      <c r="F2959" t="s">
        <v>15</v>
      </c>
      <c r="G2959" t="s">
        <v>16</v>
      </c>
      <c r="H2959" t="s">
        <v>1892</v>
      </c>
      <c r="I2959" s="2">
        <v>136.16</v>
      </c>
      <c r="J2959">
        <v>2</v>
      </c>
      <c r="K2959" s="2">
        <v>8.5543999999999993</v>
      </c>
      <c r="L2959" s="3">
        <f>(Table1[[#This Row],[Profit]]/Table1[[#This Row],[Sales]])*100</f>
        <v>6.2826086956521738</v>
      </c>
    </row>
    <row r="2960" spans="1:12" x14ac:dyDescent="0.3">
      <c r="A2960" t="s">
        <v>3978</v>
      </c>
      <c r="B2960" s="1">
        <v>43831</v>
      </c>
      <c r="C2960" t="s">
        <v>3979</v>
      </c>
      <c r="D2960" t="s">
        <v>3980</v>
      </c>
      <c r="E2960" t="s">
        <v>14</v>
      </c>
      <c r="F2960" t="s">
        <v>15</v>
      </c>
      <c r="G2960" t="s">
        <v>16</v>
      </c>
      <c r="H2960" t="s">
        <v>1620</v>
      </c>
      <c r="I2960" s="2">
        <v>145.89599999999999</v>
      </c>
      <c r="J2960">
        <v>4</v>
      </c>
      <c r="K2960" s="2">
        <v>8.5568000000000008</v>
      </c>
      <c r="L2960" s="3">
        <f>(Table1[[#This Row],[Profit]]/Table1[[#This Row],[Sales]])*100</f>
        <v>5.8649997258321003</v>
      </c>
    </row>
    <row r="2961" spans="1:12" x14ac:dyDescent="0.3">
      <c r="A2961" t="s">
        <v>5854</v>
      </c>
      <c r="B2961" s="1">
        <v>44146</v>
      </c>
      <c r="C2961" t="s">
        <v>1813</v>
      </c>
      <c r="D2961" t="s">
        <v>1814</v>
      </c>
      <c r="E2961" t="s">
        <v>14</v>
      </c>
      <c r="F2961" t="s">
        <v>29</v>
      </c>
      <c r="G2961" t="s">
        <v>24</v>
      </c>
      <c r="H2961" t="s">
        <v>3188</v>
      </c>
      <c r="I2961" s="2">
        <v>90.24</v>
      </c>
      <c r="J2961">
        <v>3</v>
      </c>
      <c r="K2961" s="2">
        <v>8.5728000000000009</v>
      </c>
      <c r="L2961" s="3">
        <f>(Table1[[#This Row],[Profit]]/Table1[[#This Row],[Sales]])*100</f>
        <v>9.5000000000000018</v>
      </c>
    </row>
    <row r="2962" spans="1:12" x14ac:dyDescent="0.3">
      <c r="A2962" t="s">
        <v>5569</v>
      </c>
      <c r="B2962" s="1">
        <v>44108</v>
      </c>
      <c r="C2962" t="s">
        <v>1310</v>
      </c>
      <c r="D2962" t="s">
        <v>1311</v>
      </c>
      <c r="E2962" t="s">
        <v>14</v>
      </c>
      <c r="F2962" t="s">
        <v>15</v>
      </c>
      <c r="G2962" t="s">
        <v>16</v>
      </c>
      <c r="H2962" t="s">
        <v>86</v>
      </c>
      <c r="I2962" s="2">
        <v>136.97999999999999</v>
      </c>
      <c r="J2962">
        <v>1</v>
      </c>
      <c r="K2962" s="2">
        <v>8.5914000000000001</v>
      </c>
      <c r="L2962" s="3">
        <f>(Table1[[#This Row],[Profit]]/Table1[[#This Row],[Sales]])*100</f>
        <v>6.2720105124835754</v>
      </c>
    </row>
    <row r="2963" spans="1:12" x14ac:dyDescent="0.3">
      <c r="A2963" t="s">
        <v>930</v>
      </c>
      <c r="B2963" s="1">
        <v>43563</v>
      </c>
      <c r="C2963" t="s">
        <v>356</v>
      </c>
      <c r="D2963" t="s">
        <v>357</v>
      </c>
      <c r="E2963" t="s">
        <v>14</v>
      </c>
      <c r="F2963" t="s">
        <v>41</v>
      </c>
      <c r="G2963" t="s">
        <v>24</v>
      </c>
      <c r="H2963" t="s">
        <v>931</v>
      </c>
      <c r="I2963" s="2">
        <v>17.920000000000002</v>
      </c>
      <c r="J2963">
        <v>4</v>
      </c>
      <c r="K2963" s="2">
        <v>8.6015999999999995</v>
      </c>
      <c r="L2963" s="3">
        <f>(Table1[[#This Row],[Profit]]/Table1[[#This Row],[Sales]])*100</f>
        <v>47.999999999999993</v>
      </c>
    </row>
    <row r="2964" spans="1:12" x14ac:dyDescent="0.3">
      <c r="A2964" t="s">
        <v>3858</v>
      </c>
      <c r="B2964" s="1">
        <v>43819</v>
      </c>
      <c r="C2964" t="s">
        <v>3859</v>
      </c>
      <c r="D2964" t="s">
        <v>3860</v>
      </c>
      <c r="E2964" t="s">
        <v>14</v>
      </c>
      <c r="F2964" t="s">
        <v>41</v>
      </c>
      <c r="G2964" t="s">
        <v>18</v>
      </c>
      <c r="H2964" t="s">
        <v>3145</v>
      </c>
      <c r="I2964" s="2">
        <v>66.3</v>
      </c>
      <c r="J2964">
        <v>3</v>
      </c>
      <c r="K2964" s="2">
        <v>8.6189999999999998</v>
      </c>
      <c r="L2964" s="3">
        <f>(Table1[[#This Row],[Profit]]/Table1[[#This Row],[Sales]])*100</f>
        <v>13</v>
      </c>
    </row>
    <row r="2965" spans="1:12" x14ac:dyDescent="0.3">
      <c r="A2965" t="s">
        <v>4061</v>
      </c>
      <c r="B2965" s="1">
        <v>43853</v>
      </c>
      <c r="C2965" t="s">
        <v>1907</v>
      </c>
      <c r="D2965" t="s">
        <v>1908</v>
      </c>
      <c r="E2965" t="s">
        <v>14</v>
      </c>
      <c r="F2965" t="s">
        <v>23</v>
      </c>
      <c r="G2965" t="s">
        <v>18</v>
      </c>
      <c r="H2965" t="s">
        <v>2161</v>
      </c>
      <c r="I2965" s="2">
        <v>136.352</v>
      </c>
      <c r="J2965">
        <v>6</v>
      </c>
      <c r="K2965" s="2">
        <v>8.6351999999999993</v>
      </c>
      <c r="L2965" s="3">
        <f>(Table1[[#This Row],[Profit]]/Table1[[#This Row],[Sales]])*100</f>
        <v>6.3330204177423131</v>
      </c>
    </row>
    <row r="2966" spans="1:12" x14ac:dyDescent="0.3">
      <c r="A2966" t="s">
        <v>1961</v>
      </c>
      <c r="B2966" s="1">
        <v>43650</v>
      </c>
      <c r="C2966" t="s">
        <v>1962</v>
      </c>
      <c r="D2966" t="s">
        <v>1963</v>
      </c>
      <c r="E2966" t="s">
        <v>14</v>
      </c>
      <c r="F2966" t="s">
        <v>23</v>
      </c>
      <c r="G2966" t="s">
        <v>16</v>
      </c>
      <c r="H2966" t="s">
        <v>717</v>
      </c>
      <c r="I2966" s="2">
        <v>25.4</v>
      </c>
      <c r="J2966">
        <v>5</v>
      </c>
      <c r="K2966" s="2">
        <v>8.6359999999999992</v>
      </c>
      <c r="L2966" s="3">
        <f>(Table1[[#This Row],[Profit]]/Table1[[#This Row],[Sales]])*100</f>
        <v>34</v>
      </c>
    </row>
    <row r="2967" spans="1:12" x14ac:dyDescent="0.3">
      <c r="A2967" t="s">
        <v>1967</v>
      </c>
      <c r="B2967" s="1">
        <v>43650</v>
      </c>
      <c r="C2967" t="s">
        <v>554</v>
      </c>
      <c r="D2967" t="s">
        <v>555</v>
      </c>
      <c r="E2967" t="s">
        <v>14</v>
      </c>
      <c r="F2967" t="s">
        <v>23</v>
      </c>
      <c r="G2967" t="s">
        <v>16</v>
      </c>
      <c r="H2967" t="s">
        <v>717</v>
      </c>
      <c r="I2967" s="2">
        <v>25.4</v>
      </c>
      <c r="J2967">
        <v>5</v>
      </c>
      <c r="K2967" s="2">
        <v>8.6359999999999992</v>
      </c>
      <c r="L2967" s="3">
        <f>(Table1[[#This Row],[Profit]]/Table1[[#This Row],[Sales]])*100</f>
        <v>34</v>
      </c>
    </row>
    <row r="2968" spans="1:12" x14ac:dyDescent="0.3">
      <c r="A2968" t="s">
        <v>6129</v>
      </c>
      <c r="B2968" s="1">
        <v>44173</v>
      </c>
      <c r="C2968" t="s">
        <v>3116</v>
      </c>
      <c r="D2968" t="s">
        <v>3117</v>
      </c>
      <c r="E2968" t="s">
        <v>14</v>
      </c>
      <c r="F2968" t="s">
        <v>23</v>
      </c>
      <c r="G2968" t="s">
        <v>24</v>
      </c>
      <c r="H2968" t="s">
        <v>3508</v>
      </c>
      <c r="I2968" s="2">
        <v>150.79</v>
      </c>
      <c r="J2968">
        <v>3</v>
      </c>
      <c r="K2968" s="2">
        <v>8.6390999999999991</v>
      </c>
      <c r="L2968" s="3">
        <f>(Table1[[#This Row],[Profit]]/Table1[[#This Row],[Sales]])*100</f>
        <v>5.7292260759997351</v>
      </c>
    </row>
    <row r="2969" spans="1:12" x14ac:dyDescent="0.3">
      <c r="A2969" t="s">
        <v>778</v>
      </c>
      <c r="B2969" s="1">
        <v>43550</v>
      </c>
      <c r="C2969" t="s">
        <v>779</v>
      </c>
      <c r="D2969" t="s">
        <v>780</v>
      </c>
      <c r="E2969" t="s">
        <v>14</v>
      </c>
      <c r="F2969" t="s">
        <v>23</v>
      </c>
      <c r="G2969" t="s">
        <v>24</v>
      </c>
      <c r="H2969" t="s">
        <v>781</v>
      </c>
      <c r="I2969" s="2">
        <v>17.64</v>
      </c>
      <c r="J2969">
        <v>3</v>
      </c>
      <c r="K2969" s="2">
        <v>8.6435999999999993</v>
      </c>
      <c r="L2969" s="3">
        <f>(Table1[[#This Row],[Profit]]/Table1[[#This Row],[Sales]])*100</f>
        <v>48.999999999999993</v>
      </c>
    </row>
    <row r="2970" spans="1:12" x14ac:dyDescent="0.3">
      <c r="A2970" t="s">
        <v>2733</v>
      </c>
      <c r="B2970" s="1">
        <v>43721</v>
      </c>
      <c r="C2970" t="s">
        <v>2734</v>
      </c>
      <c r="D2970" t="s">
        <v>2735</v>
      </c>
      <c r="E2970" t="s">
        <v>14</v>
      </c>
      <c r="F2970" t="s">
        <v>29</v>
      </c>
      <c r="G2970" t="s">
        <v>24</v>
      </c>
      <c r="H2970" t="s">
        <v>781</v>
      </c>
      <c r="I2970" s="2">
        <v>17.64</v>
      </c>
      <c r="J2970">
        <v>3</v>
      </c>
      <c r="K2970" s="2">
        <v>8.6435999999999993</v>
      </c>
      <c r="L2970" s="3">
        <f>(Table1[[#This Row],[Profit]]/Table1[[#This Row],[Sales]])*100</f>
        <v>48.999999999999993</v>
      </c>
    </row>
    <row r="2971" spans="1:12" x14ac:dyDescent="0.3">
      <c r="A2971" t="s">
        <v>1114</v>
      </c>
      <c r="B2971" s="1">
        <v>43577</v>
      </c>
      <c r="C2971" t="s">
        <v>1115</v>
      </c>
      <c r="D2971" t="s">
        <v>1116</v>
      </c>
      <c r="E2971" t="s">
        <v>14</v>
      </c>
      <c r="F2971" t="s">
        <v>29</v>
      </c>
      <c r="G2971" t="s">
        <v>16</v>
      </c>
      <c r="H2971" t="s">
        <v>1117</v>
      </c>
      <c r="I2971" s="2">
        <v>86.62</v>
      </c>
      <c r="J2971">
        <v>2</v>
      </c>
      <c r="K2971" s="2">
        <v>8.6620000000000008</v>
      </c>
      <c r="L2971" s="3">
        <f>(Table1[[#This Row],[Profit]]/Table1[[#This Row],[Sales]])*100</f>
        <v>10</v>
      </c>
    </row>
    <row r="2972" spans="1:12" x14ac:dyDescent="0.3">
      <c r="A2972" t="s">
        <v>6097</v>
      </c>
      <c r="B2972" s="1">
        <v>44169</v>
      </c>
      <c r="C2972" t="s">
        <v>6098</v>
      </c>
      <c r="D2972" t="s">
        <v>6099</v>
      </c>
      <c r="E2972" t="s">
        <v>14</v>
      </c>
      <c r="F2972" t="s">
        <v>15</v>
      </c>
      <c r="G2972" t="s">
        <v>24</v>
      </c>
      <c r="H2972" t="s">
        <v>6104</v>
      </c>
      <c r="I2972" s="2">
        <v>102.92</v>
      </c>
      <c r="J2972">
        <v>5</v>
      </c>
      <c r="K2972" s="2">
        <v>8.6709999999999994</v>
      </c>
      <c r="L2972" s="3">
        <f>(Table1[[#This Row],[Profit]]/Table1[[#This Row],[Sales]])*100</f>
        <v>8.4249902837155073</v>
      </c>
    </row>
    <row r="2973" spans="1:12" x14ac:dyDescent="0.3">
      <c r="A2973" t="s">
        <v>1827</v>
      </c>
      <c r="B2973" s="1">
        <v>43639</v>
      </c>
      <c r="C2973" t="s">
        <v>1828</v>
      </c>
      <c r="D2973" t="s">
        <v>1829</v>
      </c>
      <c r="E2973" t="s">
        <v>14</v>
      </c>
      <c r="F2973" t="s">
        <v>15</v>
      </c>
      <c r="G2973" t="s">
        <v>24</v>
      </c>
      <c r="H2973" t="s">
        <v>1831</v>
      </c>
      <c r="I2973" s="2">
        <v>18.45</v>
      </c>
      <c r="J2973">
        <v>5</v>
      </c>
      <c r="K2973" s="2">
        <v>8.6715</v>
      </c>
      <c r="L2973" s="3">
        <f>(Table1[[#This Row],[Profit]]/Table1[[#This Row],[Sales]])*100</f>
        <v>47</v>
      </c>
    </row>
    <row r="2974" spans="1:12" x14ac:dyDescent="0.3">
      <c r="A2974" t="s">
        <v>6244</v>
      </c>
      <c r="B2974" s="1">
        <v>44187</v>
      </c>
      <c r="C2974" t="s">
        <v>3209</v>
      </c>
      <c r="D2974" t="s">
        <v>3210</v>
      </c>
      <c r="E2974" t="s">
        <v>14</v>
      </c>
      <c r="F2974" t="s">
        <v>23</v>
      </c>
      <c r="G2974" t="s">
        <v>24</v>
      </c>
      <c r="H2974" t="s">
        <v>3756</v>
      </c>
      <c r="I2974" s="2">
        <v>146.44999999999999</v>
      </c>
      <c r="J2974">
        <v>5</v>
      </c>
      <c r="K2974" s="2">
        <v>8.6715</v>
      </c>
      <c r="L2974" s="3">
        <f>(Table1[[#This Row],[Profit]]/Table1[[#This Row],[Sales]])*100</f>
        <v>5.9211334926596111</v>
      </c>
    </row>
    <row r="2975" spans="1:12" x14ac:dyDescent="0.3">
      <c r="A2975" t="s">
        <v>4972</v>
      </c>
      <c r="B2975" s="1">
        <v>44020</v>
      </c>
      <c r="C2975" t="s">
        <v>221</v>
      </c>
      <c r="D2975" t="s">
        <v>222</v>
      </c>
      <c r="E2975" t="s">
        <v>14</v>
      </c>
      <c r="F2975" t="s">
        <v>15</v>
      </c>
      <c r="G2975" t="s">
        <v>24</v>
      </c>
      <c r="H2975" t="s">
        <v>2191</v>
      </c>
      <c r="I2975" s="2">
        <v>125.91</v>
      </c>
      <c r="J2975">
        <v>7</v>
      </c>
      <c r="K2975" s="2">
        <v>8.673</v>
      </c>
      <c r="L2975" s="3">
        <f>(Table1[[#This Row],[Profit]]/Table1[[#This Row],[Sales]])*100</f>
        <v>6.8882535144150587</v>
      </c>
    </row>
    <row r="2976" spans="1:12" x14ac:dyDescent="0.3">
      <c r="A2976" t="s">
        <v>5942</v>
      </c>
      <c r="B2976" s="1">
        <v>44154</v>
      </c>
      <c r="C2976" t="s">
        <v>236</v>
      </c>
      <c r="D2976" t="s">
        <v>237</v>
      </c>
      <c r="E2976" t="s">
        <v>14</v>
      </c>
      <c r="F2976" t="s">
        <v>29</v>
      </c>
      <c r="G2976" t="s">
        <v>24</v>
      </c>
      <c r="H2976" t="s">
        <v>1533</v>
      </c>
      <c r="I2976" s="2">
        <v>114.136</v>
      </c>
      <c r="J2976">
        <v>4</v>
      </c>
      <c r="K2976" s="2">
        <v>8.6744000000000003</v>
      </c>
      <c r="L2976" s="3">
        <f>(Table1[[#This Row],[Profit]]/Table1[[#This Row],[Sales]])*100</f>
        <v>7.6000560734562281</v>
      </c>
    </row>
    <row r="2977" spans="1:12" x14ac:dyDescent="0.3">
      <c r="A2977" t="s">
        <v>5383</v>
      </c>
      <c r="B2977" s="1">
        <v>44088</v>
      </c>
      <c r="C2977" t="s">
        <v>5384</v>
      </c>
      <c r="D2977" t="s">
        <v>5385</v>
      </c>
      <c r="E2977" t="s">
        <v>14</v>
      </c>
      <c r="F2977" t="s">
        <v>15</v>
      </c>
      <c r="G2977" t="s">
        <v>24</v>
      </c>
      <c r="H2977" t="s">
        <v>4698</v>
      </c>
      <c r="I2977" s="2">
        <v>94.95</v>
      </c>
      <c r="J2977">
        <v>5</v>
      </c>
      <c r="K2977" s="2">
        <v>8.6854999999999993</v>
      </c>
      <c r="L2977" s="3">
        <f>(Table1[[#This Row],[Profit]]/Table1[[#This Row],[Sales]])*100</f>
        <v>9.1474460242232745</v>
      </c>
    </row>
    <row r="2978" spans="1:12" x14ac:dyDescent="0.3">
      <c r="A2978" t="s">
        <v>6192</v>
      </c>
      <c r="B2978" s="1">
        <v>44181</v>
      </c>
      <c r="C2978" t="s">
        <v>3348</v>
      </c>
      <c r="D2978" t="s">
        <v>3349</v>
      </c>
      <c r="E2978" t="s">
        <v>14</v>
      </c>
      <c r="F2978" t="s">
        <v>23</v>
      </c>
      <c r="G2978" t="s">
        <v>24</v>
      </c>
      <c r="H2978" t="s">
        <v>4698</v>
      </c>
      <c r="I2978" s="2">
        <v>317.95</v>
      </c>
      <c r="J2978">
        <v>5</v>
      </c>
      <c r="K2978" s="2">
        <v>8.6854999999999993</v>
      </c>
      <c r="L2978" s="3">
        <f>(Table1[[#This Row],[Profit]]/Table1[[#This Row],[Sales]])*100</f>
        <v>2.7317188237144201</v>
      </c>
    </row>
    <row r="2979" spans="1:12" x14ac:dyDescent="0.3">
      <c r="A2979" t="s">
        <v>3395</v>
      </c>
      <c r="B2979" s="1">
        <v>43781</v>
      </c>
      <c r="C2979" t="s">
        <v>2827</v>
      </c>
      <c r="D2979" t="s">
        <v>2828</v>
      </c>
      <c r="E2979" t="s">
        <v>14</v>
      </c>
      <c r="F2979" t="s">
        <v>29</v>
      </c>
      <c r="G2979" t="s">
        <v>24</v>
      </c>
      <c r="H2979" t="s">
        <v>3398</v>
      </c>
      <c r="I2979" s="2">
        <v>17.38</v>
      </c>
      <c r="J2979">
        <v>2</v>
      </c>
      <c r="K2979" s="2">
        <v>8.69</v>
      </c>
      <c r="L2979" s="3">
        <f>(Table1[[#This Row],[Profit]]/Table1[[#This Row],[Sales]])*100</f>
        <v>50</v>
      </c>
    </row>
    <row r="2980" spans="1:12" x14ac:dyDescent="0.3">
      <c r="A2980" t="s">
        <v>4749</v>
      </c>
      <c r="B2980" s="1">
        <v>43983</v>
      </c>
      <c r="C2980" t="s">
        <v>2359</v>
      </c>
      <c r="D2980" t="s">
        <v>2360</v>
      </c>
      <c r="E2980" t="s">
        <v>14</v>
      </c>
      <c r="F2980" t="s">
        <v>29</v>
      </c>
      <c r="G2980" t="s">
        <v>24</v>
      </c>
      <c r="H2980" t="s">
        <v>3398</v>
      </c>
      <c r="I2980" s="2">
        <v>149.38</v>
      </c>
      <c r="J2980">
        <v>2</v>
      </c>
      <c r="K2980" s="2">
        <v>8.69</v>
      </c>
      <c r="L2980" s="3">
        <f>(Table1[[#This Row],[Profit]]/Table1[[#This Row],[Sales]])*100</f>
        <v>5.8173784977908687</v>
      </c>
    </row>
    <row r="2981" spans="1:12" x14ac:dyDescent="0.3">
      <c r="A2981" t="s">
        <v>1737</v>
      </c>
      <c r="B2981" s="1">
        <v>43629</v>
      </c>
      <c r="C2981" t="s">
        <v>1303</v>
      </c>
      <c r="D2981" t="s">
        <v>1304</v>
      </c>
      <c r="E2981" t="s">
        <v>14</v>
      </c>
      <c r="F2981" t="s">
        <v>29</v>
      </c>
      <c r="G2981" t="s">
        <v>24</v>
      </c>
      <c r="H2981" t="s">
        <v>1738</v>
      </c>
      <c r="I2981" s="2">
        <v>18.899999999999999</v>
      </c>
      <c r="J2981">
        <v>3</v>
      </c>
      <c r="K2981" s="2">
        <v>8.6940000000000008</v>
      </c>
      <c r="L2981" s="3">
        <f>(Table1[[#This Row],[Profit]]/Table1[[#This Row],[Sales]])*100</f>
        <v>46.000000000000007</v>
      </c>
    </row>
    <row r="2982" spans="1:12" x14ac:dyDescent="0.3">
      <c r="A2982" t="s">
        <v>2200</v>
      </c>
      <c r="B2982" s="1">
        <v>43674</v>
      </c>
      <c r="C2982" t="s">
        <v>2201</v>
      </c>
      <c r="D2982" t="s">
        <v>2202</v>
      </c>
      <c r="E2982" t="s">
        <v>14</v>
      </c>
      <c r="F2982" t="s">
        <v>23</v>
      </c>
      <c r="G2982" t="s">
        <v>24</v>
      </c>
      <c r="H2982" t="s">
        <v>2203</v>
      </c>
      <c r="I2982" s="2">
        <v>18.899999999999999</v>
      </c>
      <c r="J2982">
        <v>3</v>
      </c>
      <c r="K2982" s="2">
        <v>8.6940000000000008</v>
      </c>
      <c r="L2982" s="3">
        <f>(Table1[[#This Row],[Profit]]/Table1[[#This Row],[Sales]])*100</f>
        <v>46.000000000000007</v>
      </c>
    </row>
    <row r="2983" spans="1:12" x14ac:dyDescent="0.3">
      <c r="A2983" t="s">
        <v>2878</v>
      </c>
      <c r="B2983" s="1">
        <v>43731</v>
      </c>
      <c r="C2983" t="s">
        <v>1702</v>
      </c>
      <c r="D2983" t="s">
        <v>1703</v>
      </c>
      <c r="E2983" t="s">
        <v>14</v>
      </c>
      <c r="F2983" t="s">
        <v>23</v>
      </c>
      <c r="G2983" t="s">
        <v>24</v>
      </c>
      <c r="H2983" t="s">
        <v>1738</v>
      </c>
      <c r="I2983" s="2">
        <v>18.899999999999999</v>
      </c>
      <c r="J2983">
        <v>3</v>
      </c>
      <c r="K2983" s="2">
        <v>8.6940000000000008</v>
      </c>
      <c r="L2983" s="3">
        <f>(Table1[[#This Row],[Profit]]/Table1[[#This Row],[Sales]])*100</f>
        <v>46.000000000000007</v>
      </c>
    </row>
    <row r="2984" spans="1:12" x14ac:dyDescent="0.3">
      <c r="A2984" t="s">
        <v>5619</v>
      </c>
      <c r="B2984" s="1">
        <v>44117</v>
      </c>
      <c r="C2984" t="s">
        <v>3124</v>
      </c>
      <c r="D2984" t="s">
        <v>3125</v>
      </c>
      <c r="E2984" t="s">
        <v>14</v>
      </c>
      <c r="F2984" t="s">
        <v>15</v>
      </c>
      <c r="G2984" t="s">
        <v>24</v>
      </c>
      <c r="H2984" t="s">
        <v>5620</v>
      </c>
      <c r="I2984" s="2">
        <v>94.84</v>
      </c>
      <c r="J2984">
        <v>3</v>
      </c>
      <c r="K2984" s="2">
        <v>8.6940000000000008</v>
      </c>
      <c r="L2984" s="3">
        <f>(Table1[[#This Row],[Profit]]/Table1[[#This Row],[Sales]])*100</f>
        <v>9.1670181358076768</v>
      </c>
    </row>
    <row r="2985" spans="1:12" x14ac:dyDescent="0.3">
      <c r="A2985" t="s">
        <v>783</v>
      </c>
      <c r="B2985" s="1">
        <v>43551</v>
      </c>
      <c r="C2985" t="s">
        <v>784</v>
      </c>
      <c r="D2985" t="s">
        <v>785</v>
      </c>
      <c r="E2985" t="s">
        <v>14</v>
      </c>
      <c r="F2985" t="s">
        <v>41</v>
      </c>
      <c r="G2985" t="s">
        <v>16</v>
      </c>
      <c r="H2985" t="s">
        <v>441</v>
      </c>
      <c r="I2985" s="2">
        <v>20.239999999999998</v>
      </c>
      <c r="J2985">
        <v>1</v>
      </c>
      <c r="K2985" s="2">
        <v>8.7032000000000007</v>
      </c>
      <c r="L2985" s="3">
        <f>(Table1[[#This Row],[Profit]]/Table1[[#This Row],[Sales]])*100</f>
        <v>43.000000000000007</v>
      </c>
    </row>
    <row r="2986" spans="1:12" x14ac:dyDescent="0.3">
      <c r="A2986" t="s">
        <v>3791</v>
      </c>
      <c r="B2986" s="1">
        <v>43811</v>
      </c>
      <c r="C2986" t="s">
        <v>3535</v>
      </c>
      <c r="D2986" t="s">
        <v>3536</v>
      </c>
      <c r="E2986" t="s">
        <v>14</v>
      </c>
      <c r="F2986" t="s">
        <v>29</v>
      </c>
      <c r="G2986" t="s">
        <v>16</v>
      </c>
      <c r="H2986" t="s">
        <v>666</v>
      </c>
      <c r="I2986" s="2">
        <v>33.479999999999997</v>
      </c>
      <c r="J2986">
        <v>4</v>
      </c>
      <c r="K2986" s="2">
        <v>8.7048000000000005</v>
      </c>
      <c r="L2986" s="3">
        <f>(Table1[[#This Row],[Profit]]/Table1[[#This Row],[Sales]])*100</f>
        <v>26.000000000000007</v>
      </c>
    </row>
    <row r="2987" spans="1:12" x14ac:dyDescent="0.3">
      <c r="A2987" t="s">
        <v>2122</v>
      </c>
      <c r="B2987" s="1">
        <v>43667</v>
      </c>
      <c r="C2987" t="s">
        <v>466</v>
      </c>
      <c r="D2987" t="s">
        <v>467</v>
      </c>
      <c r="E2987" t="s">
        <v>14</v>
      </c>
      <c r="F2987" t="s">
        <v>15</v>
      </c>
      <c r="G2987" t="s">
        <v>24</v>
      </c>
      <c r="H2987" t="s">
        <v>302</v>
      </c>
      <c r="I2987" s="2">
        <v>99.488</v>
      </c>
      <c r="J2987">
        <v>2</v>
      </c>
      <c r="K2987" s="2">
        <v>8.7051999999999996</v>
      </c>
      <c r="L2987" s="3">
        <f>(Table1[[#This Row],[Profit]]/Table1[[#This Row],[Sales]])*100</f>
        <v>8.75</v>
      </c>
    </row>
    <row r="2988" spans="1:12" x14ac:dyDescent="0.3">
      <c r="A2988" t="s">
        <v>3759</v>
      </c>
      <c r="B2988" s="1">
        <v>43809</v>
      </c>
      <c r="C2988" t="s">
        <v>1197</v>
      </c>
      <c r="D2988" t="s">
        <v>1198</v>
      </c>
      <c r="E2988" t="s">
        <v>14</v>
      </c>
      <c r="F2988" t="s">
        <v>15</v>
      </c>
      <c r="G2988" t="s">
        <v>24</v>
      </c>
      <c r="H2988" t="s">
        <v>865</v>
      </c>
      <c r="I2988" s="2">
        <v>18.54</v>
      </c>
      <c r="J2988">
        <v>2</v>
      </c>
      <c r="K2988" s="2">
        <v>8.7138000000000009</v>
      </c>
      <c r="L2988" s="3">
        <f>(Table1[[#This Row],[Profit]]/Table1[[#This Row],[Sales]])*100</f>
        <v>47.000000000000007</v>
      </c>
    </row>
    <row r="2989" spans="1:12" x14ac:dyDescent="0.3">
      <c r="A2989" t="s">
        <v>4843</v>
      </c>
      <c r="B2989" s="1">
        <v>43998</v>
      </c>
      <c r="C2989" t="s">
        <v>2678</v>
      </c>
      <c r="D2989" t="s">
        <v>2679</v>
      </c>
      <c r="E2989" t="s">
        <v>14</v>
      </c>
      <c r="F2989" t="s">
        <v>23</v>
      </c>
      <c r="G2989" t="s">
        <v>24</v>
      </c>
      <c r="H2989" t="s">
        <v>865</v>
      </c>
      <c r="I2989" s="2">
        <v>132.54</v>
      </c>
      <c r="J2989">
        <v>2</v>
      </c>
      <c r="K2989" s="2">
        <v>8.7138000000000009</v>
      </c>
      <c r="L2989" s="3">
        <f>(Table1[[#This Row],[Profit]]/Table1[[#This Row],[Sales]])*100</f>
        <v>6.5744680851063846</v>
      </c>
    </row>
    <row r="2990" spans="1:12" x14ac:dyDescent="0.3">
      <c r="A2990" t="s">
        <v>5035</v>
      </c>
      <c r="B2990" s="1">
        <v>44032</v>
      </c>
      <c r="C2990" t="s">
        <v>815</v>
      </c>
      <c r="D2990" t="s">
        <v>816</v>
      </c>
      <c r="E2990" t="s">
        <v>14</v>
      </c>
      <c r="F2990" t="s">
        <v>29</v>
      </c>
      <c r="G2990" t="s">
        <v>24</v>
      </c>
      <c r="H2990" t="s">
        <v>4913</v>
      </c>
      <c r="I2990" s="2">
        <v>146.71199999999999</v>
      </c>
      <c r="J2990">
        <v>2</v>
      </c>
      <c r="K2990" s="2">
        <v>8.7140000000000004</v>
      </c>
      <c r="L2990" s="3">
        <f>(Table1[[#This Row],[Profit]]/Table1[[#This Row],[Sales]])*100</f>
        <v>5.9395277823218287</v>
      </c>
    </row>
    <row r="2991" spans="1:12" x14ac:dyDescent="0.3">
      <c r="A2991" t="s">
        <v>4302</v>
      </c>
      <c r="B2991" s="1">
        <v>43909</v>
      </c>
      <c r="C2991" t="s">
        <v>3869</v>
      </c>
      <c r="D2991" t="s">
        <v>3870</v>
      </c>
      <c r="E2991" t="s">
        <v>14</v>
      </c>
      <c r="F2991" t="s">
        <v>23</v>
      </c>
      <c r="G2991" t="s">
        <v>16</v>
      </c>
      <c r="H2991" t="s">
        <v>200</v>
      </c>
      <c r="I2991" s="2">
        <v>737.16</v>
      </c>
      <c r="J2991">
        <v>5</v>
      </c>
      <c r="K2991" s="2">
        <v>8.7144999999999992</v>
      </c>
      <c r="L2991" s="3">
        <f>(Table1[[#This Row],[Profit]]/Table1[[#This Row],[Sales]])*100</f>
        <v>1.1821721200282163</v>
      </c>
    </row>
    <row r="2992" spans="1:12" x14ac:dyDescent="0.3">
      <c r="A2992" t="s">
        <v>2577</v>
      </c>
      <c r="B2992" s="1">
        <v>43712</v>
      </c>
      <c r="C2992" t="s">
        <v>2578</v>
      </c>
      <c r="D2992" t="s">
        <v>2579</v>
      </c>
      <c r="E2992" t="s">
        <v>14</v>
      </c>
      <c r="F2992" t="s">
        <v>41</v>
      </c>
      <c r="G2992" t="s">
        <v>24</v>
      </c>
      <c r="H2992" t="s">
        <v>416</v>
      </c>
      <c r="I2992" s="2">
        <v>87.168000000000006</v>
      </c>
      <c r="J2992">
        <v>2</v>
      </c>
      <c r="K2992" s="2">
        <v>8.7167999999999992</v>
      </c>
      <c r="L2992" s="3">
        <f>(Table1[[#This Row],[Profit]]/Table1[[#This Row],[Sales]])*100</f>
        <v>9.9999999999999982</v>
      </c>
    </row>
    <row r="2993" spans="1:12" x14ac:dyDescent="0.3">
      <c r="A2993" t="s">
        <v>3813</v>
      </c>
      <c r="B2993" s="1">
        <v>43814</v>
      </c>
      <c r="C2993" t="s">
        <v>3714</v>
      </c>
      <c r="D2993" t="s">
        <v>3715</v>
      </c>
      <c r="E2993" t="s">
        <v>14</v>
      </c>
      <c r="F2993" t="s">
        <v>23</v>
      </c>
      <c r="G2993" t="s">
        <v>24</v>
      </c>
      <c r="H2993" t="s">
        <v>416</v>
      </c>
      <c r="I2993" s="2">
        <v>87.168000000000006</v>
      </c>
      <c r="J2993">
        <v>2</v>
      </c>
      <c r="K2993" s="2">
        <v>8.7167999999999992</v>
      </c>
      <c r="L2993" s="3">
        <f>(Table1[[#This Row],[Profit]]/Table1[[#This Row],[Sales]])*100</f>
        <v>9.9999999999999982</v>
      </c>
    </row>
    <row r="2994" spans="1:12" x14ac:dyDescent="0.3">
      <c r="A2994" t="s">
        <v>2423</v>
      </c>
      <c r="B2994" s="1">
        <v>43700</v>
      </c>
      <c r="C2994" t="s">
        <v>2095</v>
      </c>
      <c r="D2994" t="s">
        <v>2096</v>
      </c>
      <c r="E2994" t="s">
        <v>14</v>
      </c>
      <c r="F2994" t="s">
        <v>15</v>
      </c>
      <c r="G2994" t="s">
        <v>24</v>
      </c>
      <c r="H2994" t="s">
        <v>911</v>
      </c>
      <c r="I2994" s="2">
        <v>21.3</v>
      </c>
      <c r="J2994">
        <v>5</v>
      </c>
      <c r="K2994" s="2">
        <v>8.7330000000000005</v>
      </c>
      <c r="L2994" s="3">
        <f>(Table1[[#This Row],[Profit]]/Table1[[#This Row],[Sales]])*100</f>
        <v>41</v>
      </c>
    </row>
    <row r="2995" spans="1:12" x14ac:dyDescent="0.3">
      <c r="A2995" t="s">
        <v>2587</v>
      </c>
      <c r="B2995" s="1">
        <v>43712</v>
      </c>
      <c r="C2995" t="s">
        <v>2588</v>
      </c>
      <c r="D2995" t="s">
        <v>2589</v>
      </c>
      <c r="E2995" t="s">
        <v>14</v>
      </c>
      <c r="F2995" t="s">
        <v>23</v>
      </c>
      <c r="G2995" t="s">
        <v>16</v>
      </c>
      <c r="H2995" t="s">
        <v>2590</v>
      </c>
      <c r="I2995" s="2">
        <v>24.27</v>
      </c>
      <c r="J2995">
        <v>3</v>
      </c>
      <c r="K2995" s="2">
        <v>8.7371999999999996</v>
      </c>
      <c r="L2995" s="3">
        <f>(Table1[[#This Row],[Profit]]/Table1[[#This Row],[Sales]])*100</f>
        <v>36</v>
      </c>
    </row>
    <row r="2996" spans="1:12" x14ac:dyDescent="0.3">
      <c r="A2996" t="s">
        <v>5949</v>
      </c>
      <c r="B2996" s="1">
        <v>44154</v>
      </c>
      <c r="C2996" t="s">
        <v>637</v>
      </c>
      <c r="D2996" t="s">
        <v>638</v>
      </c>
      <c r="E2996" t="s">
        <v>14</v>
      </c>
      <c r="F2996" t="s">
        <v>29</v>
      </c>
      <c r="G2996" t="s">
        <v>24</v>
      </c>
      <c r="H2996" t="s">
        <v>4293</v>
      </c>
      <c r="I2996" s="2">
        <v>141.77600000000001</v>
      </c>
      <c r="J2996">
        <v>4</v>
      </c>
      <c r="K2996" s="2">
        <v>8.7384000000000004</v>
      </c>
      <c r="L2996" s="3">
        <f>(Table1[[#This Row],[Profit]]/Table1[[#This Row],[Sales]])*100</f>
        <v>6.1635255614490463</v>
      </c>
    </row>
    <row r="2997" spans="1:12" x14ac:dyDescent="0.3">
      <c r="A2997" t="s">
        <v>4538</v>
      </c>
      <c r="B2997" s="1">
        <v>43946</v>
      </c>
      <c r="C2997" t="s">
        <v>4154</v>
      </c>
      <c r="D2997" t="s">
        <v>4155</v>
      </c>
      <c r="E2997" t="s">
        <v>14</v>
      </c>
      <c r="F2997" t="s">
        <v>23</v>
      </c>
      <c r="G2997" t="s">
        <v>24</v>
      </c>
      <c r="H2997" t="s">
        <v>1502</v>
      </c>
      <c r="I2997" s="2">
        <v>136.05000000000001</v>
      </c>
      <c r="J2997">
        <v>3</v>
      </c>
      <c r="K2997" s="2">
        <v>8.7629999999999999</v>
      </c>
      <c r="L2997" s="3">
        <f>(Table1[[#This Row],[Profit]]/Table1[[#This Row],[Sales]])*100</f>
        <v>6.4410143329658203</v>
      </c>
    </row>
    <row r="2998" spans="1:12" x14ac:dyDescent="0.3">
      <c r="A2998" t="s">
        <v>5392</v>
      </c>
      <c r="B2998" s="1">
        <v>44088</v>
      </c>
      <c r="C2998" t="s">
        <v>275</v>
      </c>
      <c r="D2998" t="s">
        <v>276</v>
      </c>
      <c r="E2998" t="s">
        <v>14</v>
      </c>
      <c r="F2998" t="s">
        <v>29</v>
      </c>
      <c r="G2998" t="s">
        <v>24</v>
      </c>
      <c r="H2998" t="s">
        <v>1502</v>
      </c>
      <c r="I2998" s="2">
        <v>145.05000000000001</v>
      </c>
      <c r="J2998">
        <v>3</v>
      </c>
      <c r="K2998" s="2">
        <v>8.7629999999999999</v>
      </c>
      <c r="L2998" s="3">
        <f>(Table1[[#This Row],[Profit]]/Table1[[#This Row],[Sales]])*100</f>
        <v>6.0413650465356765</v>
      </c>
    </row>
    <row r="2999" spans="1:12" x14ac:dyDescent="0.3">
      <c r="A2999" t="s">
        <v>3300</v>
      </c>
      <c r="B2999" s="1">
        <v>43776</v>
      </c>
      <c r="C2999" t="s">
        <v>3301</v>
      </c>
      <c r="D2999" t="s">
        <v>3302</v>
      </c>
      <c r="E2999" t="s">
        <v>14</v>
      </c>
      <c r="F2999" t="s">
        <v>23</v>
      </c>
      <c r="G2999" t="s">
        <v>24</v>
      </c>
      <c r="H2999" t="s">
        <v>3304</v>
      </c>
      <c r="I2999" s="2">
        <v>26.975999999999999</v>
      </c>
      <c r="J2999">
        <v>4</v>
      </c>
      <c r="K2999" s="2">
        <v>8.7672000000000008</v>
      </c>
      <c r="L2999" s="3">
        <f>(Table1[[#This Row],[Profit]]/Table1[[#This Row],[Sales]])*100</f>
        <v>32.500000000000007</v>
      </c>
    </row>
    <row r="3000" spans="1:12" x14ac:dyDescent="0.3">
      <c r="A3000" t="s">
        <v>5418</v>
      </c>
      <c r="B3000" s="1">
        <v>44090</v>
      </c>
      <c r="C3000" t="s">
        <v>2337</v>
      </c>
      <c r="D3000" t="s">
        <v>2338</v>
      </c>
      <c r="E3000" t="s">
        <v>14</v>
      </c>
      <c r="F3000" t="s">
        <v>23</v>
      </c>
      <c r="G3000" t="s">
        <v>24</v>
      </c>
      <c r="H3000" t="s">
        <v>3254</v>
      </c>
      <c r="I3000" s="2">
        <v>110.9</v>
      </c>
      <c r="J3000">
        <v>5</v>
      </c>
      <c r="K3000" s="2">
        <v>8.7710000000000008</v>
      </c>
      <c r="L3000" s="3">
        <f>(Table1[[#This Row],[Profit]]/Table1[[#This Row],[Sales]])*100</f>
        <v>7.9089269612263298</v>
      </c>
    </row>
    <row r="3001" spans="1:12" x14ac:dyDescent="0.3">
      <c r="A3001" t="s">
        <v>5609</v>
      </c>
      <c r="B3001" s="1">
        <v>44116</v>
      </c>
      <c r="C3001" t="s">
        <v>2100</v>
      </c>
      <c r="D3001" t="s">
        <v>2101</v>
      </c>
      <c r="E3001" t="s">
        <v>14</v>
      </c>
      <c r="F3001" t="s">
        <v>15</v>
      </c>
      <c r="G3001" t="s">
        <v>24</v>
      </c>
      <c r="H3001" t="s">
        <v>3254</v>
      </c>
      <c r="I3001" s="2">
        <v>128.9</v>
      </c>
      <c r="J3001">
        <v>5</v>
      </c>
      <c r="K3001" s="2">
        <v>8.7710000000000008</v>
      </c>
      <c r="L3001" s="3">
        <f>(Table1[[#This Row],[Profit]]/Table1[[#This Row],[Sales]])*100</f>
        <v>6.8044996121024051</v>
      </c>
    </row>
    <row r="3002" spans="1:12" x14ac:dyDescent="0.3">
      <c r="A3002" t="s">
        <v>557</v>
      </c>
      <c r="B3002" s="1">
        <v>43533</v>
      </c>
      <c r="C3002" t="s">
        <v>558</v>
      </c>
      <c r="D3002" t="s">
        <v>559</v>
      </c>
      <c r="E3002" t="s">
        <v>14</v>
      </c>
      <c r="F3002" t="s">
        <v>15</v>
      </c>
      <c r="G3002" t="s">
        <v>24</v>
      </c>
      <c r="H3002" t="s">
        <v>562</v>
      </c>
      <c r="I3002" s="2">
        <v>17.940000000000001</v>
      </c>
      <c r="J3002">
        <v>3</v>
      </c>
      <c r="K3002" s="2">
        <v>8.7905999999999995</v>
      </c>
      <c r="L3002" s="3">
        <f>(Table1[[#This Row],[Profit]]/Table1[[#This Row],[Sales]])*100</f>
        <v>48.999999999999993</v>
      </c>
    </row>
    <row r="3003" spans="1:12" x14ac:dyDescent="0.3">
      <c r="A3003" t="s">
        <v>1412</v>
      </c>
      <c r="B3003" s="1">
        <v>43603</v>
      </c>
      <c r="C3003" t="s">
        <v>435</v>
      </c>
      <c r="D3003" t="s">
        <v>436</v>
      </c>
      <c r="E3003" t="s">
        <v>14</v>
      </c>
      <c r="F3003" t="s">
        <v>23</v>
      </c>
      <c r="G3003" t="s">
        <v>24</v>
      </c>
      <c r="H3003" t="s">
        <v>1414</v>
      </c>
      <c r="I3003" s="2">
        <v>17.940000000000001</v>
      </c>
      <c r="J3003">
        <v>3</v>
      </c>
      <c r="K3003" s="2">
        <v>8.7905999999999995</v>
      </c>
      <c r="L3003" s="3">
        <f>(Table1[[#This Row],[Profit]]/Table1[[#This Row],[Sales]])*100</f>
        <v>48.999999999999993</v>
      </c>
    </row>
    <row r="3004" spans="1:12" x14ac:dyDescent="0.3">
      <c r="A3004" t="s">
        <v>2956</v>
      </c>
      <c r="B3004" s="1">
        <v>43735</v>
      </c>
      <c r="C3004" t="s">
        <v>2167</v>
      </c>
      <c r="D3004" t="s">
        <v>2168</v>
      </c>
      <c r="E3004" t="s">
        <v>14</v>
      </c>
      <c r="F3004" t="s">
        <v>41</v>
      </c>
      <c r="G3004" t="s">
        <v>24</v>
      </c>
      <c r="H3004" t="s">
        <v>1241</v>
      </c>
      <c r="I3004" s="2">
        <v>17.940000000000001</v>
      </c>
      <c r="J3004">
        <v>3</v>
      </c>
      <c r="K3004" s="2">
        <v>8.7905999999999995</v>
      </c>
      <c r="L3004" s="3">
        <f>(Table1[[#This Row],[Profit]]/Table1[[#This Row],[Sales]])*100</f>
        <v>48.999999999999993</v>
      </c>
    </row>
    <row r="3005" spans="1:12" x14ac:dyDescent="0.3">
      <c r="A3005" t="s">
        <v>4134</v>
      </c>
      <c r="B3005" s="1">
        <v>43874</v>
      </c>
      <c r="C3005" t="s">
        <v>2095</v>
      </c>
      <c r="D3005" t="s">
        <v>2096</v>
      </c>
      <c r="E3005" t="s">
        <v>14</v>
      </c>
      <c r="F3005" t="s">
        <v>15</v>
      </c>
      <c r="G3005" t="s">
        <v>24</v>
      </c>
      <c r="H3005" t="s">
        <v>4135</v>
      </c>
      <c r="I3005" s="2">
        <v>96.94</v>
      </c>
      <c r="J3005">
        <v>3</v>
      </c>
      <c r="K3005" s="2">
        <v>8.7905999999999995</v>
      </c>
      <c r="L3005" s="3">
        <f>(Table1[[#This Row],[Profit]]/Table1[[#This Row],[Sales]])*100</f>
        <v>9.0680833505260985</v>
      </c>
    </row>
    <row r="3006" spans="1:12" x14ac:dyDescent="0.3">
      <c r="A3006" t="s">
        <v>4827</v>
      </c>
      <c r="B3006" s="1">
        <v>43997</v>
      </c>
      <c r="C3006" t="s">
        <v>108</v>
      </c>
      <c r="D3006" t="s">
        <v>109</v>
      </c>
      <c r="E3006" t="s">
        <v>14</v>
      </c>
      <c r="F3006" t="s">
        <v>29</v>
      </c>
      <c r="G3006" t="s">
        <v>24</v>
      </c>
      <c r="H3006" t="s">
        <v>4834</v>
      </c>
      <c r="I3006" s="2">
        <v>116.94</v>
      </c>
      <c r="J3006">
        <v>3</v>
      </c>
      <c r="K3006" s="2">
        <v>8.7905999999999995</v>
      </c>
      <c r="L3006" s="3">
        <f>(Table1[[#This Row],[Profit]]/Table1[[#This Row],[Sales]])*100</f>
        <v>7.5171883016931753</v>
      </c>
    </row>
    <row r="3007" spans="1:12" x14ac:dyDescent="0.3">
      <c r="A3007" t="s">
        <v>5017</v>
      </c>
      <c r="B3007" s="1">
        <v>44027</v>
      </c>
      <c r="C3007" t="s">
        <v>4608</v>
      </c>
      <c r="D3007" t="s">
        <v>4609</v>
      </c>
      <c r="E3007" t="s">
        <v>14</v>
      </c>
      <c r="F3007" t="s">
        <v>15</v>
      </c>
      <c r="G3007" t="s">
        <v>18</v>
      </c>
      <c r="H3007" t="s">
        <v>5020</v>
      </c>
      <c r="I3007" s="2">
        <v>160.9</v>
      </c>
      <c r="J3007">
        <v>2</v>
      </c>
      <c r="K3007" s="2">
        <v>8.7989999999999995</v>
      </c>
      <c r="L3007" s="3">
        <f>(Table1[[#This Row],[Profit]]/Table1[[#This Row],[Sales]])*100</f>
        <v>5.4686140459912984</v>
      </c>
    </row>
    <row r="3008" spans="1:12" x14ac:dyDescent="0.3">
      <c r="A3008" t="s">
        <v>5350</v>
      </c>
      <c r="B3008" s="1">
        <v>44084</v>
      </c>
      <c r="C3008" t="s">
        <v>2837</v>
      </c>
      <c r="D3008" t="s">
        <v>2838</v>
      </c>
      <c r="E3008" t="s">
        <v>14</v>
      </c>
      <c r="F3008" t="s">
        <v>15</v>
      </c>
      <c r="G3008" t="s">
        <v>18</v>
      </c>
      <c r="H3008" t="s">
        <v>5360</v>
      </c>
      <c r="I3008" s="2">
        <v>158.05600000000001</v>
      </c>
      <c r="J3008">
        <v>4</v>
      </c>
      <c r="K3008" s="2">
        <v>8.8008000000000006</v>
      </c>
      <c r="L3008" s="3">
        <f>(Table1[[#This Row],[Profit]]/Table1[[#This Row],[Sales]])*100</f>
        <v>5.5681530596750513</v>
      </c>
    </row>
    <row r="3009" spans="1:12" x14ac:dyDescent="0.3">
      <c r="A3009" t="s">
        <v>3672</v>
      </c>
      <c r="B3009" s="1">
        <v>43801</v>
      </c>
      <c r="C3009" t="s">
        <v>3673</v>
      </c>
      <c r="D3009" t="s">
        <v>3674</v>
      </c>
      <c r="E3009" t="s">
        <v>14</v>
      </c>
      <c r="F3009" t="s">
        <v>23</v>
      </c>
      <c r="G3009" t="s">
        <v>24</v>
      </c>
      <c r="H3009" t="s">
        <v>251</v>
      </c>
      <c r="I3009" s="2">
        <v>33.869999999999997</v>
      </c>
      <c r="J3009">
        <v>3</v>
      </c>
      <c r="K3009" s="2">
        <v>8.8062000000000005</v>
      </c>
      <c r="L3009" s="3">
        <f>(Table1[[#This Row],[Profit]]/Table1[[#This Row],[Sales]])*100</f>
        <v>26</v>
      </c>
    </row>
    <row r="3010" spans="1:12" x14ac:dyDescent="0.3">
      <c r="A3010" t="s">
        <v>3027</v>
      </c>
      <c r="B3010" s="1">
        <v>43745</v>
      </c>
      <c r="C3010" t="s">
        <v>216</v>
      </c>
      <c r="D3010" t="s">
        <v>217</v>
      </c>
      <c r="E3010" t="s">
        <v>14</v>
      </c>
      <c r="F3010" t="s">
        <v>23</v>
      </c>
      <c r="G3010" t="s">
        <v>24</v>
      </c>
      <c r="H3010" t="s">
        <v>2946</v>
      </c>
      <c r="I3010" s="2">
        <v>27.263999999999999</v>
      </c>
      <c r="J3010">
        <v>2</v>
      </c>
      <c r="K3010" s="2">
        <v>8.8607999999999993</v>
      </c>
      <c r="L3010" s="3">
        <f>(Table1[[#This Row],[Profit]]/Table1[[#This Row],[Sales]])*100</f>
        <v>32.5</v>
      </c>
    </row>
    <row r="3011" spans="1:12" x14ac:dyDescent="0.3">
      <c r="A3011" t="s">
        <v>5273</v>
      </c>
      <c r="B3011" s="1">
        <v>44077</v>
      </c>
      <c r="C3011" t="s">
        <v>1024</v>
      </c>
      <c r="D3011" t="s">
        <v>1025</v>
      </c>
      <c r="E3011" t="s">
        <v>14</v>
      </c>
      <c r="F3011" t="s">
        <v>41</v>
      </c>
      <c r="G3011" t="s">
        <v>24</v>
      </c>
      <c r="H3011" t="s">
        <v>3651</v>
      </c>
      <c r="I3011" s="2">
        <v>113.44799999999999</v>
      </c>
      <c r="J3011">
        <v>4</v>
      </c>
      <c r="K3011" s="2">
        <v>8.8623999999999992</v>
      </c>
      <c r="L3011" s="3">
        <f>(Table1[[#This Row],[Profit]]/Table1[[#This Row],[Sales]])*100</f>
        <v>7.8118609406952961</v>
      </c>
    </row>
    <row r="3012" spans="1:12" x14ac:dyDescent="0.3">
      <c r="A3012" t="s">
        <v>5512</v>
      </c>
      <c r="B3012" s="1">
        <v>44099</v>
      </c>
      <c r="C3012" t="s">
        <v>3873</v>
      </c>
      <c r="D3012" t="s">
        <v>3874</v>
      </c>
      <c r="E3012" t="s">
        <v>14</v>
      </c>
      <c r="F3012" t="s">
        <v>15</v>
      </c>
      <c r="G3012" t="s">
        <v>24</v>
      </c>
      <c r="H3012" t="s">
        <v>609</v>
      </c>
      <c r="I3012" s="2">
        <v>135.44800000000001</v>
      </c>
      <c r="J3012">
        <v>4</v>
      </c>
      <c r="K3012" s="2">
        <v>8.8623999999999992</v>
      </c>
      <c r="L3012" s="3">
        <f>(Table1[[#This Row],[Profit]]/Table1[[#This Row],[Sales]])*100</f>
        <v>6.5430275825409003</v>
      </c>
    </row>
    <row r="3013" spans="1:12" x14ac:dyDescent="0.3">
      <c r="A3013" t="s">
        <v>6089</v>
      </c>
      <c r="B3013" s="1">
        <v>44168</v>
      </c>
      <c r="C3013" t="s">
        <v>3862</v>
      </c>
      <c r="D3013" t="s">
        <v>3863</v>
      </c>
      <c r="E3013" t="s">
        <v>14</v>
      </c>
      <c r="F3013" t="s">
        <v>41</v>
      </c>
      <c r="G3013" t="s">
        <v>24</v>
      </c>
      <c r="H3013" t="s">
        <v>468</v>
      </c>
      <c r="I3013" s="2">
        <v>148.44800000000001</v>
      </c>
      <c r="J3013">
        <v>4</v>
      </c>
      <c r="K3013" s="2">
        <v>8.8623999999999992</v>
      </c>
      <c r="L3013" s="3">
        <f>(Table1[[#This Row],[Profit]]/Table1[[#This Row],[Sales]])*100</f>
        <v>5.9700366458288423</v>
      </c>
    </row>
    <row r="3014" spans="1:12" x14ac:dyDescent="0.3">
      <c r="A3014" t="s">
        <v>3949</v>
      </c>
      <c r="B3014" s="1">
        <v>43828</v>
      </c>
      <c r="C3014" t="s">
        <v>1745</v>
      </c>
      <c r="D3014" t="s">
        <v>1746</v>
      </c>
      <c r="E3014" t="s">
        <v>14</v>
      </c>
      <c r="F3014" t="s">
        <v>41</v>
      </c>
      <c r="G3014" t="s">
        <v>24</v>
      </c>
      <c r="H3014" t="s">
        <v>3030</v>
      </c>
      <c r="I3014" s="2">
        <v>25.344000000000001</v>
      </c>
      <c r="J3014">
        <v>6</v>
      </c>
      <c r="K3014" s="2">
        <v>8.8704000000000001</v>
      </c>
      <c r="L3014" s="3">
        <f>(Table1[[#This Row],[Profit]]/Table1[[#This Row],[Sales]])*100</f>
        <v>35</v>
      </c>
    </row>
    <row r="3015" spans="1:12" x14ac:dyDescent="0.3">
      <c r="A3015" t="s">
        <v>5361</v>
      </c>
      <c r="B3015" s="1">
        <v>44085</v>
      </c>
      <c r="C3015" t="s">
        <v>5362</v>
      </c>
      <c r="D3015" t="s">
        <v>5363</v>
      </c>
      <c r="E3015" t="s">
        <v>14</v>
      </c>
      <c r="F3015" t="s">
        <v>23</v>
      </c>
      <c r="G3015" t="s">
        <v>16</v>
      </c>
      <c r="H3015" t="s">
        <v>2887</v>
      </c>
      <c r="I3015" s="2">
        <v>209.56800000000001</v>
      </c>
      <c r="J3015">
        <v>2</v>
      </c>
      <c r="K3015" s="2">
        <v>8.8783999999999992</v>
      </c>
      <c r="L3015" s="3">
        <f>(Table1[[#This Row],[Profit]]/Table1[[#This Row],[Sales]])*100</f>
        <v>4.2365246602534734</v>
      </c>
    </row>
    <row r="3016" spans="1:12" x14ac:dyDescent="0.3">
      <c r="A3016" t="s">
        <v>4358</v>
      </c>
      <c r="B3016" s="1">
        <v>43917</v>
      </c>
      <c r="C3016" t="s">
        <v>443</v>
      </c>
      <c r="D3016" t="s">
        <v>444</v>
      </c>
      <c r="E3016" t="s">
        <v>14</v>
      </c>
      <c r="F3016" t="s">
        <v>41</v>
      </c>
      <c r="G3016" t="s">
        <v>24</v>
      </c>
      <c r="H3016" t="s">
        <v>4364</v>
      </c>
      <c r="I3016" s="2">
        <v>146.76</v>
      </c>
      <c r="J3016">
        <v>2</v>
      </c>
      <c r="K3016" s="2">
        <v>8.8800000000000008</v>
      </c>
      <c r="L3016" s="3">
        <f>(Table1[[#This Row],[Profit]]/Table1[[#This Row],[Sales]])*100</f>
        <v>6.0506950122649235</v>
      </c>
    </row>
    <row r="3017" spans="1:12" x14ac:dyDescent="0.3">
      <c r="A3017" t="s">
        <v>5783</v>
      </c>
      <c r="B3017" s="1">
        <v>44139</v>
      </c>
      <c r="C3017" t="s">
        <v>2528</v>
      </c>
      <c r="D3017" t="s">
        <v>2529</v>
      </c>
      <c r="E3017" t="s">
        <v>14</v>
      </c>
      <c r="F3017" t="s">
        <v>29</v>
      </c>
      <c r="G3017" t="s">
        <v>24</v>
      </c>
      <c r="H3017" t="s">
        <v>1282</v>
      </c>
      <c r="I3017" s="2">
        <v>90.68</v>
      </c>
      <c r="J3017">
        <v>2</v>
      </c>
      <c r="K3017" s="2">
        <v>8.8800000000000008</v>
      </c>
      <c r="L3017" s="3">
        <f>(Table1[[#This Row],[Profit]]/Table1[[#This Row],[Sales]])*100</f>
        <v>9.7926775474194976</v>
      </c>
    </row>
    <row r="3018" spans="1:12" x14ac:dyDescent="0.3">
      <c r="A3018" t="s">
        <v>5595</v>
      </c>
      <c r="B3018" s="1">
        <v>44113</v>
      </c>
      <c r="C3018" t="s">
        <v>4308</v>
      </c>
      <c r="D3018" t="s">
        <v>4309</v>
      </c>
      <c r="E3018" t="s">
        <v>14</v>
      </c>
      <c r="F3018" t="s">
        <v>15</v>
      </c>
      <c r="G3018" t="s">
        <v>24</v>
      </c>
      <c r="H3018" t="s">
        <v>5598</v>
      </c>
      <c r="I3018" s="2">
        <v>122.98</v>
      </c>
      <c r="J3018">
        <v>2</v>
      </c>
      <c r="K3018" s="2">
        <v>8.9206000000000003</v>
      </c>
      <c r="L3018" s="3">
        <f>(Table1[[#This Row],[Profit]]/Table1[[#This Row],[Sales]])*100</f>
        <v>7.2536997885835088</v>
      </c>
    </row>
    <row r="3019" spans="1:12" x14ac:dyDescent="0.3">
      <c r="A3019" t="s">
        <v>5250</v>
      </c>
      <c r="B3019" s="1">
        <v>44076</v>
      </c>
      <c r="C3019" t="s">
        <v>4172</v>
      </c>
      <c r="D3019" t="s">
        <v>4173</v>
      </c>
      <c r="E3019" t="s">
        <v>14</v>
      </c>
      <c r="F3019" t="s">
        <v>15</v>
      </c>
      <c r="G3019" t="s">
        <v>24</v>
      </c>
      <c r="H3019" t="s">
        <v>2526</v>
      </c>
      <c r="I3019" s="2">
        <v>104.432</v>
      </c>
      <c r="J3019">
        <v>8</v>
      </c>
      <c r="K3019" s="2">
        <v>8.9207999999999998</v>
      </c>
      <c r="L3019" s="3">
        <f>(Table1[[#This Row],[Profit]]/Table1[[#This Row],[Sales]])*100</f>
        <v>8.5422092845104949</v>
      </c>
    </row>
    <row r="3020" spans="1:12" x14ac:dyDescent="0.3">
      <c r="A3020" t="s">
        <v>2684</v>
      </c>
      <c r="B3020" s="1">
        <v>43718</v>
      </c>
      <c r="C3020" t="s">
        <v>2685</v>
      </c>
      <c r="D3020" t="s">
        <v>2686</v>
      </c>
      <c r="E3020" t="s">
        <v>14</v>
      </c>
      <c r="F3020" t="s">
        <v>15</v>
      </c>
      <c r="G3020" t="s">
        <v>24</v>
      </c>
      <c r="H3020" t="s">
        <v>2687</v>
      </c>
      <c r="I3020" s="2">
        <v>59.48</v>
      </c>
      <c r="J3020">
        <v>2</v>
      </c>
      <c r="K3020" s="2">
        <v>8.9220000000000006</v>
      </c>
      <c r="L3020" s="3">
        <f>(Table1[[#This Row],[Profit]]/Table1[[#This Row],[Sales]])*100</f>
        <v>15.000000000000002</v>
      </c>
    </row>
    <row r="3021" spans="1:12" x14ac:dyDescent="0.3">
      <c r="A3021" t="s">
        <v>98</v>
      </c>
      <c r="B3021" s="1">
        <v>43476</v>
      </c>
      <c r="C3021" t="s">
        <v>99</v>
      </c>
      <c r="D3021" t="s">
        <v>100</v>
      </c>
      <c r="E3021" t="s">
        <v>14</v>
      </c>
      <c r="F3021" t="s">
        <v>15</v>
      </c>
      <c r="G3021" t="s">
        <v>16</v>
      </c>
      <c r="H3021" t="s">
        <v>101</v>
      </c>
      <c r="I3021" s="2">
        <v>54.991999999999997</v>
      </c>
      <c r="J3021">
        <v>14</v>
      </c>
      <c r="K3021" s="2">
        <v>8.9361999999999995</v>
      </c>
      <c r="L3021" s="3">
        <f>(Table1[[#This Row],[Profit]]/Table1[[#This Row],[Sales]])*100</f>
        <v>16.25</v>
      </c>
    </row>
    <row r="3022" spans="1:12" x14ac:dyDescent="0.3">
      <c r="A3022" t="s">
        <v>1882</v>
      </c>
      <c r="B3022" s="1">
        <v>43642</v>
      </c>
      <c r="C3022" t="s">
        <v>1883</v>
      </c>
      <c r="D3022" t="s">
        <v>1884</v>
      </c>
      <c r="E3022" t="s">
        <v>14</v>
      </c>
      <c r="F3022" t="s">
        <v>23</v>
      </c>
      <c r="G3022" t="s">
        <v>24</v>
      </c>
      <c r="H3022" t="s">
        <v>1885</v>
      </c>
      <c r="I3022" s="2">
        <v>17.899999999999999</v>
      </c>
      <c r="J3022">
        <v>5</v>
      </c>
      <c r="K3022" s="2">
        <v>8.9499999999999993</v>
      </c>
      <c r="L3022" s="3">
        <f>(Table1[[#This Row],[Profit]]/Table1[[#This Row],[Sales]])*100</f>
        <v>50</v>
      </c>
    </row>
    <row r="3023" spans="1:12" x14ac:dyDescent="0.3">
      <c r="A3023" t="s">
        <v>3871</v>
      </c>
      <c r="B3023" s="1">
        <v>43821</v>
      </c>
      <c r="C3023" t="s">
        <v>1785</v>
      </c>
      <c r="D3023" t="s">
        <v>1786</v>
      </c>
      <c r="E3023" t="s">
        <v>14</v>
      </c>
      <c r="F3023" t="s">
        <v>15</v>
      </c>
      <c r="G3023" t="s">
        <v>24</v>
      </c>
      <c r="H3023" t="s">
        <v>682</v>
      </c>
      <c r="I3023" s="2">
        <v>25.584</v>
      </c>
      <c r="J3023">
        <v>2</v>
      </c>
      <c r="K3023" s="2">
        <v>8.9543999999999997</v>
      </c>
      <c r="L3023" s="3">
        <f>(Table1[[#This Row],[Profit]]/Table1[[#This Row],[Sales]])*100</f>
        <v>35</v>
      </c>
    </row>
    <row r="3024" spans="1:12" x14ac:dyDescent="0.3">
      <c r="A3024" t="s">
        <v>5425</v>
      </c>
      <c r="B3024" s="1">
        <v>44091</v>
      </c>
      <c r="C3024" t="s">
        <v>3665</v>
      </c>
      <c r="D3024" t="s">
        <v>3666</v>
      </c>
      <c r="E3024" t="s">
        <v>14</v>
      </c>
      <c r="F3024" t="s">
        <v>23</v>
      </c>
      <c r="G3024" t="s">
        <v>24</v>
      </c>
      <c r="H3024" t="s">
        <v>682</v>
      </c>
      <c r="I3024" s="2">
        <v>126.584</v>
      </c>
      <c r="J3024">
        <v>2</v>
      </c>
      <c r="K3024" s="2">
        <v>8.9543999999999997</v>
      </c>
      <c r="L3024" s="3">
        <f>(Table1[[#This Row],[Profit]]/Table1[[#This Row],[Sales]])*100</f>
        <v>7.0738797952347845</v>
      </c>
    </row>
    <row r="3025" spans="1:12" x14ac:dyDescent="0.3">
      <c r="A3025" t="s">
        <v>393</v>
      </c>
      <c r="B3025" s="1">
        <v>43517</v>
      </c>
      <c r="C3025" t="s">
        <v>394</v>
      </c>
      <c r="D3025" t="s">
        <v>395</v>
      </c>
      <c r="E3025" t="s">
        <v>14</v>
      </c>
      <c r="F3025" t="s">
        <v>23</v>
      </c>
      <c r="G3025" t="s">
        <v>24</v>
      </c>
      <c r="H3025" t="s">
        <v>398</v>
      </c>
      <c r="I3025" s="2">
        <v>449.15</v>
      </c>
      <c r="J3025">
        <v>5</v>
      </c>
      <c r="K3025" s="2">
        <v>8.9830000000000005</v>
      </c>
      <c r="L3025" s="3">
        <f>(Table1[[#This Row],[Profit]]/Table1[[#This Row],[Sales]])*100</f>
        <v>2.0000000000000004</v>
      </c>
    </row>
    <row r="3026" spans="1:12" x14ac:dyDescent="0.3">
      <c r="A3026" t="s">
        <v>611</v>
      </c>
      <c r="B3026" s="1">
        <v>43536</v>
      </c>
      <c r="C3026" t="s">
        <v>612</v>
      </c>
      <c r="D3026" t="s">
        <v>613</v>
      </c>
      <c r="E3026" t="s">
        <v>14</v>
      </c>
      <c r="F3026" t="s">
        <v>23</v>
      </c>
      <c r="G3026" t="s">
        <v>24</v>
      </c>
      <c r="H3026" t="s">
        <v>614</v>
      </c>
      <c r="I3026" s="2">
        <v>19.98</v>
      </c>
      <c r="J3026">
        <v>2</v>
      </c>
      <c r="K3026" s="2">
        <v>8.9909999999999997</v>
      </c>
      <c r="L3026" s="3">
        <f>(Table1[[#This Row],[Profit]]/Table1[[#This Row],[Sales]])*100</f>
        <v>44.999999999999993</v>
      </c>
    </row>
    <row r="3027" spans="1:12" x14ac:dyDescent="0.3">
      <c r="A3027" t="s">
        <v>3395</v>
      </c>
      <c r="B3027" s="1">
        <v>43781</v>
      </c>
      <c r="C3027" t="s">
        <v>2827</v>
      </c>
      <c r="D3027" t="s">
        <v>2828</v>
      </c>
      <c r="E3027" t="s">
        <v>14</v>
      </c>
      <c r="F3027" t="s">
        <v>29</v>
      </c>
      <c r="G3027" t="s">
        <v>24</v>
      </c>
      <c r="H3027" t="s">
        <v>3397</v>
      </c>
      <c r="I3027" s="2">
        <v>19.98</v>
      </c>
      <c r="J3027">
        <v>2</v>
      </c>
      <c r="K3027" s="2">
        <v>8.9909999999999997</v>
      </c>
      <c r="L3027" s="3">
        <f>(Table1[[#This Row],[Profit]]/Table1[[#This Row],[Sales]])*100</f>
        <v>44.999999999999993</v>
      </c>
    </row>
    <row r="3028" spans="1:12" x14ac:dyDescent="0.3">
      <c r="A3028" t="s">
        <v>1967</v>
      </c>
      <c r="B3028" s="1">
        <v>43650</v>
      </c>
      <c r="C3028" t="s">
        <v>554</v>
      </c>
      <c r="D3028" t="s">
        <v>555</v>
      </c>
      <c r="E3028" t="s">
        <v>14</v>
      </c>
      <c r="F3028" t="s">
        <v>23</v>
      </c>
      <c r="G3028" t="s">
        <v>18</v>
      </c>
      <c r="H3028" t="s">
        <v>1968</v>
      </c>
      <c r="I3028" s="2">
        <v>71.975999999999999</v>
      </c>
      <c r="J3028">
        <v>3</v>
      </c>
      <c r="K3028" s="2">
        <v>8.9969999999999999</v>
      </c>
      <c r="L3028" s="3">
        <f>(Table1[[#This Row],[Profit]]/Table1[[#This Row],[Sales]])*100</f>
        <v>12.5</v>
      </c>
    </row>
    <row r="3029" spans="1:12" x14ac:dyDescent="0.3">
      <c r="A3029" t="s">
        <v>4813</v>
      </c>
      <c r="B3029" s="1">
        <v>43994</v>
      </c>
      <c r="C3029" t="s">
        <v>4814</v>
      </c>
      <c r="D3029" t="s">
        <v>4815</v>
      </c>
      <c r="E3029" t="s">
        <v>14</v>
      </c>
      <c r="F3029" t="s">
        <v>23</v>
      </c>
      <c r="G3029" t="s">
        <v>18</v>
      </c>
      <c r="H3029" t="s">
        <v>1968</v>
      </c>
      <c r="I3029" s="2">
        <v>115.976</v>
      </c>
      <c r="J3029">
        <v>3</v>
      </c>
      <c r="K3029" s="2">
        <v>8.9969999999999999</v>
      </c>
      <c r="L3029" s="3">
        <f>(Table1[[#This Row],[Profit]]/Table1[[#This Row],[Sales]])*100</f>
        <v>7.7576395116230952</v>
      </c>
    </row>
    <row r="3030" spans="1:12" x14ac:dyDescent="0.3">
      <c r="A3030" t="s">
        <v>5156</v>
      </c>
      <c r="B3030" s="1">
        <v>44060</v>
      </c>
      <c r="C3030" t="s">
        <v>4601</v>
      </c>
      <c r="D3030" t="s">
        <v>4602</v>
      </c>
      <c r="E3030" t="s">
        <v>14</v>
      </c>
      <c r="F3030" t="s">
        <v>23</v>
      </c>
      <c r="G3030" t="s">
        <v>18</v>
      </c>
      <c r="H3030" t="s">
        <v>1968</v>
      </c>
      <c r="I3030" s="2">
        <v>161.976</v>
      </c>
      <c r="J3030">
        <v>3</v>
      </c>
      <c r="K3030" s="2">
        <v>8.9969999999999999</v>
      </c>
      <c r="L3030" s="3">
        <f>(Table1[[#This Row],[Profit]]/Table1[[#This Row],[Sales]])*100</f>
        <v>5.5545265965328197</v>
      </c>
    </row>
    <row r="3031" spans="1:12" x14ac:dyDescent="0.3">
      <c r="A3031" t="s">
        <v>6052</v>
      </c>
      <c r="B3031" s="1">
        <v>44165</v>
      </c>
      <c r="C3031" t="s">
        <v>2685</v>
      </c>
      <c r="D3031" t="s">
        <v>2686</v>
      </c>
      <c r="E3031" t="s">
        <v>14</v>
      </c>
      <c r="F3031" t="s">
        <v>41</v>
      </c>
      <c r="G3031" t="s">
        <v>18</v>
      </c>
      <c r="H3031" t="s">
        <v>1968</v>
      </c>
      <c r="I3031" s="2">
        <v>175.976</v>
      </c>
      <c r="J3031">
        <v>3</v>
      </c>
      <c r="K3031" s="2">
        <v>8.9969999999999999</v>
      </c>
      <c r="L3031" s="3">
        <f>(Table1[[#This Row],[Profit]]/Table1[[#This Row],[Sales]])*100</f>
        <v>5.112628994862936</v>
      </c>
    </row>
    <row r="3032" spans="1:12" x14ac:dyDescent="0.3">
      <c r="A3032" t="s">
        <v>4258</v>
      </c>
      <c r="B3032" s="1">
        <v>43903</v>
      </c>
      <c r="C3032" t="s">
        <v>1935</v>
      </c>
      <c r="D3032" t="s">
        <v>1936</v>
      </c>
      <c r="E3032" t="s">
        <v>14</v>
      </c>
      <c r="F3032" t="s">
        <v>29</v>
      </c>
      <c r="G3032" t="s">
        <v>18</v>
      </c>
      <c r="H3032" t="s">
        <v>4102</v>
      </c>
      <c r="I3032" s="2">
        <v>228.98599999999999</v>
      </c>
      <c r="J3032">
        <v>2</v>
      </c>
      <c r="K3032" s="2">
        <v>8.9993999999999996</v>
      </c>
      <c r="L3032" s="3">
        <f>(Table1[[#This Row],[Profit]]/Table1[[#This Row],[Sales]])*100</f>
        <v>3.9301092643218363</v>
      </c>
    </row>
    <row r="3033" spans="1:12" x14ac:dyDescent="0.3">
      <c r="A3033" t="s">
        <v>4279</v>
      </c>
      <c r="B3033" s="1">
        <v>43907</v>
      </c>
      <c r="C3033" t="s">
        <v>4280</v>
      </c>
      <c r="D3033" t="s">
        <v>4281</v>
      </c>
      <c r="E3033" t="s">
        <v>14</v>
      </c>
      <c r="F3033" t="s">
        <v>15</v>
      </c>
      <c r="G3033" t="s">
        <v>24</v>
      </c>
      <c r="H3033" t="s">
        <v>1233</v>
      </c>
      <c r="I3033" s="2">
        <v>98.75</v>
      </c>
      <c r="J3033">
        <v>5</v>
      </c>
      <c r="K3033" s="2">
        <v>9</v>
      </c>
      <c r="L3033" s="3">
        <f>(Table1[[#This Row],[Profit]]/Table1[[#This Row],[Sales]])*100</f>
        <v>9.113924050632912</v>
      </c>
    </row>
    <row r="3034" spans="1:12" x14ac:dyDescent="0.3">
      <c r="A3034" t="s">
        <v>5357</v>
      </c>
      <c r="B3034" s="1">
        <v>44084</v>
      </c>
      <c r="C3034" t="s">
        <v>3818</v>
      </c>
      <c r="D3034" t="s">
        <v>3819</v>
      </c>
      <c r="E3034" t="s">
        <v>14</v>
      </c>
      <c r="F3034" t="s">
        <v>15</v>
      </c>
      <c r="G3034" t="s">
        <v>24</v>
      </c>
      <c r="H3034" t="s">
        <v>2347</v>
      </c>
      <c r="I3034" s="2">
        <v>100.76</v>
      </c>
      <c r="J3034">
        <v>2</v>
      </c>
      <c r="K3034" s="2">
        <v>9.0047999999999995</v>
      </c>
      <c r="L3034" s="3">
        <f>(Table1[[#This Row],[Profit]]/Table1[[#This Row],[Sales]])*100</f>
        <v>8.9368797141722904</v>
      </c>
    </row>
    <row r="3035" spans="1:12" x14ac:dyDescent="0.3">
      <c r="A3035" t="s">
        <v>1045</v>
      </c>
      <c r="B3035" s="1">
        <v>43572</v>
      </c>
      <c r="C3035" t="s">
        <v>946</v>
      </c>
      <c r="D3035" t="s">
        <v>947</v>
      </c>
      <c r="E3035" t="s">
        <v>14</v>
      </c>
      <c r="F3035" t="s">
        <v>29</v>
      </c>
      <c r="G3035" t="s">
        <v>24</v>
      </c>
      <c r="H3035" t="s">
        <v>1046</v>
      </c>
      <c r="I3035" s="2">
        <v>29.05</v>
      </c>
      <c r="J3035">
        <v>5</v>
      </c>
      <c r="K3035" s="2">
        <v>9.0054999999999996</v>
      </c>
      <c r="L3035" s="3">
        <f>(Table1[[#This Row],[Profit]]/Table1[[#This Row],[Sales]])*100</f>
        <v>31</v>
      </c>
    </row>
    <row r="3036" spans="1:12" x14ac:dyDescent="0.3">
      <c r="A3036" t="s">
        <v>1887</v>
      </c>
      <c r="B3036" s="1">
        <v>43642</v>
      </c>
      <c r="C3036" t="s">
        <v>1888</v>
      </c>
      <c r="D3036" t="s">
        <v>1889</v>
      </c>
      <c r="E3036" t="s">
        <v>14</v>
      </c>
      <c r="F3036" t="s">
        <v>15</v>
      </c>
      <c r="G3036" t="s">
        <v>18</v>
      </c>
      <c r="H3036" t="s">
        <v>1890</v>
      </c>
      <c r="I3036" s="2">
        <v>20.97</v>
      </c>
      <c r="J3036">
        <v>3</v>
      </c>
      <c r="K3036" s="2">
        <v>9.0170999999999992</v>
      </c>
      <c r="L3036" s="3">
        <f>(Table1[[#This Row],[Profit]]/Table1[[#This Row],[Sales]])*100</f>
        <v>43</v>
      </c>
    </row>
    <row r="3037" spans="1:12" x14ac:dyDescent="0.3">
      <c r="A3037" t="s">
        <v>5482</v>
      </c>
      <c r="B3037" s="1">
        <v>44097</v>
      </c>
      <c r="C3037" t="s">
        <v>3631</v>
      </c>
      <c r="D3037" t="s">
        <v>3632</v>
      </c>
      <c r="E3037" t="s">
        <v>14</v>
      </c>
      <c r="F3037" t="s">
        <v>23</v>
      </c>
      <c r="G3037" t="s">
        <v>24</v>
      </c>
      <c r="H3037" t="s">
        <v>3541</v>
      </c>
      <c r="I3037" s="2">
        <v>144.82400000000001</v>
      </c>
      <c r="J3037">
        <v>6</v>
      </c>
      <c r="K3037" s="2">
        <v>9.0383999999999993</v>
      </c>
      <c r="L3037" s="3">
        <f>(Table1[[#This Row],[Profit]]/Table1[[#This Row],[Sales]])*100</f>
        <v>6.2409545379218905</v>
      </c>
    </row>
    <row r="3038" spans="1:12" x14ac:dyDescent="0.3">
      <c r="A3038" t="s">
        <v>58</v>
      </c>
      <c r="B3038" s="1">
        <v>43472</v>
      </c>
      <c r="C3038" t="s">
        <v>59</v>
      </c>
      <c r="D3038" t="s">
        <v>60</v>
      </c>
      <c r="E3038" t="s">
        <v>14</v>
      </c>
      <c r="F3038" t="s">
        <v>29</v>
      </c>
      <c r="G3038" t="s">
        <v>24</v>
      </c>
      <c r="H3038" t="s">
        <v>62</v>
      </c>
      <c r="I3038" s="2">
        <v>25.92</v>
      </c>
      <c r="J3038">
        <v>5</v>
      </c>
      <c r="K3038" s="2">
        <v>9.0719999999999992</v>
      </c>
      <c r="L3038" s="3">
        <f>(Table1[[#This Row],[Profit]]/Table1[[#This Row],[Sales]])*100</f>
        <v>34.999999999999993</v>
      </c>
    </row>
    <row r="3039" spans="1:12" x14ac:dyDescent="0.3">
      <c r="A3039" t="s">
        <v>2619</v>
      </c>
      <c r="B3039" s="1">
        <v>43713</v>
      </c>
      <c r="C3039" t="s">
        <v>2620</v>
      </c>
      <c r="D3039" t="s">
        <v>2621</v>
      </c>
      <c r="E3039" t="s">
        <v>14</v>
      </c>
      <c r="F3039" t="s">
        <v>29</v>
      </c>
      <c r="G3039" t="s">
        <v>24</v>
      </c>
      <c r="H3039" t="s">
        <v>1811</v>
      </c>
      <c r="I3039" s="2">
        <v>25.92</v>
      </c>
      <c r="J3039">
        <v>5</v>
      </c>
      <c r="K3039" s="2">
        <v>9.0719999999999992</v>
      </c>
      <c r="L3039" s="3">
        <f>(Table1[[#This Row],[Profit]]/Table1[[#This Row],[Sales]])*100</f>
        <v>34.999999999999993</v>
      </c>
    </row>
    <row r="3040" spans="1:12" x14ac:dyDescent="0.3">
      <c r="A3040" t="s">
        <v>4229</v>
      </c>
      <c r="B3040" s="1">
        <v>43897</v>
      </c>
      <c r="C3040" t="s">
        <v>3818</v>
      </c>
      <c r="D3040" t="s">
        <v>3819</v>
      </c>
      <c r="E3040" t="s">
        <v>14</v>
      </c>
      <c r="F3040" t="s">
        <v>15</v>
      </c>
      <c r="G3040" t="s">
        <v>24</v>
      </c>
      <c r="H3040" t="s">
        <v>4230</v>
      </c>
      <c r="I3040" s="2">
        <v>133.91999999999999</v>
      </c>
      <c r="J3040">
        <v>6</v>
      </c>
      <c r="K3040" s="2">
        <v>9.0719999999999992</v>
      </c>
      <c r="L3040" s="3">
        <f>(Table1[[#This Row],[Profit]]/Table1[[#This Row],[Sales]])*100</f>
        <v>6.7741935483870979</v>
      </c>
    </row>
    <row r="3041" spans="1:12" x14ac:dyDescent="0.3">
      <c r="A3041" t="s">
        <v>4722</v>
      </c>
      <c r="B3041" s="1">
        <v>43978</v>
      </c>
      <c r="C3041" t="s">
        <v>128</v>
      </c>
      <c r="D3041" t="s">
        <v>129</v>
      </c>
      <c r="E3041" t="s">
        <v>14</v>
      </c>
      <c r="F3041" t="s">
        <v>41</v>
      </c>
      <c r="G3041" t="s">
        <v>24</v>
      </c>
      <c r="H3041" t="s">
        <v>95</v>
      </c>
      <c r="I3041" s="2">
        <v>146.91999999999999</v>
      </c>
      <c r="J3041">
        <v>5</v>
      </c>
      <c r="K3041" s="2">
        <v>9.0719999999999992</v>
      </c>
      <c r="L3041" s="3">
        <f>(Table1[[#This Row],[Profit]]/Table1[[#This Row],[Sales]])*100</f>
        <v>6.1747890008167712</v>
      </c>
    </row>
    <row r="3042" spans="1:12" x14ac:dyDescent="0.3">
      <c r="A3042" t="s">
        <v>5250</v>
      </c>
      <c r="B3042" s="1">
        <v>44076</v>
      </c>
      <c r="C3042" t="s">
        <v>4172</v>
      </c>
      <c r="D3042" t="s">
        <v>4173</v>
      </c>
      <c r="E3042" t="s">
        <v>14</v>
      </c>
      <c r="F3042" t="s">
        <v>15</v>
      </c>
      <c r="G3042" t="s">
        <v>24</v>
      </c>
      <c r="H3042" t="s">
        <v>499</v>
      </c>
      <c r="I3042" s="2">
        <v>145.9</v>
      </c>
      <c r="J3042">
        <v>6</v>
      </c>
      <c r="K3042" s="2">
        <v>9.0719999999999992</v>
      </c>
      <c r="L3042" s="3">
        <f>(Table1[[#This Row],[Profit]]/Table1[[#This Row],[Sales]])*100</f>
        <v>6.2179575051405065</v>
      </c>
    </row>
    <row r="3043" spans="1:12" x14ac:dyDescent="0.3">
      <c r="A3043" t="s">
        <v>6243</v>
      </c>
      <c r="B3043" s="1">
        <v>44187</v>
      </c>
      <c r="C3043" t="s">
        <v>2244</v>
      </c>
      <c r="D3043" t="s">
        <v>2245</v>
      </c>
      <c r="E3043" t="s">
        <v>14</v>
      </c>
      <c r="F3043" t="s">
        <v>29</v>
      </c>
      <c r="G3043" t="s">
        <v>24</v>
      </c>
      <c r="H3043" t="s">
        <v>918</v>
      </c>
      <c r="I3043" s="2">
        <v>139.91999999999999</v>
      </c>
      <c r="J3043">
        <v>5</v>
      </c>
      <c r="K3043" s="2">
        <v>9.0719999999999992</v>
      </c>
      <c r="L3043" s="3">
        <f>(Table1[[#This Row],[Profit]]/Table1[[#This Row],[Sales]])*100</f>
        <v>6.4837049742710127</v>
      </c>
    </row>
    <row r="3044" spans="1:12" x14ac:dyDescent="0.3">
      <c r="A3044" t="s">
        <v>4465</v>
      </c>
      <c r="B3044" s="1">
        <v>43935</v>
      </c>
      <c r="C3044" t="s">
        <v>684</v>
      </c>
      <c r="D3044" t="s">
        <v>685</v>
      </c>
      <c r="E3044" t="s">
        <v>14</v>
      </c>
      <c r="F3044" t="s">
        <v>15</v>
      </c>
      <c r="G3044" t="s">
        <v>16</v>
      </c>
      <c r="H3044" t="s">
        <v>1050</v>
      </c>
      <c r="I3044" s="2">
        <v>280.35199999999998</v>
      </c>
      <c r="J3044">
        <v>3</v>
      </c>
      <c r="K3044" s="2">
        <v>9.0882000000000005</v>
      </c>
      <c r="L3044" s="3">
        <f>(Table1[[#This Row],[Profit]]/Table1[[#This Row],[Sales]])*100</f>
        <v>3.2417104211847967</v>
      </c>
    </row>
    <row r="3045" spans="1:12" x14ac:dyDescent="0.3">
      <c r="A3045" t="s">
        <v>5678</v>
      </c>
      <c r="B3045" s="1">
        <v>44125</v>
      </c>
      <c r="C3045" t="s">
        <v>4725</v>
      </c>
      <c r="D3045" t="s">
        <v>4726</v>
      </c>
      <c r="E3045" t="s">
        <v>14</v>
      </c>
      <c r="F3045" t="s">
        <v>29</v>
      </c>
      <c r="G3045" t="s">
        <v>24</v>
      </c>
      <c r="H3045" t="s">
        <v>2416</v>
      </c>
      <c r="I3045" s="2">
        <v>928.12</v>
      </c>
      <c r="J3045">
        <v>8</v>
      </c>
      <c r="K3045" s="2">
        <v>9.0912000000000006</v>
      </c>
      <c r="L3045" s="3">
        <f>(Table1[[#This Row],[Profit]]/Table1[[#This Row],[Sales]])*100</f>
        <v>0.97952850924449431</v>
      </c>
    </row>
    <row r="3046" spans="1:12" x14ac:dyDescent="0.3">
      <c r="A3046" t="s">
        <v>6000</v>
      </c>
      <c r="B3046" s="1">
        <v>44159</v>
      </c>
      <c r="C3046" t="s">
        <v>977</v>
      </c>
      <c r="D3046" t="s">
        <v>978</v>
      </c>
      <c r="E3046" t="s">
        <v>14</v>
      </c>
      <c r="F3046" t="s">
        <v>23</v>
      </c>
      <c r="G3046" t="s">
        <v>16</v>
      </c>
      <c r="H3046" t="s">
        <v>36</v>
      </c>
      <c r="I3046" s="2">
        <v>396.08</v>
      </c>
      <c r="J3046">
        <v>2</v>
      </c>
      <c r="K3046" s="2">
        <v>9.1020000000000003</v>
      </c>
      <c r="L3046" s="3">
        <f>(Table1[[#This Row],[Profit]]/Table1[[#This Row],[Sales]])*100</f>
        <v>2.2980206018986067</v>
      </c>
    </row>
    <row r="3047" spans="1:12" x14ac:dyDescent="0.3">
      <c r="A3047" t="s">
        <v>2962</v>
      </c>
      <c r="B3047" s="1">
        <v>43737</v>
      </c>
      <c r="C3047" t="s">
        <v>558</v>
      </c>
      <c r="D3047" t="s">
        <v>559</v>
      </c>
      <c r="E3047" t="s">
        <v>14</v>
      </c>
      <c r="F3047" t="s">
        <v>23</v>
      </c>
      <c r="G3047" t="s">
        <v>24</v>
      </c>
      <c r="H3047" t="s">
        <v>2963</v>
      </c>
      <c r="I3047" s="2">
        <v>18.97</v>
      </c>
      <c r="J3047">
        <v>1</v>
      </c>
      <c r="K3047" s="2">
        <v>9.1056000000000008</v>
      </c>
      <c r="L3047" s="3">
        <f>(Table1[[#This Row],[Profit]]/Table1[[#This Row],[Sales]])*100</f>
        <v>48.000000000000007</v>
      </c>
    </row>
    <row r="3048" spans="1:12" x14ac:dyDescent="0.3">
      <c r="A3048" t="s">
        <v>5144</v>
      </c>
      <c r="B3048" s="1">
        <v>44056</v>
      </c>
      <c r="C3048" t="s">
        <v>762</v>
      </c>
      <c r="D3048" t="s">
        <v>763</v>
      </c>
      <c r="E3048" t="s">
        <v>14</v>
      </c>
      <c r="F3048" t="s">
        <v>41</v>
      </c>
      <c r="G3048" t="s">
        <v>24</v>
      </c>
      <c r="H3048" t="s">
        <v>449</v>
      </c>
      <c r="I3048" s="2">
        <v>121.32</v>
      </c>
      <c r="J3048">
        <v>5</v>
      </c>
      <c r="K3048" s="2">
        <v>9.1199999999999992</v>
      </c>
      <c r="L3048" s="3">
        <f>(Table1[[#This Row],[Profit]]/Table1[[#This Row],[Sales]])*100</f>
        <v>7.5173095944609285</v>
      </c>
    </row>
    <row r="3049" spans="1:12" x14ac:dyDescent="0.3">
      <c r="A3049" t="s">
        <v>5751</v>
      </c>
      <c r="B3049" s="1">
        <v>44137</v>
      </c>
      <c r="C3049" t="s">
        <v>3348</v>
      </c>
      <c r="D3049" t="s">
        <v>3349</v>
      </c>
      <c r="E3049" t="s">
        <v>14</v>
      </c>
      <c r="F3049" t="s">
        <v>29</v>
      </c>
      <c r="G3049" t="s">
        <v>24</v>
      </c>
      <c r="H3049" t="s">
        <v>449</v>
      </c>
      <c r="I3049" s="2">
        <v>134.24</v>
      </c>
      <c r="J3049">
        <v>3</v>
      </c>
      <c r="K3049" s="2">
        <v>9.1199999999999992</v>
      </c>
      <c r="L3049" s="3">
        <f>(Table1[[#This Row],[Profit]]/Table1[[#This Row],[Sales]])*100</f>
        <v>6.7938021454112025</v>
      </c>
    </row>
    <row r="3050" spans="1:12" x14ac:dyDescent="0.3">
      <c r="A3050" t="s">
        <v>5862</v>
      </c>
      <c r="B3050" s="1">
        <v>44147</v>
      </c>
      <c r="C3050" t="s">
        <v>3425</v>
      </c>
      <c r="D3050" t="s">
        <v>3426</v>
      </c>
      <c r="E3050" t="s">
        <v>14</v>
      </c>
      <c r="F3050" t="s">
        <v>23</v>
      </c>
      <c r="G3050" t="s">
        <v>24</v>
      </c>
      <c r="H3050" t="s">
        <v>449</v>
      </c>
      <c r="I3050" s="2">
        <v>146.24</v>
      </c>
      <c r="J3050">
        <v>3</v>
      </c>
      <c r="K3050" s="2">
        <v>9.1199999999999992</v>
      </c>
      <c r="L3050" s="3">
        <f>(Table1[[#This Row],[Profit]]/Table1[[#This Row],[Sales]])*100</f>
        <v>6.2363238512035002</v>
      </c>
    </row>
    <row r="3051" spans="1:12" x14ac:dyDescent="0.3">
      <c r="A3051" t="s">
        <v>5886</v>
      </c>
      <c r="B3051" s="1">
        <v>44148</v>
      </c>
      <c r="C3051" t="s">
        <v>3451</v>
      </c>
      <c r="D3051" t="s">
        <v>3452</v>
      </c>
      <c r="E3051" t="s">
        <v>14</v>
      </c>
      <c r="F3051" t="s">
        <v>15</v>
      </c>
      <c r="G3051" t="s">
        <v>18</v>
      </c>
      <c r="H3051" t="s">
        <v>1461</v>
      </c>
      <c r="I3051" s="2">
        <v>151.864</v>
      </c>
      <c r="J3051">
        <v>4</v>
      </c>
      <c r="K3051" s="2">
        <v>9.1295999999999999</v>
      </c>
      <c r="L3051" s="3">
        <f>(Table1[[#This Row],[Profit]]/Table1[[#This Row],[Sales]])*100</f>
        <v>6.0116946741821629</v>
      </c>
    </row>
    <row r="3052" spans="1:12" x14ac:dyDescent="0.3">
      <c r="A3052" t="s">
        <v>823</v>
      </c>
      <c r="B3052" s="1">
        <v>43556</v>
      </c>
      <c r="C3052" t="s">
        <v>824</v>
      </c>
      <c r="D3052" t="s">
        <v>825</v>
      </c>
      <c r="E3052" t="s">
        <v>14</v>
      </c>
      <c r="F3052" t="s">
        <v>15</v>
      </c>
      <c r="G3052" t="s">
        <v>18</v>
      </c>
      <c r="H3052" t="s">
        <v>526</v>
      </c>
      <c r="I3052" s="2">
        <v>35.119999999999997</v>
      </c>
      <c r="J3052">
        <v>4</v>
      </c>
      <c r="K3052" s="2">
        <v>9.1311999999999998</v>
      </c>
      <c r="L3052" s="3">
        <f>(Table1[[#This Row],[Profit]]/Table1[[#This Row],[Sales]])*100</f>
        <v>26</v>
      </c>
    </row>
    <row r="3053" spans="1:12" x14ac:dyDescent="0.3">
      <c r="A3053" t="s">
        <v>4092</v>
      </c>
      <c r="B3053" s="1">
        <v>43860</v>
      </c>
      <c r="C3053" t="s">
        <v>401</v>
      </c>
      <c r="D3053" t="s">
        <v>402</v>
      </c>
      <c r="E3053" t="s">
        <v>14</v>
      </c>
      <c r="F3053" t="s">
        <v>29</v>
      </c>
      <c r="G3053" t="s">
        <v>24</v>
      </c>
      <c r="H3053" t="s">
        <v>650</v>
      </c>
      <c r="I3053" s="2">
        <v>116.28</v>
      </c>
      <c r="J3053">
        <v>2</v>
      </c>
      <c r="K3053" s="2">
        <v>9.14</v>
      </c>
      <c r="L3053" s="3">
        <f>(Table1[[#This Row],[Profit]]/Table1[[#This Row],[Sales]])*100</f>
        <v>7.8603371173030627</v>
      </c>
    </row>
    <row r="3054" spans="1:12" x14ac:dyDescent="0.3">
      <c r="A3054" t="s">
        <v>3240</v>
      </c>
      <c r="B3054" s="1">
        <v>43772</v>
      </c>
      <c r="C3054" t="s">
        <v>1024</v>
      </c>
      <c r="D3054" t="s">
        <v>1025</v>
      </c>
      <c r="E3054" t="s">
        <v>14</v>
      </c>
      <c r="F3054" t="s">
        <v>41</v>
      </c>
      <c r="G3054" t="s">
        <v>16</v>
      </c>
      <c r="H3054" t="s">
        <v>3019</v>
      </c>
      <c r="I3054" s="2">
        <v>24.1</v>
      </c>
      <c r="J3054">
        <v>5</v>
      </c>
      <c r="K3054" s="2">
        <v>9.1579999999999995</v>
      </c>
      <c r="L3054" s="3">
        <f>(Table1[[#This Row],[Profit]]/Table1[[#This Row],[Sales]])*100</f>
        <v>37.999999999999993</v>
      </c>
    </row>
    <row r="3055" spans="1:12" x14ac:dyDescent="0.3">
      <c r="A3055" t="s">
        <v>4213</v>
      </c>
      <c r="B3055" s="1">
        <v>43895</v>
      </c>
      <c r="C3055" t="s">
        <v>4214</v>
      </c>
      <c r="D3055" t="s">
        <v>4215</v>
      </c>
      <c r="E3055" t="s">
        <v>14</v>
      </c>
      <c r="F3055" t="s">
        <v>29</v>
      </c>
      <c r="G3055" t="s">
        <v>24</v>
      </c>
      <c r="H3055" t="s">
        <v>4219</v>
      </c>
      <c r="I3055" s="2">
        <v>148.69</v>
      </c>
      <c r="J3055">
        <v>3</v>
      </c>
      <c r="K3055" s="2">
        <v>9.1580999999999992</v>
      </c>
      <c r="L3055" s="3">
        <f>(Table1[[#This Row],[Profit]]/Table1[[#This Row],[Sales]])*100</f>
        <v>6.1591902616181313</v>
      </c>
    </row>
    <row r="3056" spans="1:12" x14ac:dyDescent="0.3">
      <c r="A3056" t="s">
        <v>5729</v>
      </c>
      <c r="B3056" s="1">
        <v>44134</v>
      </c>
      <c r="C3056" t="s">
        <v>341</v>
      </c>
      <c r="D3056" t="s">
        <v>342</v>
      </c>
      <c r="E3056" t="s">
        <v>14</v>
      </c>
      <c r="F3056" t="s">
        <v>41</v>
      </c>
      <c r="G3056" t="s">
        <v>16</v>
      </c>
      <c r="H3056" t="s">
        <v>3187</v>
      </c>
      <c r="I3056" s="2">
        <v>133.94</v>
      </c>
      <c r="J3056">
        <v>1</v>
      </c>
      <c r="K3056" s="2">
        <v>9.1638000000000002</v>
      </c>
      <c r="L3056" s="3">
        <f>(Table1[[#This Row],[Profit]]/Table1[[#This Row],[Sales]])*100</f>
        <v>6.8417201732118862</v>
      </c>
    </row>
    <row r="3057" spans="1:12" x14ac:dyDescent="0.3">
      <c r="A3057" t="s">
        <v>5751</v>
      </c>
      <c r="B3057" s="1">
        <v>44137</v>
      </c>
      <c r="C3057" t="s">
        <v>3348</v>
      </c>
      <c r="D3057" t="s">
        <v>3349</v>
      </c>
      <c r="E3057" t="s">
        <v>14</v>
      </c>
      <c r="F3057" t="s">
        <v>29</v>
      </c>
      <c r="G3057" t="s">
        <v>24</v>
      </c>
      <c r="H3057" t="s">
        <v>1614</v>
      </c>
      <c r="I3057" s="2">
        <v>123.78</v>
      </c>
      <c r="J3057">
        <v>6</v>
      </c>
      <c r="K3057" s="2">
        <v>9.1674000000000007</v>
      </c>
      <c r="L3057" s="3">
        <f>(Table1[[#This Row],[Profit]]/Table1[[#This Row],[Sales]])*100</f>
        <v>7.4062045564711587</v>
      </c>
    </row>
    <row r="3058" spans="1:12" x14ac:dyDescent="0.3">
      <c r="A3058" t="s">
        <v>5970</v>
      </c>
      <c r="B3058" s="1">
        <v>44155</v>
      </c>
      <c r="C3058" t="s">
        <v>1898</v>
      </c>
      <c r="D3058" t="s">
        <v>1899</v>
      </c>
      <c r="E3058" t="s">
        <v>14</v>
      </c>
      <c r="F3058" t="s">
        <v>15</v>
      </c>
      <c r="G3058" t="s">
        <v>16</v>
      </c>
      <c r="H3058" t="s">
        <v>4748</v>
      </c>
      <c r="I3058" s="2">
        <v>139.97</v>
      </c>
      <c r="J3058">
        <v>3</v>
      </c>
      <c r="K3058" s="2">
        <v>9.1745999999999999</v>
      </c>
      <c r="L3058" s="3">
        <f>(Table1[[#This Row],[Profit]]/Table1[[#This Row],[Sales]])*100</f>
        <v>6.5546902907765947</v>
      </c>
    </row>
    <row r="3059" spans="1:12" x14ac:dyDescent="0.3">
      <c r="A3059" t="s">
        <v>6191</v>
      </c>
      <c r="B3059" s="1">
        <v>44181</v>
      </c>
      <c r="C3059" t="s">
        <v>3848</v>
      </c>
      <c r="D3059" t="s">
        <v>3849</v>
      </c>
      <c r="E3059" t="s">
        <v>14</v>
      </c>
      <c r="F3059" t="s">
        <v>23</v>
      </c>
      <c r="G3059" t="s">
        <v>16</v>
      </c>
      <c r="H3059" t="s">
        <v>1675</v>
      </c>
      <c r="I3059" s="2">
        <v>348.56799999999998</v>
      </c>
      <c r="J3059">
        <v>2</v>
      </c>
      <c r="K3059" s="2">
        <v>9.1763999999999992</v>
      </c>
      <c r="L3059" s="3">
        <f>(Table1[[#This Row],[Profit]]/Table1[[#This Row],[Sales]])*100</f>
        <v>2.632599664914737</v>
      </c>
    </row>
    <row r="3060" spans="1:12" x14ac:dyDescent="0.3">
      <c r="A3060" t="s">
        <v>5601</v>
      </c>
      <c r="B3060" s="1">
        <v>44113</v>
      </c>
      <c r="C3060" t="s">
        <v>811</v>
      </c>
      <c r="D3060" t="s">
        <v>812</v>
      </c>
      <c r="E3060" t="s">
        <v>14</v>
      </c>
      <c r="F3060" t="s">
        <v>15</v>
      </c>
      <c r="G3060" t="s">
        <v>16</v>
      </c>
      <c r="H3060" t="s">
        <v>5556</v>
      </c>
      <c r="I3060" s="2">
        <v>140.88800000000001</v>
      </c>
      <c r="J3060">
        <v>4</v>
      </c>
      <c r="K3060" s="2">
        <v>9.1776</v>
      </c>
      <c r="L3060" s="3">
        <f>(Table1[[#This Row],[Profit]]/Table1[[#This Row],[Sales]])*100</f>
        <v>6.5141104991198686</v>
      </c>
    </row>
    <row r="3061" spans="1:12" x14ac:dyDescent="0.3">
      <c r="A3061" t="s">
        <v>2372</v>
      </c>
      <c r="B3061" s="1">
        <v>43696</v>
      </c>
      <c r="C3061" t="s">
        <v>2373</v>
      </c>
      <c r="D3061" t="s">
        <v>2374</v>
      </c>
      <c r="E3061" t="s">
        <v>14</v>
      </c>
      <c r="F3061" t="s">
        <v>15</v>
      </c>
      <c r="G3061" t="s">
        <v>24</v>
      </c>
      <c r="H3061" t="s">
        <v>1458</v>
      </c>
      <c r="I3061" s="2">
        <v>25.32</v>
      </c>
      <c r="J3061">
        <v>5</v>
      </c>
      <c r="K3061" s="2">
        <v>9.1784999999999997</v>
      </c>
      <c r="L3061" s="3">
        <f>(Table1[[#This Row],[Profit]]/Table1[[#This Row],[Sales]])*100</f>
        <v>36.25</v>
      </c>
    </row>
    <row r="3062" spans="1:12" x14ac:dyDescent="0.3">
      <c r="A3062" t="s">
        <v>2729</v>
      </c>
      <c r="B3062" s="1">
        <v>43720</v>
      </c>
      <c r="C3062" t="s">
        <v>1713</v>
      </c>
      <c r="D3062" t="s">
        <v>1714</v>
      </c>
      <c r="E3062" t="s">
        <v>14</v>
      </c>
      <c r="F3062" t="s">
        <v>23</v>
      </c>
      <c r="G3062" t="s">
        <v>18</v>
      </c>
      <c r="H3062" t="s">
        <v>2730</v>
      </c>
      <c r="I3062" s="2">
        <v>146.952</v>
      </c>
      <c r="J3062">
        <v>3</v>
      </c>
      <c r="K3062" s="2">
        <v>9.1844999999999999</v>
      </c>
      <c r="L3062" s="3">
        <f>(Table1[[#This Row],[Profit]]/Table1[[#This Row],[Sales]])*100</f>
        <v>6.25</v>
      </c>
    </row>
    <row r="3063" spans="1:12" x14ac:dyDescent="0.3">
      <c r="A3063" t="s">
        <v>4759</v>
      </c>
      <c r="B3063" s="1">
        <v>43984</v>
      </c>
      <c r="C3063" t="s">
        <v>4760</v>
      </c>
      <c r="D3063" t="s">
        <v>4761</v>
      </c>
      <c r="E3063" t="s">
        <v>14</v>
      </c>
      <c r="F3063" t="s">
        <v>41</v>
      </c>
      <c r="G3063" t="s">
        <v>24</v>
      </c>
      <c r="H3063" t="s">
        <v>4688</v>
      </c>
      <c r="I3063" s="2">
        <v>110.34399999999999</v>
      </c>
      <c r="J3063">
        <v>4</v>
      </c>
      <c r="K3063" s="2">
        <v>9.1872000000000007</v>
      </c>
      <c r="L3063" s="3">
        <f>(Table1[[#This Row],[Profit]]/Table1[[#This Row],[Sales]])*100</f>
        <v>8.3259624447183356</v>
      </c>
    </row>
    <row r="3064" spans="1:12" x14ac:dyDescent="0.3">
      <c r="A3064" t="s">
        <v>3785</v>
      </c>
      <c r="B3064" s="1">
        <v>43810</v>
      </c>
      <c r="C3064" t="s">
        <v>1970</v>
      </c>
      <c r="D3064" t="s">
        <v>1971</v>
      </c>
      <c r="E3064" t="s">
        <v>14</v>
      </c>
      <c r="F3064" t="s">
        <v>15</v>
      </c>
      <c r="G3064" t="s">
        <v>24</v>
      </c>
      <c r="H3064" t="s">
        <v>2086</v>
      </c>
      <c r="I3064" s="2">
        <v>73.536000000000001</v>
      </c>
      <c r="J3064">
        <v>4</v>
      </c>
      <c r="K3064" s="2">
        <v>9.1920000000000002</v>
      </c>
      <c r="L3064" s="3">
        <f>(Table1[[#This Row],[Profit]]/Table1[[#This Row],[Sales]])*100</f>
        <v>12.5</v>
      </c>
    </row>
    <row r="3065" spans="1:12" x14ac:dyDescent="0.3">
      <c r="A3065" t="s">
        <v>1319</v>
      </c>
      <c r="B3065" s="1">
        <v>43594</v>
      </c>
      <c r="C3065" t="s">
        <v>1320</v>
      </c>
      <c r="D3065" t="s">
        <v>1321</v>
      </c>
      <c r="E3065" t="s">
        <v>14</v>
      </c>
      <c r="F3065" t="s">
        <v>41</v>
      </c>
      <c r="G3065" t="s">
        <v>24</v>
      </c>
      <c r="H3065" t="s">
        <v>1322</v>
      </c>
      <c r="I3065" s="2">
        <v>27.86</v>
      </c>
      <c r="J3065">
        <v>7</v>
      </c>
      <c r="K3065" s="2">
        <v>9.1937999999999995</v>
      </c>
      <c r="L3065" s="3">
        <f>(Table1[[#This Row],[Profit]]/Table1[[#This Row],[Sales]])*100</f>
        <v>33</v>
      </c>
    </row>
    <row r="3066" spans="1:12" x14ac:dyDescent="0.3">
      <c r="A3066" t="s">
        <v>4972</v>
      </c>
      <c r="B3066" s="1">
        <v>44020</v>
      </c>
      <c r="C3066" t="s">
        <v>221</v>
      </c>
      <c r="D3066" t="s">
        <v>222</v>
      </c>
      <c r="E3066" t="s">
        <v>14</v>
      </c>
      <c r="F3066" t="s">
        <v>15</v>
      </c>
      <c r="G3066" t="s">
        <v>16</v>
      </c>
      <c r="H3066" t="s">
        <v>4981</v>
      </c>
      <c r="I3066" s="2">
        <v>135.97999999999999</v>
      </c>
      <c r="J3066">
        <v>2</v>
      </c>
      <c r="K3066" s="2">
        <v>9.1953999999999994</v>
      </c>
      <c r="L3066" s="3">
        <f>(Table1[[#This Row],[Profit]]/Table1[[#This Row],[Sales]])*100</f>
        <v>6.7623179879394035</v>
      </c>
    </row>
    <row r="3067" spans="1:12" x14ac:dyDescent="0.3">
      <c r="A3067" t="s">
        <v>2196</v>
      </c>
      <c r="B3067" s="1">
        <v>43674</v>
      </c>
      <c r="C3067" t="s">
        <v>2197</v>
      </c>
      <c r="D3067" t="s">
        <v>2198</v>
      </c>
      <c r="E3067" t="s">
        <v>14</v>
      </c>
      <c r="F3067" t="s">
        <v>29</v>
      </c>
      <c r="G3067" t="s">
        <v>24</v>
      </c>
      <c r="H3067" t="s">
        <v>449</v>
      </c>
      <c r="I3067" s="2">
        <v>20.440000000000001</v>
      </c>
      <c r="J3067">
        <v>7</v>
      </c>
      <c r="K3067" s="2">
        <v>9.1980000000000004</v>
      </c>
      <c r="L3067" s="3">
        <f>(Table1[[#This Row],[Profit]]/Table1[[#This Row],[Sales]])*100</f>
        <v>45</v>
      </c>
    </row>
    <row r="3068" spans="1:12" x14ac:dyDescent="0.3">
      <c r="A3068" t="s">
        <v>173</v>
      </c>
      <c r="B3068" s="1">
        <v>43487</v>
      </c>
      <c r="C3068" t="s">
        <v>174</v>
      </c>
      <c r="D3068" t="s">
        <v>175</v>
      </c>
      <c r="E3068" t="s">
        <v>14</v>
      </c>
      <c r="F3068" t="s">
        <v>15</v>
      </c>
      <c r="G3068" t="s">
        <v>24</v>
      </c>
      <c r="H3068" t="s">
        <v>176</v>
      </c>
      <c r="I3068" s="2">
        <v>26.335999999999999</v>
      </c>
      <c r="J3068">
        <v>4</v>
      </c>
      <c r="K3068" s="2">
        <v>9.2175999999999991</v>
      </c>
      <c r="L3068" s="3">
        <f>(Table1[[#This Row],[Profit]]/Table1[[#This Row],[Sales]])*100</f>
        <v>35</v>
      </c>
    </row>
    <row r="3069" spans="1:12" x14ac:dyDescent="0.3">
      <c r="A3069" t="s">
        <v>4911</v>
      </c>
      <c r="B3069" s="1">
        <v>44009</v>
      </c>
      <c r="C3069" t="s">
        <v>380</v>
      </c>
      <c r="D3069" t="s">
        <v>381</v>
      </c>
      <c r="E3069" t="s">
        <v>14</v>
      </c>
      <c r="F3069" t="s">
        <v>29</v>
      </c>
      <c r="G3069" t="s">
        <v>24</v>
      </c>
      <c r="H3069" t="s">
        <v>1529</v>
      </c>
      <c r="I3069" s="2">
        <v>129.07</v>
      </c>
      <c r="J3069">
        <v>3</v>
      </c>
      <c r="K3069" s="2">
        <v>9.2322000000000006</v>
      </c>
      <c r="L3069" s="3">
        <f>(Table1[[#This Row],[Profit]]/Table1[[#This Row],[Sales]])*100</f>
        <v>7.1528627876346178</v>
      </c>
    </row>
    <row r="3070" spans="1:12" x14ac:dyDescent="0.3">
      <c r="A3070" t="s">
        <v>6055</v>
      </c>
      <c r="B3070" s="1">
        <v>44166</v>
      </c>
      <c r="C3070" t="s">
        <v>2695</v>
      </c>
      <c r="D3070" t="s">
        <v>2696</v>
      </c>
      <c r="E3070" t="s">
        <v>14</v>
      </c>
      <c r="F3070" t="s">
        <v>23</v>
      </c>
      <c r="G3070" t="s">
        <v>18</v>
      </c>
      <c r="H3070" t="s">
        <v>3313</v>
      </c>
      <c r="I3070" s="2">
        <v>127.584</v>
      </c>
      <c r="J3070">
        <v>2</v>
      </c>
      <c r="K3070" s="2">
        <v>9.2385999999999999</v>
      </c>
      <c r="L3070" s="3">
        <f>(Table1[[#This Row],[Profit]]/Table1[[#This Row],[Sales]])*100</f>
        <v>7.2411901178831197</v>
      </c>
    </row>
    <row r="3071" spans="1:12" x14ac:dyDescent="0.3">
      <c r="A3071" t="s">
        <v>5651</v>
      </c>
      <c r="B3071" s="1">
        <v>44123</v>
      </c>
      <c r="C3071" t="s">
        <v>1347</v>
      </c>
      <c r="D3071" t="s">
        <v>1348</v>
      </c>
      <c r="E3071" t="s">
        <v>14</v>
      </c>
      <c r="F3071" t="s">
        <v>15</v>
      </c>
      <c r="G3071" t="s">
        <v>24</v>
      </c>
      <c r="H3071" t="s">
        <v>835</v>
      </c>
      <c r="I3071" s="2">
        <v>166.256</v>
      </c>
      <c r="J3071">
        <v>7</v>
      </c>
      <c r="K3071" s="2">
        <v>9.2441999999999993</v>
      </c>
      <c r="L3071" s="3">
        <f>(Table1[[#This Row],[Profit]]/Table1[[#This Row],[Sales]])*100</f>
        <v>5.5602203830237702</v>
      </c>
    </row>
    <row r="3072" spans="1:12" x14ac:dyDescent="0.3">
      <c r="A3072" t="s">
        <v>5143</v>
      </c>
      <c r="B3072" s="1">
        <v>44056</v>
      </c>
      <c r="C3072" t="s">
        <v>2390</v>
      </c>
      <c r="D3072" t="s">
        <v>2391</v>
      </c>
      <c r="E3072" t="s">
        <v>14</v>
      </c>
      <c r="F3072" t="s">
        <v>23</v>
      </c>
      <c r="G3072" t="s">
        <v>24</v>
      </c>
      <c r="H3072" t="s">
        <v>844</v>
      </c>
      <c r="I3072" s="2">
        <v>149.91999999999999</v>
      </c>
      <c r="J3072">
        <v>4</v>
      </c>
      <c r="K3072" s="2">
        <v>9.2568000000000001</v>
      </c>
      <c r="L3072" s="3">
        <f>(Table1[[#This Row],[Profit]]/Table1[[#This Row],[Sales]])*100</f>
        <v>6.1744930629669161</v>
      </c>
    </row>
    <row r="3073" spans="1:12" x14ac:dyDescent="0.3">
      <c r="A3073" t="s">
        <v>3669</v>
      </c>
      <c r="B3073" s="1">
        <v>43801</v>
      </c>
      <c r="C3073" t="s">
        <v>2760</v>
      </c>
      <c r="D3073" t="s">
        <v>2761</v>
      </c>
      <c r="E3073" t="s">
        <v>14</v>
      </c>
      <c r="F3073" t="s">
        <v>23</v>
      </c>
      <c r="G3073" t="s">
        <v>24</v>
      </c>
      <c r="H3073" t="s">
        <v>644</v>
      </c>
      <c r="I3073" s="2">
        <v>24.704000000000001</v>
      </c>
      <c r="J3073">
        <v>2</v>
      </c>
      <c r="K3073" s="2">
        <v>9.2639999999999993</v>
      </c>
      <c r="L3073" s="3">
        <f>(Table1[[#This Row],[Profit]]/Table1[[#This Row],[Sales]])*100</f>
        <v>37.499999999999993</v>
      </c>
    </row>
    <row r="3074" spans="1:12" x14ac:dyDescent="0.3">
      <c r="A3074" t="s">
        <v>4302</v>
      </c>
      <c r="B3074" s="1">
        <v>43909</v>
      </c>
      <c r="C3074" t="s">
        <v>3869</v>
      </c>
      <c r="D3074" t="s">
        <v>3870</v>
      </c>
      <c r="E3074" t="s">
        <v>14</v>
      </c>
      <c r="F3074" t="s">
        <v>23</v>
      </c>
      <c r="G3074" t="s">
        <v>24</v>
      </c>
      <c r="H3074" t="s">
        <v>1453</v>
      </c>
      <c r="I3074" s="2">
        <v>153.49600000000001</v>
      </c>
      <c r="J3074">
        <v>7</v>
      </c>
      <c r="K3074" s="2">
        <v>9.2798999999999996</v>
      </c>
      <c r="L3074" s="3">
        <f>(Table1[[#This Row],[Profit]]/Table1[[#This Row],[Sales]])*100</f>
        <v>6.0456950018241518</v>
      </c>
    </row>
    <row r="3075" spans="1:12" x14ac:dyDescent="0.3">
      <c r="A3075" t="s">
        <v>1491</v>
      </c>
      <c r="B3075" s="1">
        <v>43610</v>
      </c>
      <c r="C3075" t="s">
        <v>514</v>
      </c>
      <c r="D3075" t="s">
        <v>515</v>
      </c>
      <c r="E3075" t="s">
        <v>14</v>
      </c>
      <c r="F3075" t="s">
        <v>41</v>
      </c>
      <c r="G3075" t="s">
        <v>24</v>
      </c>
      <c r="H3075" t="s">
        <v>1493</v>
      </c>
      <c r="I3075" s="2">
        <v>19.36</v>
      </c>
      <c r="J3075">
        <v>2</v>
      </c>
      <c r="K3075" s="2">
        <v>9.2927999999999997</v>
      </c>
      <c r="L3075" s="3">
        <f>(Table1[[#This Row],[Profit]]/Table1[[#This Row],[Sales]])*100</f>
        <v>48</v>
      </c>
    </row>
    <row r="3076" spans="1:12" x14ac:dyDescent="0.3">
      <c r="A3076" t="s">
        <v>1569</v>
      </c>
      <c r="B3076" s="1">
        <v>43615</v>
      </c>
      <c r="C3076" t="s">
        <v>1570</v>
      </c>
      <c r="D3076" t="s">
        <v>1571</v>
      </c>
      <c r="E3076" t="s">
        <v>14</v>
      </c>
      <c r="F3076" t="s">
        <v>15</v>
      </c>
      <c r="G3076" t="s">
        <v>24</v>
      </c>
      <c r="H3076" t="s">
        <v>608</v>
      </c>
      <c r="I3076" s="2">
        <v>123.92</v>
      </c>
      <c r="J3076">
        <v>5</v>
      </c>
      <c r="K3076" s="2">
        <v>9.2940000000000005</v>
      </c>
      <c r="L3076" s="3">
        <f>(Table1[[#This Row],[Profit]]/Table1[[#This Row],[Sales]])*100</f>
        <v>7.5</v>
      </c>
    </row>
    <row r="3077" spans="1:12" x14ac:dyDescent="0.3">
      <c r="A3077" t="s">
        <v>4644</v>
      </c>
      <c r="B3077" s="1">
        <v>43965</v>
      </c>
      <c r="C3077" t="s">
        <v>3615</v>
      </c>
      <c r="D3077" t="s">
        <v>3616</v>
      </c>
      <c r="E3077" t="s">
        <v>14</v>
      </c>
      <c r="F3077" t="s">
        <v>15</v>
      </c>
      <c r="G3077" t="s">
        <v>24</v>
      </c>
      <c r="H3077" t="s">
        <v>2062</v>
      </c>
      <c r="I3077" s="2">
        <v>135.19999999999999</v>
      </c>
      <c r="J3077">
        <v>5</v>
      </c>
      <c r="K3077" s="2">
        <v>9.3000000000000007</v>
      </c>
      <c r="L3077" s="3">
        <f>(Table1[[#This Row],[Profit]]/Table1[[#This Row],[Sales]])*100</f>
        <v>6.8786982248520712</v>
      </c>
    </row>
    <row r="3078" spans="1:12" x14ac:dyDescent="0.3">
      <c r="A3078" t="s">
        <v>4291</v>
      </c>
      <c r="B3078" s="1">
        <v>43908</v>
      </c>
      <c r="C3078" t="s">
        <v>3571</v>
      </c>
      <c r="D3078" t="s">
        <v>3572</v>
      </c>
      <c r="E3078" t="s">
        <v>14</v>
      </c>
      <c r="F3078" t="s">
        <v>23</v>
      </c>
      <c r="G3078" t="s">
        <v>24</v>
      </c>
      <c r="H3078" t="s">
        <v>4294</v>
      </c>
      <c r="I3078" s="2">
        <v>143.4</v>
      </c>
      <c r="J3078">
        <v>5</v>
      </c>
      <c r="K3078" s="2">
        <v>9.3119999999999994</v>
      </c>
      <c r="L3078" s="3">
        <f>(Table1[[#This Row],[Profit]]/Table1[[#This Row],[Sales]])*100</f>
        <v>6.493723849372385</v>
      </c>
    </row>
    <row r="3079" spans="1:12" x14ac:dyDescent="0.3">
      <c r="A3079" t="s">
        <v>799</v>
      </c>
      <c r="B3079" s="1">
        <v>43553</v>
      </c>
      <c r="C3079" t="s">
        <v>800</v>
      </c>
      <c r="D3079" t="s">
        <v>801</v>
      </c>
      <c r="E3079" t="s">
        <v>14</v>
      </c>
      <c r="F3079" t="s">
        <v>15</v>
      </c>
      <c r="G3079" t="s">
        <v>24</v>
      </c>
      <c r="H3079" t="s">
        <v>803</v>
      </c>
      <c r="I3079" s="2">
        <v>29.8</v>
      </c>
      <c r="J3079">
        <v>5</v>
      </c>
      <c r="K3079" s="2">
        <v>9.3125</v>
      </c>
      <c r="L3079" s="3">
        <f>(Table1[[#This Row],[Profit]]/Table1[[#This Row],[Sales]])*100</f>
        <v>31.25</v>
      </c>
    </row>
    <row r="3080" spans="1:12" x14ac:dyDescent="0.3">
      <c r="A3080" t="s">
        <v>5000</v>
      </c>
      <c r="B3080" s="1">
        <v>44023</v>
      </c>
      <c r="C3080" t="s">
        <v>2440</v>
      </c>
      <c r="D3080" t="s">
        <v>2441</v>
      </c>
      <c r="E3080" t="s">
        <v>14</v>
      </c>
      <c r="F3080" t="s">
        <v>23</v>
      </c>
      <c r="G3080" t="s">
        <v>24</v>
      </c>
      <c r="H3080" t="s">
        <v>803</v>
      </c>
      <c r="I3080" s="2">
        <v>134.80000000000001</v>
      </c>
      <c r="J3080">
        <v>5</v>
      </c>
      <c r="K3080" s="2">
        <v>9.3125</v>
      </c>
      <c r="L3080" s="3">
        <f>(Table1[[#This Row],[Profit]]/Table1[[#This Row],[Sales]])*100</f>
        <v>6.908382789317506</v>
      </c>
    </row>
    <row r="3081" spans="1:12" x14ac:dyDescent="0.3">
      <c r="A3081" t="s">
        <v>5630</v>
      </c>
      <c r="B3081" s="1">
        <v>44119</v>
      </c>
      <c r="C3081" t="s">
        <v>139</v>
      </c>
      <c r="D3081" t="s">
        <v>140</v>
      </c>
      <c r="E3081" t="s">
        <v>14</v>
      </c>
      <c r="F3081" t="s">
        <v>23</v>
      </c>
      <c r="G3081" t="s">
        <v>16</v>
      </c>
      <c r="H3081" t="s">
        <v>5633</v>
      </c>
      <c r="I3081" s="2">
        <v>107.72</v>
      </c>
      <c r="J3081">
        <v>1</v>
      </c>
      <c r="K3081" s="2">
        <v>9.3152000000000008</v>
      </c>
      <c r="L3081" s="3">
        <f>(Table1[[#This Row],[Profit]]/Table1[[#This Row],[Sales]])*100</f>
        <v>8.6476049015967345</v>
      </c>
    </row>
    <row r="3082" spans="1:12" x14ac:dyDescent="0.3">
      <c r="A3082" t="s">
        <v>2143</v>
      </c>
      <c r="B3082" s="1">
        <v>43668</v>
      </c>
      <c r="C3082" t="s">
        <v>80</v>
      </c>
      <c r="D3082" t="s">
        <v>81</v>
      </c>
      <c r="E3082" t="s">
        <v>14</v>
      </c>
      <c r="F3082" t="s">
        <v>15</v>
      </c>
      <c r="G3082" t="s">
        <v>16</v>
      </c>
      <c r="H3082" t="s">
        <v>2145</v>
      </c>
      <c r="I3082" s="2">
        <v>27.42</v>
      </c>
      <c r="J3082">
        <v>3</v>
      </c>
      <c r="K3082" s="2">
        <v>9.3228000000000009</v>
      </c>
      <c r="L3082" s="3">
        <f>(Table1[[#This Row],[Profit]]/Table1[[#This Row],[Sales]])*100</f>
        <v>34</v>
      </c>
    </row>
    <row r="3083" spans="1:12" x14ac:dyDescent="0.3">
      <c r="A3083" t="s">
        <v>4817</v>
      </c>
      <c r="B3083" s="1">
        <v>43994</v>
      </c>
      <c r="C3083" t="s">
        <v>4118</v>
      </c>
      <c r="D3083" t="s">
        <v>4119</v>
      </c>
      <c r="E3083" t="s">
        <v>14</v>
      </c>
      <c r="F3083" t="s">
        <v>15</v>
      </c>
      <c r="G3083" t="s">
        <v>24</v>
      </c>
      <c r="H3083" t="s">
        <v>1386</v>
      </c>
      <c r="I3083" s="2">
        <v>113.04</v>
      </c>
      <c r="J3083">
        <v>4</v>
      </c>
      <c r="K3083" s="2">
        <v>9.3295999999999992</v>
      </c>
      <c r="L3083" s="3">
        <f>(Table1[[#This Row],[Profit]]/Table1[[#This Row],[Sales]])*100</f>
        <v>8.2533616418966727</v>
      </c>
    </row>
    <row r="3084" spans="1:12" x14ac:dyDescent="0.3">
      <c r="A3084" t="s">
        <v>980</v>
      </c>
      <c r="B3084" s="1">
        <v>43567</v>
      </c>
      <c r="C3084" t="s">
        <v>981</v>
      </c>
      <c r="D3084" t="s">
        <v>982</v>
      </c>
      <c r="E3084" t="s">
        <v>14</v>
      </c>
      <c r="F3084" t="s">
        <v>23</v>
      </c>
      <c r="G3084" t="s">
        <v>24</v>
      </c>
      <c r="H3084" t="s">
        <v>365</v>
      </c>
      <c r="I3084" s="2">
        <v>19.440000000000001</v>
      </c>
      <c r="J3084">
        <v>3</v>
      </c>
      <c r="K3084" s="2">
        <v>9.3312000000000008</v>
      </c>
      <c r="L3084" s="3">
        <f>(Table1[[#This Row],[Profit]]/Table1[[#This Row],[Sales]])*100</f>
        <v>48.000000000000007</v>
      </c>
    </row>
    <row r="3085" spans="1:12" x14ac:dyDescent="0.3">
      <c r="A3085" t="s">
        <v>1196</v>
      </c>
      <c r="B3085" s="1">
        <v>43586</v>
      </c>
      <c r="C3085" t="s">
        <v>1197</v>
      </c>
      <c r="D3085" t="s">
        <v>1198</v>
      </c>
      <c r="E3085" t="s">
        <v>14</v>
      </c>
      <c r="F3085" t="s">
        <v>41</v>
      </c>
      <c r="G3085" t="s">
        <v>24</v>
      </c>
      <c r="H3085" t="s">
        <v>238</v>
      </c>
      <c r="I3085" s="2">
        <v>19.440000000000001</v>
      </c>
      <c r="J3085">
        <v>3</v>
      </c>
      <c r="K3085" s="2">
        <v>9.3312000000000008</v>
      </c>
      <c r="L3085" s="3">
        <f>(Table1[[#This Row],[Profit]]/Table1[[#This Row],[Sales]])*100</f>
        <v>48.000000000000007</v>
      </c>
    </row>
    <row r="3086" spans="1:12" x14ac:dyDescent="0.3">
      <c r="A3086" t="s">
        <v>1500</v>
      </c>
      <c r="B3086" s="1">
        <v>43611</v>
      </c>
      <c r="C3086" t="s">
        <v>174</v>
      </c>
      <c r="D3086" t="s">
        <v>175</v>
      </c>
      <c r="E3086" t="s">
        <v>14</v>
      </c>
      <c r="F3086" t="s">
        <v>15</v>
      </c>
      <c r="G3086" t="s">
        <v>24</v>
      </c>
      <c r="H3086" t="s">
        <v>1501</v>
      </c>
      <c r="I3086" s="2">
        <v>19.440000000000001</v>
      </c>
      <c r="J3086">
        <v>3</v>
      </c>
      <c r="K3086" s="2">
        <v>9.3312000000000008</v>
      </c>
      <c r="L3086" s="3">
        <f>(Table1[[#This Row],[Profit]]/Table1[[#This Row],[Sales]])*100</f>
        <v>48.000000000000007</v>
      </c>
    </row>
    <row r="3087" spans="1:12" x14ac:dyDescent="0.3">
      <c r="A3087" t="s">
        <v>2403</v>
      </c>
      <c r="B3087" s="1">
        <v>43699</v>
      </c>
      <c r="C3087" t="s">
        <v>2404</v>
      </c>
      <c r="D3087" t="s">
        <v>2405</v>
      </c>
      <c r="E3087" t="s">
        <v>14</v>
      </c>
      <c r="F3087" t="s">
        <v>23</v>
      </c>
      <c r="G3087" t="s">
        <v>24</v>
      </c>
      <c r="H3087" t="s">
        <v>1811</v>
      </c>
      <c r="I3087" s="2">
        <v>19.440000000000001</v>
      </c>
      <c r="J3087">
        <v>3</v>
      </c>
      <c r="K3087" s="2">
        <v>9.3312000000000008</v>
      </c>
      <c r="L3087" s="3">
        <f>(Table1[[#This Row],[Profit]]/Table1[[#This Row],[Sales]])*100</f>
        <v>48.000000000000007</v>
      </c>
    </row>
    <row r="3088" spans="1:12" x14ac:dyDescent="0.3">
      <c r="A3088" t="s">
        <v>3242</v>
      </c>
      <c r="B3088" s="1">
        <v>43772</v>
      </c>
      <c r="C3088" t="s">
        <v>2456</v>
      </c>
      <c r="D3088" t="s">
        <v>2457</v>
      </c>
      <c r="E3088" t="s">
        <v>14</v>
      </c>
      <c r="F3088" t="s">
        <v>23</v>
      </c>
      <c r="G3088" t="s">
        <v>24</v>
      </c>
      <c r="H3088" t="s">
        <v>3245</v>
      </c>
      <c r="I3088" s="2">
        <v>19.440000000000001</v>
      </c>
      <c r="J3088">
        <v>3</v>
      </c>
      <c r="K3088" s="2">
        <v>9.3312000000000008</v>
      </c>
      <c r="L3088" s="3">
        <f>(Table1[[#This Row],[Profit]]/Table1[[#This Row],[Sales]])*100</f>
        <v>48.000000000000007</v>
      </c>
    </row>
    <row r="3089" spans="1:12" x14ac:dyDescent="0.3">
      <c r="A3089" t="s">
        <v>3723</v>
      </c>
      <c r="B3089" s="1">
        <v>43805</v>
      </c>
      <c r="C3089" t="s">
        <v>2363</v>
      </c>
      <c r="D3089" t="s">
        <v>2364</v>
      </c>
      <c r="E3089" t="s">
        <v>14</v>
      </c>
      <c r="F3089" t="s">
        <v>23</v>
      </c>
      <c r="G3089" t="s">
        <v>24</v>
      </c>
      <c r="H3089" t="s">
        <v>2144</v>
      </c>
      <c r="I3089" s="2">
        <v>19.440000000000001</v>
      </c>
      <c r="J3089">
        <v>3</v>
      </c>
      <c r="K3089" s="2">
        <v>9.3312000000000008</v>
      </c>
      <c r="L3089" s="3">
        <f>(Table1[[#This Row],[Profit]]/Table1[[#This Row],[Sales]])*100</f>
        <v>48.000000000000007</v>
      </c>
    </row>
    <row r="3090" spans="1:12" x14ac:dyDescent="0.3">
      <c r="A3090" t="s">
        <v>3814</v>
      </c>
      <c r="B3090" s="1">
        <v>43814</v>
      </c>
      <c r="C3090" t="s">
        <v>2407</v>
      </c>
      <c r="D3090" t="s">
        <v>2408</v>
      </c>
      <c r="E3090" t="s">
        <v>14</v>
      </c>
      <c r="F3090" t="s">
        <v>41</v>
      </c>
      <c r="G3090" t="s">
        <v>24</v>
      </c>
      <c r="H3090" t="s">
        <v>3815</v>
      </c>
      <c r="I3090" s="2">
        <v>19.440000000000001</v>
      </c>
      <c r="J3090">
        <v>3</v>
      </c>
      <c r="K3090" s="2">
        <v>9.3312000000000008</v>
      </c>
      <c r="L3090" s="3">
        <f>(Table1[[#This Row],[Profit]]/Table1[[#This Row],[Sales]])*100</f>
        <v>48.000000000000007</v>
      </c>
    </row>
    <row r="3091" spans="1:12" x14ac:dyDescent="0.3">
      <c r="A3091" t="s">
        <v>4813</v>
      </c>
      <c r="B3091" s="1">
        <v>43994</v>
      </c>
      <c r="C3091" t="s">
        <v>4814</v>
      </c>
      <c r="D3091" t="s">
        <v>4815</v>
      </c>
      <c r="E3091" t="s">
        <v>14</v>
      </c>
      <c r="F3091" t="s">
        <v>23</v>
      </c>
      <c r="G3091" t="s">
        <v>24</v>
      </c>
      <c r="H3091" t="s">
        <v>4820</v>
      </c>
      <c r="I3091" s="2">
        <v>114.44</v>
      </c>
      <c r="J3091">
        <v>3</v>
      </c>
      <c r="K3091" s="2">
        <v>9.3312000000000008</v>
      </c>
      <c r="L3091" s="3">
        <f>(Table1[[#This Row],[Profit]]/Table1[[#This Row],[Sales]])*100</f>
        <v>8.1537923802866139</v>
      </c>
    </row>
    <row r="3092" spans="1:12" x14ac:dyDescent="0.3">
      <c r="A3092" t="s">
        <v>4841</v>
      </c>
      <c r="B3092" s="1">
        <v>43998</v>
      </c>
      <c r="C3092" t="s">
        <v>1869</v>
      </c>
      <c r="D3092" t="s">
        <v>1870</v>
      </c>
      <c r="E3092" t="s">
        <v>14</v>
      </c>
      <c r="F3092" t="s">
        <v>23</v>
      </c>
      <c r="G3092" t="s">
        <v>24</v>
      </c>
      <c r="H3092" t="s">
        <v>3609</v>
      </c>
      <c r="I3092" s="2">
        <v>117.44</v>
      </c>
      <c r="J3092">
        <v>3</v>
      </c>
      <c r="K3092" s="2">
        <v>9.3312000000000008</v>
      </c>
      <c r="L3092" s="3">
        <f>(Table1[[#This Row],[Profit]]/Table1[[#This Row],[Sales]])*100</f>
        <v>7.945504087193461</v>
      </c>
    </row>
    <row r="3093" spans="1:12" x14ac:dyDescent="0.3">
      <c r="A3093" t="s">
        <v>4908</v>
      </c>
      <c r="B3093" s="1">
        <v>44009</v>
      </c>
      <c r="C3093" t="s">
        <v>2411</v>
      </c>
      <c r="D3093" t="s">
        <v>2412</v>
      </c>
      <c r="E3093" t="s">
        <v>14</v>
      </c>
      <c r="F3093" t="s">
        <v>23</v>
      </c>
      <c r="G3093" t="s">
        <v>24</v>
      </c>
      <c r="H3093" t="s">
        <v>2384</v>
      </c>
      <c r="I3093" s="2">
        <v>120.44</v>
      </c>
      <c r="J3093">
        <v>3</v>
      </c>
      <c r="K3093" s="2">
        <v>9.3312000000000008</v>
      </c>
      <c r="L3093" s="3">
        <f>(Table1[[#This Row],[Profit]]/Table1[[#This Row],[Sales]])*100</f>
        <v>7.7475921620724018</v>
      </c>
    </row>
    <row r="3094" spans="1:12" x14ac:dyDescent="0.3">
      <c r="A3094" t="s">
        <v>5180</v>
      </c>
      <c r="B3094" s="1">
        <v>44062</v>
      </c>
      <c r="C3094" t="s">
        <v>5181</v>
      </c>
      <c r="D3094" t="s">
        <v>5182</v>
      </c>
      <c r="E3094" t="s">
        <v>14</v>
      </c>
      <c r="F3094" t="s">
        <v>15</v>
      </c>
      <c r="G3094" t="s">
        <v>24</v>
      </c>
      <c r="H3094" t="s">
        <v>1955</v>
      </c>
      <c r="I3094" s="2">
        <v>111.44</v>
      </c>
      <c r="J3094">
        <v>3</v>
      </c>
      <c r="K3094" s="2">
        <v>9.3312000000000008</v>
      </c>
      <c r="L3094" s="3">
        <f>(Table1[[#This Row],[Profit]]/Table1[[#This Row],[Sales]])*100</f>
        <v>8.3732950466618821</v>
      </c>
    </row>
    <row r="3095" spans="1:12" x14ac:dyDescent="0.3">
      <c r="A3095" t="s">
        <v>5361</v>
      </c>
      <c r="B3095" s="1">
        <v>44085</v>
      </c>
      <c r="C3095" t="s">
        <v>5362</v>
      </c>
      <c r="D3095" t="s">
        <v>5363</v>
      </c>
      <c r="E3095" t="s">
        <v>14</v>
      </c>
      <c r="F3095" t="s">
        <v>23</v>
      </c>
      <c r="G3095" t="s">
        <v>24</v>
      </c>
      <c r="H3095" t="s">
        <v>723</v>
      </c>
      <c r="I3095" s="2">
        <v>116.44</v>
      </c>
      <c r="J3095">
        <v>3</v>
      </c>
      <c r="K3095" s="2">
        <v>9.3312000000000008</v>
      </c>
      <c r="L3095" s="3">
        <f>(Table1[[#This Row],[Profit]]/Table1[[#This Row],[Sales]])*100</f>
        <v>8.0137409824802486</v>
      </c>
    </row>
    <row r="3096" spans="1:12" x14ac:dyDescent="0.3">
      <c r="A3096" t="s">
        <v>5364</v>
      </c>
      <c r="B3096" s="1">
        <v>44085</v>
      </c>
      <c r="C3096" t="s">
        <v>2179</v>
      </c>
      <c r="D3096" t="s">
        <v>2180</v>
      </c>
      <c r="E3096" t="s">
        <v>14</v>
      </c>
      <c r="F3096" t="s">
        <v>23</v>
      </c>
      <c r="G3096" t="s">
        <v>24</v>
      </c>
      <c r="H3096" t="s">
        <v>2138</v>
      </c>
      <c r="I3096" s="2">
        <v>115.44</v>
      </c>
      <c r="J3096">
        <v>3</v>
      </c>
      <c r="K3096" s="2">
        <v>9.3312000000000008</v>
      </c>
      <c r="L3096" s="3">
        <f>(Table1[[#This Row],[Profit]]/Table1[[#This Row],[Sales]])*100</f>
        <v>8.0831600831600845</v>
      </c>
    </row>
    <row r="3097" spans="1:12" x14ac:dyDescent="0.3">
      <c r="A3097" t="s">
        <v>5437</v>
      </c>
      <c r="B3097" s="1">
        <v>44092</v>
      </c>
      <c r="C3097" t="s">
        <v>659</v>
      </c>
      <c r="D3097" t="s">
        <v>660</v>
      </c>
      <c r="E3097" t="s">
        <v>14</v>
      </c>
      <c r="F3097" t="s">
        <v>15</v>
      </c>
      <c r="G3097" t="s">
        <v>24</v>
      </c>
      <c r="H3097" t="s">
        <v>4820</v>
      </c>
      <c r="I3097" s="2">
        <v>99.44</v>
      </c>
      <c r="J3097">
        <v>3</v>
      </c>
      <c r="K3097" s="2">
        <v>9.3312000000000008</v>
      </c>
      <c r="L3097" s="3">
        <f>(Table1[[#This Row],[Profit]]/Table1[[#This Row],[Sales]])*100</f>
        <v>9.3837489943684638</v>
      </c>
    </row>
    <row r="3098" spans="1:12" x14ac:dyDescent="0.3">
      <c r="A3098" t="s">
        <v>5541</v>
      </c>
      <c r="B3098" s="1">
        <v>44105</v>
      </c>
      <c r="C3098" t="s">
        <v>3691</v>
      </c>
      <c r="D3098" t="s">
        <v>3692</v>
      </c>
      <c r="E3098" t="s">
        <v>14</v>
      </c>
      <c r="F3098" t="s">
        <v>23</v>
      </c>
      <c r="G3098" t="s">
        <v>24</v>
      </c>
      <c r="H3098" t="s">
        <v>1296</v>
      </c>
      <c r="I3098" s="2">
        <v>113.44</v>
      </c>
      <c r="J3098">
        <v>3</v>
      </c>
      <c r="K3098" s="2">
        <v>9.3312000000000008</v>
      </c>
      <c r="L3098" s="3">
        <f>(Table1[[#This Row],[Profit]]/Table1[[#This Row],[Sales]])*100</f>
        <v>8.2256699576868826</v>
      </c>
    </row>
    <row r="3099" spans="1:12" x14ac:dyDescent="0.3">
      <c r="A3099" t="s">
        <v>5750</v>
      </c>
      <c r="B3099" s="1">
        <v>44137</v>
      </c>
      <c r="C3099" t="s">
        <v>89</v>
      </c>
      <c r="D3099" t="s">
        <v>90</v>
      </c>
      <c r="E3099" t="s">
        <v>14</v>
      </c>
      <c r="F3099" t="s">
        <v>23</v>
      </c>
      <c r="G3099" t="s">
        <v>24</v>
      </c>
      <c r="H3099" t="s">
        <v>5288</v>
      </c>
      <c r="I3099" s="2">
        <v>109.44</v>
      </c>
      <c r="J3099">
        <v>3</v>
      </c>
      <c r="K3099" s="2">
        <v>9.3312000000000008</v>
      </c>
      <c r="L3099" s="3">
        <f>(Table1[[#This Row],[Profit]]/Table1[[#This Row],[Sales]])*100</f>
        <v>8.526315789473685</v>
      </c>
    </row>
    <row r="3100" spans="1:12" x14ac:dyDescent="0.3">
      <c r="A3100" t="s">
        <v>5849</v>
      </c>
      <c r="B3100" s="1">
        <v>44146</v>
      </c>
      <c r="C3100" t="s">
        <v>3979</v>
      </c>
      <c r="D3100" t="s">
        <v>3980</v>
      </c>
      <c r="E3100" t="s">
        <v>14</v>
      </c>
      <c r="F3100" t="s">
        <v>23</v>
      </c>
      <c r="G3100" t="s">
        <v>24</v>
      </c>
      <c r="H3100" t="s">
        <v>1951</v>
      </c>
      <c r="I3100" s="2">
        <v>115.44</v>
      </c>
      <c r="J3100">
        <v>3</v>
      </c>
      <c r="K3100" s="2">
        <v>9.3312000000000008</v>
      </c>
      <c r="L3100" s="3">
        <f>(Table1[[#This Row],[Profit]]/Table1[[#This Row],[Sales]])*100</f>
        <v>8.0831600831600845</v>
      </c>
    </row>
    <row r="3101" spans="1:12" x14ac:dyDescent="0.3">
      <c r="A3101" t="s">
        <v>6062</v>
      </c>
      <c r="B3101" s="1">
        <v>44166</v>
      </c>
      <c r="C3101" t="s">
        <v>4053</v>
      </c>
      <c r="D3101" t="s">
        <v>4054</v>
      </c>
      <c r="E3101" t="s">
        <v>14</v>
      </c>
      <c r="F3101" t="s">
        <v>15</v>
      </c>
      <c r="G3101" t="s">
        <v>24</v>
      </c>
      <c r="H3101" t="s">
        <v>3832</v>
      </c>
      <c r="I3101" s="2">
        <v>153.44</v>
      </c>
      <c r="J3101">
        <v>3</v>
      </c>
      <c r="K3101" s="2">
        <v>9.3312000000000008</v>
      </c>
      <c r="L3101" s="3">
        <f>(Table1[[#This Row],[Profit]]/Table1[[#This Row],[Sales]])*100</f>
        <v>6.0813347236704907</v>
      </c>
    </row>
    <row r="3102" spans="1:12" x14ac:dyDescent="0.3">
      <c r="A3102" t="s">
        <v>6133</v>
      </c>
      <c r="B3102" s="1">
        <v>44173</v>
      </c>
      <c r="C3102" t="s">
        <v>2578</v>
      </c>
      <c r="D3102" t="s">
        <v>2579</v>
      </c>
      <c r="E3102" t="s">
        <v>14</v>
      </c>
      <c r="F3102" t="s">
        <v>15</v>
      </c>
      <c r="G3102" t="s">
        <v>24</v>
      </c>
      <c r="H3102" t="s">
        <v>3332</v>
      </c>
      <c r="I3102" s="2">
        <v>130.44</v>
      </c>
      <c r="J3102">
        <v>3</v>
      </c>
      <c r="K3102" s="2">
        <v>9.3312000000000008</v>
      </c>
      <c r="L3102" s="3">
        <f>(Table1[[#This Row],[Profit]]/Table1[[#This Row],[Sales]])*100</f>
        <v>7.1536338546458147</v>
      </c>
    </row>
    <row r="3103" spans="1:12" x14ac:dyDescent="0.3">
      <c r="A3103" t="s">
        <v>6266</v>
      </c>
      <c r="B3103" s="1">
        <v>44189</v>
      </c>
      <c r="C3103" t="s">
        <v>3625</v>
      </c>
      <c r="D3103" t="s">
        <v>3626</v>
      </c>
      <c r="E3103" t="s">
        <v>14</v>
      </c>
      <c r="F3103" t="s">
        <v>15</v>
      </c>
      <c r="G3103" t="s">
        <v>24</v>
      </c>
      <c r="H3103" t="s">
        <v>3832</v>
      </c>
      <c r="I3103" s="2">
        <v>334.44</v>
      </c>
      <c r="J3103">
        <v>3</v>
      </c>
      <c r="K3103" s="2">
        <v>9.3312000000000008</v>
      </c>
      <c r="L3103" s="3">
        <f>(Table1[[#This Row],[Profit]]/Table1[[#This Row],[Sales]])*100</f>
        <v>2.7900968783638325</v>
      </c>
    </row>
    <row r="3104" spans="1:12" x14ac:dyDescent="0.3">
      <c r="A3104" t="s">
        <v>4829</v>
      </c>
      <c r="B3104" s="1">
        <v>43997</v>
      </c>
      <c r="C3104" t="s">
        <v>2237</v>
      </c>
      <c r="D3104" t="s">
        <v>2238</v>
      </c>
      <c r="E3104" t="s">
        <v>14</v>
      </c>
      <c r="F3104" t="s">
        <v>41</v>
      </c>
      <c r="G3104" t="s">
        <v>16</v>
      </c>
      <c r="H3104" t="s">
        <v>1286</v>
      </c>
      <c r="I3104" s="2">
        <v>104.16800000000001</v>
      </c>
      <c r="J3104">
        <v>4</v>
      </c>
      <c r="K3104" s="2">
        <v>9.3504000000000005</v>
      </c>
      <c r="L3104" s="3">
        <f>(Table1[[#This Row],[Profit]]/Table1[[#This Row],[Sales]])*100</f>
        <v>8.976269103755472</v>
      </c>
    </row>
    <row r="3105" spans="1:12" x14ac:dyDescent="0.3">
      <c r="A3105" t="s">
        <v>5226</v>
      </c>
      <c r="B3105" s="1">
        <v>44071</v>
      </c>
      <c r="C3105" t="s">
        <v>3893</v>
      </c>
      <c r="D3105" t="s">
        <v>3894</v>
      </c>
      <c r="E3105" t="s">
        <v>14</v>
      </c>
      <c r="F3105" t="s">
        <v>29</v>
      </c>
      <c r="G3105" t="s">
        <v>24</v>
      </c>
      <c r="H3105" t="s">
        <v>2064</v>
      </c>
      <c r="I3105" s="2">
        <v>102.72</v>
      </c>
      <c r="J3105">
        <v>5</v>
      </c>
      <c r="K3105" s="2">
        <v>9.3520000000000003</v>
      </c>
      <c r="L3105" s="3">
        <f>(Table1[[#This Row],[Profit]]/Table1[[#This Row],[Sales]])*100</f>
        <v>9.1043613707165107</v>
      </c>
    </row>
    <row r="3106" spans="1:12" x14ac:dyDescent="0.3">
      <c r="A3106" t="s">
        <v>5875</v>
      </c>
      <c r="B3106" s="1">
        <v>44147</v>
      </c>
      <c r="C3106" t="s">
        <v>2174</v>
      </c>
      <c r="D3106" t="s">
        <v>2175</v>
      </c>
      <c r="E3106" t="s">
        <v>14</v>
      </c>
      <c r="F3106" t="s">
        <v>41</v>
      </c>
      <c r="G3106" t="s">
        <v>24</v>
      </c>
      <c r="H3106" t="s">
        <v>2744</v>
      </c>
      <c r="I3106" s="2">
        <v>94.72</v>
      </c>
      <c r="J3106">
        <v>5</v>
      </c>
      <c r="K3106" s="2">
        <v>9.3520000000000003</v>
      </c>
      <c r="L3106" s="3">
        <f>(Table1[[#This Row],[Profit]]/Table1[[#This Row],[Sales]])*100</f>
        <v>9.8733108108108105</v>
      </c>
    </row>
    <row r="3107" spans="1:12" x14ac:dyDescent="0.3">
      <c r="A3107" t="s">
        <v>4540</v>
      </c>
      <c r="B3107" s="1">
        <v>43947</v>
      </c>
      <c r="C3107" t="s">
        <v>1713</v>
      </c>
      <c r="D3107" t="s">
        <v>1714</v>
      </c>
      <c r="E3107" t="s">
        <v>14</v>
      </c>
      <c r="F3107" t="s">
        <v>23</v>
      </c>
      <c r="G3107" t="s">
        <v>24</v>
      </c>
      <c r="H3107" t="s">
        <v>3864</v>
      </c>
      <c r="I3107" s="2">
        <v>122.34</v>
      </c>
      <c r="J3107">
        <v>3</v>
      </c>
      <c r="K3107" s="2">
        <v>9.3564000000000007</v>
      </c>
      <c r="L3107" s="3">
        <f>(Table1[[#This Row],[Profit]]/Table1[[#This Row],[Sales]])*100</f>
        <v>7.647866601275136</v>
      </c>
    </row>
    <row r="3108" spans="1:12" x14ac:dyDescent="0.3">
      <c r="A3108" t="s">
        <v>1838</v>
      </c>
      <c r="B3108" s="1">
        <v>43639</v>
      </c>
      <c r="C3108" t="s">
        <v>1839</v>
      </c>
      <c r="D3108" t="s">
        <v>1840</v>
      </c>
      <c r="E3108" t="s">
        <v>14</v>
      </c>
      <c r="F3108" t="s">
        <v>23</v>
      </c>
      <c r="G3108" t="s">
        <v>24</v>
      </c>
      <c r="H3108" t="s">
        <v>1843</v>
      </c>
      <c r="I3108" s="2">
        <v>19.98</v>
      </c>
      <c r="J3108">
        <v>1</v>
      </c>
      <c r="K3108" s="2">
        <v>9.3905999999999992</v>
      </c>
      <c r="L3108" s="3">
        <f>(Table1[[#This Row],[Profit]]/Table1[[#This Row],[Sales]])*100</f>
        <v>47</v>
      </c>
    </row>
    <row r="3109" spans="1:12" x14ac:dyDescent="0.3">
      <c r="A3109" t="s">
        <v>1609</v>
      </c>
      <c r="B3109" s="1">
        <v>43620</v>
      </c>
      <c r="C3109" t="s">
        <v>1472</v>
      </c>
      <c r="D3109" t="s">
        <v>1473</v>
      </c>
      <c r="E3109" t="s">
        <v>14</v>
      </c>
      <c r="F3109" t="s">
        <v>29</v>
      </c>
      <c r="G3109" t="s">
        <v>24</v>
      </c>
      <c r="H3109" t="s">
        <v>1610</v>
      </c>
      <c r="I3109" s="2">
        <v>25.92</v>
      </c>
      <c r="J3109">
        <v>5</v>
      </c>
      <c r="K3109" s="2">
        <v>9.3960000000000008</v>
      </c>
      <c r="L3109" s="3">
        <f>(Table1[[#This Row],[Profit]]/Table1[[#This Row],[Sales]])*100</f>
        <v>36.25</v>
      </c>
    </row>
    <row r="3110" spans="1:12" x14ac:dyDescent="0.3">
      <c r="A3110" t="s">
        <v>4740</v>
      </c>
      <c r="B3110" s="1">
        <v>43980</v>
      </c>
      <c r="C3110" t="s">
        <v>1953</v>
      </c>
      <c r="D3110" t="s">
        <v>1954</v>
      </c>
      <c r="E3110" t="s">
        <v>14</v>
      </c>
      <c r="F3110" t="s">
        <v>29</v>
      </c>
      <c r="G3110" t="s">
        <v>24</v>
      </c>
      <c r="H3110" t="s">
        <v>2622</v>
      </c>
      <c r="I3110" s="2">
        <v>125.92</v>
      </c>
      <c r="J3110">
        <v>5</v>
      </c>
      <c r="K3110" s="2">
        <v>9.3960000000000008</v>
      </c>
      <c r="L3110" s="3">
        <f>(Table1[[#This Row],[Profit]]/Table1[[#This Row],[Sales]])*100</f>
        <v>7.4618805590851336</v>
      </c>
    </row>
    <row r="3111" spans="1:12" x14ac:dyDescent="0.3">
      <c r="A3111" t="s">
        <v>4043</v>
      </c>
      <c r="B3111" s="1">
        <v>43851</v>
      </c>
      <c r="C3111" t="s">
        <v>4044</v>
      </c>
      <c r="D3111" t="s">
        <v>4045</v>
      </c>
      <c r="E3111" t="s">
        <v>14</v>
      </c>
      <c r="F3111" t="s">
        <v>23</v>
      </c>
      <c r="G3111" t="s">
        <v>24</v>
      </c>
      <c r="H3111" t="s">
        <v>587</v>
      </c>
      <c r="I3111" s="2">
        <v>92.936000000000007</v>
      </c>
      <c r="J3111">
        <v>4</v>
      </c>
      <c r="K3111" s="2">
        <v>9.4283999999999999</v>
      </c>
      <c r="L3111" s="3">
        <f>(Table1[[#This Row],[Profit]]/Table1[[#This Row],[Sales]])*100</f>
        <v>10.145046053197898</v>
      </c>
    </row>
    <row r="3112" spans="1:12" x14ac:dyDescent="0.3">
      <c r="A3112" t="s">
        <v>4623</v>
      </c>
      <c r="B3112" s="1">
        <v>43962</v>
      </c>
      <c r="C3112" t="s">
        <v>3385</v>
      </c>
      <c r="D3112" t="s">
        <v>3386</v>
      </c>
      <c r="E3112" t="s">
        <v>14</v>
      </c>
      <c r="F3112" t="s">
        <v>23</v>
      </c>
      <c r="G3112" t="s">
        <v>24</v>
      </c>
      <c r="H3112" t="s">
        <v>690</v>
      </c>
      <c r="I3112" s="2">
        <v>87.031999999999996</v>
      </c>
      <c r="J3112">
        <v>2</v>
      </c>
      <c r="K3112" s="2">
        <v>9.4366000000000003</v>
      </c>
      <c r="L3112" s="3">
        <f>(Table1[[#This Row],[Profit]]/Table1[[#This Row],[Sales]])*100</f>
        <v>10.842678555014249</v>
      </c>
    </row>
    <row r="3113" spans="1:12" x14ac:dyDescent="0.3">
      <c r="A3113" t="s">
        <v>5527</v>
      </c>
      <c r="B3113" s="1">
        <v>44103</v>
      </c>
      <c r="C3113" t="s">
        <v>2854</v>
      </c>
      <c r="D3113" t="s">
        <v>2855</v>
      </c>
      <c r="E3113" t="s">
        <v>14</v>
      </c>
      <c r="F3113" t="s">
        <v>29</v>
      </c>
      <c r="G3113" t="s">
        <v>24</v>
      </c>
      <c r="H3113" t="s">
        <v>5342</v>
      </c>
      <c r="I3113" s="2">
        <v>132.96799999999999</v>
      </c>
      <c r="J3113">
        <v>4</v>
      </c>
      <c r="K3113" s="2">
        <v>9.4391999999999996</v>
      </c>
      <c r="L3113" s="3">
        <f>(Table1[[#This Row],[Profit]]/Table1[[#This Row],[Sales]])*100</f>
        <v>7.0988508513326511</v>
      </c>
    </row>
    <row r="3114" spans="1:12" x14ac:dyDescent="0.3">
      <c r="A3114" t="s">
        <v>6056</v>
      </c>
      <c r="B3114" s="1">
        <v>44166</v>
      </c>
      <c r="C3114" t="s">
        <v>1173</v>
      </c>
      <c r="D3114" t="s">
        <v>1174</v>
      </c>
      <c r="E3114" t="s">
        <v>14</v>
      </c>
      <c r="F3114" t="s">
        <v>15</v>
      </c>
      <c r="G3114" t="s">
        <v>18</v>
      </c>
      <c r="H3114" t="s">
        <v>2670</v>
      </c>
      <c r="I3114" s="2">
        <v>138.958</v>
      </c>
      <c r="J3114">
        <v>7</v>
      </c>
      <c r="K3114" s="2">
        <v>9.4436999999999998</v>
      </c>
      <c r="L3114" s="3">
        <f>(Table1[[#This Row],[Profit]]/Table1[[#This Row],[Sales]])*100</f>
        <v>6.7960822694627154</v>
      </c>
    </row>
    <row r="3115" spans="1:12" x14ac:dyDescent="0.3">
      <c r="A3115" t="s">
        <v>1994</v>
      </c>
      <c r="B3115" s="1">
        <v>43654</v>
      </c>
      <c r="C3115" t="s">
        <v>475</v>
      </c>
      <c r="D3115" t="s">
        <v>476</v>
      </c>
      <c r="E3115" t="s">
        <v>14</v>
      </c>
      <c r="F3115" t="s">
        <v>23</v>
      </c>
      <c r="G3115" t="s">
        <v>18</v>
      </c>
      <c r="H3115" t="s">
        <v>1995</v>
      </c>
      <c r="I3115" s="2">
        <v>107.98399999999999</v>
      </c>
      <c r="J3115">
        <v>1</v>
      </c>
      <c r="K3115" s="2">
        <v>9.4486000000000008</v>
      </c>
      <c r="L3115" s="3">
        <f>(Table1[[#This Row],[Profit]]/Table1[[#This Row],[Sales]])*100</f>
        <v>8.75</v>
      </c>
    </row>
    <row r="3116" spans="1:12" x14ac:dyDescent="0.3">
      <c r="A3116" t="s">
        <v>5713</v>
      </c>
      <c r="B3116" s="1">
        <v>44131</v>
      </c>
      <c r="C3116" t="s">
        <v>3209</v>
      </c>
      <c r="D3116" t="s">
        <v>3210</v>
      </c>
      <c r="E3116" t="s">
        <v>14</v>
      </c>
      <c r="F3116" t="s">
        <v>23</v>
      </c>
      <c r="G3116" t="s">
        <v>16</v>
      </c>
      <c r="H3116" t="s">
        <v>2552</v>
      </c>
      <c r="I3116" s="2">
        <v>238.57599999999999</v>
      </c>
      <c r="J3116">
        <v>1</v>
      </c>
      <c r="K3116" s="2">
        <v>9.4787999999999997</v>
      </c>
      <c r="L3116" s="3">
        <f>(Table1[[#This Row],[Profit]]/Table1[[#This Row],[Sales]])*100</f>
        <v>3.9730735698477635</v>
      </c>
    </row>
    <row r="3117" spans="1:12" x14ac:dyDescent="0.3">
      <c r="A3117" t="s">
        <v>594</v>
      </c>
      <c r="B3117" s="1">
        <v>43535</v>
      </c>
      <c r="C3117" t="s">
        <v>595</v>
      </c>
      <c r="D3117" t="s">
        <v>596</v>
      </c>
      <c r="E3117" t="s">
        <v>14</v>
      </c>
      <c r="F3117" t="s">
        <v>15</v>
      </c>
      <c r="G3117" t="s">
        <v>16</v>
      </c>
      <c r="H3117" t="s">
        <v>597</v>
      </c>
      <c r="I3117" s="2">
        <v>30.335999999999999</v>
      </c>
      <c r="J3117">
        <v>4</v>
      </c>
      <c r="K3117" s="2">
        <v>9.48</v>
      </c>
      <c r="L3117" s="3">
        <f>(Table1[[#This Row],[Profit]]/Table1[[#This Row],[Sales]])*100</f>
        <v>31.250000000000007</v>
      </c>
    </row>
    <row r="3118" spans="1:12" x14ac:dyDescent="0.3">
      <c r="A3118" t="s">
        <v>5647</v>
      </c>
      <c r="B3118" s="1">
        <v>44121</v>
      </c>
      <c r="C3118" t="s">
        <v>3913</v>
      </c>
      <c r="D3118" t="s">
        <v>3914</v>
      </c>
      <c r="E3118" t="s">
        <v>14</v>
      </c>
      <c r="F3118" t="s">
        <v>15</v>
      </c>
      <c r="G3118" t="s">
        <v>24</v>
      </c>
      <c r="H3118" t="s">
        <v>5648</v>
      </c>
      <c r="I3118" s="2">
        <v>162.96</v>
      </c>
      <c r="J3118">
        <v>2</v>
      </c>
      <c r="K3118" s="2">
        <v>9.4923999999999999</v>
      </c>
      <c r="L3118" s="3">
        <f>(Table1[[#This Row],[Profit]]/Table1[[#This Row],[Sales]])*100</f>
        <v>5.8249877270495825</v>
      </c>
    </row>
    <row r="3119" spans="1:12" x14ac:dyDescent="0.3">
      <c r="A3119" t="s">
        <v>163</v>
      </c>
      <c r="B3119" s="1">
        <v>43487</v>
      </c>
      <c r="C3119" t="s">
        <v>164</v>
      </c>
      <c r="D3119" t="s">
        <v>165</v>
      </c>
      <c r="E3119" t="s">
        <v>14</v>
      </c>
      <c r="F3119" t="s">
        <v>23</v>
      </c>
      <c r="G3119" t="s">
        <v>24</v>
      </c>
      <c r="H3119" t="s">
        <v>167</v>
      </c>
      <c r="I3119" s="2">
        <v>20.65</v>
      </c>
      <c r="J3119">
        <v>5</v>
      </c>
      <c r="K3119" s="2">
        <v>9.4990000000000006</v>
      </c>
      <c r="L3119" s="3">
        <f>(Table1[[#This Row],[Profit]]/Table1[[#This Row],[Sales]])*100</f>
        <v>46.000000000000007</v>
      </c>
    </row>
    <row r="3120" spans="1:12" x14ac:dyDescent="0.3">
      <c r="A3120" t="s">
        <v>5543</v>
      </c>
      <c r="B3120" s="1">
        <v>44105</v>
      </c>
      <c r="C3120" t="s">
        <v>3546</v>
      </c>
      <c r="D3120" t="s">
        <v>3547</v>
      </c>
      <c r="E3120" t="s">
        <v>14</v>
      </c>
      <c r="F3120" t="s">
        <v>23</v>
      </c>
      <c r="G3120" t="s">
        <v>16</v>
      </c>
      <c r="H3120" t="s">
        <v>3187</v>
      </c>
      <c r="I3120" s="2">
        <v>133.608</v>
      </c>
      <c r="J3120">
        <v>4</v>
      </c>
      <c r="K3120" s="2">
        <v>9.5031999999999996</v>
      </c>
      <c r="L3120" s="3">
        <f>(Table1[[#This Row],[Profit]]/Table1[[#This Row],[Sales]])*100</f>
        <v>7.1127477396563066</v>
      </c>
    </row>
    <row r="3121" spans="1:12" x14ac:dyDescent="0.3">
      <c r="A3121" t="s">
        <v>5064</v>
      </c>
      <c r="B3121" s="1">
        <v>44037</v>
      </c>
      <c r="C3121" t="s">
        <v>824</v>
      </c>
      <c r="D3121" t="s">
        <v>825</v>
      </c>
      <c r="E3121" t="s">
        <v>14</v>
      </c>
      <c r="F3121" t="s">
        <v>29</v>
      </c>
      <c r="G3121" t="s">
        <v>24</v>
      </c>
      <c r="H3121" t="s">
        <v>2223</v>
      </c>
      <c r="I3121" s="2">
        <v>122.23</v>
      </c>
      <c r="J3121">
        <v>7</v>
      </c>
      <c r="K3121" s="2">
        <v>9.5081000000000007</v>
      </c>
      <c r="L3121" s="3">
        <f>(Table1[[#This Row],[Profit]]/Table1[[#This Row],[Sales]])*100</f>
        <v>7.7788595271210017</v>
      </c>
    </row>
    <row r="3122" spans="1:12" x14ac:dyDescent="0.3">
      <c r="A3122" t="s">
        <v>2993</v>
      </c>
      <c r="B3122" s="1">
        <v>43740</v>
      </c>
      <c r="C3122" t="s">
        <v>2994</v>
      </c>
      <c r="D3122" t="s">
        <v>2995</v>
      </c>
      <c r="E3122" t="s">
        <v>14</v>
      </c>
      <c r="F3122" t="s">
        <v>29</v>
      </c>
      <c r="G3122" t="s">
        <v>24</v>
      </c>
      <c r="H3122" t="s">
        <v>2996</v>
      </c>
      <c r="I3122" s="2">
        <v>33.96</v>
      </c>
      <c r="J3122">
        <v>2</v>
      </c>
      <c r="K3122" s="2">
        <v>9.5088000000000008</v>
      </c>
      <c r="L3122" s="3">
        <f>(Table1[[#This Row],[Profit]]/Table1[[#This Row],[Sales]])*100</f>
        <v>28.000000000000004</v>
      </c>
    </row>
    <row r="3123" spans="1:12" x14ac:dyDescent="0.3">
      <c r="A3123" t="s">
        <v>2966</v>
      </c>
      <c r="B3123" s="1">
        <v>43737</v>
      </c>
      <c r="C3123" t="s">
        <v>2967</v>
      </c>
      <c r="D3123" t="s">
        <v>2968</v>
      </c>
      <c r="E3123" t="s">
        <v>14</v>
      </c>
      <c r="F3123" t="s">
        <v>23</v>
      </c>
      <c r="G3123" t="s">
        <v>24</v>
      </c>
      <c r="H3123" t="s">
        <v>517</v>
      </c>
      <c r="I3123" s="2">
        <v>27.24</v>
      </c>
      <c r="J3123">
        <v>5</v>
      </c>
      <c r="K3123" s="2">
        <v>9.5340000000000007</v>
      </c>
      <c r="L3123" s="3">
        <f>(Table1[[#This Row],[Profit]]/Table1[[#This Row],[Sales]])*100</f>
        <v>35</v>
      </c>
    </row>
    <row r="3124" spans="1:12" x14ac:dyDescent="0.3">
      <c r="A3124" t="s">
        <v>3734</v>
      </c>
      <c r="B3124" s="1">
        <v>43807</v>
      </c>
      <c r="C3124" t="s">
        <v>3047</v>
      </c>
      <c r="D3124" t="s">
        <v>3048</v>
      </c>
      <c r="E3124" t="s">
        <v>14</v>
      </c>
      <c r="F3124" t="s">
        <v>23</v>
      </c>
      <c r="G3124" t="s">
        <v>24</v>
      </c>
      <c r="H3124" t="s">
        <v>3738</v>
      </c>
      <c r="I3124" s="2">
        <v>34.049999999999997</v>
      </c>
      <c r="J3124">
        <v>3</v>
      </c>
      <c r="K3124" s="2">
        <v>9.5340000000000007</v>
      </c>
      <c r="L3124" s="3">
        <f>(Table1[[#This Row],[Profit]]/Table1[[#This Row],[Sales]])*100</f>
        <v>28.000000000000004</v>
      </c>
    </row>
    <row r="3125" spans="1:12" x14ac:dyDescent="0.3">
      <c r="A3125" t="s">
        <v>5427</v>
      </c>
      <c r="B3125" s="1">
        <v>44091</v>
      </c>
      <c r="C3125" t="s">
        <v>692</v>
      </c>
      <c r="D3125" t="s">
        <v>693</v>
      </c>
      <c r="E3125" t="s">
        <v>14</v>
      </c>
      <c r="F3125" t="s">
        <v>15</v>
      </c>
      <c r="G3125" t="s">
        <v>24</v>
      </c>
      <c r="H3125" t="s">
        <v>3738</v>
      </c>
      <c r="I3125" s="2">
        <v>121.05</v>
      </c>
      <c r="J3125">
        <v>3</v>
      </c>
      <c r="K3125" s="2">
        <v>9.5340000000000007</v>
      </c>
      <c r="L3125" s="3">
        <f>(Table1[[#This Row],[Profit]]/Table1[[#This Row],[Sales]])*100</f>
        <v>7.8760842627013634</v>
      </c>
    </row>
    <row r="3126" spans="1:12" x14ac:dyDescent="0.3">
      <c r="A3126" t="s">
        <v>1407</v>
      </c>
      <c r="B3126" s="1">
        <v>43602</v>
      </c>
      <c r="C3126" t="s">
        <v>1408</v>
      </c>
      <c r="D3126" t="s">
        <v>1409</v>
      </c>
      <c r="E3126" t="s">
        <v>14</v>
      </c>
      <c r="F3126" t="s">
        <v>29</v>
      </c>
      <c r="G3126" t="s">
        <v>24</v>
      </c>
      <c r="H3126" t="s">
        <v>347</v>
      </c>
      <c r="I3126" s="2">
        <v>30.527999999999999</v>
      </c>
      <c r="J3126">
        <v>8</v>
      </c>
      <c r="K3126" s="2">
        <v>9.5399999999999991</v>
      </c>
      <c r="L3126" s="3">
        <f>(Table1[[#This Row],[Profit]]/Table1[[#This Row],[Sales]])*100</f>
        <v>31.25</v>
      </c>
    </row>
    <row r="3127" spans="1:12" x14ac:dyDescent="0.3">
      <c r="A3127" t="s">
        <v>4496</v>
      </c>
      <c r="B3127" s="1">
        <v>43941</v>
      </c>
      <c r="C3127" t="s">
        <v>1324</v>
      </c>
      <c r="D3127" t="s">
        <v>1325</v>
      </c>
      <c r="E3127" t="s">
        <v>14</v>
      </c>
      <c r="F3127" t="s">
        <v>15</v>
      </c>
      <c r="G3127" t="s">
        <v>16</v>
      </c>
      <c r="H3127" t="s">
        <v>2637</v>
      </c>
      <c r="I3127" s="2">
        <v>137.40799999999999</v>
      </c>
      <c r="J3127">
        <v>3</v>
      </c>
      <c r="K3127" s="2">
        <v>9.5418000000000003</v>
      </c>
      <c r="L3127" s="3">
        <f>(Table1[[#This Row],[Profit]]/Table1[[#This Row],[Sales]])*100</f>
        <v>6.9441371681415935</v>
      </c>
    </row>
    <row r="3128" spans="1:12" x14ac:dyDescent="0.3">
      <c r="A3128" t="s">
        <v>4478</v>
      </c>
      <c r="B3128" s="1">
        <v>43937</v>
      </c>
      <c r="C3128" t="s">
        <v>942</v>
      </c>
      <c r="D3128" t="s">
        <v>943</v>
      </c>
      <c r="E3128" t="s">
        <v>14</v>
      </c>
      <c r="F3128" t="s">
        <v>41</v>
      </c>
      <c r="G3128" t="s">
        <v>24</v>
      </c>
      <c r="H3128" t="s">
        <v>1837</v>
      </c>
      <c r="I3128" s="2">
        <v>517.24</v>
      </c>
      <c r="J3128">
        <v>4</v>
      </c>
      <c r="K3128" s="2">
        <v>9.5448000000000004</v>
      </c>
      <c r="L3128" s="3">
        <f>(Table1[[#This Row],[Profit]]/Table1[[#This Row],[Sales]])*100</f>
        <v>1.8453329208877891</v>
      </c>
    </row>
    <row r="3129" spans="1:12" x14ac:dyDescent="0.3">
      <c r="A3129" t="s">
        <v>5846</v>
      </c>
      <c r="B3129" s="1">
        <v>44145</v>
      </c>
      <c r="C3129" t="s">
        <v>3625</v>
      </c>
      <c r="D3129" t="s">
        <v>3626</v>
      </c>
      <c r="E3129" t="s">
        <v>14</v>
      </c>
      <c r="F3129" t="s">
        <v>23</v>
      </c>
      <c r="G3129" t="s">
        <v>24</v>
      </c>
      <c r="H3129" t="s">
        <v>2402</v>
      </c>
      <c r="I3129" s="2">
        <v>112.352</v>
      </c>
      <c r="J3129">
        <v>3</v>
      </c>
      <c r="K3129" s="2">
        <v>9.5526</v>
      </c>
      <c r="L3129" s="3">
        <f>(Table1[[#This Row],[Profit]]/Table1[[#This Row],[Sales]])*100</f>
        <v>8.5023853602962127</v>
      </c>
    </row>
    <row r="3130" spans="1:12" x14ac:dyDescent="0.3">
      <c r="A3130" t="s">
        <v>6050</v>
      </c>
      <c r="B3130" s="1">
        <v>44165</v>
      </c>
      <c r="C3130" t="s">
        <v>3056</v>
      </c>
      <c r="D3130" t="s">
        <v>3057</v>
      </c>
      <c r="E3130" t="s">
        <v>14</v>
      </c>
      <c r="F3130" t="s">
        <v>23</v>
      </c>
      <c r="G3130" t="s">
        <v>16</v>
      </c>
      <c r="H3130" t="s">
        <v>6051</v>
      </c>
      <c r="I3130" s="2">
        <v>152.83000000000001</v>
      </c>
      <c r="J3130">
        <v>3</v>
      </c>
      <c r="K3130" s="2">
        <v>9.5571000000000002</v>
      </c>
      <c r="L3130" s="3">
        <f>(Table1[[#This Row],[Profit]]/Table1[[#This Row],[Sales]])*100</f>
        <v>6.2534188313812731</v>
      </c>
    </row>
    <row r="3131" spans="1:12" x14ac:dyDescent="0.3">
      <c r="A3131" t="s">
        <v>5445</v>
      </c>
      <c r="B3131" s="1">
        <v>44093</v>
      </c>
      <c r="C3131" t="s">
        <v>899</v>
      </c>
      <c r="D3131" t="s">
        <v>900</v>
      </c>
      <c r="E3131" t="s">
        <v>14</v>
      </c>
      <c r="F3131" t="s">
        <v>41</v>
      </c>
      <c r="G3131" t="s">
        <v>24</v>
      </c>
      <c r="H3131" t="s">
        <v>4382</v>
      </c>
      <c r="I3131" s="2">
        <v>123.616</v>
      </c>
      <c r="J3131">
        <v>2</v>
      </c>
      <c r="K3131" s="2">
        <v>9.5616000000000003</v>
      </c>
      <c r="L3131" s="3">
        <f>(Table1[[#This Row],[Profit]]/Table1[[#This Row],[Sales]])*100</f>
        <v>7.7349210458193127</v>
      </c>
    </row>
    <row r="3132" spans="1:12" x14ac:dyDescent="0.3">
      <c r="A3132" t="s">
        <v>2983</v>
      </c>
      <c r="B3132" s="1">
        <v>43739</v>
      </c>
      <c r="C3132" t="s">
        <v>2315</v>
      </c>
      <c r="D3132" t="s">
        <v>2316</v>
      </c>
      <c r="E3132" t="s">
        <v>14</v>
      </c>
      <c r="F3132" t="s">
        <v>29</v>
      </c>
      <c r="G3132" t="s">
        <v>24</v>
      </c>
      <c r="H3132" t="s">
        <v>234</v>
      </c>
      <c r="I3132" s="2">
        <v>28.352</v>
      </c>
      <c r="J3132">
        <v>1</v>
      </c>
      <c r="K3132" s="2">
        <v>9.5687999999999995</v>
      </c>
      <c r="L3132" s="3">
        <f>(Table1[[#This Row],[Profit]]/Table1[[#This Row],[Sales]])*100</f>
        <v>33.75</v>
      </c>
    </row>
    <row r="3133" spans="1:12" x14ac:dyDescent="0.3">
      <c r="A3133" t="s">
        <v>5934</v>
      </c>
      <c r="B3133" s="1">
        <v>44153</v>
      </c>
      <c r="C3133" t="s">
        <v>5787</v>
      </c>
      <c r="D3133" t="s">
        <v>5788</v>
      </c>
      <c r="E3133" t="s">
        <v>14</v>
      </c>
      <c r="F3133" t="s">
        <v>23</v>
      </c>
      <c r="G3133" t="s">
        <v>24</v>
      </c>
      <c r="H3133" t="s">
        <v>1096</v>
      </c>
      <c r="I3133" s="2">
        <v>121.94</v>
      </c>
      <c r="J3133">
        <v>3</v>
      </c>
      <c r="K3133" s="2">
        <v>9.5939999999999994</v>
      </c>
      <c r="L3133" s="3">
        <f>(Table1[[#This Row],[Profit]]/Table1[[#This Row],[Sales]])*100</f>
        <v>7.8678038379530912</v>
      </c>
    </row>
    <row r="3134" spans="1:12" x14ac:dyDescent="0.3">
      <c r="A3134" t="s">
        <v>6271</v>
      </c>
      <c r="B3134" s="1">
        <v>44190</v>
      </c>
      <c r="C3134" t="s">
        <v>3936</v>
      </c>
      <c r="D3134" t="s">
        <v>3937</v>
      </c>
      <c r="E3134" t="s">
        <v>14</v>
      </c>
      <c r="F3134" t="s">
        <v>41</v>
      </c>
      <c r="G3134" t="s">
        <v>24</v>
      </c>
      <c r="H3134" t="s">
        <v>1096</v>
      </c>
      <c r="I3134" s="2">
        <v>465.94</v>
      </c>
      <c r="J3134">
        <v>3</v>
      </c>
      <c r="K3134" s="2">
        <v>9.5939999999999994</v>
      </c>
      <c r="L3134" s="3">
        <f>(Table1[[#This Row],[Profit]]/Table1[[#This Row],[Sales]])*100</f>
        <v>2.0590633987208653</v>
      </c>
    </row>
    <row r="3135" spans="1:12" x14ac:dyDescent="0.3">
      <c r="A3135" t="s">
        <v>4672</v>
      </c>
      <c r="B3135" s="1">
        <v>43970</v>
      </c>
      <c r="C3135" t="s">
        <v>981</v>
      </c>
      <c r="D3135" t="s">
        <v>982</v>
      </c>
      <c r="E3135" t="s">
        <v>14</v>
      </c>
      <c r="F3135" t="s">
        <v>29</v>
      </c>
      <c r="G3135" t="s">
        <v>18</v>
      </c>
      <c r="H3135" t="s">
        <v>3314</v>
      </c>
      <c r="I3135" s="2">
        <v>105.992</v>
      </c>
      <c r="J3135">
        <v>1</v>
      </c>
      <c r="K3135" s="2">
        <v>9.5991999999999997</v>
      </c>
      <c r="L3135" s="3">
        <f>(Table1[[#This Row],[Profit]]/Table1[[#This Row],[Sales]])*100</f>
        <v>9.0565325684957347</v>
      </c>
    </row>
    <row r="3136" spans="1:12" x14ac:dyDescent="0.3">
      <c r="A3136" t="s">
        <v>3240</v>
      </c>
      <c r="B3136" s="1">
        <v>43772</v>
      </c>
      <c r="C3136" t="s">
        <v>1024</v>
      </c>
      <c r="D3136" t="s">
        <v>1025</v>
      </c>
      <c r="E3136" t="s">
        <v>14</v>
      </c>
      <c r="F3136" t="s">
        <v>41</v>
      </c>
      <c r="G3136" t="s">
        <v>24</v>
      </c>
      <c r="H3136" t="s">
        <v>939</v>
      </c>
      <c r="I3136" s="2">
        <v>20</v>
      </c>
      <c r="J3136">
        <v>4</v>
      </c>
      <c r="K3136" s="2">
        <v>9.6</v>
      </c>
      <c r="L3136" s="3">
        <f>(Table1[[#This Row],[Profit]]/Table1[[#This Row],[Sales]])*100</f>
        <v>48</v>
      </c>
    </row>
    <row r="3137" spans="1:12" x14ac:dyDescent="0.3">
      <c r="A3137" t="s">
        <v>6303</v>
      </c>
      <c r="B3137" s="1">
        <v>44194</v>
      </c>
      <c r="C3137" t="s">
        <v>3631</v>
      </c>
      <c r="D3137" t="s">
        <v>3632</v>
      </c>
      <c r="E3137" t="s">
        <v>14</v>
      </c>
      <c r="F3137" t="s">
        <v>23</v>
      </c>
      <c r="G3137" t="s">
        <v>24</v>
      </c>
      <c r="H3137" t="s">
        <v>6304</v>
      </c>
      <c r="I3137" s="2">
        <v>282.60000000000002</v>
      </c>
      <c r="J3137">
        <v>5</v>
      </c>
      <c r="K3137" s="2">
        <v>9.6039999999999992</v>
      </c>
      <c r="L3137" s="3">
        <f>(Table1[[#This Row],[Profit]]/Table1[[#This Row],[Sales]])*100</f>
        <v>3.3984430290162773</v>
      </c>
    </row>
    <row r="3138" spans="1:12" x14ac:dyDescent="0.3">
      <c r="A3138" t="s">
        <v>913</v>
      </c>
      <c r="B3138" s="1">
        <v>43563</v>
      </c>
      <c r="C3138" t="s">
        <v>914</v>
      </c>
      <c r="D3138" t="s">
        <v>915</v>
      </c>
      <c r="E3138" t="s">
        <v>14</v>
      </c>
      <c r="F3138" t="s">
        <v>23</v>
      </c>
      <c r="G3138" t="s">
        <v>24</v>
      </c>
      <c r="H3138" t="s">
        <v>916</v>
      </c>
      <c r="I3138" s="2">
        <v>20.04</v>
      </c>
      <c r="J3138">
        <v>3</v>
      </c>
      <c r="K3138" s="2">
        <v>9.6191999999999993</v>
      </c>
      <c r="L3138" s="3">
        <f>(Table1[[#This Row],[Profit]]/Table1[[#This Row],[Sales]])*100</f>
        <v>48</v>
      </c>
    </row>
    <row r="3139" spans="1:12" x14ac:dyDescent="0.3">
      <c r="A3139" t="s">
        <v>3068</v>
      </c>
      <c r="B3139" s="1">
        <v>43751</v>
      </c>
      <c r="C3139" t="s">
        <v>1785</v>
      </c>
      <c r="D3139" t="s">
        <v>1786</v>
      </c>
      <c r="E3139" t="s">
        <v>14</v>
      </c>
      <c r="F3139" t="s">
        <v>23</v>
      </c>
      <c r="G3139" t="s">
        <v>24</v>
      </c>
      <c r="H3139" t="s">
        <v>3069</v>
      </c>
      <c r="I3139" s="2">
        <v>20.04</v>
      </c>
      <c r="J3139">
        <v>3</v>
      </c>
      <c r="K3139" s="2">
        <v>9.6191999999999993</v>
      </c>
      <c r="L3139" s="3">
        <f>(Table1[[#This Row],[Profit]]/Table1[[#This Row],[Sales]])*100</f>
        <v>48</v>
      </c>
    </row>
    <row r="3140" spans="1:12" x14ac:dyDescent="0.3">
      <c r="A3140" t="s">
        <v>4323</v>
      </c>
      <c r="B3140" s="1">
        <v>43913</v>
      </c>
      <c r="C3140" t="s">
        <v>824</v>
      </c>
      <c r="D3140" t="s">
        <v>825</v>
      </c>
      <c r="E3140" t="s">
        <v>14</v>
      </c>
      <c r="F3140" t="s">
        <v>23</v>
      </c>
      <c r="G3140" t="s">
        <v>24</v>
      </c>
      <c r="H3140" t="s">
        <v>1295</v>
      </c>
      <c r="I3140" s="2">
        <v>126.04</v>
      </c>
      <c r="J3140">
        <v>3</v>
      </c>
      <c r="K3140" s="2">
        <v>9.6191999999999993</v>
      </c>
      <c r="L3140" s="3">
        <f>(Table1[[#This Row],[Profit]]/Table1[[#This Row],[Sales]])*100</f>
        <v>7.6318629006664542</v>
      </c>
    </row>
    <row r="3141" spans="1:12" x14ac:dyDescent="0.3">
      <c r="A3141" t="s">
        <v>4366</v>
      </c>
      <c r="B3141" s="1">
        <v>43918</v>
      </c>
      <c r="C3141" t="s">
        <v>1854</v>
      </c>
      <c r="D3141" t="s">
        <v>1855</v>
      </c>
      <c r="E3141" t="s">
        <v>14</v>
      </c>
      <c r="F3141" t="s">
        <v>23</v>
      </c>
      <c r="G3141" t="s">
        <v>24</v>
      </c>
      <c r="H3141" t="s">
        <v>3724</v>
      </c>
      <c r="I3141" s="2">
        <v>150.04</v>
      </c>
      <c r="J3141">
        <v>3</v>
      </c>
      <c r="K3141" s="2">
        <v>9.6191999999999993</v>
      </c>
      <c r="L3141" s="3">
        <f>(Table1[[#This Row],[Profit]]/Table1[[#This Row],[Sales]])*100</f>
        <v>6.4110903758997599</v>
      </c>
    </row>
    <row r="3142" spans="1:12" x14ac:dyDescent="0.3">
      <c r="A3142" t="s">
        <v>2285</v>
      </c>
      <c r="B3142" s="1">
        <v>43686</v>
      </c>
      <c r="C3142" t="s">
        <v>2286</v>
      </c>
      <c r="D3142" t="s">
        <v>2287</v>
      </c>
      <c r="E3142" t="s">
        <v>14</v>
      </c>
      <c r="F3142" t="s">
        <v>41</v>
      </c>
      <c r="G3142" t="s">
        <v>24</v>
      </c>
      <c r="H3142" t="s">
        <v>2288</v>
      </c>
      <c r="I3142" s="2">
        <v>30.815999999999999</v>
      </c>
      <c r="J3142">
        <v>9</v>
      </c>
      <c r="K3142" s="2">
        <v>9.6300000000000008</v>
      </c>
      <c r="L3142" s="3">
        <f>(Table1[[#This Row],[Profit]]/Table1[[#This Row],[Sales]])*100</f>
        <v>31.250000000000007</v>
      </c>
    </row>
    <row r="3143" spans="1:12" x14ac:dyDescent="0.3">
      <c r="A3143" t="s">
        <v>3659</v>
      </c>
      <c r="B3143" s="1">
        <v>43801</v>
      </c>
      <c r="C3143" t="s">
        <v>679</v>
      </c>
      <c r="D3143" t="s">
        <v>680</v>
      </c>
      <c r="E3143" t="s">
        <v>14</v>
      </c>
      <c r="F3143" t="s">
        <v>29</v>
      </c>
      <c r="G3143" t="s">
        <v>24</v>
      </c>
      <c r="H3143" t="s">
        <v>863</v>
      </c>
      <c r="I3143" s="2">
        <v>30.815999999999999</v>
      </c>
      <c r="J3143">
        <v>9</v>
      </c>
      <c r="K3143" s="2">
        <v>9.6300000000000008</v>
      </c>
      <c r="L3143" s="3">
        <f>(Table1[[#This Row],[Profit]]/Table1[[#This Row],[Sales]])*100</f>
        <v>31.250000000000007</v>
      </c>
    </row>
    <row r="3144" spans="1:12" x14ac:dyDescent="0.3">
      <c r="A3144" t="s">
        <v>4237</v>
      </c>
      <c r="B3144" s="1">
        <v>43899</v>
      </c>
      <c r="C3144" t="s">
        <v>2652</v>
      </c>
      <c r="D3144" t="s">
        <v>2653</v>
      </c>
      <c r="E3144" t="s">
        <v>14</v>
      </c>
      <c r="F3144" t="s">
        <v>23</v>
      </c>
      <c r="G3144" t="s">
        <v>24</v>
      </c>
      <c r="H3144" t="s">
        <v>1709</v>
      </c>
      <c r="I3144" s="2">
        <v>112.84</v>
      </c>
      <c r="J3144">
        <v>5</v>
      </c>
      <c r="K3144" s="2">
        <v>9.6374999999999993</v>
      </c>
      <c r="L3144" s="3">
        <f>(Table1[[#This Row],[Profit]]/Table1[[#This Row],[Sales]])*100</f>
        <v>8.5408543069833378</v>
      </c>
    </row>
    <row r="3145" spans="1:12" x14ac:dyDescent="0.3">
      <c r="A3145" t="s">
        <v>1741</v>
      </c>
      <c r="B3145" s="1">
        <v>43630</v>
      </c>
      <c r="C3145" t="s">
        <v>414</v>
      </c>
      <c r="D3145" t="s">
        <v>415</v>
      </c>
      <c r="E3145" t="s">
        <v>14</v>
      </c>
      <c r="F3145" t="s">
        <v>23</v>
      </c>
      <c r="G3145" t="s">
        <v>18</v>
      </c>
      <c r="H3145" t="s">
        <v>751</v>
      </c>
      <c r="I3145" s="2">
        <v>29.29</v>
      </c>
      <c r="J3145">
        <v>1</v>
      </c>
      <c r="K3145" s="2">
        <v>9.6656999999999993</v>
      </c>
      <c r="L3145" s="3">
        <f>(Table1[[#This Row],[Profit]]/Table1[[#This Row],[Sales]])*100</f>
        <v>32.999999999999993</v>
      </c>
    </row>
    <row r="3146" spans="1:12" x14ac:dyDescent="0.3">
      <c r="A3146" t="s">
        <v>4769</v>
      </c>
      <c r="B3146" s="1">
        <v>43985</v>
      </c>
      <c r="C3146" t="s">
        <v>1135</v>
      </c>
      <c r="D3146" t="s">
        <v>1136</v>
      </c>
      <c r="E3146" t="s">
        <v>14</v>
      </c>
      <c r="F3146" t="s">
        <v>41</v>
      </c>
      <c r="G3146" t="s">
        <v>16</v>
      </c>
      <c r="H3146" t="s">
        <v>4770</v>
      </c>
      <c r="I3146" s="2">
        <v>137.16800000000001</v>
      </c>
      <c r="J3146">
        <v>7</v>
      </c>
      <c r="K3146" s="2">
        <v>9.6712000000000007</v>
      </c>
      <c r="L3146" s="3">
        <f>(Table1[[#This Row],[Profit]]/Table1[[#This Row],[Sales]])*100</f>
        <v>7.0506240522570858</v>
      </c>
    </row>
    <row r="3147" spans="1:12" x14ac:dyDescent="0.3">
      <c r="A3147" t="s">
        <v>5973</v>
      </c>
      <c r="B3147" s="1">
        <v>44155</v>
      </c>
      <c r="C3147" t="s">
        <v>2315</v>
      </c>
      <c r="D3147" t="s">
        <v>2316</v>
      </c>
      <c r="E3147" t="s">
        <v>14</v>
      </c>
      <c r="F3147" t="s">
        <v>29</v>
      </c>
      <c r="G3147" t="s">
        <v>24</v>
      </c>
      <c r="H3147" t="s">
        <v>5974</v>
      </c>
      <c r="I3147" s="2">
        <v>109</v>
      </c>
      <c r="J3147">
        <v>10</v>
      </c>
      <c r="K3147" s="2">
        <v>9.68</v>
      </c>
      <c r="L3147" s="3">
        <f>(Table1[[#This Row],[Profit]]/Table1[[#This Row],[Sales]])*100</f>
        <v>8.8807339449541285</v>
      </c>
    </row>
    <row r="3148" spans="1:12" x14ac:dyDescent="0.3">
      <c r="A3148" t="s">
        <v>3147</v>
      </c>
      <c r="B3148" s="1">
        <v>43759</v>
      </c>
      <c r="C3148" t="s">
        <v>1476</v>
      </c>
      <c r="D3148" t="s">
        <v>1477</v>
      </c>
      <c r="E3148" t="s">
        <v>14</v>
      </c>
      <c r="F3148" t="s">
        <v>41</v>
      </c>
      <c r="G3148" t="s">
        <v>16</v>
      </c>
      <c r="H3148" t="s">
        <v>3148</v>
      </c>
      <c r="I3148" s="2">
        <v>45.567999999999998</v>
      </c>
      <c r="J3148">
        <v>2</v>
      </c>
      <c r="K3148" s="2">
        <v>9.6831999999999994</v>
      </c>
      <c r="L3148" s="3">
        <f>(Table1[[#This Row],[Profit]]/Table1[[#This Row],[Sales]])*100</f>
        <v>21.25</v>
      </c>
    </row>
    <row r="3149" spans="1:12" x14ac:dyDescent="0.3">
      <c r="A3149" t="s">
        <v>3299</v>
      </c>
      <c r="B3149" s="1">
        <v>43776</v>
      </c>
      <c r="C3149" t="s">
        <v>1139</v>
      </c>
      <c r="D3149" t="s">
        <v>1140</v>
      </c>
      <c r="E3149" t="s">
        <v>14</v>
      </c>
      <c r="F3149" t="s">
        <v>23</v>
      </c>
      <c r="G3149" t="s">
        <v>24</v>
      </c>
      <c r="H3149" t="s">
        <v>1366</v>
      </c>
      <c r="I3149" s="2">
        <v>27.68</v>
      </c>
      <c r="J3149">
        <v>2</v>
      </c>
      <c r="K3149" s="2">
        <v>9.6880000000000006</v>
      </c>
      <c r="L3149" s="3">
        <f>(Table1[[#This Row],[Profit]]/Table1[[#This Row],[Sales]])*100</f>
        <v>35</v>
      </c>
    </row>
    <row r="3150" spans="1:12" x14ac:dyDescent="0.3">
      <c r="A3150" t="s">
        <v>2192</v>
      </c>
      <c r="B3150" s="1">
        <v>43671</v>
      </c>
      <c r="C3150" t="s">
        <v>1456</v>
      </c>
      <c r="D3150" t="s">
        <v>1457</v>
      </c>
      <c r="E3150" t="s">
        <v>14</v>
      </c>
      <c r="F3150" t="s">
        <v>29</v>
      </c>
      <c r="G3150" t="s">
        <v>24</v>
      </c>
      <c r="H3150" t="s">
        <v>392</v>
      </c>
      <c r="I3150" s="2">
        <v>20.62</v>
      </c>
      <c r="J3150">
        <v>2</v>
      </c>
      <c r="K3150" s="2">
        <v>9.6913999999999998</v>
      </c>
      <c r="L3150" s="3">
        <f>(Table1[[#This Row],[Profit]]/Table1[[#This Row],[Sales]])*100</f>
        <v>47</v>
      </c>
    </row>
    <row r="3151" spans="1:12" x14ac:dyDescent="0.3">
      <c r="A3151" t="s">
        <v>6269</v>
      </c>
      <c r="B3151" s="1">
        <v>44189</v>
      </c>
      <c r="C3151" t="s">
        <v>1061</v>
      </c>
      <c r="D3151" t="s">
        <v>1062</v>
      </c>
      <c r="E3151" t="s">
        <v>14</v>
      </c>
      <c r="F3151" t="s">
        <v>15</v>
      </c>
      <c r="G3151" t="s">
        <v>24</v>
      </c>
      <c r="H3151" t="s">
        <v>1353</v>
      </c>
      <c r="I3151" s="2">
        <v>455.91</v>
      </c>
      <c r="J3151">
        <v>3</v>
      </c>
      <c r="K3151" s="2">
        <v>9.6957000000000004</v>
      </c>
      <c r="L3151" s="3">
        <f>(Table1[[#This Row],[Profit]]/Table1[[#This Row],[Sales]])*100</f>
        <v>2.1266697374481804</v>
      </c>
    </row>
    <row r="3152" spans="1:12" x14ac:dyDescent="0.3">
      <c r="A3152" t="s">
        <v>5232</v>
      </c>
      <c r="B3152" s="1">
        <v>44074</v>
      </c>
      <c r="C3152" t="s">
        <v>2419</v>
      </c>
      <c r="D3152" t="s">
        <v>2420</v>
      </c>
      <c r="E3152" t="s">
        <v>14</v>
      </c>
      <c r="F3152" t="s">
        <v>23</v>
      </c>
      <c r="G3152" t="s">
        <v>24</v>
      </c>
      <c r="H3152" t="s">
        <v>4091</v>
      </c>
      <c r="I3152" s="2">
        <v>227.95</v>
      </c>
      <c r="J3152">
        <v>3</v>
      </c>
      <c r="K3152" s="2">
        <v>9.6974999999999998</v>
      </c>
      <c r="L3152" s="3">
        <f>(Table1[[#This Row],[Profit]]/Table1[[#This Row],[Sales]])*100</f>
        <v>4.254222417196754</v>
      </c>
    </row>
    <row r="3153" spans="1:12" x14ac:dyDescent="0.3">
      <c r="A3153" t="s">
        <v>3606</v>
      </c>
      <c r="B3153" s="1">
        <v>43796</v>
      </c>
      <c r="C3153" t="s">
        <v>3607</v>
      </c>
      <c r="D3153" t="s">
        <v>3608</v>
      </c>
      <c r="E3153" t="s">
        <v>14</v>
      </c>
      <c r="F3153" t="s">
        <v>15</v>
      </c>
      <c r="G3153" t="s">
        <v>24</v>
      </c>
      <c r="H3153" t="s">
        <v>3610</v>
      </c>
      <c r="I3153" s="2">
        <v>34.65</v>
      </c>
      <c r="J3153">
        <v>3</v>
      </c>
      <c r="K3153" s="2">
        <v>9.702</v>
      </c>
      <c r="L3153" s="3">
        <f>(Table1[[#This Row],[Profit]]/Table1[[#This Row],[Sales]])*100</f>
        <v>28.000000000000004</v>
      </c>
    </row>
    <row r="3154" spans="1:12" x14ac:dyDescent="0.3">
      <c r="A3154" t="s">
        <v>1920</v>
      </c>
      <c r="B3154" s="1">
        <v>43646</v>
      </c>
      <c r="C3154" t="s">
        <v>1921</v>
      </c>
      <c r="D3154" t="s">
        <v>1922</v>
      </c>
      <c r="E3154" t="s">
        <v>14</v>
      </c>
      <c r="F3154" t="s">
        <v>41</v>
      </c>
      <c r="G3154" t="s">
        <v>24</v>
      </c>
      <c r="H3154" t="s">
        <v>1923</v>
      </c>
      <c r="I3154" s="2">
        <v>35.97</v>
      </c>
      <c r="J3154">
        <v>3</v>
      </c>
      <c r="K3154" s="2">
        <v>9.7119</v>
      </c>
      <c r="L3154" s="3">
        <f>(Table1[[#This Row],[Profit]]/Table1[[#This Row],[Sales]])*100</f>
        <v>27</v>
      </c>
    </row>
    <row r="3155" spans="1:12" x14ac:dyDescent="0.3">
      <c r="A3155" t="s">
        <v>4428</v>
      </c>
      <c r="B3155" s="1">
        <v>43930</v>
      </c>
      <c r="C3155" t="s">
        <v>4429</v>
      </c>
      <c r="D3155" t="s">
        <v>4430</v>
      </c>
      <c r="E3155" t="s">
        <v>14</v>
      </c>
      <c r="F3155" t="s">
        <v>15</v>
      </c>
      <c r="G3155" t="s">
        <v>24</v>
      </c>
      <c r="H3155" t="s">
        <v>1923</v>
      </c>
      <c r="I3155" s="2">
        <v>132.97</v>
      </c>
      <c r="J3155">
        <v>3</v>
      </c>
      <c r="K3155" s="2">
        <v>9.7119</v>
      </c>
      <c r="L3155" s="3">
        <f>(Table1[[#This Row],[Profit]]/Table1[[#This Row],[Sales]])*100</f>
        <v>7.3038279311122807</v>
      </c>
    </row>
    <row r="3156" spans="1:12" x14ac:dyDescent="0.3">
      <c r="A3156" t="s">
        <v>3427</v>
      </c>
      <c r="B3156" s="1">
        <v>43783</v>
      </c>
      <c r="C3156" t="s">
        <v>2710</v>
      </c>
      <c r="D3156" t="s">
        <v>2711</v>
      </c>
      <c r="E3156" t="s">
        <v>14</v>
      </c>
      <c r="F3156" t="s">
        <v>15</v>
      </c>
      <c r="G3156" t="s">
        <v>16</v>
      </c>
      <c r="H3156" t="s">
        <v>2732</v>
      </c>
      <c r="I3156" s="2">
        <v>48.576000000000001</v>
      </c>
      <c r="J3156">
        <v>3</v>
      </c>
      <c r="K3156" s="2">
        <v>9.7151999999999994</v>
      </c>
      <c r="L3156" s="3">
        <f>(Table1[[#This Row],[Profit]]/Table1[[#This Row],[Sales]])*100</f>
        <v>20</v>
      </c>
    </row>
    <row r="3157" spans="1:12" x14ac:dyDescent="0.3">
      <c r="A3157" t="s">
        <v>823</v>
      </c>
      <c r="B3157" s="1">
        <v>43556</v>
      </c>
      <c r="C3157" t="s">
        <v>824</v>
      </c>
      <c r="D3157" t="s">
        <v>825</v>
      </c>
      <c r="E3157" t="s">
        <v>14</v>
      </c>
      <c r="F3157" t="s">
        <v>15</v>
      </c>
      <c r="G3157" t="s">
        <v>24</v>
      </c>
      <c r="H3157" t="s">
        <v>826</v>
      </c>
      <c r="I3157" s="2">
        <v>161.94</v>
      </c>
      <c r="J3157">
        <v>3</v>
      </c>
      <c r="K3157" s="2">
        <v>9.7164000000000001</v>
      </c>
      <c r="L3157" s="3">
        <f>(Table1[[#This Row],[Profit]]/Table1[[#This Row],[Sales]])*100</f>
        <v>6.0000000000000009</v>
      </c>
    </row>
    <row r="3158" spans="1:12" x14ac:dyDescent="0.3">
      <c r="A3158" t="s">
        <v>1817</v>
      </c>
      <c r="B3158" s="1">
        <v>43636</v>
      </c>
      <c r="C3158" t="s">
        <v>114</v>
      </c>
      <c r="D3158" t="s">
        <v>115</v>
      </c>
      <c r="E3158" t="s">
        <v>14</v>
      </c>
      <c r="F3158" t="s">
        <v>23</v>
      </c>
      <c r="G3158" t="s">
        <v>24</v>
      </c>
      <c r="H3158" t="s">
        <v>826</v>
      </c>
      <c r="I3158" s="2">
        <v>161.94</v>
      </c>
      <c r="J3158">
        <v>3</v>
      </c>
      <c r="K3158" s="2">
        <v>9.7164000000000001</v>
      </c>
      <c r="L3158" s="3">
        <f>(Table1[[#This Row],[Profit]]/Table1[[#This Row],[Sales]])*100</f>
        <v>6.0000000000000009</v>
      </c>
    </row>
    <row r="3159" spans="1:12" x14ac:dyDescent="0.3">
      <c r="A3159" t="s">
        <v>379</v>
      </c>
      <c r="B3159" s="1">
        <v>43515</v>
      </c>
      <c r="C3159" t="s">
        <v>380</v>
      </c>
      <c r="D3159" t="s">
        <v>381</v>
      </c>
      <c r="E3159" t="s">
        <v>14</v>
      </c>
      <c r="F3159" t="s">
        <v>15</v>
      </c>
      <c r="G3159" t="s">
        <v>24</v>
      </c>
      <c r="H3159" t="s">
        <v>383</v>
      </c>
      <c r="I3159" s="2">
        <v>242.94</v>
      </c>
      <c r="J3159">
        <v>3</v>
      </c>
      <c r="K3159" s="2">
        <v>9.7175999999999991</v>
      </c>
      <c r="L3159" s="3">
        <f>(Table1[[#This Row],[Profit]]/Table1[[#This Row],[Sales]])*100</f>
        <v>3.9999999999999996</v>
      </c>
    </row>
    <row r="3160" spans="1:12" x14ac:dyDescent="0.3">
      <c r="A3160" t="s">
        <v>4043</v>
      </c>
      <c r="B3160" s="1">
        <v>43851</v>
      </c>
      <c r="C3160" t="s">
        <v>4044</v>
      </c>
      <c r="D3160" t="s">
        <v>4045</v>
      </c>
      <c r="E3160" t="s">
        <v>14</v>
      </c>
      <c r="F3160" t="s">
        <v>23</v>
      </c>
      <c r="G3160" t="s">
        <v>24</v>
      </c>
      <c r="H3160" t="s">
        <v>383</v>
      </c>
      <c r="I3160" s="2">
        <v>267.94</v>
      </c>
      <c r="J3160">
        <v>3</v>
      </c>
      <c r="K3160" s="2">
        <v>9.7175999999999991</v>
      </c>
      <c r="L3160" s="3">
        <f>(Table1[[#This Row],[Profit]]/Table1[[#This Row],[Sales]])*100</f>
        <v>3.6267821153989694</v>
      </c>
    </row>
    <row r="3161" spans="1:12" x14ac:dyDescent="0.3">
      <c r="A3161" t="s">
        <v>4253</v>
      </c>
      <c r="B3161" s="1">
        <v>43902</v>
      </c>
      <c r="C3161" t="s">
        <v>4254</v>
      </c>
      <c r="D3161" t="s">
        <v>4255</v>
      </c>
      <c r="E3161" t="s">
        <v>14</v>
      </c>
      <c r="F3161" t="s">
        <v>23</v>
      </c>
      <c r="G3161" t="s">
        <v>24</v>
      </c>
      <c r="H3161" t="s">
        <v>383</v>
      </c>
      <c r="I3161" s="2">
        <v>273.94</v>
      </c>
      <c r="J3161">
        <v>3</v>
      </c>
      <c r="K3161" s="2">
        <v>9.7175999999999991</v>
      </c>
      <c r="L3161" s="3">
        <f>(Table1[[#This Row],[Profit]]/Table1[[#This Row],[Sales]])*100</f>
        <v>3.5473461341899681</v>
      </c>
    </row>
    <row r="3162" spans="1:12" x14ac:dyDescent="0.3">
      <c r="A3162" t="s">
        <v>4207</v>
      </c>
      <c r="B3162" s="1">
        <v>43893</v>
      </c>
      <c r="C3162" t="s">
        <v>2038</v>
      </c>
      <c r="D3162" t="s">
        <v>2039</v>
      </c>
      <c r="E3162" t="s">
        <v>14</v>
      </c>
      <c r="F3162" t="s">
        <v>29</v>
      </c>
      <c r="G3162" t="s">
        <v>24</v>
      </c>
      <c r="H3162" t="s">
        <v>4208</v>
      </c>
      <c r="I3162" s="2">
        <v>100.88</v>
      </c>
      <c r="J3162">
        <v>8</v>
      </c>
      <c r="K3162" s="2">
        <v>9.7439999999999998</v>
      </c>
      <c r="L3162" s="3">
        <f>(Table1[[#This Row],[Profit]]/Table1[[#This Row],[Sales]])*100</f>
        <v>9.6590007930214128</v>
      </c>
    </row>
    <row r="3163" spans="1:12" x14ac:dyDescent="0.3">
      <c r="A3163" t="s">
        <v>4927</v>
      </c>
      <c r="B3163" s="1">
        <v>44012</v>
      </c>
      <c r="C3163" t="s">
        <v>2255</v>
      </c>
      <c r="D3163" t="s">
        <v>2256</v>
      </c>
      <c r="E3163" t="s">
        <v>14</v>
      </c>
      <c r="F3163" t="s">
        <v>15</v>
      </c>
      <c r="G3163" t="s">
        <v>16</v>
      </c>
      <c r="H3163" t="s">
        <v>3646</v>
      </c>
      <c r="I3163" s="2">
        <v>84.23</v>
      </c>
      <c r="J3163">
        <v>1</v>
      </c>
      <c r="K3163" s="2">
        <v>9.7812000000000001</v>
      </c>
      <c r="L3163" s="3">
        <f>(Table1[[#This Row],[Profit]]/Table1[[#This Row],[Sales]])*100</f>
        <v>11.612489611777276</v>
      </c>
    </row>
    <row r="3164" spans="1:12" x14ac:dyDescent="0.3">
      <c r="A3164" t="s">
        <v>6190</v>
      </c>
      <c r="B3164" s="1">
        <v>44180</v>
      </c>
      <c r="C3164" t="s">
        <v>668</v>
      </c>
      <c r="D3164" t="s">
        <v>669</v>
      </c>
      <c r="E3164" t="s">
        <v>14</v>
      </c>
      <c r="F3164" t="s">
        <v>23</v>
      </c>
      <c r="G3164" t="s">
        <v>16</v>
      </c>
      <c r="H3164" t="s">
        <v>3414</v>
      </c>
      <c r="I3164" s="2">
        <v>437.77</v>
      </c>
      <c r="J3164">
        <v>3</v>
      </c>
      <c r="K3164" s="2">
        <v>9.7911000000000001</v>
      </c>
      <c r="L3164" s="3">
        <f>(Table1[[#This Row],[Profit]]/Table1[[#This Row],[Sales]])*100</f>
        <v>2.2365854215684036</v>
      </c>
    </row>
    <row r="3165" spans="1:12" x14ac:dyDescent="0.3">
      <c r="A3165" t="s">
        <v>1887</v>
      </c>
      <c r="B3165" s="1">
        <v>43642</v>
      </c>
      <c r="C3165" t="s">
        <v>1888</v>
      </c>
      <c r="D3165" t="s">
        <v>1889</v>
      </c>
      <c r="E3165" t="s">
        <v>14</v>
      </c>
      <c r="F3165" t="s">
        <v>15</v>
      </c>
      <c r="G3165" t="s">
        <v>18</v>
      </c>
      <c r="H3165" t="s">
        <v>1891</v>
      </c>
      <c r="I3165" s="2">
        <v>139.96</v>
      </c>
      <c r="J3165">
        <v>4</v>
      </c>
      <c r="K3165" s="2">
        <v>9.7972000000000001</v>
      </c>
      <c r="L3165" s="3">
        <f>(Table1[[#This Row],[Profit]]/Table1[[#This Row],[Sales]])*100</f>
        <v>6.9999999999999991</v>
      </c>
    </row>
    <row r="3166" spans="1:12" x14ac:dyDescent="0.3">
      <c r="A3166" t="s">
        <v>6018</v>
      </c>
      <c r="B3166" s="1">
        <v>44161</v>
      </c>
      <c r="C3166" t="s">
        <v>719</v>
      </c>
      <c r="D3166" t="s">
        <v>720</v>
      </c>
      <c r="E3166" t="s">
        <v>14</v>
      </c>
      <c r="F3166" t="s">
        <v>15</v>
      </c>
      <c r="G3166" t="s">
        <v>24</v>
      </c>
      <c r="H3166" t="s">
        <v>1505</v>
      </c>
      <c r="I3166" s="2">
        <v>100.27200000000001</v>
      </c>
      <c r="J3166">
        <v>3</v>
      </c>
      <c r="K3166" s="2">
        <v>9.8010000000000002</v>
      </c>
      <c r="L3166" s="3">
        <f>(Table1[[#This Row],[Profit]]/Table1[[#This Row],[Sales]])*100</f>
        <v>9.7744135950215423</v>
      </c>
    </row>
    <row r="3167" spans="1:12" x14ac:dyDescent="0.3">
      <c r="A3167" t="s">
        <v>3133</v>
      </c>
      <c r="B3167" s="1">
        <v>43759</v>
      </c>
      <c r="C3167" t="s">
        <v>3134</v>
      </c>
      <c r="D3167" t="s">
        <v>3135</v>
      </c>
      <c r="E3167" t="s">
        <v>14</v>
      </c>
      <c r="F3167" t="s">
        <v>15</v>
      </c>
      <c r="G3167" t="s">
        <v>18</v>
      </c>
      <c r="H3167" t="s">
        <v>1274</v>
      </c>
      <c r="I3167" s="2">
        <v>98.16</v>
      </c>
      <c r="J3167">
        <v>6</v>
      </c>
      <c r="K3167" s="2">
        <v>9.8160000000000007</v>
      </c>
      <c r="L3167" s="3">
        <f>(Table1[[#This Row],[Profit]]/Table1[[#This Row],[Sales]])*100</f>
        <v>10</v>
      </c>
    </row>
    <row r="3168" spans="1:12" x14ac:dyDescent="0.3">
      <c r="A3168" t="s">
        <v>4716</v>
      </c>
      <c r="B3168" s="1">
        <v>43978</v>
      </c>
      <c r="C3168" t="s">
        <v>1400</v>
      </c>
      <c r="D3168" t="s">
        <v>1401</v>
      </c>
      <c r="E3168" t="s">
        <v>14</v>
      </c>
      <c r="F3168" t="s">
        <v>23</v>
      </c>
      <c r="G3168" t="s">
        <v>18</v>
      </c>
      <c r="H3168" t="s">
        <v>1274</v>
      </c>
      <c r="I3168" s="2">
        <v>125.16</v>
      </c>
      <c r="J3168">
        <v>6</v>
      </c>
      <c r="K3168" s="2">
        <v>9.8160000000000007</v>
      </c>
      <c r="L3168" s="3">
        <f>(Table1[[#This Row],[Profit]]/Table1[[#This Row],[Sales]])*100</f>
        <v>7.8427612655800587</v>
      </c>
    </row>
    <row r="3169" spans="1:12" x14ac:dyDescent="0.3">
      <c r="A3169" t="s">
        <v>5155</v>
      </c>
      <c r="B3169" s="1">
        <v>44060</v>
      </c>
      <c r="C3169" t="s">
        <v>1926</v>
      </c>
      <c r="D3169" t="s">
        <v>1927</v>
      </c>
      <c r="E3169" t="s">
        <v>14</v>
      </c>
      <c r="F3169" t="s">
        <v>41</v>
      </c>
      <c r="G3169" t="s">
        <v>18</v>
      </c>
      <c r="H3169" t="s">
        <v>1274</v>
      </c>
      <c r="I3169" s="2">
        <v>109.16</v>
      </c>
      <c r="J3169">
        <v>6</v>
      </c>
      <c r="K3169" s="2">
        <v>9.8160000000000007</v>
      </c>
      <c r="L3169" s="3">
        <f>(Table1[[#This Row],[Profit]]/Table1[[#This Row],[Sales]])*100</f>
        <v>8.9923048735800677</v>
      </c>
    </row>
    <row r="3170" spans="1:12" x14ac:dyDescent="0.3">
      <c r="A3170" t="s">
        <v>5464</v>
      </c>
      <c r="B3170" s="1">
        <v>44096</v>
      </c>
      <c r="C3170" t="s">
        <v>1465</v>
      </c>
      <c r="D3170" t="s">
        <v>1466</v>
      </c>
      <c r="E3170" t="s">
        <v>14</v>
      </c>
      <c r="F3170" t="s">
        <v>29</v>
      </c>
      <c r="G3170" t="s">
        <v>18</v>
      </c>
      <c r="H3170" t="s">
        <v>1274</v>
      </c>
      <c r="I3170" s="2">
        <v>142.16</v>
      </c>
      <c r="J3170">
        <v>6</v>
      </c>
      <c r="K3170" s="2">
        <v>9.8160000000000007</v>
      </c>
      <c r="L3170" s="3">
        <f>(Table1[[#This Row],[Profit]]/Table1[[#This Row],[Sales]])*100</f>
        <v>6.9048958919527292</v>
      </c>
    </row>
    <row r="3171" spans="1:12" x14ac:dyDescent="0.3">
      <c r="A3171" t="s">
        <v>3273</v>
      </c>
      <c r="B3171" s="1">
        <v>43774</v>
      </c>
      <c r="C3171" t="s">
        <v>1333</v>
      </c>
      <c r="D3171" t="s">
        <v>1334</v>
      </c>
      <c r="E3171" t="s">
        <v>14</v>
      </c>
      <c r="F3171" t="s">
        <v>23</v>
      </c>
      <c r="G3171" t="s">
        <v>24</v>
      </c>
      <c r="H3171" t="s">
        <v>2044</v>
      </c>
      <c r="I3171" s="2">
        <v>29.12</v>
      </c>
      <c r="J3171">
        <v>5</v>
      </c>
      <c r="K3171" s="2">
        <v>9.8279999999999994</v>
      </c>
      <c r="L3171" s="3">
        <f>(Table1[[#This Row],[Profit]]/Table1[[#This Row],[Sales]])*100</f>
        <v>33.75</v>
      </c>
    </row>
    <row r="3172" spans="1:12" x14ac:dyDescent="0.3">
      <c r="A3172" t="s">
        <v>2406</v>
      </c>
      <c r="B3172" s="1">
        <v>43699</v>
      </c>
      <c r="C3172" t="s">
        <v>2407</v>
      </c>
      <c r="D3172" t="s">
        <v>2408</v>
      </c>
      <c r="E3172" t="s">
        <v>14</v>
      </c>
      <c r="F3172" t="s">
        <v>23</v>
      </c>
      <c r="G3172" t="s">
        <v>16</v>
      </c>
      <c r="H3172" t="s">
        <v>2409</v>
      </c>
      <c r="I3172" s="2">
        <v>98.328000000000003</v>
      </c>
      <c r="J3172">
        <v>3</v>
      </c>
      <c r="K3172" s="2">
        <v>9.8328000000000007</v>
      </c>
      <c r="L3172" s="3">
        <f>(Table1[[#This Row],[Profit]]/Table1[[#This Row],[Sales]])*100</f>
        <v>10</v>
      </c>
    </row>
    <row r="3173" spans="1:12" x14ac:dyDescent="0.3">
      <c r="A3173" t="s">
        <v>830</v>
      </c>
      <c r="B3173" s="1">
        <v>43556</v>
      </c>
      <c r="C3173" t="s">
        <v>831</v>
      </c>
      <c r="D3173" t="s">
        <v>832</v>
      </c>
      <c r="E3173" t="s">
        <v>14</v>
      </c>
      <c r="F3173" t="s">
        <v>23</v>
      </c>
      <c r="G3173" t="s">
        <v>24</v>
      </c>
      <c r="H3173" t="s">
        <v>449</v>
      </c>
      <c r="I3173" s="2">
        <v>31.56</v>
      </c>
      <c r="J3173">
        <v>5</v>
      </c>
      <c r="K3173" s="2">
        <v>9.8625000000000007</v>
      </c>
      <c r="L3173" s="3">
        <f>(Table1[[#This Row],[Profit]]/Table1[[#This Row],[Sales]])*100</f>
        <v>31.250000000000007</v>
      </c>
    </row>
    <row r="3174" spans="1:12" x14ac:dyDescent="0.3">
      <c r="A3174" t="s">
        <v>2530</v>
      </c>
      <c r="B3174" s="1">
        <v>43710</v>
      </c>
      <c r="C3174" t="s">
        <v>1547</v>
      </c>
      <c r="D3174" t="s">
        <v>1548</v>
      </c>
      <c r="E3174" t="s">
        <v>14</v>
      </c>
      <c r="F3174" t="s">
        <v>29</v>
      </c>
      <c r="G3174" t="s">
        <v>24</v>
      </c>
      <c r="H3174" t="s">
        <v>1704</v>
      </c>
      <c r="I3174" s="2">
        <v>29.24</v>
      </c>
      <c r="J3174">
        <v>5</v>
      </c>
      <c r="K3174" s="2">
        <v>9.8684999999999992</v>
      </c>
      <c r="L3174" s="3">
        <f>(Table1[[#This Row],[Profit]]/Table1[[#This Row],[Sales]])*100</f>
        <v>33.75</v>
      </c>
    </row>
    <row r="3175" spans="1:12" x14ac:dyDescent="0.3">
      <c r="A3175" t="s">
        <v>5311</v>
      </c>
      <c r="B3175" s="1">
        <v>44081</v>
      </c>
      <c r="C3175" t="s">
        <v>3607</v>
      </c>
      <c r="D3175" t="s">
        <v>3608</v>
      </c>
      <c r="E3175" t="s">
        <v>14</v>
      </c>
      <c r="F3175" t="s">
        <v>15</v>
      </c>
      <c r="G3175" t="s">
        <v>24</v>
      </c>
      <c r="H3175" t="s">
        <v>1406</v>
      </c>
      <c r="I3175" s="2">
        <v>126.24</v>
      </c>
      <c r="J3175">
        <v>5</v>
      </c>
      <c r="K3175" s="2">
        <v>9.8684999999999992</v>
      </c>
      <c r="L3175" s="3">
        <f>(Table1[[#This Row],[Profit]]/Table1[[#This Row],[Sales]])*100</f>
        <v>7.817252851711026</v>
      </c>
    </row>
    <row r="3176" spans="1:12" x14ac:dyDescent="0.3">
      <c r="A3176" t="s">
        <v>3097</v>
      </c>
      <c r="B3176" s="1">
        <v>43753</v>
      </c>
      <c r="C3176" t="s">
        <v>3098</v>
      </c>
      <c r="D3176" t="s">
        <v>3099</v>
      </c>
      <c r="E3176" t="s">
        <v>14</v>
      </c>
      <c r="F3176" t="s">
        <v>29</v>
      </c>
      <c r="G3176" t="s">
        <v>24</v>
      </c>
      <c r="H3176" t="s">
        <v>2378</v>
      </c>
      <c r="I3176" s="2">
        <v>20.16</v>
      </c>
      <c r="J3176">
        <v>7</v>
      </c>
      <c r="K3176" s="2">
        <v>9.8783999999999992</v>
      </c>
      <c r="L3176" s="3">
        <f>(Table1[[#This Row],[Profit]]/Table1[[#This Row],[Sales]])*100</f>
        <v>48.999999999999993</v>
      </c>
    </row>
    <row r="3177" spans="1:12" x14ac:dyDescent="0.3">
      <c r="A3177" t="s">
        <v>3933</v>
      </c>
      <c r="B3177" s="1">
        <v>43826</v>
      </c>
      <c r="C3177" t="s">
        <v>1577</v>
      </c>
      <c r="D3177" t="s">
        <v>1578</v>
      </c>
      <c r="E3177" t="s">
        <v>14</v>
      </c>
      <c r="F3177" t="s">
        <v>23</v>
      </c>
      <c r="G3177" t="s">
        <v>24</v>
      </c>
      <c r="H3177" t="s">
        <v>3340</v>
      </c>
      <c r="I3177" s="2">
        <v>20.16</v>
      </c>
      <c r="J3177">
        <v>7</v>
      </c>
      <c r="K3177" s="2">
        <v>9.8783999999999992</v>
      </c>
      <c r="L3177" s="3">
        <f>(Table1[[#This Row],[Profit]]/Table1[[#This Row],[Sales]])*100</f>
        <v>48.999999999999993</v>
      </c>
    </row>
    <row r="3178" spans="1:12" x14ac:dyDescent="0.3">
      <c r="A3178" t="s">
        <v>5460</v>
      </c>
      <c r="B3178" s="1">
        <v>44095</v>
      </c>
      <c r="C3178" t="s">
        <v>5140</v>
      </c>
      <c r="D3178" t="s">
        <v>5141</v>
      </c>
      <c r="E3178" t="s">
        <v>14</v>
      </c>
      <c r="F3178" t="s">
        <v>29</v>
      </c>
      <c r="G3178" t="s">
        <v>24</v>
      </c>
      <c r="H3178" t="s">
        <v>228</v>
      </c>
      <c r="I3178" s="2">
        <v>123.16</v>
      </c>
      <c r="J3178">
        <v>7</v>
      </c>
      <c r="K3178" s="2">
        <v>9.8783999999999992</v>
      </c>
      <c r="L3178" s="3">
        <f>(Table1[[#This Row],[Profit]]/Table1[[#This Row],[Sales]])*100</f>
        <v>8.020785969470607</v>
      </c>
    </row>
    <row r="3179" spans="1:12" x14ac:dyDescent="0.3">
      <c r="A3179" t="s">
        <v>4724</v>
      </c>
      <c r="B3179" s="1">
        <v>43979</v>
      </c>
      <c r="C3179" t="s">
        <v>4725</v>
      </c>
      <c r="D3179" t="s">
        <v>4726</v>
      </c>
      <c r="E3179" t="s">
        <v>14</v>
      </c>
      <c r="F3179" t="s">
        <v>15</v>
      </c>
      <c r="G3179" t="s">
        <v>16</v>
      </c>
      <c r="H3179" t="s">
        <v>4733</v>
      </c>
      <c r="I3179" s="2">
        <v>123.46</v>
      </c>
      <c r="J3179">
        <v>2</v>
      </c>
      <c r="K3179" s="2">
        <v>9.8856000000000002</v>
      </c>
      <c r="L3179" s="3">
        <f>(Table1[[#This Row],[Profit]]/Table1[[#This Row],[Sales]])*100</f>
        <v>8.007127814676819</v>
      </c>
    </row>
    <row r="3180" spans="1:12" x14ac:dyDescent="0.3">
      <c r="A3180" t="s">
        <v>6019</v>
      </c>
      <c r="B3180" s="1">
        <v>44161</v>
      </c>
      <c r="C3180" t="s">
        <v>1119</v>
      </c>
      <c r="D3180" t="s">
        <v>1120</v>
      </c>
      <c r="E3180" t="s">
        <v>14</v>
      </c>
      <c r="F3180" t="s">
        <v>29</v>
      </c>
      <c r="G3180" t="s">
        <v>16</v>
      </c>
      <c r="H3180" t="s">
        <v>4733</v>
      </c>
      <c r="I3180" s="2">
        <v>124.46</v>
      </c>
      <c r="J3180">
        <v>2</v>
      </c>
      <c r="K3180" s="2">
        <v>9.8856000000000002</v>
      </c>
      <c r="L3180" s="3">
        <f>(Table1[[#This Row],[Profit]]/Table1[[#This Row],[Sales]])*100</f>
        <v>7.9427928651775668</v>
      </c>
    </row>
    <row r="3181" spans="1:12" x14ac:dyDescent="0.3">
      <c r="A3181" t="s">
        <v>6255</v>
      </c>
      <c r="B3181" s="1">
        <v>44188</v>
      </c>
      <c r="C3181" t="s">
        <v>514</v>
      </c>
      <c r="D3181" t="s">
        <v>515</v>
      </c>
      <c r="E3181" t="s">
        <v>14</v>
      </c>
      <c r="F3181" t="s">
        <v>15</v>
      </c>
      <c r="G3181" t="s">
        <v>16</v>
      </c>
      <c r="H3181" t="s">
        <v>4733</v>
      </c>
      <c r="I3181" s="2">
        <v>456.46</v>
      </c>
      <c r="J3181">
        <v>2</v>
      </c>
      <c r="K3181" s="2">
        <v>9.8856000000000002</v>
      </c>
      <c r="L3181" s="3">
        <f>(Table1[[#This Row],[Profit]]/Table1[[#This Row],[Sales]])*100</f>
        <v>2.1657100293563514</v>
      </c>
    </row>
    <row r="3182" spans="1:12" x14ac:dyDescent="0.3">
      <c r="A3182" t="s">
        <v>3410</v>
      </c>
      <c r="B3182" s="1">
        <v>43782</v>
      </c>
      <c r="C3182" t="s">
        <v>249</v>
      </c>
      <c r="D3182" t="s">
        <v>250</v>
      </c>
      <c r="E3182" t="s">
        <v>14</v>
      </c>
      <c r="F3182" t="s">
        <v>15</v>
      </c>
      <c r="G3182" t="s">
        <v>24</v>
      </c>
      <c r="H3182" t="s">
        <v>3412</v>
      </c>
      <c r="I3182" s="2">
        <v>36.630000000000003</v>
      </c>
      <c r="J3182">
        <v>3</v>
      </c>
      <c r="K3182" s="2">
        <v>9.8901000000000003</v>
      </c>
      <c r="L3182" s="3">
        <f>(Table1[[#This Row],[Profit]]/Table1[[#This Row],[Sales]])*100</f>
        <v>27</v>
      </c>
    </row>
    <row r="3183" spans="1:12" x14ac:dyDescent="0.3">
      <c r="A3183" t="s">
        <v>2512</v>
      </c>
      <c r="B3183" s="1">
        <v>43709</v>
      </c>
      <c r="C3183" t="s">
        <v>605</v>
      </c>
      <c r="D3183" t="s">
        <v>606</v>
      </c>
      <c r="E3183" t="s">
        <v>14</v>
      </c>
      <c r="F3183" t="s">
        <v>15</v>
      </c>
      <c r="G3183" t="s">
        <v>24</v>
      </c>
      <c r="H3183" t="s">
        <v>1502</v>
      </c>
      <c r="I3183" s="2">
        <v>30.48</v>
      </c>
      <c r="J3183">
        <v>6</v>
      </c>
      <c r="K3183" s="2">
        <v>9.9060000000000006</v>
      </c>
      <c r="L3183" s="3">
        <f>(Table1[[#This Row],[Profit]]/Table1[[#This Row],[Sales]])*100</f>
        <v>32.5</v>
      </c>
    </row>
    <row r="3184" spans="1:12" x14ac:dyDescent="0.3">
      <c r="A3184" t="s">
        <v>1306</v>
      </c>
      <c r="B3184" s="1">
        <v>43594</v>
      </c>
      <c r="C3184" t="s">
        <v>1307</v>
      </c>
      <c r="D3184" t="s">
        <v>1308</v>
      </c>
      <c r="E3184" t="s">
        <v>14</v>
      </c>
      <c r="F3184" t="s">
        <v>15</v>
      </c>
      <c r="G3184" t="s">
        <v>24</v>
      </c>
      <c r="H3184" t="s">
        <v>72</v>
      </c>
      <c r="I3184" s="2">
        <v>79.36</v>
      </c>
      <c r="J3184">
        <v>5</v>
      </c>
      <c r="K3184" s="2">
        <v>9.92</v>
      </c>
      <c r="L3184" s="3">
        <f>(Table1[[#This Row],[Profit]]/Table1[[#This Row],[Sales]])*100</f>
        <v>12.5</v>
      </c>
    </row>
    <row r="3185" spans="1:12" x14ac:dyDescent="0.3">
      <c r="A3185" t="s">
        <v>5900</v>
      </c>
      <c r="B3185" s="1">
        <v>44149</v>
      </c>
      <c r="C3185" t="s">
        <v>1992</v>
      </c>
      <c r="D3185" t="s">
        <v>1993</v>
      </c>
      <c r="E3185" t="s">
        <v>14</v>
      </c>
      <c r="F3185" t="s">
        <v>23</v>
      </c>
      <c r="G3185" t="s">
        <v>24</v>
      </c>
      <c r="H3185" t="s">
        <v>4024</v>
      </c>
      <c r="I3185" s="2">
        <v>127.24</v>
      </c>
      <c r="J3185">
        <v>8</v>
      </c>
      <c r="K3185" s="2">
        <v>9.9296000000000006</v>
      </c>
      <c r="L3185" s="3">
        <f>(Table1[[#This Row],[Profit]]/Table1[[#This Row],[Sales]])*100</f>
        <v>7.8038352719270678</v>
      </c>
    </row>
    <row r="3186" spans="1:12" x14ac:dyDescent="0.3">
      <c r="A3186" t="s">
        <v>836</v>
      </c>
      <c r="B3186" s="1">
        <v>43556</v>
      </c>
      <c r="C3186" t="s">
        <v>837</v>
      </c>
      <c r="D3186" t="s">
        <v>838</v>
      </c>
      <c r="E3186" t="s">
        <v>14</v>
      </c>
      <c r="F3186" t="s">
        <v>15</v>
      </c>
      <c r="G3186" t="s">
        <v>24</v>
      </c>
      <c r="H3186" t="s">
        <v>839</v>
      </c>
      <c r="I3186" s="2">
        <v>20.7</v>
      </c>
      <c r="J3186">
        <v>2</v>
      </c>
      <c r="K3186" s="2">
        <v>9.9359999999999999</v>
      </c>
      <c r="L3186" s="3">
        <f>(Table1[[#This Row],[Profit]]/Table1[[#This Row],[Sales]])*100</f>
        <v>48.000000000000007</v>
      </c>
    </row>
    <row r="3187" spans="1:12" x14ac:dyDescent="0.3">
      <c r="A3187" t="s">
        <v>1680</v>
      </c>
      <c r="B3187" s="1">
        <v>43626</v>
      </c>
      <c r="C3187" t="s">
        <v>1681</v>
      </c>
      <c r="D3187" t="s">
        <v>1682</v>
      </c>
      <c r="E3187" t="s">
        <v>14</v>
      </c>
      <c r="F3187" t="s">
        <v>23</v>
      </c>
      <c r="G3187" t="s">
        <v>24</v>
      </c>
      <c r="H3187" t="s">
        <v>839</v>
      </c>
      <c r="I3187" s="2">
        <v>20.7</v>
      </c>
      <c r="J3187">
        <v>2</v>
      </c>
      <c r="K3187" s="2">
        <v>9.9359999999999999</v>
      </c>
      <c r="L3187" s="3">
        <f>(Table1[[#This Row],[Profit]]/Table1[[#This Row],[Sales]])*100</f>
        <v>48.000000000000007</v>
      </c>
    </row>
    <row r="3188" spans="1:12" x14ac:dyDescent="0.3">
      <c r="A3188" t="s">
        <v>4128</v>
      </c>
      <c r="B3188" s="1">
        <v>43872</v>
      </c>
      <c r="C3188" t="s">
        <v>2435</v>
      </c>
      <c r="D3188" t="s">
        <v>2436</v>
      </c>
      <c r="E3188" t="s">
        <v>14</v>
      </c>
      <c r="F3188" t="s">
        <v>15</v>
      </c>
      <c r="G3188" t="s">
        <v>24</v>
      </c>
      <c r="H3188" t="s">
        <v>839</v>
      </c>
      <c r="I3188" s="2">
        <v>936.7</v>
      </c>
      <c r="J3188">
        <v>2</v>
      </c>
      <c r="K3188" s="2">
        <v>9.9359999999999999</v>
      </c>
      <c r="L3188" s="3">
        <f>(Table1[[#This Row],[Profit]]/Table1[[#This Row],[Sales]])*100</f>
        <v>1.0607451692110601</v>
      </c>
    </row>
    <row r="3189" spans="1:12" x14ac:dyDescent="0.3">
      <c r="A3189" t="s">
        <v>4233</v>
      </c>
      <c r="B3189" s="1">
        <v>43898</v>
      </c>
      <c r="C3189" t="s">
        <v>3206</v>
      </c>
      <c r="D3189" t="s">
        <v>3207</v>
      </c>
      <c r="E3189" t="s">
        <v>14</v>
      </c>
      <c r="F3189" t="s">
        <v>41</v>
      </c>
      <c r="G3189" t="s">
        <v>24</v>
      </c>
      <c r="H3189" t="s">
        <v>2852</v>
      </c>
      <c r="I3189" s="2">
        <v>111.7</v>
      </c>
      <c r="J3189">
        <v>2</v>
      </c>
      <c r="K3189" s="2">
        <v>9.9359999999999999</v>
      </c>
      <c r="L3189" s="3">
        <f>(Table1[[#This Row],[Profit]]/Table1[[#This Row],[Sales]])*100</f>
        <v>8.8952551477170996</v>
      </c>
    </row>
    <row r="3190" spans="1:12" x14ac:dyDescent="0.3">
      <c r="A3190" t="s">
        <v>5511</v>
      </c>
      <c r="B3190" s="1">
        <v>44099</v>
      </c>
      <c r="C3190" t="s">
        <v>3212</v>
      </c>
      <c r="D3190" t="s">
        <v>3213</v>
      </c>
      <c r="E3190" t="s">
        <v>14</v>
      </c>
      <c r="F3190" t="s">
        <v>15</v>
      </c>
      <c r="G3190" t="s">
        <v>24</v>
      </c>
      <c r="H3190" t="s">
        <v>2852</v>
      </c>
      <c r="I3190" s="2">
        <v>123.7</v>
      </c>
      <c r="J3190">
        <v>2</v>
      </c>
      <c r="K3190" s="2">
        <v>9.9359999999999999</v>
      </c>
      <c r="L3190" s="3">
        <f>(Table1[[#This Row],[Profit]]/Table1[[#This Row],[Sales]])*100</f>
        <v>8.0323362974939361</v>
      </c>
    </row>
    <row r="3191" spans="1:12" x14ac:dyDescent="0.3">
      <c r="A3191" t="s">
        <v>6119</v>
      </c>
      <c r="B3191" s="1">
        <v>44170</v>
      </c>
      <c r="C3191" t="s">
        <v>5376</v>
      </c>
      <c r="D3191" t="s">
        <v>5377</v>
      </c>
      <c r="E3191" t="s">
        <v>14</v>
      </c>
      <c r="F3191" t="s">
        <v>15</v>
      </c>
      <c r="G3191" t="s">
        <v>24</v>
      </c>
      <c r="H3191" t="s">
        <v>195</v>
      </c>
      <c r="I3191" s="2">
        <v>113.6</v>
      </c>
      <c r="J3191">
        <v>6</v>
      </c>
      <c r="K3191" s="2">
        <v>9.9359999999999999</v>
      </c>
      <c r="L3191" s="3">
        <f>(Table1[[#This Row],[Profit]]/Table1[[#This Row],[Sales]])*100</f>
        <v>8.7464788732394361</v>
      </c>
    </row>
    <row r="3192" spans="1:12" x14ac:dyDescent="0.3">
      <c r="A3192" t="s">
        <v>3797</v>
      </c>
      <c r="B3192" s="1">
        <v>43811</v>
      </c>
      <c r="C3192" t="s">
        <v>267</v>
      </c>
      <c r="D3192" t="s">
        <v>268</v>
      </c>
      <c r="E3192" t="s">
        <v>14</v>
      </c>
      <c r="F3192" t="s">
        <v>15</v>
      </c>
      <c r="G3192" t="s">
        <v>24</v>
      </c>
      <c r="H3192" t="s">
        <v>2049</v>
      </c>
      <c r="I3192" s="2">
        <v>35.520000000000003</v>
      </c>
      <c r="J3192">
        <v>4</v>
      </c>
      <c r="K3192" s="2">
        <v>9.9456000000000007</v>
      </c>
      <c r="L3192" s="3">
        <f>(Table1[[#This Row],[Profit]]/Table1[[#This Row],[Sales]])*100</f>
        <v>27.999999999999996</v>
      </c>
    </row>
    <row r="3193" spans="1:12" x14ac:dyDescent="0.3">
      <c r="A3193" t="s">
        <v>1172</v>
      </c>
      <c r="B3193" s="1">
        <v>43583</v>
      </c>
      <c r="C3193" t="s">
        <v>1173</v>
      </c>
      <c r="D3193" t="s">
        <v>1174</v>
      </c>
      <c r="E3193" t="s">
        <v>14</v>
      </c>
      <c r="F3193" t="s">
        <v>23</v>
      </c>
      <c r="G3193" t="s">
        <v>24</v>
      </c>
      <c r="H3193" t="s">
        <v>1175</v>
      </c>
      <c r="I3193" s="2">
        <v>29.472000000000001</v>
      </c>
      <c r="J3193">
        <v>3</v>
      </c>
      <c r="K3193" s="2">
        <v>9.9467999999999996</v>
      </c>
      <c r="L3193" s="3">
        <f>(Table1[[#This Row],[Profit]]/Table1[[#This Row],[Sales]])*100</f>
        <v>33.75</v>
      </c>
    </row>
    <row r="3194" spans="1:12" x14ac:dyDescent="0.3">
      <c r="A3194" t="s">
        <v>5660</v>
      </c>
      <c r="B3194" s="1">
        <v>44123</v>
      </c>
      <c r="C3194" t="s">
        <v>2370</v>
      </c>
      <c r="D3194" t="s">
        <v>2371</v>
      </c>
      <c r="E3194" t="s">
        <v>14</v>
      </c>
      <c r="F3194" t="s">
        <v>29</v>
      </c>
      <c r="G3194" t="s">
        <v>24</v>
      </c>
      <c r="H3194" t="s">
        <v>234</v>
      </c>
      <c r="I3194" s="2">
        <v>159.47200000000001</v>
      </c>
      <c r="J3194">
        <v>3</v>
      </c>
      <c r="K3194" s="2">
        <v>9.9467999999999996</v>
      </c>
      <c r="L3194" s="3">
        <f>(Table1[[#This Row],[Profit]]/Table1[[#This Row],[Sales]])*100</f>
        <v>6.2373331995585426</v>
      </c>
    </row>
    <row r="3195" spans="1:12" x14ac:dyDescent="0.3">
      <c r="A3195" t="s">
        <v>2776</v>
      </c>
      <c r="B3195" s="1">
        <v>43725</v>
      </c>
      <c r="C3195" t="s">
        <v>544</v>
      </c>
      <c r="D3195" t="s">
        <v>545</v>
      </c>
      <c r="E3195" t="s">
        <v>14</v>
      </c>
      <c r="F3195" t="s">
        <v>23</v>
      </c>
      <c r="G3195" t="s">
        <v>16</v>
      </c>
      <c r="H3195" t="s">
        <v>2777</v>
      </c>
      <c r="I3195" s="2">
        <v>113.88800000000001</v>
      </c>
      <c r="J3195">
        <v>2</v>
      </c>
      <c r="K3195" s="2">
        <v>9.9651999999999994</v>
      </c>
      <c r="L3195" s="3">
        <f>(Table1[[#This Row],[Profit]]/Table1[[#This Row],[Sales]])*100</f>
        <v>8.75</v>
      </c>
    </row>
    <row r="3196" spans="1:12" x14ac:dyDescent="0.3">
      <c r="A3196" t="s">
        <v>3288</v>
      </c>
      <c r="B3196" s="1">
        <v>43774</v>
      </c>
      <c r="C3196" t="s">
        <v>1355</v>
      </c>
      <c r="D3196" t="s">
        <v>1356</v>
      </c>
      <c r="E3196" t="s">
        <v>14</v>
      </c>
      <c r="F3196" t="s">
        <v>23</v>
      </c>
      <c r="G3196" t="s">
        <v>16</v>
      </c>
      <c r="H3196" t="s">
        <v>2777</v>
      </c>
      <c r="I3196" s="2">
        <v>113.88800000000001</v>
      </c>
      <c r="J3196">
        <v>2</v>
      </c>
      <c r="K3196" s="2">
        <v>9.9651999999999994</v>
      </c>
      <c r="L3196" s="3">
        <f>(Table1[[#This Row],[Profit]]/Table1[[#This Row],[Sales]])*100</f>
        <v>8.75</v>
      </c>
    </row>
    <row r="3197" spans="1:12" x14ac:dyDescent="0.3">
      <c r="A3197" t="s">
        <v>5863</v>
      </c>
      <c r="B3197" s="1">
        <v>44147</v>
      </c>
      <c r="C3197" t="s">
        <v>1577</v>
      </c>
      <c r="D3197" t="s">
        <v>1578</v>
      </c>
      <c r="E3197" t="s">
        <v>14</v>
      </c>
      <c r="F3197" t="s">
        <v>23</v>
      </c>
      <c r="G3197" t="s">
        <v>16</v>
      </c>
      <c r="H3197" t="s">
        <v>2777</v>
      </c>
      <c r="I3197" s="2">
        <v>132.88800000000001</v>
      </c>
      <c r="J3197">
        <v>2</v>
      </c>
      <c r="K3197" s="2">
        <v>9.9651999999999994</v>
      </c>
      <c r="L3197" s="3">
        <f>(Table1[[#This Row],[Profit]]/Table1[[#This Row],[Sales]])*100</f>
        <v>7.4989464812473647</v>
      </c>
    </row>
    <row r="3198" spans="1:12" x14ac:dyDescent="0.3">
      <c r="A3198" t="s">
        <v>3225</v>
      </c>
      <c r="B3198" s="1">
        <v>43769</v>
      </c>
      <c r="C3198" t="s">
        <v>2359</v>
      </c>
      <c r="D3198" t="s">
        <v>2360</v>
      </c>
      <c r="E3198" t="s">
        <v>14</v>
      </c>
      <c r="F3198" t="s">
        <v>29</v>
      </c>
      <c r="G3198" t="s">
        <v>24</v>
      </c>
      <c r="H3198" t="s">
        <v>3227</v>
      </c>
      <c r="I3198" s="2">
        <v>332.94</v>
      </c>
      <c r="J3198">
        <v>3</v>
      </c>
      <c r="K3198" s="2">
        <v>9.9882000000000009</v>
      </c>
      <c r="L3198" s="3">
        <f>(Table1[[#This Row],[Profit]]/Table1[[#This Row],[Sales]])*100</f>
        <v>3.0000000000000004</v>
      </c>
    </row>
    <row r="3199" spans="1:12" x14ac:dyDescent="0.3">
      <c r="A3199" t="s">
        <v>4358</v>
      </c>
      <c r="B3199" s="1">
        <v>43917</v>
      </c>
      <c r="C3199" t="s">
        <v>443</v>
      </c>
      <c r="D3199" t="s">
        <v>444</v>
      </c>
      <c r="E3199" t="s">
        <v>14</v>
      </c>
      <c r="F3199" t="s">
        <v>41</v>
      </c>
      <c r="G3199" t="s">
        <v>24</v>
      </c>
      <c r="H3199" t="s">
        <v>3227</v>
      </c>
      <c r="I3199" s="2">
        <v>362.94</v>
      </c>
      <c r="J3199">
        <v>3</v>
      </c>
      <c r="K3199" s="2">
        <v>9.9882000000000009</v>
      </c>
      <c r="L3199" s="3">
        <f>(Table1[[#This Row],[Profit]]/Table1[[#This Row],[Sales]])*100</f>
        <v>2.7520251281203509</v>
      </c>
    </row>
    <row r="3200" spans="1:12" x14ac:dyDescent="0.3">
      <c r="A3200" t="s">
        <v>6009</v>
      </c>
      <c r="B3200" s="1">
        <v>44159</v>
      </c>
      <c r="C3200" t="s">
        <v>356</v>
      </c>
      <c r="D3200" t="s">
        <v>357</v>
      </c>
      <c r="E3200" t="s">
        <v>14</v>
      </c>
      <c r="F3200" t="s">
        <v>23</v>
      </c>
      <c r="G3200" t="s">
        <v>24</v>
      </c>
      <c r="H3200" t="s">
        <v>1490</v>
      </c>
      <c r="I3200" s="2">
        <v>117.76</v>
      </c>
      <c r="J3200">
        <v>4</v>
      </c>
      <c r="K3200" s="2">
        <v>9.9936000000000007</v>
      </c>
      <c r="L3200" s="3">
        <f>(Table1[[#This Row],[Profit]]/Table1[[#This Row],[Sales]])*100</f>
        <v>8.4864130434782616</v>
      </c>
    </row>
    <row r="3201" spans="1:12" x14ac:dyDescent="0.3">
      <c r="A3201" t="s">
        <v>2522</v>
      </c>
      <c r="B3201" s="1">
        <v>43710</v>
      </c>
      <c r="C3201" t="s">
        <v>451</v>
      </c>
      <c r="D3201" t="s">
        <v>452</v>
      </c>
      <c r="E3201" t="s">
        <v>14</v>
      </c>
      <c r="F3201" t="s">
        <v>15</v>
      </c>
      <c r="G3201" t="s">
        <v>16</v>
      </c>
      <c r="H3201" t="s">
        <v>2523</v>
      </c>
      <c r="I3201" s="2">
        <v>39.979999999999997</v>
      </c>
      <c r="J3201">
        <v>2</v>
      </c>
      <c r="K3201" s="2">
        <v>9.9949999999999992</v>
      </c>
      <c r="L3201" s="3">
        <f>(Table1[[#This Row],[Profit]]/Table1[[#This Row],[Sales]])*100</f>
        <v>25</v>
      </c>
    </row>
    <row r="3202" spans="1:12" x14ac:dyDescent="0.3">
      <c r="A3202" t="s">
        <v>5434</v>
      </c>
      <c r="B3202" s="1">
        <v>44092</v>
      </c>
      <c r="C3202" t="s">
        <v>3913</v>
      </c>
      <c r="D3202" t="s">
        <v>3914</v>
      </c>
      <c r="E3202" t="s">
        <v>14</v>
      </c>
      <c r="F3202" t="s">
        <v>41</v>
      </c>
      <c r="G3202" t="s">
        <v>24</v>
      </c>
      <c r="H3202" t="s">
        <v>2142</v>
      </c>
      <c r="I3202" s="2">
        <v>167.48</v>
      </c>
      <c r="J3202">
        <v>2</v>
      </c>
      <c r="K3202" s="2">
        <v>9.9992000000000001</v>
      </c>
      <c r="L3202" s="3">
        <f>(Table1[[#This Row],[Profit]]/Table1[[#This Row],[Sales]])*100</f>
        <v>5.9703845235251976</v>
      </c>
    </row>
    <row r="3203" spans="1:12" x14ac:dyDescent="0.3">
      <c r="A3203" t="s">
        <v>5131</v>
      </c>
      <c r="B3203" s="1">
        <v>44054</v>
      </c>
      <c r="C3203" t="s">
        <v>3229</v>
      </c>
      <c r="D3203" t="s">
        <v>3230</v>
      </c>
      <c r="E3203" t="s">
        <v>14</v>
      </c>
      <c r="F3203" t="s">
        <v>29</v>
      </c>
      <c r="G3203" t="s">
        <v>24</v>
      </c>
      <c r="H3203" t="s">
        <v>865</v>
      </c>
      <c r="I3203" s="2">
        <v>133.66399999999999</v>
      </c>
      <c r="J3203">
        <v>4</v>
      </c>
      <c r="K3203" s="2">
        <v>10.0116</v>
      </c>
      <c r="L3203" s="3">
        <f>(Table1[[#This Row],[Profit]]/Table1[[#This Row],[Sales]])*100</f>
        <v>7.4901244912616711</v>
      </c>
    </row>
    <row r="3204" spans="1:12" x14ac:dyDescent="0.3">
      <c r="A3204" t="s">
        <v>54</v>
      </c>
      <c r="B3204" s="1">
        <v>43472</v>
      </c>
      <c r="C3204" t="s">
        <v>55</v>
      </c>
      <c r="D3204" t="s">
        <v>56</v>
      </c>
      <c r="E3204" t="s">
        <v>14</v>
      </c>
      <c r="F3204" t="s">
        <v>23</v>
      </c>
      <c r="G3204" t="s">
        <v>24</v>
      </c>
      <c r="H3204" t="s">
        <v>57</v>
      </c>
      <c r="I3204" s="2">
        <v>34.58</v>
      </c>
      <c r="J3204">
        <v>1</v>
      </c>
      <c r="K3204" s="2">
        <v>10.0282</v>
      </c>
      <c r="L3204" s="3">
        <f>(Table1[[#This Row],[Profit]]/Table1[[#This Row],[Sales]])*100</f>
        <v>29.000000000000004</v>
      </c>
    </row>
    <row r="3205" spans="1:12" x14ac:dyDescent="0.3">
      <c r="A3205" t="s">
        <v>6300</v>
      </c>
      <c r="B3205" s="1">
        <v>44194</v>
      </c>
      <c r="C3205" t="s">
        <v>1947</v>
      </c>
      <c r="D3205" t="s">
        <v>1948</v>
      </c>
      <c r="E3205" t="s">
        <v>14</v>
      </c>
      <c r="F3205" t="s">
        <v>41</v>
      </c>
      <c r="G3205" t="s">
        <v>24</v>
      </c>
      <c r="H3205" t="s">
        <v>57</v>
      </c>
      <c r="I3205" s="2">
        <v>478.58</v>
      </c>
      <c r="J3205">
        <v>1</v>
      </c>
      <c r="K3205" s="2">
        <v>10.0282</v>
      </c>
      <c r="L3205" s="3">
        <f>(Table1[[#This Row],[Profit]]/Table1[[#This Row],[Sales]])*100</f>
        <v>2.0954072464373774</v>
      </c>
    </row>
    <row r="3206" spans="1:12" x14ac:dyDescent="0.3">
      <c r="A3206" t="s">
        <v>5700</v>
      </c>
      <c r="B3206" s="1">
        <v>44127</v>
      </c>
      <c r="C3206" t="s">
        <v>5701</v>
      </c>
      <c r="D3206" t="s">
        <v>5702</v>
      </c>
      <c r="E3206" t="s">
        <v>14</v>
      </c>
      <c r="F3206" t="s">
        <v>15</v>
      </c>
      <c r="G3206" t="s">
        <v>18</v>
      </c>
      <c r="H3206" t="s">
        <v>1318</v>
      </c>
      <c r="I3206" s="2">
        <v>143.88</v>
      </c>
      <c r="J3206">
        <v>3</v>
      </c>
      <c r="K3206" s="2">
        <v>10.0464</v>
      </c>
      <c r="L3206" s="3">
        <f>(Table1[[#This Row],[Profit]]/Table1[[#This Row],[Sales]])*100</f>
        <v>6.9824854045037537</v>
      </c>
    </row>
    <row r="3207" spans="1:12" x14ac:dyDescent="0.3">
      <c r="A3207" t="s">
        <v>3149</v>
      </c>
      <c r="B3207" s="1">
        <v>43760</v>
      </c>
      <c r="C3207" t="s">
        <v>3044</v>
      </c>
      <c r="D3207" t="s">
        <v>3045</v>
      </c>
      <c r="E3207" t="s">
        <v>14</v>
      </c>
      <c r="F3207" t="s">
        <v>29</v>
      </c>
      <c r="G3207" t="s">
        <v>16</v>
      </c>
      <c r="H3207" t="s">
        <v>1218</v>
      </c>
      <c r="I3207" s="2">
        <v>31.4</v>
      </c>
      <c r="J3207">
        <v>5</v>
      </c>
      <c r="K3207" s="2">
        <v>10.048</v>
      </c>
      <c r="L3207" s="3">
        <f>(Table1[[#This Row],[Profit]]/Table1[[#This Row],[Sales]])*100</f>
        <v>32</v>
      </c>
    </row>
    <row r="3208" spans="1:12" x14ac:dyDescent="0.3">
      <c r="A3208" t="s">
        <v>4035</v>
      </c>
      <c r="B3208" s="1">
        <v>43850</v>
      </c>
      <c r="C3208" t="s">
        <v>1320</v>
      </c>
      <c r="D3208" t="s">
        <v>1321</v>
      </c>
      <c r="E3208" t="s">
        <v>14</v>
      </c>
      <c r="F3208" t="s">
        <v>23</v>
      </c>
      <c r="G3208" t="s">
        <v>18</v>
      </c>
      <c r="H3208" t="s">
        <v>4036</v>
      </c>
      <c r="I3208" s="2">
        <v>184.77600000000001</v>
      </c>
      <c r="J3208">
        <v>3</v>
      </c>
      <c r="K3208" s="2">
        <v>10.048500000000001</v>
      </c>
      <c r="L3208" s="3">
        <f>(Table1[[#This Row],[Profit]]/Table1[[#This Row],[Sales]])*100</f>
        <v>5.4382062605533186</v>
      </c>
    </row>
    <row r="3209" spans="1:12" x14ac:dyDescent="0.3">
      <c r="A3209" t="s">
        <v>4750</v>
      </c>
      <c r="B3209" s="1">
        <v>43983</v>
      </c>
      <c r="C3209" t="s">
        <v>4132</v>
      </c>
      <c r="D3209" t="s">
        <v>4133</v>
      </c>
      <c r="E3209" t="s">
        <v>14</v>
      </c>
      <c r="F3209" t="s">
        <v>15</v>
      </c>
      <c r="G3209" t="s">
        <v>24</v>
      </c>
      <c r="H3209" t="s">
        <v>3343</v>
      </c>
      <c r="I3209" s="2">
        <v>140.744</v>
      </c>
      <c r="J3209">
        <v>6</v>
      </c>
      <c r="K3209" s="2">
        <v>10.0572</v>
      </c>
      <c r="L3209" s="3">
        <f>(Table1[[#This Row],[Profit]]/Table1[[#This Row],[Sales]])*100</f>
        <v>7.1457397828681861</v>
      </c>
    </row>
    <row r="3210" spans="1:12" x14ac:dyDescent="0.3">
      <c r="A3210" t="s">
        <v>2747</v>
      </c>
      <c r="B3210" s="1">
        <v>43723</v>
      </c>
      <c r="C3210" t="s">
        <v>1179</v>
      </c>
      <c r="D3210" t="s">
        <v>1180</v>
      </c>
      <c r="E3210" t="s">
        <v>14</v>
      </c>
      <c r="F3210" t="s">
        <v>23</v>
      </c>
      <c r="G3210" t="s">
        <v>24</v>
      </c>
      <c r="H3210" t="s">
        <v>987</v>
      </c>
      <c r="I3210" s="2">
        <v>21.4</v>
      </c>
      <c r="J3210">
        <v>5</v>
      </c>
      <c r="K3210" s="2">
        <v>10.058</v>
      </c>
      <c r="L3210" s="3">
        <f>(Table1[[#This Row],[Profit]]/Table1[[#This Row],[Sales]])*100</f>
        <v>47</v>
      </c>
    </row>
    <row r="3211" spans="1:12" x14ac:dyDescent="0.3">
      <c r="A3211" t="s">
        <v>4100</v>
      </c>
      <c r="B3211" s="1">
        <v>43863</v>
      </c>
      <c r="C3211" t="s">
        <v>34</v>
      </c>
      <c r="D3211" t="s">
        <v>35</v>
      </c>
      <c r="E3211" t="s">
        <v>14</v>
      </c>
      <c r="F3211" t="s">
        <v>23</v>
      </c>
      <c r="G3211" t="s">
        <v>24</v>
      </c>
      <c r="H3211" t="s">
        <v>1440</v>
      </c>
      <c r="I3211" s="2">
        <v>257.95999999999998</v>
      </c>
      <c r="J3211">
        <v>2</v>
      </c>
      <c r="K3211" s="2">
        <v>10.061999999999999</v>
      </c>
      <c r="L3211" s="3">
        <f>(Table1[[#This Row],[Profit]]/Table1[[#This Row],[Sales]])*100</f>
        <v>3.9006047449216936</v>
      </c>
    </row>
    <row r="3212" spans="1:12" x14ac:dyDescent="0.3">
      <c r="A3212" t="s">
        <v>4366</v>
      </c>
      <c r="B3212" s="1">
        <v>43918</v>
      </c>
      <c r="C3212" t="s">
        <v>1854</v>
      </c>
      <c r="D3212" t="s">
        <v>1855</v>
      </c>
      <c r="E3212" t="s">
        <v>14</v>
      </c>
      <c r="F3212" t="s">
        <v>23</v>
      </c>
      <c r="G3212" t="s">
        <v>16</v>
      </c>
      <c r="H3212" t="s">
        <v>4369</v>
      </c>
      <c r="I3212" s="2">
        <v>153.47999999999999</v>
      </c>
      <c r="J3212">
        <v>1</v>
      </c>
      <c r="K3212" s="2">
        <v>10.0624</v>
      </c>
      <c r="L3212" s="3">
        <f>(Table1[[#This Row],[Profit]]/Table1[[#This Row],[Sales]])*100</f>
        <v>6.5561636695334906</v>
      </c>
    </row>
    <row r="3213" spans="1:12" x14ac:dyDescent="0.3">
      <c r="A3213" t="s">
        <v>3216</v>
      </c>
      <c r="B3213" s="1">
        <v>43768</v>
      </c>
      <c r="C3213" t="s">
        <v>633</v>
      </c>
      <c r="D3213" t="s">
        <v>634</v>
      </c>
      <c r="E3213" t="s">
        <v>14</v>
      </c>
      <c r="F3213" t="s">
        <v>15</v>
      </c>
      <c r="G3213" t="s">
        <v>24</v>
      </c>
      <c r="H3213" t="s">
        <v>1427</v>
      </c>
      <c r="I3213" s="2">
        <v>28.751999999999999</v>
      </c>
      <c r="J3213">
        <v>3</v>
      </c>
      <c r="K3213" s="2">
        <v>10.0632</v>
      </c>
      <c r="L3213" s="3">
        <f>(Table1[[#This Row],[Profit]]/Table1[[#This Row],[Sales]])*100</f>
        <v>35</v>
      </c>
    </row>
    <row r="3214" spans="1:12" x14ac:dyDescent="0.3">
      <c r="A3214" t="s">
        <v>5506</v>
      </c>
      <c r="B3214" s="1">
        <v>44098</v>
      </c>
      <c r="C3214" t="s">
        <v>103</v>
      </c>
      <c r="D3214" t="s">
        <v>104</v>
      </c>
      <c r="E3214" t="s">
        <v>14</v>
      </c>
      <c r="F3214" t="s">
        <v>41</v>
      </c>
      <c r="G3214" t="s">
        <v>24</v>
      </c>
      <c r="H3214" t="s">
        <v>3799</v>
      </c>
      <c r="I3214" s="2">
        <v>154.29</v>
      </c>
      <c r="J3214">
        <v>3</v>
      </c>
      <c r="K3214" s="2">
        <v>10.0725</v>
      </c>
      <c r="L3214" s="3">
        <f>(Table1[[#This Row],[Profit]]/Table1[[#This Row],[Sales]])*100</f>
        <v>6.5282908808088669</v>
      </c>
    </row>
    <row r="3215" spans="1:12" x14ac:dyDescent="0.3">
      <c r="A3215" t="s">
        <v>5841</v>
      </c>
      <c r="B3215" s="1">
        <v>44145</v>
      </c>
      <c r="C3215" t="s">
        <v>3316</v>
      </c>
      <c r="D3215" t="s">
        <v>3317</v>
      </c>
      <c r="E3215" t="s">
        <v>14</v>
      </c>
      <c r="F3215" t="s">
        <v>23</v>
      </c>
      <c r="G3215" t="s">
        <v>24</v>
      </c>
      <c r="H3215" t="s">
        <v>3321</v>
      </c>
      <c r="I3215" s="2">
        <v>112.792</v>
      </c>
      <c r="J3215">
        <v>1</v>
      </c>
      <c r="K3215" s="2">
        <v>10.077199999999999</v>
      </c>
      <c r="L3215" s="3">
        <f>(Table1[[#This Row],[Profit]]/Table1[[#This Row],[Sales]])*100</f>
        <v>8.9343215830909983</v>
      </c>
    </row>
    <row r="3216" spans="1:12" x14ac:dyDescent="0.3">
      <c r="A3216" t="s">
        <v>2072</v>
      </c>
      <c r="B3216" s="1">
        <v>43663</v>
      </c>
      <c r="C3216" t="s">
        <v>2073</v>
      </c>
      <c r="D3216" t="s">
        <v>2074</v>
      </c>
      <c r="E3216" t="s">
        <v>14</v>
      </c>
      <c r="F3216" t="s">
        <v>29</v>
      </c>
      <c r="G3216" t="s">
        <v>24</v>
      </c>
      <c r="H3216" t="s">
        <v>2075</v>
      </c>
      <c r="I3216" s="2">
        <v>21.93</v>
      </c>
      <c r="J3216">
        <v>3</v>
      </c>
      <c r="K3216" s="2">
        <v>10.0878</v>
      </c>
      <c r="L3216" s="3">
        <f>(Table1[[#This Row],[Profit]]/Table1[[#This Row],[Sales]])*100</f>
        <v>46</v>
      </c>
    </row>
    <row r="3217" spans="1:12" x14ac:dyDescent="0.3">
      <c r="A3217" t="s">
        <v>3682</v>
      </c>
      <c r="B3217" s="1">
        <v>43802</v>
      </c>
      <c r="C3217" t="s">
        <v>3683</v>
      </c>
      <c r="D3217" t="s">
        <v>3684</v>
      </c>
      <c r="E3217" t="s">
        <v>14</v>
      </c>
      <c r="F3217" t="s">
        <v>15</v>
      </c>
      <c r="G3217" t="s">
        <v>24</v>
      </c>
      <c r="H3217" t="s">
        <v>560</v>
      </c>
      <c r="I3217" s="2">
        <v>33.630000000000003</v>
      </c>
      <c r="J3217">
        <v>3</v>
      </c>
      <c r="K3217" s="2">
        <v>10.089</v>
      </c>
      <c r="L3217" s="3">
        <f>(Table1[[#This Row],[Profit]]/Table1[[#This Row],[Sales]])*100</f>
        <v>30</v>
      </c>
    </row>
    <row r="3218" spans="1:12" x14ac:dyDescent="0.3">
      <c r="A3218" t="s">
        <v>5028</v>
      </c>
      <c r="B3218" s="1">
        <v>44030</v>
      </c>
      <c r="C3218" t="s">
        <v>2973</v>
      </c>
      <c r="D3218" t="s">
        <v>2974</v>
      </c>
      <c r="E3218" t="s">
        <v>14</v>
      </c>
      <c r="F3218" t="s">
        <v>23</v>
      </c>
      <c r="G3218" t="s">
        <v>16</v>
      </c>
      <c r="H3218" t="s">
        <v>2913</v>
      </c>
      <c r="I3218" s="2">
        <v>174.56800000000001</v>
      </c>
      <c r="J3218">
        <v>2</v>
      </c>
      <c r="K3218" s="2">
        <v>10.098000000000001</v>
      </c>
      <c r="L3218" s="3">
        <f>(Table1[[#This Row],[Profit]]/Table1[[#This Row],[Sales]])*100</f>
        <v>5.7845653269785986</v>
      </c>
    </row>
    <row r="3219" spans="1:12" x14ac:dyDescent="0.3">
      <c r="A3219" t="s">
        <v>4679</v>
      </c>
      <c r="B3219" s="1">
        <v>43970</v>
      </c>
      <c r="C3219" t="s">
        <v>1883</v>
      </c>
      <c r="D3219" t="s">
        <v>1884</v>
      </c>
      <c r="E3219" t="s">
        <v>14</v>
      </c>
      <c r="F3219" t="s">
        <v>41</v>
      </c>
      <c r="G3219" t="s">
        <v>24</v>
      </c>
      <c r="H3219" t="s">
        <v>1478</v>
      </c>
      <c r="I3219" s="2">
        <v>124.88800000000001</v>
      </c>
      <c r="J3219">
        <v>7</v>
      </c>
      <c r="K3219" s="2">
        <v>10.109400000000001</v>
      </c>
      <c r="L3219" s="3">
        <f>(Table1[[#This Row],[Profit]]/Table1[[#This Row],[Sales]])*100</f>
        <v>8.0947729165332145</v>
      </c>
    </row>
    <row r="3220" spans="1:12" x14ac:dyDescent="0.3">
      <c r="A3220" t="s">
        <v>2045</v>
      </c>
      <c r="B3220" s="1">
        <v>43660</v>
      </c>
      <c r="C3220" t="s">
        <v>824</v>
      </c>
      <c r="D3220" t="s">
        <v>825</v>
      </c>
      <c r="E3220" t="s">
        <v>14</v>
      </c>
      <c r="F3220" t="s">
        <v>23</v>
      </c>
      <c r="G3220" t="s">
        <v>16</v>
      </c>
      <c r="H3220" t="s">
        <v>2047</v>
      </c>
      <c r="I3220" s="2">
        <v>30.8</v>
      </c>
      <c r="J3220">
        <v>4</v>
      </c>
      <c r="K3220" s="2">
        <v>10.164</v>
      </c>
      <c r="L3220" s="3">
        <f>(Table1[[#This Row],[Profit]]/Table1[[#This Row],[Sales]])*100</f>
        <v>32.999999999999993</v>
      </c>
    </row>
    <row r="3221" spans="1:12" x14ac:dyDescent="0.3">
      <c r="A3221" t="s">
        <v>4746</v>
      </c>
      <c r="B3221" s="1">
        <v>43981</v>
      </c>
      <c r="C3221" t="s">
        <v>3942</v>
      </c>
      <c r="D3221" t="s">
        <v>3943</v>
      </c>
      <c r="E3221" t="s">
        <v>14</v>
      </c>
      <c r="F3221" t="s">
        <v>23</v>
      </c>
      <c r="G3221" t="s">
        <v>24</v>
      </c>
      <c r="H3221" t="s">
        <v>3549</v>
      </c>
      <c r="I3221" s="2">
        <v>2049.1</v>
      </c>
      <c r="J3221">
        <v>6</v>
      </c>
      <c r="K3221" s="2">
        <v>10.179</v>
      </c>
      <c r="L3221" s="3">
        <f>(Table1[[#This Row],[Profit]]/Table1[[#This Row],[Sales]])*100</f>
        <v>0.49675467278317315</v>
      </c>
    </row>
    <row r="3222" spans="1:12" x14ac:dyDescent="0.3">
      <c r="A3222" t="s">
        <v>1077</v>
      </c>
      <c r="B3222" s="1">
        <v>43574</v>
      </c>
      <c r="C3222" t="s">
        <v>1078</v>
      </c>
      <c r="D3222" t="s">
        <v>1079</v>
      </c>
      <c r="E3222" t="s">
        <v>14</v>
      </c>
      <c r="F3222" t="s">
        <v>23</v>
      </c>
      <c r="G3222" t="s">
        <v>24</v>
      </c>
      <c r="H3222" t="s">
        <v>1084</v>
      </c>
      <c r="I3222" s="2">
        <v>22.72</v>
      </c>
      <c r="J3222">
        <v>4</v>
      </c>
      <c r="K3222" s="2">
        <v>10.224</v>
      </c>
      <c r="L3222" s="3">
        <f>(Table1[[#This Row],[Profit]]/Table1[[#This Row],[Sales]])*100</f>
        <v>45</v>
      </c>
    </row>
    <row r="3223" spans="1:12" x14ac:dyDescent="0.3">
      <c r="A3223" t="s">
        <v>5440</v>
      </c>
      <c r="B3223" s="1">
        <v>44092</v>
      </c>
      <c r="C3223" t="s">
        <v>1976</v>
      </c>
      <c r="D3223" t="s">
        <v>1977</v>
      </c>
      <c r="E3223" t="s">
        <v>14</v>
      </c>
      <c r="F3223" t="s">
        <v>29</v>
      </c>
      <c r="G3223" t="s">
        <v>24</v>
      </c>
      <c r="H3223" t="s">
        <v>1084</v>
      </c>
      <c r="I3223" s="2">
        <v>134.72</v>
      </c>
      <c r="J3223">
        <v>4</v>
      </c>
      <c r="K3223" s="2">
        <v>10.224</v>
      </c>
      <c r="L3223" s="3">
        <f>(Table1[[#This Row],[Profit]]/Table1[[#This Row],[Sales]])*100</f>
        <v>7.5890736342042757</v>
      </c>
    </row>
    <row r="3224" spans="1:12" x14ac:dyDescent="0.3">
      <c r="A3224" t="s">
        <v>3082</v>
      </c>
      <c r="B3224" s="1">
        <v>43752</v>
      </c>
      <c r="C3224" t="s">
        <v>3083</v>
      </c>
      <c r="D3224" t="s">
        <v>3084</v>
      </c>
      <c r="E3224" t="s">
        <v>14</v>
      </c>
      <c r="F3224" t="s">
        <v>41</v>
      </c>
      <c r="G3224" t="s">
        <v>16</v>
      </c>
      <c r="H3224" t="s">
        <v>3085</v>
      </c>
      <c r="I3224" s="2">
        <v>102.592</v>
      </c>
      <c r="J3224">
        <v>1</v>
      </c>
      <c r="K3224" s="2">
        <v>10.2592</v>
      </c>
      <c r="L3224" s="3">
        <f>(Table1[[#This Row],[Profit]]/Table1[[#This Row],[Sales]])*100</f>
        <v>10</v>
      </c>
    </row>
    <row r="3225" spans="1:12" x14ac:dyDescent="0.3">
      <c r="A3225" t="s">
        <v>1838</v>
      </c>
      <c r="B3225" s="1">
        <v>43639</v>
      </c>
      <c r="C3225" t="s">
        <v>1839</v>
      </c>
      <c r="D3225" t="s">
        <v>1840</v>
      </c>
      <c r="E3225" t="s">
        <v>14</v>
      </c>
      <c r="F3225" t="s">
        <v>23</v>
      </c>
      <c r="G3225" t="s">
        <v>24</v>
      </c>
      <c r="H3225" t="s">
        <v>1842</v>
      </c>
      <c r="I3225" s="2">
        <v>21.93</v>
      </c>
      <c r="J3225">
        <v>3</v>
      </c>
      <c r="K3225" s="2">
        <v>10.3071</v>
      </c>
      <c r="L3225" s="3">
        <f>(Table1[[#This Row],[Profit]]/Table1[[#This Row],[Sales]])*100</f>
        <v>47</v>
      </c>
    </row>
    <row r="3226" spans="1:12" x14ac:dyDescent="0.3">
      <c r="A3226" t="s">
        <v>5723</v>
      </c>
      <c r="B3226" s="1">
        <v>44132</v>
      </c>
      <c r="C3226" t="s">
        <v>3869</v>
      </c>
      <c r="D3226" t="s">
        <v>3870</v>
      </c>
      <c r="E3226" t="s">
        <v>14</v>
      </c>
      <c r="F3226" t="s">
        <v>15</v>
      </c>
      <c r="G3226" t="s">
        <v>24</v>
      </c>
      <c r="H3226" t="s">
        <v>1406</v>
      </c>
      <c r="I3226" s="2">
        <v>103.93</v>
      </c>
      <c r="J3226">
        <v>3</v>
      </c>
      <c r="K3226" s="2">
        <v>10.3071</v>
      </c>
      <c r="L3226" s="3">
        <f>(Table1[[#This Row],[Profit]]/Table1[[#This Row],[Sales]])*100</f>
        <v>9.9173482151448091</v>
      </c>
    </row>
    <row r="3227" spans="1:12" x14ac:dyDescent="0.3">
      <c r="A3227" t="s">
        <v>4860</v>
      </c>
      <c r="B3227" s="1">
        <v>44001</v>
      </c>
      <c r="C3227" t="s">
        <v>4695</v>
      </c>
      <c r="D3227" t="s">
        <v>4696</v>
      </c>
      <c r="E3227" t="s">
        <v>14</v>
      </c>
      <c r="F3227" t="s">
        <v>15</v>
      </c>
      <c r="G3227" t="s">
        <v>18</v>
      </c>
      <c r="H3227" t="s">
        <v>4861</v>
      </c>
      <c r="I3227" s="2">
        <v>121.12</v>
      </c>
      <c r="J3227">
        <v>8</v>
      </c>
      <c r="K3227" s="2">
        <v>10.311999999999999</v>
      </c>
      <c r="L3227" s="3">
        <f>(Table1[[#This Row],[Profit]]/Table1[[#This Row],[Sales]])*100</f>
        <v>8.5138705416116238</v>
      </c>
    </row>
    <row r="3228" spans="1:12" x14ac:dyDescent="0.3">
      <c r="A3228" t="s">
        <v>203</v>
      </c>
      <c r="B3228" s="1">
        <v>43493</v>
      </c>
      <c r="C3228" t="s">
        <v>188</v>
      </c>
      <c r="D3228" t="s">
        <v>189</v>
      </c>
      <c r="E3228" t="s">
        <v>14</v>
      </c>
      <c r="F3228" t="s">
        <v>23</v>
      </c>
      <c r="G3228" t="s">
        <v>24</v>
      </c>
      <c r="H3228" t="s">
        <v>204</v>
      </c>
      <c r="I3228" s="2">
        <v>39.68</v>
      </c>
      <c r="J3228">
        <v>2</v>
      </c>
      <c r="K3228" s="2">
        <v>10.316800000000001</v>
      </c>
      <c r="L3228" s="3">
        <f>(Table1[[#This Row],[Profit]]/Table1[[#This Row],[Sales]])*100</f>
        <v>26</v>
      </c>
    </row>
    <row r="3229" spans="1:12" x14ac:dyDescent="0.3">
      <c r="A3229" t="s">
        <v>683</v>
      </c>
      <c r="B3229" s="1">
        <v>43541</v>
      </c>
      <c r="C3229" t="s">
        <v>684</v>
      </c>
      <c r="D3229" t="s">
        <v>685</v>
      </c>
      <c r="E3229" t="s">
        <v>14</v>
      </c>
      <c r="F3229" t="s">
        <v>15</v>
      </c>
      <c r="G3229" t="s">
        <v>24</v>
      </c>
      <c r="H3229" t="s">
        <v>204</v>
      </c>
      <c r="I3229" s="2">
        <v>39.68</v>
      </c>
      <c r="J3229">
        <v>2</v>
      </c>
      <c r="K3229" s="2">
        <v>10.316800000000001</v>
      </c>
      <c r="L3229" s="3">
        <f>(Table1[[#This Row],[Profit]]/Table1[[#This Row],[Sales]])*100</f>
        <v>26</v>
      </c>
    </row>
    <row r="3230" spans="1:12" x14ac:dyDescent="0.3">
      <c r="A3230" t="s">
        <v>4314</v>
      </c>
      <c r="B3230" s="1">
        <v>43911</v>
      </c>
      <c r="C3230" t="s">
        <v>1310</v>
      </c>
      <c r="D3230" t="s">
        <v>1311</v>
      </c>
      <c r="E3230" t="s">
        <v>14</v>
      </c>
      <c r="F3230" t="s">
        <v>23</v>
      </c>
      <c r="G3230" t="s">
        <v>24</v>
      </c>
      <c r="H3230" t="s">
        <v>2608</v>
      </c>
      <c r="I3230" s="2">
        <v>127.57599999999999</v>
      </c>
      <c r="J3230">
        <v>6</v>
      </c>
      <c r="K3230" s="2">
        <v>10.3194</v>
      </c>
      <c r="L3230" s="3">
        <f>(Table1[[#This Row],[Profit]]/Table1[[#This Row],[Sales]])*100</f>
        <v>8.0888254844171321</v>
      </c>
    </row>
    <row r="3231" spans="1:12" x14ac:dyDescent="0.3">
      <c r="A3231" t="s">
        <v>757</v>
      </c>
      <c r="B3231" s="1">
        <v>43548</v>
      </c>
      <c r="C3231" t="s">
        <v>758</v>
      </c>
      <c r="D3231" t="s">
        <v>759</v>
      </c>
      <c r="E3231" t="s">
        <v>14</v>
      </c>
      <c r="F3231" t="s">
        <v>29</v>
      </c>
      <c r="G3231" t="s">
        <v>24</v>
      </c>
      <c r="H3231" t="s">
        <v>760</v>
      </c>
      <c r="I3231" s="2">
        <v>22.48</v>
      </c>
      <c r="J3231">
        <v>1</v>
      </c>
      <c r="K3231" s="2">
        <v>10.3408</v>
      </c>
      <c r="L3231" s="3">
        <f>(Table1[[#This Row],[Profit]]/Table1[[#This Row],[Sales]])*100</f>
        <v>46</v>
      </c>
    </row>
    <row r="3232" spans="1:12" x14ac:dyDescent="0.3">
      <c r="A3232" t="s">
        <v>5581</v>
      </c>
      <c r="B3232" s="1">
        <v>44110</v>
      </c>
      <c r="C3232" t="s">
        <v>4146</v>
      </c>
      <c r="D3232" t="s">
        <v>4147</v>
      </c>
      <c r="E3232" t="s">
        <v>14</v>
      </c>
      <c r="F3232" t="s">
        <v>15</v>
      </c>
      <c r="G3232" t="s">
        <v>24</v>
      </c>
      <c r="H3232" t="s">
        <v>1091</v>
      </c>
      <c r="I3232" s="2">
        <v>363.91</v>
      </c>
      <c r="J3232">
        <v>3</v>
      </c>
      <c r="K3232" s="2">
        <v>10.347300000000001</v>
      </c>
      <c r="L3232" s="3">
        <f>(Table1[[#This Row],[Profit]]/Table1[[#This Row],[Sales]])*100</f>
        <v>2.843367865681075</v>
      </c>
    </row>
    <row r="3233" spans="1:12" x14ac:dyDescent="0.3">
      <c r="A3233" t="s">
        <v>5884</v>
      </c>
      <c r="B3233" s="1">
        <v>44148</v>
      </c>
      <c r="C3233" t="s">
        <v>1339</v>
      </c>
      <c r="D3233" t="s">
        <v>1340</v>
      </c>
      <c r="E3233" t="s">
        <v>14</v>
      </c>
      <c r="F3233" t="s">
        <v>23</v>
      </c>
      <c r="G3233" t="s">
        <v>24</v>
      </c>
      <c r="H3233" t="s">
        <v>1091</v>
      </c>
      <c r="I3233" s="2">
        <v>360.91</v>
      </c>
      <c r="J3233">
        <v>3</v>
      </c>
      <c r="K3233" s="2">
        <v>10.347300000000001</v>
      </c>
      <c r="L3233" s="3">
        <f>(Table1[[#This Row],[Profit]]/Table1[[#This Row],[Sales]])*100</f>
        <v>2.8670028538970933</v>
      </c>
    </row>
    <row r="3234" spans="1:12" x14ac:dyDescent="0.3">
      <c r="A3234" t="s">
        <v>2345</v>
      </c>
      <c r="B3234" s="1">
        <v>43692</v>
      </c>
      <c r="C3234" t="s">
        <v>1013</v>
      </c>
      <c r="D3234" t="s">
        <v>1014</v>
      </c>
      <c r="E3234" t="s">
        <v>14</v>
      </c>
      <c r="F3234" t="s">
        <v>23</v>
      </c>
      <c r="G3234" t="s">
        <v>18</v>
      </c>
      <c r="H3234" t="s">
        <v>1164</v>
      </c>
      <c r="I3234" s="2">
        <v>165.6</v>
      </c>
      <c r="J3234">
        <v>3</v>
      </c>
      <c r="K3234" s="2">
        <v>10.35</v>
      </c>
      <c r="L3234" s="3">
        <f>(Table1[[#This Row],[Profit]]/Table1[[#This Row],[Sales]])*100</f>
        <v>6.25</v>
      </c>
    </row>
    <row r="3235" spans="1:12" x14ac:dyDescent="0.3">
      <c r="A3235" t="s">
        <v>2591</v>
      </c>
      <c r="B3235" s="1">
        <v>43713</v>
      </c>
      <c r="C3235" t="s">
        <v>197</v>
      </c>
      <c r="D3235" t="s">
        <v>198</v>
      </c>
      <c r="E3235" t="s">
        <v>14</v>
      </c>
      <c r="F3235" t="s">
        <v>15</v>
      </c>
      <c r="G3235" t="s">
        <v>16</v>
      </c>
      <c r="H3235" t="s">
        <v>804</v>
      </c>
      <c r="I3235" s="2">
        <v>82.8</v>
      </c>
      <c r="J3235">
        <v>2</v>
      </c>
      <c r="K3235" s="2">
        <v>10.35</v>
      </c>
      <c r="L3235" s="3">
        <f>(Table1[[#This Row],[Profit]]/Table1[[#This Row],[Sales]])*100</f>
        <v>12.5</v>
      </c>
    </row>
    <row r="3236" spans="1:12" x14ac:dyDescent="0.3">
      <c r="A3236" t="s">
        <v>928</v>
      </c>
      <c r="B3236" s="1">
        <v>43563</v>
      </c>
      <c r="C3236" t="s">
        <v>602</v>
      </c>
      <c r="D3236" t="s">
        <v>603</v>
      </c>
      <c r="E3236" t="s">
        <v>14</v>
      </c>
      <c r="F3236" t="s">
        <v>23</v>
      </c>
      <c r="G3236" t="s">
        <v>16</v>
      </c>
      <c r="H3236" t="s">
        <v>929</v>
      </c>
      <c r="I3236" s="2">
        <v>24.7</v>
      </c>
      <c r="J3236">
        <v>5</v>
      </c>
      <c r="K3236" s="2">
        <v>10.374000000000001</v>
      </c>
      <c r="L3236" s="3">
        <f>(Table1[[#This Row],[Profit]]/Table1[[#This Row],[Sales]])*100</f>
        <v>42.000000000000007</v>
      </c>
    </row>
    <row r="3237" spans="1:12" x14ac:dyDescent="0.3">
      <c r="A3237" t="s">
        <v>5513</v>
      </c>
      <c r="B3237" s="1">
        <v>44099</v>
      </c>
      <c r="C3237" t="s">
        <v>3532</v>
      </c>
      <c r="D3237" t="s">
        <v>3533</v>
      </c>
      <c r="E3237" t="s">
        <v>14</v>
      </c>
      <c r="F3237" t="s">
        <v>23</v>
      </c>
      <c r="G3237" t="s">
        <v>24</v>
      </c>
      <c r="H3237" t="s">
        <v>4334</v>
      </c>
      <c r="I3237" s="2">
        <v>154.9</v>
      </c>
      <c r="J3237">
        <v>5</v>
      </c>
      <c r="K3237" s="2">
        <v>10.374000000000001</v>
      </c>
      <c r="L3237" s="3">
        <f>(Table1[[#This Row],[Profit]]/Table1[[#This Row],[Sales]])*100</f>
        <v>6.6972240154938678</v>
      </c>
    </row>
    <row r="3238" spans="1:12" x14ac:dyDescent="0.3">
      <c r="A3238" t="s">
        <v>5655</v>
      </c>
      <c r="B3238" s="1">
        <v>44123</v>
      </c>
      <c r="C3238" t="s">
        <v>5656</v>
      </c>
      <c r="D3238" t="s">
        <v>5657</v>
      </c>
      <c r="E3238" t="s">
        <v>14</v>
      </c>
      <c r="F3238" t="s">
        <v>23</v>
      </c>
      <c r="G3238" t="s">
        <v>16</v>
      </c>
      <c r="H3238" t="s">
        <v>1620</v>
      </c>
      <c r="I3238" s="2">
        <v>140.56</v>
      </c>
      <c r="J3238">
        <v>2</v>
      </c>
      <c r="K3238" s="2">
        <v>10.3904</v>
      </c>
      <c r="L3238" s="3">
        <f>(Table1[[#This Row],[Profit]]/Table1[[#This Row],[Sales]])*100</f>
        <v>7.3921457029026749</v>
      </c>
    </row>
    <row r="3239" spans="1:12" x14ac:dyDescent="0.3">
      <c r="A3239" t="s">
        <v>1225</v>
      </c>
      <c r="B3239" s="1">
        <v>43588</v>
      </c>
      <c r="C3239" t="s">
        <v>1226</v>
      </c>
      <c r="D3239" t="s">
        <v>1227</v>
      </c>
      <c r="E3239" t="s">
        <v>14</v>
      </c>
      <c r="F3239" t="s">
        <v>15</v>
      </c>
      <c r="G3239" t="s">
        <v>16</v>
      </c>
      <c r="H3239" t="s">
        <v>1230</v>
      </c>
      <c r="I3239" s="2">
        <v>51.968000000000004</v>
      </c>
      <c r="J3239">
        <v>2</v>
      </c>
      <c r="K3239" s="2">
        <v>10.393599999999999</v>
      </c>
      <c r="L3239" s="3">
        <f>(Table1[[#This Row],[Profit]]/Table1[[#This Row],[Sales]])*100</f>
        <v>20</v>
      </c>
    </row>
    <row r="3240" spans="1:12" x14ac:dyDescent="0.3">
      <c r="A3240" t="s">
        <v>4496</v>
      </c>
      <c r="B3240" s="1">
        <v>43941</v>
      </c>
      <c r="C3240" t="s">
        <v>1324</v>
      </c>
      <c r="D3240" t="s">
        <v>1325</v>
      </c>
      <c r="E3240" t="s">
        <v>14</v>
      </c>
      <c r="F3240" t="s">
        <v>15</v>
      </c>
      <c r="G3240" t="s">
        <v>16</v>
      </c>
      <c r="H3240" t="s">
        <v>1230</v>
      </c>
      <c r="I3240" s="2">
        <v>149.96799999999999</v>
      </c>
      <c r="J3240">
        <v>2</v>
      </c>
      <c r="K3240" s="2">
        <v>10.393599999999999</v>
      </c>
      <c r="L3240" s="3">
        <f>(Table1[[#This Row],[Profit]]/Table1[[#This Row],[Sales]])*100</f>
        <v>6.9305451829723665</v>
      </c>
    </row>
    <row r="3241" spans="1:12" x14ac:dyDescent="0.3">
      <c r="A3241" t="s">
        <v>5191</v>
      </c>
      <c r="B3241" s="1">
        <v>44064</v>
      </c>
      <c r="C3241" t="s">
        <v>5192</v>
      </c>
      <c r="D3241" t="s">
        <v>5193</v>
      </c>
      <c r="E3241" t="s">
        <v>14</v>
      </c>
      <c r="F3241" t="s">
        <v>23</v>
      </c>
      <c r="G3241" t="s">
        <v>16</v>
      </c>
      <c r="H3241" t="s">
        <v>4512</v>
      </c>
      <c r="I3241" s="2">
        <v>153.91999999999999</v>
      </c>
      <c r="J3241">
        <v>4</v>
      </c>
      <c r="K3241" s="2">
        <v>10.393599999999999</v>
      </c>
      <c r="L3241" s="3">
        <f>(Table1[[#This Row],[Profit]]/Table1[[#This Row],[Sales]])*100</f>
        <v>6.752598752598753</v>
      </c>
    </row>
    <row r="3242" spans="1:12" x14ac:dyDescent="0.3">
      <c r="A3242" t="s">
        <v>6252</v>
      </c>
      <c r="B3242" s="1">
        <v>44188</v>
      </c>
      <c r="C3242" t="s">
        <v>1125</v>
      </c>
      <c r="D3242" t="s">
        <v>1126</v>
      </c>
      <c r="E3242" t="s">
        <v>14</v>
      </c>
      <c r="F3242" t="s">
        <v>29</v>
      </c>
      <c r="G3242" t="s">
        <v>24</v>
      </c>
      <c r="H3242" t="s">
        <v>5018</v>
      </c>
      <c r="I3242" s="2">
        <v>338.67200000000003</v>
      </c>
      <c r="J3242">
        <v>8</v>
      </c>
      <c r="K3242" s="2">
        <v>10.393599999999999</v>
      </c>
      <c r="L3242" s="3">
        <f>(Table1[[#This Row],[Profit]]/Table1[[#This Row],[Sales]])*100</f>
        <v>3.0689280483771904</v>
      </c>
    </row>
    <row r="3243" spans="1:12" x14ac:dyDescent="0.3">
      <c r="A3243" t="s">
        <v>6083</v>
      </c>
      <c r="B3243" s="1">
        <v>44167</v>
      </c>
      <c r="C3243" t="s">
        <v>1208</v>
      </c>
      <c r="D3243" t="s">
        <v>1209</v>
      </c>
      <c r="E3243" t="s">
        <v>14</v>
      </c>
      <c r="F3243" t="s">
        <v>41</v>
      </c>
      <c r="G3243" t="s">
        <v>24</v>
      </c>
      <c r="H3243" t="s">
        <v>3067</v>
      </c>
      <c r="I3243" s="2">
        <v>146.65</v>
      </c>
      <c r="J3243">
        <v>3</v>
      </c>
      <c r="K3243" s="2">
        <v>10.395</v>
      </c>
      <c r="L3243" s="3">
        <f>(Table1[[#This Row],[Profit]]/Table1[[#This Row],[Sales]])*100</f>
        <v>7.0883054892601427</v>
      </c>
    </row>
    <row r="3244" spans="1:12" x14ac:dyDescent="0.3">
      <c r="A3244" t="s">
        <v>3595</v>
      </c>
      <c r="B3244" s="1">
        <v>43795</v>
      </c>
      <c r="C3244" t="s">
        <v>279</v>
      </c>
      <c r="D3244" t="s">
        <v>280</v>
      </c>
      <c r="E3244" t="s">
        <v>14</v>
      </c>
      <c r="F3244" t="s">
        <v>23</v>
      </c>
      <c r="G3244" t="s">
        <v>24</v>
      </c>
      <c r="H3244" t="s">
        <v>3226</v>
      </c>
      <c r="I3244" s="2">
        <v>37.17</v>
      </c>
      <c r="J3244">
        <v>9</v>
      </c>
      <c r="K3244" s="2">
        <v>10.4076</v>
      </c>
      <c r="L3244" s="3">
        <f>(Table1[[#This Row],[Profit]]/Table1[[#This Row],[Sales]])*100</f>
        <v>27.999999999999996</v>
      </c>
    </row>
    <row r="3245" spans="1:12" x14ac:dyDescent="0.3">
      <c r="A3245" t="s">
        <v>1122</v>
      </c>
      <c r="B3245" s="1">
        <v>43577</v>
      </c>
      <c r="C3245" t="s">
        <v>148</v>
      </c>
      <c r="D3245" t="s">
        <v>149</v>
      </c>
      <c r="E3245" t="s">
        <v>14</v>
      </c>
      <c r="F3245" t="s">
        <v>23</v>
      </c>
      <c r="G3245" t="s">
        <v>16</v>
      </c>
      <c r="H3245" t="s">
        <v>1123</v>
      </c>
      <c r="I3245" s="2">
        <v>31.56</v>
      </c>
      <c r="J3245">
        <v>3</v>
      </c>
      <c r="K3245" s="2">
        <v>10.4148</v>
      </c>
      <c r="L3245" s="3">
        <f>(Table1[[#This Row],[Profit]]/Table1[[#This Row],[Sales]])*100</f>
        <v>33</v>
      </c>
    </row>
    <row r="3246" spans="1:12" x14ac:dyDescent="0.3">
      <c r="A3246" t="s">
        <v>3603</v>
      </c>
      <c r="B3246" s="1">
        <v>43796</v>
      </c>
      <c r="C3246" t="s">
        <v>3328</v>
      </c>
      <c r="D3246" t="s">
        <v>3329</v>
      </c>
      <c r="E3246" t="s">
        <v>14</v>
      </c>
      <c r="F3246" t="s">
        <v>15</v>
      </c>
      <c r="G3246" t="s">
        <v>16</v>
      </c>
      <c r="H3246" t="s">
        <v>1123</v>
      </c>
      <c r="I3246" s="2">
        <v>31.56</v>
      </c>
      <c r="J3246">
        <v>3</v>
      </c>
      <c r="K3246" s="2">
        <v>10.4148</v>
      </c>
      <c r="L3246" s="3">
        <f>(Table1[[#This Row],[Profit]]/Table1[[#This Row],[Sales]])*100</f>
        <v>33</v>
      </c>
    </row>
    <row r="3247" spans="1:12" x14ac:dyDescent="0.3">
      <c r="A3247" t="s">
        <v>3952</v>
      </c>
      <c r="B3247" s="1">
        <v>43828</v>
      </c>
      <c r="C3247" t="s">
        <v>1472</v>
      </c>
      <c r="D3247" t="s">
        <v>1473</v>
      </c>
      <c r="E3247" t="s">
        <v>14</v>
      </c>
      <c r="F3247" t="s">
        <v>23</v>
      </c>
      <c r="G3247" t="s">
        <v>24</v>
      </c>
      <c r="H3247" t="s">
        <v>3953</v>
      </c>
      <c r="I3247" s="2">
        <v>27.792000000000002</v>
      </c>
      <c r="J3247">
        <v>3</v>
      </c>
      <c r="K3247" s="2">
        <v>10.422000000000001</v>
      </c>
      <c r="L3247" s="3">
        <f>(Table1[[#This Row],[Profit]]/Table1[[#This Row],[Sales]])*100</f>
        <v>37.5</v>
      </c>
    </row>
    <row r="3248" spans="1:12" x14ac:dyDescent="0.3">
      <c r="A3248" t="s">
        <v>6195</v>
      </c>
      <c r="B3248" s="1">
        <v>44181</v>
      </c>
      <c r="C3248" t="s">
        <v>341</v>
      </c>
      <c r="D3248" t="s">
        <v>342</v>
      </c>
      <c r="E3248" t="s">
        <v>14</v>
      </c>
      <c r="F3248" t="s">
        <v>15</v>
      </c>
      <c r="G3248" t="s">
        <v>24</v>
      </c>
      <c r="H3248" t="s">
        <v>3095</v>
      </c>
      <c r="I3248" s="2">
        <v>277.37599999999998</v>
      </c>
      <c r="J3248">
        <v>4</v>
      </c>
      <c r="K3248" s="2">
        <v>10.43</v>
      </c>
      <c r="L3248" s="3">
        <f>(Table1[[#This Row],[Profit]]/Table1[[#This Row],[Sales]])*100</f>
        <v>3.7602388094139365</v>
      </c>
    </row>
    <row r="3249" spans="1:12" x14ac:dyDescent="0.3">
      <c r="A3249" t="s">
        <v>3128</v>
      </c>
      <c r="B3249" s="1">
        <v>43759</v>
      </c>
      <c r="C3249" t="s">
        <v>1359</v>
      </c>
      <c r="D3249" t="s">
        <v>1360</v>
      </c>
      <c r="E3249" t="s">
        <v>14</v>
      </c>
      <c r="F3249" t="s">
        <v>15</v>
      </c>
      <c r="G3249" t="s">
        <v>24</v>
      </c>
      <c r="H3249" t="s">
        <v>374</v>
      </c>
      <c r="I3249" s="2">
        <v>23.2</v>
      </c>
      <c r="J3249">
        <v>4</v>
      </c>
      <c r="K3249" s="2">
        <v>10.44</v>
      </c>
      <c r="L3249" s="3">
        <f>(Table1[[#This Row],[Profit]]/Table1[[#This Row],[Sales]])*100</f>
        <v>45</v>
      </c>
    </row>
    <row r="3250" spans="1:12" x14ac:dyDescent="0.3">
      <c r="A3250" t="s">
        <v>6244</v>
      </c>
      <c r="B3250" s="1">
        <v>44187</v>
      </c>
      <c r="C3250" t="s">
        <v>3209</v>
      </c>
      <c r="D3250" t="s">
        <v>3210</v>
      </c>
      <c r="E3250" t="s">
        <v>14</v>
      </c>
      <c r="F3250" t="s">
        <v>23</v>
      </c>
      <c r="G3250" t="s">
        <v>24</v>
      </c>
      <c r="H3250" t="s">
        <v>1580</v>
      </c>
      <c r="I3250" s="2">
        <v>116.32</v>
      </c>
      <c r="J3250">
        <v>3</v>
      </c>
      <c r="K3250" s="2">
        <v>10.4496</v>
      </c>
      <c r="L3250" s="3">
        <f>(Table1[[#This Row],[Profit]]/Table1[[#This Row],[Sales]])*100</f>
        <v>8.9834938101788175</v>
      </c>
    </row>
    <row r="3251" spans="1:12" x14ac:dyDescent="0.3">
      <c r="A3251" t="s">
        <v>2023</v>
      </c>
      <c r="B3251" s="1">
        <v>43660</v>
      </c>
      <c r="C3251" t="s">
        <v>2024</v>
      </c>
      <c r="D3251" t="s">
        <v>2025</v>
      </c>
      <c r="E3251" t="s">
        <v>14</v>
      </c>
      <c r="F3251" t="s">
        <v>15</v>
      </c>
      <c r="G3251" t="s">
        <v>24</v>
      </c>
      <c r="H3251" t="s">
        <v>2027</v>
      </c>
      <c r="I3251" s="2">
        <v>41.86</v>
      </c>
      <c r="J3251">
        <v>7</v>
      </c>
      <c r="K3251" s="2">
        <v>10.465</v>
      </c>
      <c r="L3251" s="3">
        <f>(Table1[[#This Row],[Profit]]/Table1[[#This Row],[Sales]])*100</f>
        <v>25</v>
      </c>
    </row>
    <row r="3252" spans="1:12" x14ac:dyDescent="0.3">
      <c r="A3252" t="s">
        <v>3333</v>
      </c>
      <c r="B3252" s="1">
        <v>43779</v>
      </c>
      <c r="C3252" t="s">
        <v>3334</v>
      </c>
      <c r="D3252" t="s">
        <v>3335</v>
      </c>
      <c r="E3252" t="s">
        <v>14</v>
      </c>
      <c r="F3252" t="s">
        <v>41</v>
      </c>
      <c r="G3252" t="s">
        <v>24</v>
      </c>
      <c r="H3252" t="s">
        <v>2027</v>
      </c>
      <c r="I3252" s="2">
        <v>41.86</v>
      </c>
      <c r="J3252">
        <v>7</v>
      </c>
      <c r="K3252" s="2">
        <v>10.465</v>
      </c>
      <c r="L3252" s="3">
        <f>(Table1[[#This Row],[Profit]]/Table1[[#This Row],[Sales]])*100</f>
        <v>25</v>
      </c>
    </row>
    <row r="3253" spans="1:12" x14ac:dyDescent="0.3">
      <c r="A3253" t="s">
        <v>5187</v>
      </c>
      <c r="B3253" s="1">
        <v>44063</v>
      </c>
      <c r="C3253" t="s">
        <v>505</v>
      </c>
      <c r="D3253" t="s">
        <v>506</v>
      </c>
      <c r="E3253" t="s">
        <v>14</v>
      </c>
      <c r="F3253" t="s">
        <v>15</v>
      </c>
      <c r="G3253" t="s">
        <v>24</v>
      </c>
      <c r="H3253" t="s">
        <v>4282</v>
      </c>
      <c r="I3253" s="2">
        <v>142.29</v>
      </c>
      <c r="J3253">
        <v>3</v>
      </c>
      <c r="K3253" s="2">
        <v>10.4754</v>
      </c>
      <c r="L3253" s="3">
        <f>(Table1[[#This Row],[Profit]]/Table1[[#This Row],[Sales]])*100</f>
        <v>7.3620071684587822</v>
      </c>
    </row>
    <row r="3254" spans="1:12" x14ac:dyDescent="0.3">
      <c r="A3254" t="s">
        <v>4424</v>
      </c>
      <c r="B3254" s="1">
        <v>43929</v>
      </c>
      <c r="C3254" t="s">
        <v>573</v>
      </c>
      <c r="D3254" t="s">
        <v>574</v>
      </c>
      <c r="E3254" t="s">
        <v>14</v>
      </c>
      <c r="F3254" t="s">
        <v>15</v>
      </c>
      <c r="G3254" t="s">
        <v>24</v>
      </c>
      <c r="H3254" t="s">
        <v>4426</v>
      </c>
      <c r="I3254" s="2">
        <v>142.94999999999999</v>
      </c>
      <c r="J3254">
        <v>5</v>
      </c>
      <c r="K3254" s="2">
        <v>10.487500000000001</v>
      </c>
      <c r="L3254" s="3">
        <f>(Table1[[#This Row],[Profit]]/Table1[[#This Row],[Sales]])*100</f>
        <v>7.3364812871633447</v>
      </c>
    </row>
    <row r="3255" spans="1:12" x14ac:dyDescent="0.3">
      <c r="A3255" t="s">
        <v>4156</v>
      </c>
      <c r="B3255" s="1">
        <v>43879</v>
      </c>
      <c r="C3255" t="s">
        <v>1324</v>
      </c>
      <c r="D3255" t="s">
        <v>1325</v>
      </c>
      <c r="E3255" t="s">
        <v>14</v>
      </c>
      <c r="F3255" t="s">
        <v>23</v>
      </c>
      <c r="G3255" t="s">
        <v>18</v>
      </c>
      <c r="H3255" t="s">
        <v>2102</v>
      </c>
      <c r="I3255" s="2">
        <v>197.976</v>
      </c>
      <c r="J3255">
        <v>3</v>
      </c>
      <c r="K3255" s="2">
        <v>10.4985</v>
      </c>
      <c r="L3255" s="3">
        <f>(Table1[[#This Row],[Profit]]/Table1[[#This Row],[Sales]])*100</f>
        <v>5.3029155049096861</v>
      </c>
    </row>
    <row r="3256" spans="1:12" x14ac:dyDescent="0.3">
      <c r="A3256" t="s">
        <v>4976</v>
      </c>
      <c r="B3256" s="1">
        <v>44020</v>
      </c>
      <c r="C3256" t="s">
        <v>4977</v>
      </c>
      <c r="D3256" t="s">
        <v>4978</v>
      </c>
      <c r="E3256" t="s">
        <v>14</v>
      </c>
      <c r="F3256" t="s">
        <v>23</v>
      </c>
      <c r="G3256" t="s">
        <v>18</v>
      </c>
      <c r="H3256" t="s">
        <v>311</v>
      </c>
      <c r="I3256" s="2">
        <v>167</v>
      </c>
      <c r="J3256">
        <v>2</v>
      </c>
      <c r="K3256" s="2">
        <v>10.5</v>
      </c>
      <c r="L3256" s="3">
        <f>(Table1[[#This Row],[Profit]]/Table1[[#This Row],[Sales]])*100</f>
        <v>6.2874251497005984</v>
      </c>
    </row>
    <row r="3257" spans="1:12" x14ac:dyDescent="0.3">
      <c r="A3257" t="s">
        <v>5070</v>
      </c>
      <c r="B3257" s="1">
        <v>44039</v>
      </c>
      <c r="C3257" t="s">
        <v>2078</v>
      </c>
      <c r="D3257" t="s">
        <v>2079</v>
      </c>
      <c r="E3257" t="s">
        <v>14</v>
      </c>
      <c r="F3257" t="s">
        <v>23</v>
      </c>
      <c r="G3257" t="s">
        <v>16</v>
      </c>
      <c r="H3257" t="s">
        <v>1286</v>
      </c>
      <c r="I3257" s="2">
        <v>123.88</v>
      </c>
      <c r="J3257">
        <v>3</v>
      </c>
      <c r="K3257" s="2">
        <v>10.507199999999999</v>
      </c>
      <c r="L3257" s="3">
        <f>(Table1[[#This Row],[Profit]]/Table1[[#This Row],[Sales]])*100</f>
        <v>8.4817565385857279</v>
      </c>
    </row>
    <row r="3258" spans="1:12" x14ac:dyDescent="0.3">
      <c r="A3258" t="s">
        <v>5745</v>
      </c>
      <c r="B3258" s="1">
        <v>44137</v>
      </c>
      <c r="C3258" t="s">
        <v>1573</v>
      </c>
      <c r="D3258" t="s">
        <v>1574</v>
      </c>
      <c r="E3258" t="s">
        <v>14</v>
      </c>
      <c r="F3258" t="s">
        <v>23</v>
      </c>
      <c r="G3258" t="s">
        <v>16</v>
      </c>
      <c r="H3258" t="s">
        <v>5752</v>
      </c>
      <c r="I3258" s="2">
        <v>131.02000000000001</v>
      </c>
      <c r="J3258">
        <v>3</v>
      </c>
      <c r="K3258" s="2">
        <v>10.5084</v>
      </c>
      <c r="L3258" s="3">
        <f>(Table1[[#This Row],[Profit]]/Table1[[#This Row],[Sales]])*100</f>
        <v>8.0204548923828423</v>
      </c>
    </row>
    <row r="3259" spans="1:12" x14ac:dyDescent="0.3">
      <c r="A3259" t="s">
        <v>2135</v>
      </c>
      <c r="B3259" s="1">
        <v>43668</v>
      </c>
      <c r="C3259" t="s">
        <v>2078</v>
      </c>
      <c r="D3259" t="s">
        <v>2079</v>
      </c>
      <c r="E3259" t="s">
        <v>14</v>
      </c>
      <c r="F3259" t="s">
        <v>29</v>
      </c>
      <c r="G3259" t="s">
        <v>24</v>
      </c>
      <c r="H3259" t="s">
        <v>2137</v>
      </c>
      <c r="I3259" s="2">
        <v>29.2</v>
      </c>
      <c r="J3259">
        <v>5</v>
      </c>
      <c r="K3259" s="2">
        <v>10.512</v>
      </c>
      <c r="L3259" s="3">
        <f>(Table1[[#This Row],[Profit]]/Table1[[#This Row],[Sales]])*100</f>
        <v>36.000000000000007</v>
      </c>
    </row>
    <row r="3260" spans="1:12" x14ac:dyDescent="0.3">
      <c r="A3260" t="s">
        <v>5680</v>
      </c>
      <c r="B3260" s="1">
        <v>44125</v>
      </c>
      <c r="C3260" t="s">
        <v>282</v>
      </c>
      <c r="D3260" t="s">
        <v>283</v>
      </c>
      <c r="E3260" t="s">
        <v>14</v>
      </c>
      <c r="F3260" t="s">
        <v>29</v>
      </c>
      <c r="G3260" t="s">
        <v>24</v>
      </c>
      <c r="H3260" t="s">
        <v>3487</v>
      </c>
      <c r="I3260" s="2">
        <v>127.9</v>
      </c>
      <c r="J3260">
        <v>5</v>
      </c>
      <c r="K3260" s="2">
        <v>10.512</v>
      </c>
      <c r="L3260" s="3">
        <f>(Table1[[#This Row],[Profit]]/Table1[[#This Row],[Sales]])*100</f>
        <v>8.2189210320562935</v>
      </c>
    </row>
    <row r="3261" spans="1:12" x14ac:dyDescent="0.3">
      <c r="A3261" t="s">
        <v>3424</v>
      </c>
      <c r="B3261" s="1">
        <v>43783</v>
      </c>
      <c r="C3261" t="s">
        <v>3425</v>
      </c>
      <c r="D3261" t="s">
        <v>3426</v>
      </c>
      <c r="E3261" t="s">
        <v>14</v>
      </c>
      <c r="F3261" t="s">
        <v>15</v>
      </c>
      <c r="G3261" t="s">
        <v>24</v>
      </c>
      <c r="H3261" t="s">
        <v>2655</v>
      </c>
      <c r="I3261" s="2">
        <v>40.44</v>
      </c>
      <c r="J3261">
        <v>3</v>
      </c>
      <c r="K3261" s="2">
        <v>10.5144</v>
      </c>
      <c r="L3261" s="3">
        <f>(Table1[[#This Row],[Profit]]/Table1[[#This Row],[Sales]])*100</f>
        <v>26</v>
      </c>
    </row>
    <row r="3262" spans="1:12" x14ac:dyDescent="0.3">
      <c r="A3262" t="s">
        <v>2248</v>
      </c>
      <c r="B3262" s="1">
        <v>43681</v>
      </c>
      <c r="C3262" t="s">
        <v>2249</v>
      </c>
      <c r="D3262" t="s">
        <v>2250</v>
      </c>
      <c r="E3262" t="s">
        <v>14</v>
      </c>
      <c r="F3262" t="s">
        <v>41</v>
      </c>
      <c r="G3262" t="s">
        <v>24</v>
      </c>
      <c r="H3262" t="s">
        <v>2251</v>
      </c>
      <c r="I3262" s="2">
        <v>35.06</v>
      </c>
      <c r="J3262">
        <v>2</v>
      </c>
      <c r="K3262" s="2">
        <v>10.518000000000001</v>
      </c>
      <c r="L3262" s="3">
        <f>(Table1[[#This Row],[Profit]]/Table1[[#This Row],[Sales]])*100</f>
        <v>30</v>
      </c>
    </row>
    <row r="3263" spans="1:12" x14ac:dyDescent="0.3">
      <c r="A3263" t="s">
        <v>5729</v>
      </c>
      <c r="B3263" s="1">
        <v>44134</v>
      </c>
      <c r="C3263" t="s">
        <v>341</v>
      </c>
      <c r="D3263" t="s">
        <v>342</v>
      </c>
      <c r="E3263" t="s">
        <v>14</v>
      </c>
      <c r="F3263" t="s">
        <v>41</v>
      </c>
      <c r="G3263" t="s">
        <v>24</v>
      </c>
      <c r="H3263" t="s">
        <v>2251</v>
      </c>
      <c r="I3263" s="2">
        <v>133.06</v>
      </c>
      <c r="J3263">
        <v>2</v>
      </c>
      <c r="K3263" s="2">
        <v>10.518000000000001</v>
      </c>
      <c r="L3263" s="3">
        <f>(Table1[[#This Row],[Profit]]/Table1[[#This Row],[Sales]])*100</f>
        <v>7.9047046445212699</v>
      </c>
    </row>
    <row r="3264" spans="1:12" x14ac:dyDescent="0.3">
      <c r="A3264" t="s">
        <v>3807</v>
      </c>
      <c r="B3264" s="1">
        <v>43813</v>
      </c>
      <c r="C3264" t="s">
        <v>1038</v>
      </c>
      <c r="D3264" t="s">
        <v>1039</v>
      </c>
      <c r="E3264" t="s">
        <v>14</v>
      </c>
      <c r="F3264" t="s">
        <v>15</v>
      </c>
      <c r="G3264" t="s">
        <v>24</v>
      </c>
      <c r="H3264" t="s">
        <v>3254</v>
      </c>
      <c r="I3264" s="2">
        <v>21.48</v>
      </c>
      <c r="J3264">
        <v>6</v>
      </c>
      <c r="K3264" s="2">
        <v>10.5252</v>
      </c>
      <c r="L3264" s="3">
        <f>(Table1[[#This Row],[Profit]]/Table1[[#This Row],[Sales]])*100</f>
        <v>49</v>
      </c>
    </row>
    <row r="3265" spans="1:12" x14ac:dyDescent="0.3">
      <c r="A3265" t="s">
        <v>2143</v>
      </c>
      <c r="B3265" s="1">
        <v>43668</v>
      </c>
      <c r="C3265" t="s">
        <v>80</v>
      </c>
      <c r="D3265" t="s">
        <v>81</v>
      </c>
      <c r="E3265" t="s">
        <v>14</v>
      </c>
      <c r="F3265" t="s">
        <v>15</v>
      </c>
      <c r="G3265" t="s">
        <v>24</v>
      </c>
      <c r="H3265" t="s">
        <v>833</v>
      </c>
      <c r="I3265" s="2">
        <v>37.68</v>
      </c>
      <c r="J3265">
        <v>2</v>
      </c>
      <c r="K3265" s="2">
        <v>10.5504</v>
      </c>
      <c r="L3265" s="3">
        <f>(Table1[[#This Row],[Profit]]/Table1[[#This Row],[Sales]])*100</f>
        <v>27.999999999999996</v>
      </c>
    </row>
    <row r="3266" spans="1:12" x14ac:dyDescent="0.3">
      <c r="A3266" t="s">
        <v>3395</v>
      </c>
      <c r="B3266" s="1">
        <v>43781</v>
      </c>
      <c r="C3266" t="s">
        <v>2827</v>
      </c>
      <c r="D3266" t="s">
        <v>2828</v>
      </c>
      <c r="E3266" t="s">
        <v>14</v>
      </c>
      <c r="F3266" t="s">
        <v>29</v>
      </c>
      <c r="G3266" t="s">
        <v>24</v>
      </c>
      <c r="H3266" t="s">
        <v>833</v>
      </c>
      <c r="I3266" s="2">
        <v>37.68</v>
      </c>
      <c r="J3266">
        <v>2</v>
      </c>
      <c r="K3266" s="2">
        <v>10.5504</v>
      </c>
      <c r="L3266" s="3">
        <f>(Table1[[#This Row],[Profit]]/Table1[[#This Row],[Sales]])*100</f>
        <v>27.999999999999996</v>
      </c>
    </row>
    <row r="3267" spans="1:12" x14ac:dyDescent="0.3">
      <c r="A3267" t="s">
        <v>6086</v>
      </c>
      <c r="B3267" s="1">
        <v>44168</v>
      </c>
      <c r="C3267" t="s">
        <v>443</v>
      </c>
      <c r="D3267" t="s">
        <v>444</v>
      </c>
      <c r="E3267" t="s">
        <v>14</v>
      </c>
      <c r="F3267" t="s">
        <v>23</v>
      </c>
      <c r="G3267" t="s">
        <v>18</v>
      </c>
      <c r="H3267" t="s">
        <v>2448</v>
      </c>
      <c r="I3267" s="2">
        <v>122.752</v>
      </c>
      <c r="J3267">
        <v>6</v>
      </c>
      <c r="K3267" s="2">
        <v>10.5534</v>
      </c>
      <c r="L3267" s="3">
        <f>(Table1[[#This Row],[Profit]]/Table1[[#This Row],[Sales]])*100</f>
        <v>8.597334462982273</v>
      </c>
    </row>
    <row r="3268" spans="1:12" x14ac:dyDescent="0.3">
      <c r="A3268" t="s">
        <v>5303</v>
      </c>
      <c r="B3268" s="1">
        <v>44081</v>
      </c>
      <c r="C3268" t="s">
        <v>1570</v>
      </c>
      <c r="D3268" t="s">
        <v>1571</v>
      </c>
      <c r="E3268" t="s">
        <v>14</v>
      </c>
      <c r="F3268" t="s">
        <v>23</v>
      </c>
      <c r="G3268" t="s">
        <v>16</v>
      </c>
      <c r="H3268" t="s">
        <v>1363</v>
      </c>
      <c r="I3268" s="2">
        <v>129.16</v>
      </c>
      <c r="J3268">
        <v>2</v>
      </c>
      <c r="K3268" s="2">
        <v>10.5672</v>
      </c>
      <c r="L3268" s="3">
        <f>(Table1[[#This Row],[Profit]]/Table1[[#This Row],[Sales]])*100</f>
        <v>8.1814803344688762</v>
      </c>
    </row>
    <row r="3269" spans="1:12" x14ac:dyDescent="0.3">
      <c r="A3269" t="s">
        <v>5935</v>
      </c>
      <c r="B3269" s="1">
        <v>44153</v>
      </c>
      <c r="C3269" t="s">
        <v>1168</v>
      </c>
      <c r="D3269" t="s">
        <v>1169</v>
      </c>
      <c r="E3269" t="s">
        <v>14</v>
      </c>
      <c r="F3269" t="s">
        <v>29</v>
      </c>
      <c r="G3269" t="s">
        <v>24</v>
      </c>
      <c r="H3269" t="s">
        <v>1710</v>
      </c>
      <c r="I3269" s="2">
        <v>161.76</v>
      </c>
      <c r="J3269">
        <v>1</v>
      </c>
      <c r="K3269" s="2">
        <v>10.572800000000001</v>
      </c>
      <c r="L3269" s="3">
        <f>(Table1[[#This Row],[Profit]]/Table1[[#This Row],[Sales]])*100</f>
        <v>6.5361028684470828</v>
      </c>
    </row>
    <row r="3270" spans="1:12" x14ac:dyDescent="0.3">
      <c r="A3270" t="s">
        <v>1648</v>
      </c>
      <c r="B3270" s="1">
        <v>43622</v>
      </c>
      <c r="C3270" t="s">
        <v>1007</v>
      </c>
      <c r="D3270" t="s">
        <v>1008</v>
      </c>
      <c r="E3270" t="s">
        <v>14</v>
      </c>
      <c r="F3270" t="s">
        <v>23</v>
      </c>
      <c r="G3270" t="s">
        <v>24</v>
      </c>
      <c r="H3270" t="s">
        <v>1649</v>
      </c>
      <c r="I3270" s="2">
        <v>22.05</v>
      </c>
      <c r="J3270">
        <v>7</v>
      </c>
      <c r="K3270" s="2">
        <v>10.584</v>
      </c>
      <c r="L3270" s="3">
        <f>(Table1[[#This Row],[Profit]]/Table1[[#This Row],[Sales]])*100</f>
        <v>48</v>
      </c>
    </row>
    <row r="3271" spans="1:12" x14ac:dyDescent="0.3">
      <c r="A3271" t="s">
        <v>2592</v>
      </c>
      <c r="B3271" s="1">
        <v>43713</v>
      </c>
      <c r="C3271" t="s">
        <v>1038</v>
      </c>
      <c r="D3271" t="s">
        <v>1039</v>
      </c>
      <c r="E3271" t="s">
        <v>14</v>
      </c>
      <c r="F3271" t="s">
        <v>29</v>
      </c>
      <c r="G3271" t="s">
        <v>24</v>
      </c>
      <c r="H3271" t="s">
        <v>2597</v>
      </c>
      <c r="I3271" s="2">
        <v>22.05</v>
      </c>
      <c r="J3271">
        <v>7</v>
      </c>
      <c r="K3271" s="2">
        <v>10.584</v>
      </c>
      <c r="L3271" s="3">
        <f>(Table1[[#This Row],[Profit]]/Table1[[#This Row],[Sales]])*100</f>
        <v>48</v>
      </c>
    </row>
    <row r="3272" spans="1:12" x14ac:dyDescent="0.3">
      <c r="A3272" t="s">
        <v>313</v>
      </c>
      <c r="B3272" s="1">
        <v>43503</v>
      </c>
      <c r="C3272" t="s">
        <v>314</v>
      </c>
      <c r="D3272" t="s">
        <v>315</v>
      </c>
      <c r="E3272" t="s">
        <v>14</v>
      </c>
      <c r="F3272" t="s">
        <v>15</v>
      </c>
      <c r="G3272" t="s">
        <v>24</v>
      </c>
      <c r="H3272" t="s">
        <v>316</v>
      </c>
      <c r="I3272" s="2">
        <v>30.352</v>
      </c>
      <c r="J3272">
        <v>2</v>
      </c>
      <c r="K3272" s="2">
        <v>10.623200000000001</v>
      </c>
      <c r="L3272" s="3">
        <f>(Table1[[#This Row],[Profit]]/Table1[[#This Row],[Sales]])*100</f>
        <v>35</v>
      </c>
    </row>
    <row r="3273" spans="1:12" x14ac:dyDescent="0.3">
      <c r="A3273" t="s">
        <v>2960</v>
      </c>
      <c r="B3273" s="1">
        <v>43737</v>
      </c>
      <c r="C3273" t="s">
        <v>1983</v>
      </c>
      <c r="D3273" t="s">
        <v>1984</v>
      </c>
      <c r="E3273" t="s">
        <v>14</v>
      </c>
      <c r="F3273" t="s">
        <v>29</v>
      </c>
      <c r="G3273" t="s">
        <v>24</v>
      </c>
      <c r="H3273" t="s">
        <v>2961</v>
      </c>
      <c r="I3273" s="2">
        <v>40.880000000000003</v>
      </c>
      <c r="J3273">
        <v>7</v>
      </c>
      <c r="K3273" s="2">
        <v>10.6288</v>
      </c>
      <c r="L3273" s="3">
        <f>(Table1[[#This Row],[Profit]]/Table1[[#This Row],[Sales]])*100</f>
        <v>26</v>
      </c>
    </row>
    <row r="3274" spans="1:12" x14ac:dyDescent="0.3">
      <c r="A3274" t="s">
        <v>2087</v>
      </c>
      <c r="B3274" s="1">
        <v>43664</v>
      </c>
      <c r="C3274" t="s">
        <v>2088</v>
      </c>
      <c r="D3274" t="s">
        <v>2089</v>
      </c>
      <c r="E3274" t="s">
        <v>14</v>
      </c>
      <c r="F3274" t="s">
        <v>23</v>
      </c>
      <c r="G3274" t="s">
        <v>16</v>
      </c>
      <c r="H3274" t="s">
        <v>2090</v>
      </c>
      <c r="I3274" s="2">
        <v>854.35199999999998</v>
      </c>
      <c r="J3274">
        <v>3</v>
      </c>
      <c r="K3274" s="2">
        <v>10.679399999999999</v>
      </c>
      <c r="L3274" s="3">
        <f>(Table1[[#This Row],[Profit]]/Table1[[#This Row],[Sales]])*100</f>
        <v>1.25</v>
      </c>
    </row>
    <row r="3275" spans="1:12" x14ac:dyDescent="0.3">
      <c r="A3275" t="s">
        <v>5552</v>
      </c>
      <c r="B3275" s="1">
        <v>44106</v>
      </c>
      <c r="C3275" t="s">
        <v>5553</v>
      </c>
      <c r="D3275" t="s">
        <v>5554</v>
      </c>
      <c r="E3275" t="s">
        <v>14</v>
      </c>
      <c r="F3275" t="s">
        <v>23</v>
      </c>
      <c r="G3275" t="s">
        <v>24</v>
      </c>
      <c r="H3275" t="s">
        <v>495</v>
      </c>
      <c r="I3275" s="2">
        <v>143.14400000000001</v>
      </c>
      <c r="J3275">
        <v>7</v>
      </c>
      <c r="K3275" s="2">
        <v>10.7037</v>
      </c>
      <c r="L3275" s="3">
        <f>(Table1[[#This Row],[Profit]]/Table1[[#This Row],[Sales]])*100</f>
        <v>7.4775750293410823</v>
      </c>
    </row>
    <row r="3276" spans="1:12" x14ac:dyDescent="0.3">
      <c r="A3276" t="s">
        <v>2318</v>
      </c>
      <c r="B3276" s="1">
        <v>43690</v>
      </c>
      <c r="C3276" t="s">
        <v>1061</v>
      </c>
      <c r="D3276" t="s">
        <v>1062</v>
      </c>
      <c r="E3276" t="s">
        <v>14</v>
      </c>
      <c r="F3276" t="s">
        <v>41</v>
      </c>
      <c r="G3276" t="s">
        <v>24</v>
      </c>
      <c r="H3276" t="s">
        <v>399</v>
      </c>
      <c r="I3276" s="2">
        <v>22.32</v>
      </c>
      <c r="J3276">
        <v>4</v>
      </c>
      <c r="K3276" s="2">
        <v>10.7136</v>
      </c>
      <c r="L3276" s="3">
        <f>(Table1[[#This Row],[Profit]]/Table1[[#This Row],[Sales]])*100</f>
        <v>48</v>
      </c>
    </row>
    <row r="3277" spans="1:12" x14ac:dyDescent="0.3">
      <c r="A3277" t="s">
        <v>6188</v>
      </c>
      <c r="B3277" s="1">
        <v>44180</v>
      </c>
      <c r="C3277" t="s">
        <v>2201</v>
      </c>
      <c r="D3277" t="s">
        <v>2202</v>
      </c>
      <c r="E3277" t="s">
        <v>14</v>
      </c>
      <c r="F3277" t="s">
        <v>23</v>
      </c>
      <c r="G3277" t="s">
        <v>24</v>
      </c>
      <c r="H3277" t="s">
        <v>2700</v>
      </c>
      <c r="I3277" s="2">
        <v>450.83</v>
      </c>
      <c r="J3277">
        <v>3</v>
      </c>
      <c r="K3277" s="2">
        <v>10.7301</v>
      </c>
      <c r="L3277" s="3">
        <f>(Table1[[#This Row],[Profit]]/Table1[[#This Row],[Sales]])*100</f>
        <v>2.3800767473326974</v>
      </c>
    </row>
    <row r="3278" spans="1:12" x14ac:dyDescent="0.3">
      <c r="A3278" t="s">
        <v>5749</v>
      </c>
      <c r="B3278" s="1">
        <v>44137</v>
      </c>
      <c r="C3278" t="s">
        <v>2179</v>
      </c>
      <c r="D3278" t="s">
        <v>2180</v>
      </c>
      <c r="E3278" t="s">
        <v>14</v>
      </c>
      <c r="F3278" t="s">
        <v>23</v>
      </c>
      <c r="G3278" t="s">
        <v>24</v>
      </c>
      <c r="H3278" t="s">
        <v>347</v>
      </c>
      <c r="I3278" s="2">
        <v>98.85</v>
      </c>
      <c r="J3278">
        <v>5</v>
      </c>
      <c r="K3278" s="2">
        <v>10.7325</v>
      </c>
      <c r="L3278" s="3">
        <f>(Table1[[#This Row],[Profit]]/Table1[[#This Row],[Sales]])*100</f>
        <v>10.857359635811836</v>
      </c>
    </row>
    <row r="3279" spans="1:12" x14ac:dyDescent="0.3">
      <c r="A3279" t="s">
        <v>2173</v>
      </c>
      <c r="B3279" s="1">
        <v>43671</v>
      </c>
      <c r="C3279" t="s">
        <v>2174</v>
      </c>
      <c r="D3279" t="s">
        <v>2175</v>
      </c>
      <c r="E3279" t="s">
        <v>14</v>
      </c>
      <c r="F3279" t="s">
        <v>23</v>
      </c>
      <c r="G3279" t="s">
        <v>24</v>
      </c>
      <c r="H3279" t="s">
        <v>1885</v>
      </c>
      <c r="I3279" s="2">
        <v>21.48</v>
      </c>
      <c r="J3279">
        <v>6</v>
      </c>
      <c r="K3279" s="2">
        <v>10.74</v>
      </c>
      <c r="L3279" s="3">
        <f>(Table1[[#This Row],[Profit]]/Table1[[#This Row],[Sales]])*100</f>
        <v>50</v>
      </c>
    </row>
    <row r="3280" spans="1:12" x14ac:dyDescent="0.3">
      <c r="A3280" t="s">
        <v>5950</v>
      </c>
      <c r="B3280" s="1">
        <v>44154</v>
      </c>
      <c r="C3280" t="s">
        <v>257</v>
      </c>
      <c r="D3280" t="s">
        <v>258</v>
      </c>
      <c r="E3280" t="s">
        <v>14</v>
      </c>
      <c r="F3280" t="s">
        <v>41</v>
      </c>
      <c r="G3280" t="s">
        <v>24</v>
      </c>
      <c r="H3280" t="s">
        <v>2402</v>
      </c>
      <c r="I3280" s="2">
        <v>122.96</v>
      </c>
      <c r="J3280">
        <v>2</v>
      </c>
      <c r="K3280" s="2">
        <v>10.760400000000001</v>
      </c>
      <c r="L3280" s="3">
        <f>(Table1[[#This Row],[Profit]]/Table1[[#This Row],[Sales]])*100</f>
        <v>8.7511385816525706</v>
      </c>
    </row>
    <row r="3281" spans="1:12" x14ac:dyDescent="0.3">
      <c r="A3281" t="s">
        <v>5183</v>
      </c>
      <c r="B3281" s="1">
        <v>44063</v>
      </c>
      <c r="C3281" t="s">
        <v>2941</v>
      </c>
      <c r="D3281" t="s">
        <v>2942</v>
      </c>
      <c r="E3281" t="s">
        <v>14</v>
      </c>
      <c r="F3281" t="s">
        <v>23</v>
      </c>
      <c r="G3281" t="s">
        <v>18</v>
      </c>
      <c r="H3281" t="s">
        <v>473</v>
      </c>
      <c r="I3281" s="2">
        <v>145.88</v>
      </c>
      <c r="J3281">
        <v>3</v>
      </c>
      <c r="K3281" s="2">
        <v>10.788</v>
      </c>
      <c r="L3281" s="3">
        <f>(Table1[[#This Row],[Profit]]/Table1[[#This Row],[Sales]])*100</f>
        <v>7.3951192761173568</v>
      </c>
    </row>
    <row r="3282" spans="1:12" x14ac:dyDescent="0.3">
      <c r="A3282" t="s">
        <v>5904</v>
      </c>
      <c r="B3282" s="1">
        <v>44151</v>
      </c>
      <c r="C3282" t="s">
        <v>475</v>
      </c>
      <c r="D3282" t="s">
        <v>476</v>
      </c>
      <c r="E3282" t="s">
        <v>14</v>
      </c>
      <c r="F3282" t="s">
        <v>23</v>
      </c>
      <c r="G3282" t="s">
        <v>18</v>
      </c>
      <c r="H3282" t="s">
        <v>473</v>
      </c>
      <c r="I3282" s="2">
        <v>133.88</v>
      </c>
      <c r="J3282">
        <v>3</v>
      </c>
      <c r="K3282" s="2">
        <v>10.788</v>
      </c>
      <c r="L3282" s="3">
        <f>(Table1[[#This Row],[Profit]]/Table1[[#This Row],[Sales]])*100</f>
        <v>8.0579623543471772</v>
      </c>
    </row>
    <row r="3283" spans="1:12" x14ac:dyDescent="0.3">
      <c r="A3283" t="s">
        <v>5411</v>
      </c>
      <c r="B3283" s="1">
        <v>44089</v>
      </c>
      <c r="C3283" t="s">
        <v>108</v>
      </c>
      <c r="D3283" t="s">
        <v>109</v>
      </c>
      <c r="E3283" t="s">
        <v>14</v>
      </c>
      <c r="F3283" t="s">
        <v>15</v>
      </c>
      <c r="G3283" t="s">
        <v>18</v>
      </c>
      <c r="H3283" t="s">
        <v>5415</v>
      </c>
      <c r="I3283" s="2">
        <v>156.97999999999999</v>
      </c>
      <c r="J3283">
        <v>2</v>
      </c>
      <c r="K3283" s="2">
        <v>10.7964</v>
      </c>
      <c r="L3283" s="3">
        <f>(Table1[[#This Row],[Profit]]/Table1[[#This Row],[Sales]])*100</f>
        <v>6.8775640208943818</v>
      </c>
    </row>
    <row r="3284" spans="1:12" x14ac:dyDescent="0.3">
      <c r="A3284" t="s">
        <v>5198</v>
      </c>
      <c r="B3284" s="1">
        <v>44064</v>
      </c>
      <c r="C3284" t="s">
        <v>380</v>
      </c>
      <c r="D3284" t="s">
        <v>381</v>
      </c>
      <c r="E3284" t="s">
        <v>14</v>
      </c>
      <c r="F3284" t="s">
        <v>29</v>
      </c>
      <c r="G3284" t="s">
        <v>24</v>
      </c>
      <c r="H3284" t="s">
        <v>1405</v>
      </c>
      <c r="I3284" s="2">
        <v>164.24</v>
      </c>
      <c r="J3284">
        <v>4</v>
      </c>
      <c r="K3284" s="2">
        <v>10.7996</v>
      </c>
      <c r="L3284" s="3">
        <f>(Table1[[#This Row],[Profit]]/Table1[[#This Row],[Sales]])*100</f>
        <v>6.5754992693619094</v>
      </c>
    </row>
    <row r="3285" spans="1:12" x14ac:dyDescent="0.3">
      <c r="A3285" t="s">
        <v>1781</v>
      </c>
      <c r="B3285" s="1">
        <v>43633</v>
      </c>
      <c r="C3285" t="s">
        <v>1782</v>
      </c>
      <c r="D3285" t="s">
        <v>1783</v>
      </c>
      <c r="E3285" t="s">
        <v>14</v>
      </c>
      <c r="F3285" t="s">
        <v>23</v>
      </c>
      <c r="G3285" t="s">
        <v>24</v>
      </c>
      <c r="H3285" t="s">
        <v>1233</v>
      </c>
      <c r="I3285" s="2">
        <v>22.5</v>
      </c>
      <c r="J3285">
        <v>6</v>
      </c>
      <c r="K3285" s="2">
        <v>10.8</v>
      </c>
      <c r="L3285" s="3">
        <f>(Table1[[#This Row],[Profit]]/Table1[[#This Row],[Sales]])*100</f>
        <v>48.000000000000007</v>
      </c>
    </row>
    <row r="3286" spans="1:12" x14ac:dyDescent="0.3">
      <c r="A3286" t="s">
        <v>5411</v>
      </c>
      <c r="B3286" s="1">
        <v>44089</v>
      </c>
      <c r="C3286" t="s">
        <v>108</v>
      </c>
      <c r="D3286" t="s">
        <v>109</v>
      </c>
      <c r="E3286" t="s">
        <v>14</v>
      </c>
      <c r="F3286" t="s">
        <v>15</v>
      </c>
      <c r="G3286" t="s">
        <v>24</v>
      </c>
      <c r="H3286" t="s">
        <v>5412</v>
      </c>
      <c r="I3286" s="2">
        <v>120.62</v>
      </c>
      <c r="J3286">
        <v>2</v>
      </c>
      <c r="K3286" s="2">
        <v>10.813599999999999</v>
      </c>
      <c r="L3286" s="3">
        <f>(Table1[[#This Row],[Profit]]/Table1[[#This Row],[Sales]])*100</f>
        <v>8.9650140938484491</v>
      </c>
    </row>
    <row r="3287" spans="1:12" x14ac:dyDescent="0.3">
      <c r="A3287" t="s">
        <v>3191</v>
      </c>
      <c r="B3287" s="1">
        <v>43766</v>
      </c>
      <c r="C3287" t="s">
        <v>197</v>
      </c>
      <c r="D3287" t="s">
        <v>198</v>
      </c>
      <c r="E3287" t="s">
        <v>14</v>
      </c>
      <c r="F3287" t="s">
        <v>15</v>
      </c>
      <c r="G3287" t="s">
        <v>24</v>
      </c>
      <c r="H3287" t="s">
        <v>607</v>
      </c>
      <c r="I3287" s="2">
        <v>1082.48</v>
      </c>
      <c r="J3287">
        <v>8</v>
      </c>
      <c r="K3287" s="2">
        <v>10.8248</v>
      </c>
      <c r="L3287" s="3">
        <f>(Table1[[#This Row],[Profit]]/Table1[[#This Row],[Sales]])*100</f>
        <v>1</v>
      </c>
    </row>
    <row r="3288" spans="1:12" x14ac:dyDescent="0.3">
      <c r="A3288" t="s">
        <v>6207</v>
      </c>
      <c r="B3288" s="1">
        <v>44183</v>
      </c>
      <c r="C3288" t="s">
        <v>221</v>
      </c>
      <c r="D3288" t="s">
        <v>222</v>
      </c>
      <c r="E3288" t="s">
        <v>14</v>
      </c>
      <c r="F3288" t="s">
        <v>29</v>
      </c>
      <c r="G3288" t="s">
        <v>18</v>
      </c>
      <c r="H3288" t="s">
        <v>4020</v>
      </c>
      <c r="I3288" s="2">
        <v>577.34</v>
      </c>
      <c r="J3288">
        <v>3</v>
      </c>
      <c r="K3288" s="2">
        <v>10.8558</v>
      </c>
      <c r="L3288" s="3">
        <f>(Table1[[#This Row],[Profit]]/Table1[[#This Row],[Sales]])*100</f>
        <v>1.8803131603561161</v>
      </c>
    </row>
    <row r="3289" spans="1:12" x14ac:dyDescent="0.3">
      <c r="A3289" t="s">
        <v>3505</v>
      </c>
      <c r="B3289" s="1">
        <v>43789</v>
      </c>
      <c r="C3289" t="s">
        <v>3506</v>
      </c>
      <c r="D3289" t="s">
        <v>3507</v>
      </c>
      <c r="E3289" t="s">
        <v>14</v>
      </c>
      <c r="F3289" t="s">
        <v>41</v>
      </c>
      <c r="G3289" t="s">
        <v>16</v>
      </c>
      <c r="H3289" t="s">
        <v>1924</v>
      </c>
      <c r="I3289" s="2">
        <v>289.56799999999998</v>
      </c>
      <c r="J3289">
        <v>2</v>
      </c>
      <c r="K3289" s="2">
        <v>10.8588</v>
      </c>
      <c r="L3289" s="3">
        <f>(Table1[[#This Row],[Profit]]/Table1[[#This Row],[Sales]])*100</f>
        <v>3.7500000000000004</v>
      </c>
    </row>
    <row r="3290" spans="1:12" x14ac:dyDescent="0.3">
      <c r="A3290" t="s">
        <v>5369</v>
      </c>
      <c r="B3290" s="1">
        <v>44085</v>
      </c>
      <c r="C3290" t="s">
        <v>573</v>
      </c>
      <c r="D3290" t="s">
        <v>574</v>
      </c>
      <c r="E3290" t="s">
        <v>14</v>
      </c>
      <c r="F3290" t="s">
        <v>23</v>
      </c>
      <c r="G3290" t="s">
        <v>24</v>
      </c>
      <c r="H3290" t="s">
        <v>926</v>
      </c>
      <c r="I3290" s="2">
        <v>109.18</v>
      </c>
      <c r="J3290">
        <v>2</v>
      </c>
      <c r="K3290" s="2">
        <v>10.8682</v>
      </c>
      <c r="L3290" s="3">
        <f>(Table1[[#This Row],[Profit]]/Table1[[#This Row],[Sales]])*100</f>
        <v>9.9543872504121627</v>
      </c>
    </row>
    <row r="3291" spans="1:12" x14ac:dyDescent="0.3">
      <c r="A3291" t="s">
        <v>5771</v>
      </c>
      <c r="B3291" s="1">
        <v>44138</v>
      </c>
      <c r="C3291" t="s">
        <v>3636</v>
      </c>
      <c r="D3291" t="s">
        <v>3637</v>
      </c>
      <c r="E3291" t="s">
        <v>14</v>
      </c>
      <c r="F3291" t="s">
        <v>23</v>
      </c>
      <c r="G3291" t="s">
        <v>18</v>
      </c>
      <c r="H3291" t="s">
        <v>2036</v>
      </c>
      <c r="I3291" s="2">
        <v>127.5</v>
      </c>
      <c r="J3291">
        <v>3</v>
      </c>
      <c r="K3291" s="2">
        <v>10.875</v>
      </c>
      <c r="L3291" s="3">
        <f>(Table1[[#This Row],[Profit]]/Table1[[#This Row],[Sales]])*100</f>
        <v>8.5294117647058822</v>
      </c>
    </row>
    <row r="3292" spans="1:12" x14ac:dyDescent="0.3">
      <c r="A3292" t="s">
        <v>68</v>
      </c>
      <c r="B3292" s="1">
        <v>43473</v>
      </c>
      <c r="C3292" t="s">
        <v>69</v>
      </c>
      <c r="D3292" t="s">
        <v>70</v>
      </c>
      <c r="E3292" t="s">
        <v>14</v>
      </c>
      <c r="F3292" t="s">
        <v>41</v>
      </c>
      <c r="G3292" t="s">
        <v>18</v>
      </c>
      <c r="H3292" t="s">
        <v>73</v>
      </c>
      <c r="I3292" s="2">
        <v>108.78400000000001</v>
      </c>
      <c r="J3292">
        <v>2</v>
      </c>
      <c r="K3292" s="2">
        <v>10.878399999999999</v>
      </c>
      <c r="L3292" s="3">
        <f>(Table1[[#This Row],[Profit]]/Table1[[#This Row],[Sales]])*100</f>
        <v>10</v>
      </c>
    </row>
    <row r="3293" spans="1:12" x14ac:dyDescent="0.3">
      <c r="A3293" t="s">
        <v>2981</v>
      </c>
      <c r="B3293" s="1">
        <v>43739</v>
      </c>
      <c r="C3293" t="s">
        <v>475</v>
      </c>
      <c r="D3293" t="s">
        <v>476</v>
      </c>
      <c r="E3293" t="s">
        <v>14</v>
      </c>
      <c r="F3293" t="s">
        <v>29</v>
      </c>
      <c r="G3293" t="s">
        <v>16</v>
      </c>
      <c r="H3293" t="s">
        <v>666</v>
      </c>
      <c r="I3293" s="2">
        <v>41.85</v>
      </c>
      <c r="J3293">
        <v>5</v>
      </c>
      <c r="K3293" s="2">
        <v>10.881</v>
      </c>
      <c r="L3293" s="3">
        <f>(Table1[[#This Row],[Profit]]/Table1[[#This Row],[Sales]])*100</f>
        <v>26</v>
      </c>
    </row>
    <row r="3294" spans="1:12" x14ac:dyDescent="0.3">
      <c r="A3294" t="s">
        <v>4092</v>
      </c>
      <c r="B3294" s="1">
        <v>43860</v>
      </c>
      <c r="C3294" t="s">
        <v>401</v>
      </c>
      <c r="D3294" t="s">
        <v>402</v>
      </c>
      <c r="E3294" t="s">
        <v>14</v>
      </c>
      <c r="F3294" t="s">
        <v>29</v>
      </c>
      <c r="G3294" t="s">
        <v>24</v>
      </c>
      <c r="H3294" t="s">
        <v>4097</v>
      </c>
      <c r="I3294" s="2">
        <v>135.30000000000001</v>
      </c>
      <c r="J3294">
        <v>2</v>
      </c>
      <c r="K3294" s="2">
        <v>10.881</v>
      </c>
      <c r="L3294" s="3">
        <f>(Table1[[#This Row],[Profit]]/Table1[[#This Row],[Sales]])*100</f>
        <v>8.0421286031042118</v>
      </c>
    </row>
    <row r="3295" spans="1:12" x14ac:dyDescent="0.3">
      <c r="A3295" t="s">
        <v>1358</v>
      </c>
      <c r="B3295" s="1">
        <v>43599</v>
      </c>
      <c r="C3295" t="s">
        <v>1359</v>
      </c>
      <c r="D3295" t="s">
        <v>1360</v>
      </c>
      <c r="E3295" t="s">
        <v>14</v>
      </c>
      <c r="F3295" t="s">
        <v>41</v>
      </c>
      <c r="G3295" t="s">
        <v>24</v>
      </c>
      <c r="H3295" t="s">
        <v>1362</v>
      </c>
      <c r="I3295" s="2">
        <v>31.103999999999999</v>
      </c>
      <c r="J3295">
        <v>6</v>
      </c>
      <c r="K3295" s="2">
        <v>10.8864</v>
      </c>
      <c r="L3295" s="3">
        <f>(Table1[[#This Row],[Profit]]/Table1[[#This Row],[Sales]])*100</f>
        <v>35</v>
      </c>
    </row>
    <row r="3296" spans="1:12" x14ac:dyDescent="0.3">
      <c r="A3296" t="s">
        <v>3361</v>
      </c>
      <c r="B3296" s="1">
        <v>43779</v>
      </c>
      <c r="C3296" t="s">
        <v>1698</v>
      </c>
      <c r="D3296" t="s">
        <v>1699</v>
      </c>
      <c r="E3296" t="s">
        <v>14</v>
      </c>
      <c r="F3296" t="s">
        <v>15</v>
      </c>
      <c r="G3296" t="s">
        <v>24</v>
      </c>
      <c r="H3296" t="s">
        <v>958</v>
      </c>
      <c r="I3296" s="2">
        <v>31.103999999999999</v>
      </c>
      <c r="J3296">
        <v>6</v>
      </c>
      <c r="K3296" s="2">
        <v>10.8864</v>
      </c>
      <c r="L3296" s="3">
        <f>(Table1[[#This Row],[Profit]]/Table1[[#This Row],[Sales]])*100</f>
        <v>35</v>
      </c>
    </row>
    <row r="3297" spans="1:12" x14ac:dyDescent="0.3">
      <c r="A3297" t="s">
        <v>4874</v>
      </c>
      <c r="B3297" s="1">
        <v>44002</v>
      </c>
      <c r="C3297" t="s">
        <v>4875</v>
      </c>
      <c r="D3297" t="s">
        <v>4876</v>
      </c>
      <c r="E3297" t="s">
        <v>14</v>
      </c>
      <c r="F3297" t="s">
        <v>15</v>
      </c>
      <c r="G3297" t="s">
        <v>24</v>
      </c>
      <c r="H3297" t="s">
        <v>4820</v>
      </c>
      <c r="I3297" s="2">
        <v>160.10400000000001</v>
      </c>
      <c r="J3297">
        <v>6</v>
      </c>
      <c r="K3297" s="2">
        <v>10.8864</v>
      </c>
      <c r="L3297" s="3">
        <f>(Table1[[#This Row],[Profit]]/Table1[[#This Row],[Sales]])*100</f>
        <v>6.7995802728226655</v>
      </c>
    </row>
    <row r="3298" spans="1:12" x14ac:dyDescent="0.3">
      <c r="A3298" t="s">
        <v>5797</v>
      </c>
      <c r="B3298" s="1">
        <v>44141</v>
      </c>
      <c r="C3298" t="s">
        <v>376</v>
      </c>
      <c r="D3298" t="s">
        <v>377</v>
      </c>
      <c r="E3298" t="s">
        <v>14</v>
      </c>
      <c r="F3298" t="s">
        <v>41</v>
      </c>
      <c r="G3298" t="s">
        <v>24</v>
      </c>
      <c r="H3298" t="s">
        <v>5288</v>
      </c>
      <c r="I3298" s="2">
        <v>143.10400000000001</v>
      </c>
      <c r="J3298">
        <v>6</v>
      </c>
      <c r="K3298" s="2">
        <v>10.8864</v>
      </c>
      <c r="L3298" s="3">
        <f>(Table1[[#This Row],[Profit]]/Table1[[#This Row],[Sales]])*100</f>
        <v>7.6073345259391756</v>
      </c>
    </row>
    <row r="3299" spans="1:12" x14ac:dyDescent="0.3">
      <c r="A3299" t="s">
        <v>2077</v>
      </c>
      <c r="B3299" s="1">
        <v>43663</v>
      </c>
      <c r="C3299" t="s">
        <v>2078</v>
      </c>
      <c r="D3299" t="s">
        <v>2079</v>
      </c>
      <c r="E3299" t="s">
        <v>14</v>
      </c>
      <c r="F3299" t="s">
        <v>23</v>
      </c>
      <c r="G3299" t="s">
        <v>16</v>
      </c>
      <c r="H3299" t="s">
        <v>2082</v>
      </c>
      <c r="I3299" s="2">
        <v>24.75</v>
      </c>
      <c r="J3299">
        <v>5</v>
      </c>
      <c r="K3299" s="2">
        <v>10.89</v>
      </c>
      <c r="L3299" s="3">
        <f>(Table1[[#This Row],[Profit]]/Table1[[#This Row],[Sales]])*100</f>
        <v>44</v>
      </c>
    </row>
    <row r="3300" spans="1:12" x14ac:dyDescent="0.3">
      <c r="A3300" t="s">
        <v>4681</v>
      </c>
      <c r="B3300" s="1">
        <v>43970</v>
      </c>
      <c r="C3300" t="s">
        <v>871</v>
      </c>
      <c r="D3300" t="s">
        <v>872</v>
      </c>
      <c r="E3300" t="s">
        <v>14</v>
      </c>
      <c r="F3300" t="s">
        <v>23</v>
      </c>
      <c r="G3300" t="s">
        <v>18</v>
      </c>
      <c r="H3300" t="s">
        <v>1297</v>
      </c>
      <c r="I3300" s="2">
        <v>117.32</v>
      </c>
      <c r="J3300">
        <v>1</v>
      </c>
      <c r="K3300" s="2">
        <v>10.896000000000001</v>
      </c>
      <c r="L3300" s="3">
        <f>(Table1[[#This Row],[Profit]]/Table1[[#This Row],[Sales]])*100</f>
        <v>9.2874190248891928</v>
      </c>
    </row>
    <row r="3301" spans="1:12" x14ac:dyDescent="0.3">
      <c r="A3301" t="s">
        <v>4997</v>
      </c>
      <c r="B3301" s="1">
        <v>44022</v>
      </c>
      <c r="C3301" t="s">
        <v>4998</v>
      </c>
      <c r="D3301" t="s">
        <v>4999</v>
      </c>
      <c r="E3301" t="s">
        <v>14</v>
      </c>
      <c r="F3301" t="s">
        <v>41</v>
      </c>
      <c r="G3301" t="s">
        <v>24</v>
      </c>
      <c r="H3301" t="s">
        <v>905</v>
      </c>
      <c r="I3301" s="2">
        <v>142.91</v>
      </c>
      <c r="J3301">
        <v>3</v>
      </c>
      <c r="K3301" s="2">
        <v>10.896599999999999</v>
      </c>
      <c r="L3301" s="3">
        <f>(Table1[[#This Row],[Profit]]/Table1[[#This Row],[Sales]])*100</f>
        <v>7.6247988244349587</v>
      </c>
    </row>
    <row r="3302" spans="1:12" x14ac:dyDescent="0.3">
      <c r="A3302" t="s">
        <v>3384</v>
      </c>
      <c r="B3302" s="1">
        <v>43780</v>
      </c>
      <c r="C3302" t="s">
        <v>3385</v>
      </c>
      <c r="D3302" t="s">
        <v>3386</v>
      </c>
      <c r="E3302" t="s">
        <v>14</v>
      </c>
      <c r="F3302" t="s">
        <v>23</v>
      </c>
      <c r="G3302" t="s">
        <v>16</v>
      </c>
      <c r="H3302" t="s">
        <v>3387</v>
      </c>
      <c r="I3302" s="2">
        <v>41.96</v>
      </c>
      <c r="J3302">
        <v>2</v>
      </c>
      <c r="K3302" s="2">
        <v>10.909599999999999</v>
      </c>
      <c r="L3302" s="3">
        <f>(Table1[[#This Row],[Profit]]/Table1[[#This Row],[Sales]])*100</f>
        <v>25.999999999999996</v>
      </c>
    </row>
    <row r="3303" spans="1:12" x14ac:dyDescent="0.3">
      <c r="A3303" t="s">
        <v>3866</v>
      </c>
      <c r="B3303" s="1">
        <v>43821</v>
      </c>
      <c r="C3303" t="s">
        <v>1100</v>
      </c>
      <c r="D3303" t="s">
        <v>1101</v>
      </c>
      <c r="E3303" t="s">
        <v>14</v>
      </c>
      <c r="F3303" t="s">
        <v>23</v>
      </c>
      <c r="G3303" t="s">
        <v>16</v>
      </c>
      <c r="H3303" t="s">
        <v>3387</v>
      </c>
      <c r="I3303" s="2">
        <v>41.96</v>
      </c>
      <c r="J3303">
        <v>2</v>
      </c>
      <c r="K3303" s="2">
        <v>10.909599999999999</v>
      </c>
      <c r="L3303" s="3">
        <f>(Table1[[#This Row],[Profit]]/Table1[[#This Row],[Sales]])*100</f>
        <v>25.999999999999996</v>
      </c>
    </row>
    <row r="3304" spans="1:12" x14ac:dyDescent="0.3">
      <c r="A3304" t="s">
        <v>6120</v>
      </c>
      <c r="B3304" s="1">
        <v>44170</v>
      </c>
      <c r="C3304" t="s">
        <v>815</v>
      </c>
      <c r="D3304" t="s">
        <v>816</v>
      </c>
      <c r="E3304" t="s">
        <v>14</v>
      </c>
      <c r="F3304" t="s">
        <v>15</v>
      </c>
      <c r="G3304" t="s">
        <v>16</v>
      </c>
      <c r="H3304" t="s">
        <v>3387</v>
      </c>
      <c r="I3304" s="2">
        <v>156.96</v>
      </c>
      <c r="J3304">
        <v>2</v>
      </c>
      <c r="K3304" s="2">
        <v>10.909599999999999</v>
      </c>
      <c r="L3304" s="3">
        <f>(Table1[[#This Row],[Profit]]/Table1[[#This Row],[Sales]])*100</f>
        <v>6.9505606523955139</v>
      </c>
    </row>
    <row r="3305" spans="1:12" x14ac:dyDescent="0.3">
      <c r="A3305" t="s">
        <v>6280</v>
      </c>
      <c r="B3305" s="1">
        <v>44190</v>
      </c>
      <c r="C3305" t="s">
        <v>1324</v>
      </c>
      <c r="D3305" t="s">
        <v>1325</v>
      </c>
      <c r="E3305" t="s">
        <v>14</v>
      </c>
      <c r="F3305" t="s">
        <v>15</v>
      </c>
      <c r="G3305" t="s">
        <v>16</v>
      </c>
      <c r="H3305" t="s">
        <v>3387</v>
      </c>
      <c r="I3305" s="2">
        <v>329.96</v>
      </c>
      <c r="J3305">
        <v>2</v>
      </c>
      <c r="K3305" s="2">
        <v>10.909599999999999</v>
      </c>
      <c r="L3305" s="3">
        <f>(Table1[[#This Row],[Profit]]/Table1[[#This Row],[Sales]])*100</f>
        <v>3.3063401624439326</v>
      </c>
    </row>
    <row r="3306" spans="1:12" x14ac:dyDescent="0.3">
      <c r="A3306" t="s">
        <v>4149</v>
      </c>
      <c r="B3306" s="1">
        <v>43878</v>
      </c>
      <c r="C3306" t="s">
        <v>1020</v>
      </c>
      <c r="D3306" t="s">
        <v>1021</v>
      </c>
      <c r="E3306" t="s">
        <v>14</v>
      </c>
      <c r="F3306" t="s">
        <v>29</v>
      </c>
      <c r="G3306" t="s">
        <v>18</v>
      </c>
      <c r="H3306" t="s">
        <v>817</v>
      </c>
      <c r="I3306" s="2">
        <v>165.792</v>
      </c>
      <c r="J3306">
        <v>1</v>
      </c>
      <c r="K3306" s="2">
        <v>10.9193</v>
      </c>
      <c r="L3306" s="3">
        <f>(Table1[[#This Row],[Profit]]/Table1[[#This Row],[Sales]])*100</f>
        <v>6.5861440841536378</v>
      </c>
    </row>
    <row r="3307" spans="1:12" x14ac:dyDescent="0.3">
      <c r="A3307" t="s">
        <v>393</v>
      </c>
      <c r="B3307" s="1">
        <v>43517</v>
      </c>
      <c r="C3307" t="s">
        <v>394</v>
      </c>
      <c r="D3307" t="s">
        <v>395</v>
      </c>
      <c r="E3307" t="s">
        <v>14</v>
      </c>
      <c r="F3307" t="s">
        <v>23</v>
      </c>
      <c r="G3307" t="s">
        <v>24</v>
      </c>
      <c r="H3307" t="s">
        <v>399</v>
      </c>
      <c r="I3307" s="2">
        <v>31.248000000000001</v>
      </c>
      <c r="J3307">
        <v>7</v>
      </c>
      <c r="K3307" s="2">
        <v>10.9368</v>
      </c>
      <c r="L3307" s="3">
        <f>(Table1[[#This Row],[Profit]]/Table1[[#This Row],[Sales]])*100</f>
        <v>35</v>
      </c>
    </row>
    <row r="3308" spans="1:12" x14ac:dyDescent="0.3">
      <c r="A3308" t="s">
        <v>2510</v>
      </c>
      <c r="B3308" s="1">
        <v>43709</v>
      </c>
      <c r="C3308" t="s">
        <v>1324</v>
      </c>
      <c r="D3308" t="s">
        <v>1325</v>
      </c>
      <c r="E3308" t="s">
        <v>14</v>
      </c>
      <c r="F3308" t="s">
        <v>23</v>
      </c>
      <c r="G3308" t="s">
        <v>24</v>
      </c>
      <c r="H3308" t="s">
        <v>2511</v>
      </c>
      <c r="I3308" s="2">
        <v>21.88</v>
      </c>
      <c r="J3308">
        <v>2</v>
      </c>
      <c r="K3308" s="2">
        <v>10.94</v>
      </c>
      <c r="L3308" s="3">
        <f>(Table1[[#This Row],[Profit]]/Table1[[#This Row],[Sales]])*100</f>
        <v>50</v>
      </c>
    </row>
    <row r="3309" spans="1:12" x14ac:dyDescent="0.3">
      <c r="A3309" t="s">
        <v>4297</v>
      </c>
      <c r="B3309" s="1">
        <v>43909</v>
      </c>
      <c r="C3309" t="s">
        <v>1235</v>
      </c>
      <c r="D3309" t="s">
        <v>1236</v>
      </c>
      <c r="E3309" t="s">
        <v>14</v>
      </c>
      <c r="F3309" t="s">
        <v>23</v>
      </c>
      <c r="G3309" t="s">
        <v>18</v>
      </c>
      <c r="H3309" t="s">
        <v>4298</v>
      </c>
      <c r="I3309" s="2">
        <v>147.54</v>
      </c>
      <c r="J3309">
        <v>2</v>
      </c>
      <c r="K3309" s="2">
        <v>10.949400000000001</v>
      </c>
      <c r="L3309" s="3">
        <f>(Table1[[#This Row],[Profit]]/Table1[[#This Row],[Sales]])*100</f>
        <v>7.4213094753965034</v>
      </c>
    </row>
    <row r="3310" spans="1:12" x14ac:dyDescent="0.3">
      <c r="A3310" t="s">
        <v>5531</v>
      </c>
      <c r="B3310" s="1">
        <v>44103</v>
      </c>
      <c r="C3310" t="s">
        <v>2516</v>
      </c>
      <c r="D3310" t="s">
        <v>2517</v>
      </c>
      <c r="E3310" t="s">
        <v>14</v>
      </c>
      <c r="F3310" t="s">
        <v>15</v>
      </c>
      <c r="G3310" t="s">
        <v>24</v>
      </c>
      <c r="H3310" t="s">
        <v>242</v>
      </c>
      <c r="I3310" s="2">
        <v>131.34</v>
      </c>
      <c r="J3310">
        <v>3</v>
      </c>
      <c r="K3310" s="2">
        <v>10.969799999999999</v>
      </c>
      <c r="L3310" s="3">
        <f>(Table1[[#This Row],[Profit]]/Table1[[#This Row],[Sales]])*100</f>
        <v>8.3522156235724072</v>
      </c>
    </row>
    <row r="3311" spans="1:12" x14ac:dyDescent="0.3">
      <c r="A3311" t="s">
        <v>5163</v>
      </c>
      <c r="B3311" s="1">
        <v>44061</v>
      </c>
      <c r="C3311" t="s">
        <v>4138</v>
      </c>
      <c r="D3311" t="s">
        <v>4139</v>
      </c>
      <c r="E3311" t="s">
        <v>14</v>
      </c>
      <c r="F3311" t="s">
        <v>15</v>
      </c>
      <c r="G3311" t="s">
        <v>18</v>
      </c>
      <c r="H3311" t="s">
        <v>518</v>
      </c>
      <c r="I3311" s="2">
        <v>111.91</v>
      </c>
      <c r="J3311">
        <v>1</v>
      </c>
      <c r="K3311" s="2">
        <v>10.9939</v>
      </c>
      <c r="L3311" s="3">
        <f>(Table1[[#This Row],[Profit]]/Table1[[#This Row],[Sales]])*100</f>
        <v>9.8238763291931015</v>
      </c>
    </row>
    <row r="3312" spans="1:12" x14ac:dyDescent="0.3">
      <c r="A3312" t="s">
        <v>6182</v>
      </c>
      <c r="B3312" s="1">
        <v>44179</v>
      </c>
      <c r="C3312" t="s">
        <v>3714</v>
      </c>
      <c r="D3312" t="s">
        <v>3715</v>
      </c>
      <c r="E3312" t="s">
        <v>14</v>
      </c>
      <c r="F3312" t="s">
        <v>23</v>
      </c>
      <c r="G3312" t="s">
        <v>16</v>
      </c>
      <c r="H3312" t="s">
        <v>2883</v>
      </c>
      <c r="I3312" s="2">
        <v>375.25</v>
      </c>
      <c r="J3312">
        <v>3</v>
      </c>
      <c r="K3312" s="2">
        <v>11.025</v>
      </c>
      <c r="L3312" s="3">
        <f>(Table1[[#This Row],[Profit]]/Table1[[#This Row],[Sales]])*100</f>
        <v>2.9380413057961361</v>
      </c>
    </row>
    <row r="3313" spans="1:12" x14ac:dyDescent="0.3">
      <c r="A3313" t="s">
        <v>3384</v>
      </c>
      <c r="B3313" s="1">
        <v>43780</v>
      </c>
      <c r="C3313" t="s">
        <v>3385</v>
      </c>
      <c r="D3313" t="s">
        <v>3386</v>
      </c>
      <c r="E3313" t="s">
        <v>14</v>
      </c>
      <c r="F3313" t="s">
        <v>23</v>
      </c>
      <c r="G3313" t="s">
        <v>24</v>
      </c>
      <c r="H3313" t="s">
        <v>1262</v>
      </c>
      <c r="I3313" s="2">
        <v>31.504000000000001</v>
      </c>
      <c r="J3313">
        <v>11</v>
      </c>
      <c r="K3313" s="2">
        <v>11.026400000000001</v>
      </c>
      <c r="L3313" s="3">
        <f>(Table1[[#This Row],[Profit]]/Table1[[#This Row],[Sales]])*100</f>
        <v>35</v>
      </c>
    </row>
    <row r="3314" spans="1:12" x14ac:dyDescent="0.3">
      <c r="A3314" t="s">
        <v>5989</v>
      </c>
      <c r="B3314" s="1">
        <v>44158</v>
      </c>
      <c r="C3314" t="s">
        <v>3477</v>
      </c>
      <c r="D3314" t="s">
        <v>3478</v>
      </c>
      <c r="E3314" t="s">
        <v>14</v>
      </c>
      <c r="F3314" t="s">
        <v>29</v>
      </c>
      <c r="G3314" t="s">
        <v>16</v>
      </c>
      <c r="H3314" t="s">
        <v>540</v>
      </c>
      <c r="I3314" s="2">
        <v>116.4</v>
      </c>
      <c r="J3314">
        <v>2</v>
      </c>
      <c r="K3314" s="2">
        <v>11.076000000000001</v>
      </c>
      <c r="L3314" s="3">
        <f>(Table1[[#This Row],[Profit]]/Table1[[#This Row],[Sales]])*100</f>
        <v>9.5154639175257731</v>
      </c>
    </row>
    <row r="3315" spans="1:12" x14ac:dyDescent="0.3">
      <c r="A3315" t="s">
        <v>2061</v>
      </c>
      <c r="B3315" s="1">
        <v>43662</v>
      </c>
      <c r="C3315" t="s">
        <v>197</v>
      </c>
      <c r="D3315" t="s">
        <v>198</v>
      </c>
      <c r="E3315" t="s">
        <v>14</v>
      </c>
      <c r="F3315" t="s">
        <v>41</v>
      </c>
      <c r="G3315" t="s">
        <v>24</v>
      </c>
      <c r="H3315" t="s">
        <v>1434</v>
      </c>
      <c r="I3315" s="2">
        <v>24.1</v>
      </c>
      <c r="J3315">
        <v>5</v>
      </c>
      <c r="K3315" s="2">
        <v>11.086</v>
      </c>
      <c r="L3315" s="3">
        <f>(Table1[[#This Row],[Profit]]/Table1[[#This Row],[Sales]])*100</f>
        <v>46</v>
      </c>
    </row>
    <row r="3316" spans="1:12" x14ac:dyDescent="0.3">
      <c r="A3316" t="s">
        <v>2515</v>
      </c>
      <c r="B3316" s="1">
        <v>43709</v>
      </c>
      <c r="C3316" t="s">
        <v>2516</v>
      </c>
      <c r="D3316" t="s">
        <v>2517</v>
      </c>
      <c r="E3316" t="s">
        <v>14</v>
      </c>
      <c r="F3316" t="s">
        <v>29</v>
      </c>
      <c r="G3316" t="s">
        <v>24</v>
      </c>
      <c r="H3316" t="s">
        <v>1434</v>
      </c>
      <c r="I3316" s="2">
        <v>24.1</v>
      </c>
      <c r="J3316">
        <v>5</v>
      </c>
      <c r="K3316" s="2">
        <v>11.086</v>
      </c>
      <c r="L3316" s="3">
        <f>(Table1[[#This Row],[Profit]]/Table1[[#This Row],[Sales]])*100</f>
        <v>46</v>
      </c>
    </row>
    <row r="3317" spans="1:12" x14ac:dyDescent="0.3">
      <c r="A3317" t="s">
        <v>5689</v>
      </c>
      <c r="B3317" s="1">
        <v>44126</v>
      </c>
      <c r="C3317" t="s">
        <v>2603</v>
      </c>
      <c r="D3317" t="s">
        <v>2604</v>
      </c>
      <c r="E3317" t="s">
        <v>14</v>
      </c>
      <c r="F3317" t="s">
        <v>15</v>
      </c>
      <c r="G3317" t="s">
        <v>24</v>
      </c>
      <c r="H3317" t="s">
        <v>5690</v>
      </c>
      <c r="I3317" s="2">
        <v>124.68</v>
      </c>
      <c r="J3317">
        <v>4</v>
      </c>
      <c r="K3317" s="2">
        <v>11.087999999999999</v>
      </c>
      <c r="L3317" s="3">
        <f>(Table1[[#This Row],[Profit]]/Table1[[#This Row],[Sales]])*100</f>
        <v>8.8931665062560139</v>
      </c>
    </row>
    <row r="3318" spans="1:12" x14ac:dyDescent="0.3">
      <c r="A3318" t="s">
        <v>4939</v>
      </c>
      <c r="B3318" s="1">
        <v>44015</v>
      </c>
      <c r="C3318" t="s">
        <v>2528</v>
      </c>
      <c r="D3318" t="s">
        <v>2529</v>
      </c>
      <c r="E3318" t="s">
        <v>14</v>
      </c>
      <c r="F3318" t="s">
        <v>15</v>
      </c>
      <c r="G3318" t="s">
        <v>24</v>
      </c>
      <c r="H3318" t="s">
        <v>4954</v>
      </c>
      <c r="I3318" s="2">
        <v>132.89599999999999</v>
      </c>
      <c r="J3318">
        <v>4</v>
      </c>
      <c r="K3318" s="2">
        <v>11.102399999999999</v>
      </c>
      <c r="L3318" s="3">
        <f>(Table1[[#This Row],[Profit]]/Table1[[#This Row],[Sales]])*100</f>
        <v>8.3542017818444503</v>
      </c>
    </row>
    <row r="3319" spans="1:12" x14ac:dyDescent="0.3">
      <c r="A3319" t="s">
        <v>5593</v>
      </c>
      <c r="B3319" s="1">
        <v>44112</v>
      </c>
      <c r="C3319" t="s">
        <v>3571</v>
      </c>
      <c r="D3319" t="s">
        <v>3572</v>
      </c>
      <c r="E3319" t="s">
        <v>14</v>
      </c>
      <c r="F3319" t="s">
        <v>15</v>
      </c>
      <c r="G3319" t="s">
        <v>24</v>
      </c>
      <c r="H3319" t="s">
        <v>1881</v>
      </c>
      <c r="I3319" s="2">
        <v>154.76</v>
      </c>
      <c r="J3319">
        <v>1</v>
      </c>
      <c r="K3319" s="2">
        <v>11.117599999999999</v>
      </c>
      <c r="L3319" s="3">
        <f>(Table1[[#This Row],[Profit]]/Table1[[#This Row],[Sales]])*100</f>
        <v>7.1837684156112687</v>
      </c>
    </row>
    <row r="3320" spans="1:12" x14ac:dyDescent="0.3">
      <c r="A3320" t="s">
        <v>6130</v>
      </c>
      <c r="B3320" s="1">
        <v>44173</v>
      </c>
      <c r="C3320" t="s">
        <v>1794</v>
      </c>
      <c r="D3320" t="s">
        <v>1795</v>
      </c>
      <c r="E3320" t="s">
        <v>14</v>
      </c>
      <c r="F3320" t="s">
        <v>23</v>
      </c>
      <c r="G3320" t="s">
        <v>24</v>
      </c>
      <c r="H3320" t="s">
        <v>1881</v>
      </c>
      <c r="I3320" s="2">
        <v>155.76</v>
      </c>
      <c r="J3320">
        <v>1</v>
      </c>
      <c r="K3320" s="2">
        <v>11.117599999999999</v>
      </c>
      <c r="L3320" s="3">
        <f>(Table1[[#This Row],[Profit]]/Table1[[#This Row],[Sales]])*100</f>
        <v>7.1376476630713919</v>
      </c>
    </row>
    <row r="3321" spans="1:12" x14ac:dyDescent="0.3">
      <c r="A3321" t="s">
        <v>4411</v>
      </c>
      <c r="B3321" s="1">
        <v>43925</v>
      </c>
      <c r="C3321" t="s">
        <v>4044</v>
      </c>
      <c r="D3321" t="s">
        <v>4045</v>
      </c>
      <c r="E3321" t="s">
        <v>14</v>
      </c>
      <c r="F3321" t="s">
        <v>15</v>
      </c>
      <c r="G3321" t="s">
        <v>18</v>
      </c>
      <c r="H3321" t="s">
        <v>4359</v>
      </c>
      <c r="I3321" s="2">
        <v>133.22</v>
      </c>
      <c r="J3321">
        <v>1</v>
      </c>
      <c r="K3321" s="2">
        <v>11.1294</v>
      </c>
      <c r="L3321" s="3">
        <f>(Table1[[#This Row],[Profit]]/Table1[[#This Row],[Sales]])*100</f>
        <v>8.3541510283741189</v>
      </c>
    </row>
    <row r="3322" spans="1:12" x14ac:dyDescent="0.3">
      <c r="A3322" t="s">
        <v>327</v>
      </c>
      <c r="B3322" s="1">
        <v>43505</v>
      </c>
      <c r="C3322" t="s">
        <v>328</v>
      </c>
      <c r="D3322" t="s">
        <v>329</v>
      </c>
      <c r="E3322" t="s">
        <v>14</v>
      </c>
      <c r="F3322" t="s">
        <v>23</v>
      </c>
      <c r="G3322" t="s">
        <v>18</v>
      </c>
      <c r="H3322" t="s">
        <v>330</v>
      </c>
      <c r="I3322" s="2">
        <v>31.86</v>
      </c>
      <c r="J3322">
        <v>2</v>
      </c>
      <c r="K3322" s="2">
        <v>11.151</v>
      </c>
      <c r="L3322" s="3">
        <f>(Table1[[#This Row],[Profit]]/Table1[[#This Row],[Sales]])*100</f>
        <v>35</v>
      </c>
    </row>
    <row r="3323" spans="1:12" x14ac:dyDescent="0.3">
      <c r="A3323" t="s">
        <v>2190</v>
      </c>
      <c r="B3323" s="1">
        <v>43671</v>
      </c>
      <c r="C3323" t="s">
        <v>871</v>
      </c>
      <c r="D3323" t="s">
        <v>872</v>
      </c>
      <c r="E3323" t="s">
        <v>14</v>
      </c>
      <c r="F3323" t="s">
        <v>23</v>
      </c>
      <c r="G3323" t="s">
        <v>24</v>
      </c>
      <c r="H3323" t="s">
        <v>2191</v>
      </c>
      <c r="I3323" s="2">
        <v>37.17</v>
      </c>
      <c r="J3323">
        <v>9</v>
      </c>
      <c r="K3323" s="2">
        <v>11.151</v>
      </c>
      <c r="L3323" s="3">
        <f>(Table1[[#This Row],[Profit]]/Table1[[#This Row],[Sales]])*100</f>
        <v>30</v>
      </c>
    </row>
    <row r="3324" spans="1:12" x14ac:dyDescent="0.3">
      <c r="A3324" t="s">
        <v>2648</v>
      </c>
      <c r="B3324" s="1">
        <v>43714</v>
      </c>
      <c r="C3324" t="s">
        <v>2649</v>
      </c>
      <c r="D3324" t="s">
        <v>2650</v>
      </c>
      <c r="E3324" t="s">
        <v>14</v>
      </c>
      <c r="F3324" t="s">
        <v>15</v>
      </c>
      <c r="G3324" t="s">
        <v>18</v>
      </c>
      <c r="H3324" t="s">
        <v>330</v>
      </c>
      <c r="I3324" s="2">
        <v>31.86</v>
      </c>
      <c r="J3324">
        <v>2</v>
      </c>
      <c r="K3324" s="2">
        <v>11.151</v>
      </c>
      <c r="L3324" s="3">
        <f>(Table1[[#This Row],[Profit]]/Table1[[#This Row],[Sales]])*100</f>
        <v>35</v>
      </c>
    </row>
    <row r="3325" spans="1:12" x14ac:dyDescent="0.3">
      <c r="A3325" t="s">
        <v>5101</v>
      </c>
      <c r="B3325" s="1">
        <v>44046</v>
      </c>
      <c r="C3325" t="s">
        <v>428</v>
      </c>
      <c r="D3325" t="s">
        <v>429</v>
      </c>
      <c r="E3325" t="s">
        <v>14</v>
      </c>
      <c r="F3325" t="s">
        <v>23</v>
      </c>
      <c r="G3325" t="s">
        <v>16</v>
      </c>
      <c r="H3325" t="s">
        <v>307</v>
      </c>
      <c r="I3325" s="2">
        <v>168.96</v>
      </c>
      <c r="J3325">
        <v>3</v>
      </c>
      <c r="K3325" s="2">
        <v>11.1564</v>
      </c>
      <c r="L3325" s="3">
        <f>(Table1[[#This Row],[Profit]]/Table1[[#This Row],[Sales]])*100</f>
        <v>6.6029829545454541</v>
      </c>
    </row>
    <row r="3326" spans="1:12" x14ac:dyDescent="0.3">
      <c r="A3326" t="s">
        <v>3521</v>
      </c>
      <c r="B3326" s="1">
        <v>43791</v>
      </c>
      <c r="C3326" t="s">
        <v>192</v>
      </c>
      <c r="D3326" t="s">
        <v>193</v>
      </c>
      <c r="E3326" t="s">
        <v>14</v>
      </c>
      <c r="F3326" t="s">
        <v>15</v>
      </c>
      <c r="G3326" t="s">
        <v>16</v>
      </c>
      <c r="H3326" t="s">
        <v>3522</v>
      </c>
      <c r="I3326" s="2">
        <v>39.880000000000003</v>
      </c>
      <c r="J3326">
        <v>2</v>
      </c>
      <c r="K3326" s="2">
        <v>11.166399999999999</v>
      </c>
      <c r="L3326" s="3">
        <f>(Table1[[#This Row],[Profit]]/Table1[[#This Row],[Sales]])*100</f>
        <v>27.999999999999996</v>
      </c>
    </row>
    <row r="3327" spans="1:12" x14ac:dyDescent="0.3">
      <c r="A3327" t="s">
        <v>783</v>
      </c>
      <c r="B3327" s="1">
        <v>43551</v>
      </c>
      <c r="C3327" t="s">
        <v>784</v>
      </c>
      <c r="D3327" t="s">
        <v>785</v>
      </c>
      <c r="E3327" t="s">
        <v>14</v>
      </c>
      <c r="F3327" t="s">
        <v>41</v>
      </c>
      <c r="G3327" t="s">
        <v>16</v>
      </c>
      <c r="H3327" t="s">
        <v>786</v>
      </c>
      <c r="I3327" s="2">
        <v>39.92</v>
      </c>
      <c r="J3327">
        <v>4</v>
      </c>
      <c r="K3327" s="2">
        <v>11.1776</v>
      </c>
      <c r="L3327" s="3">
        <f>(Table1[[#This Row],[Profit]]/Table1[[#This Row],[Sales]])*100</f>
        <v>27.999999999999996</v>
      </c>
    </row>
    <row r="3328" spans="1:12" x14ac:dyDescent="0.3">
      <c r="A3328" t="s">
        <v>3150</v>
      </c>
      <c r="B3328" s="1">
        <v>43760</v>
      </c>
      <c r="C3328" t="s">
        <v>435</v>
      </c>
      <c r="D3328" t="s">
        <v>436</v>
      </c>
      <c r="E3328" t="s">
        <v>14</v>
      </c>
      <c r="F3328" t="s">
        <v>41</v>
      </c>
      <c r="G3328" t="s">
        <v>16</v>
      </c>
      <c r="H3328" t="s">
        <v>786</v>
      </c>
      <c r="I3328" s="2">
        <v>39.92</v>
      </c>
      <c r="J3328">
        <v>4</v>
      </c>
      <c r="K3328" s="2">
        <v>11.1776</v>
      </c>
      <c r="L3328" s="3">
        <f>(Table1[[#This Row],[Profit]]/Table1[[#This Row],[Sales]])*100</f>
        <v>27.999999999999996</v>
      </c>
    </row>
    <row r="3329" spans="1:12" x14ac:dyDescent="0.3">
      <c r="A3329" t="s">
        <v>3841</v>
      </c>
      <c r="B3329" s="1">
        <v>43817</v>
      </c>
      <c r="C3329" t="s">
        <v>3175</v>
      </c>
      <c r="D3329" t="s">
        <v>3176</v>
      </c>
      <c r="E3329" t="s">
        <v>14</v>
      </c>
      <c r="F3329" t="s">
        <v>23</v>
      </c>
      <c r="G3329" t="s">
        <v>16</v>
      </c>
      <c r="H3329" t="s">
        <v>786</v>
      </c>
      <c r="I3329" s="2">
        <v>39.92</v>
      </c>
      <c r="J3329">
        <v>4</v>
      </c>
      <c r="K3329" s="2">
        <v>11.1776</v>
      </c>
      <c r="L3329" s="3">
        <f>(Table1[[#This Row],[Profit]]/Table1[[#This Row],[Sales]])*100</f>
        <v>27.999999999999996</v>
      </c>
    </row>
    <row r="3330" spans="1:12" x14ac:dyDescent="0.3">
      <c r="A3330" t="s">
        <v>5051</v>
      </c>
      <c r="B3330" s="1">
        <v>44035</v>
      </c>
      <c r="C3330" t="s">
        <v>1805</v>
      </c>
      <c r="D3330" t="s">
        <v>1806</v>
      </c>
      <c r="E3330" t="s">
        <v>14</v>
      </c>
      <c r="F3330" t="s">
        <v>29</v>
      </c>
      <c r="G3330" t="s">
        <v>18</v>
      </c>
      <c r="H3330" t="s">
        <v>3344</v>
      </c>
      <c r="I3330" s="2">
        <v>191.75</v>
      </c>
      <c r="J3330">
        <v>5</v>
      </c>
      <c r="K3330" s="2">
        <v>11.182499999999999</v>
      </c>
      <c r="L3330" s="3">
        <f>(Table1[[#This Row],[Profit]]/Table1[[#This Row],[Sales]])*100</f>
        <v>5.8318122555410685</v>
      </c>
    </row>
    <row r="3331" spans="1:12" x14ac:dyDescent="0.3">
      <c r="A3331" t="s">
        <v>3774</v>
      </c>
      <c r="B3331" s="1">
        <v>43810</v>
      </c>
      <c r="C3331" t="s">
        <v>118</v>
      </c>
      <c r="D3331" t="s">
        <v>119</v>
      </c>
      <c r="E3331" t="s">
        <v>14</v>
      </c>
      <c r="F3331" t="s">
        <v>23</v>
      </c>
      <c r="G3331" t="s">
        <v>24</v>
      </c>
      <c r="H3331" t="s">
        <v>1423</v>
      </c>
      <c r="I3331" s="2">
        <v>35.808</v>
      </c>
      <c r="J3331">
        <v>3</v>
      </c>
      <c r="K3331" s="2">
        <v>11.19</v>
      </c>
      <c r="L3331" s="3">
        <f>(Table1[[#This Row],[Profit]]/Table1[[#This Row],[Sales]])*100</f>
        <v>31.25</v>
      </c>
    </row>
    <row r="3332" spans="1:12" x14ac:dyDescent="0.3">
      <c r="A3332" t="s">
        <v>1609</v>
      </c>
      <c r="B3332" s="1">
        <v>43620</v>
      </c>
      <c r="C3332" t="s">
        <v>1472</v>
      </c>
      <c r="D3332" t="s">
        <v>1473</v>
      </c>
      <c r="E3332" t="s">
        <v>14</v>
      </c>
      <c r="F3332" t="s">
        <v>29</v>
      </c>
      <c r="G3332" t="s">
        <v>18</v>
      </c>
      <c r="H3332" t="s">
        <v>1611</v>
      </c>
      <c r="I3332" s="2">
        <v>31.984000000000002</v>
      </c>
      <c r="J3332">
        <v>2</v>
      </c>
      <c r="K3332" s="2">
        <v>11.1944</v>
      </c>
      <c r="L3332" s="3">
        <f>(Table1[[#This Row],[Profit]]/Table1[[#This Row],[Sales]])*100</f>
        <v>35</v>
      </c>
    </row>
    <row r="3333" spans="1:12" x14ac:dyDescent="0.3">
      <c r="A3333" t="s">
        <v>1588</v>
      </c>
      <c r="B3333" s="1">
        <v>43615</v>
      </c>
      <c r="C3333" t="s">
        <v>1589</v>
      </c>
      <c r="D3333" t="s">
        <v>1590</v>
      </c>
      <c r="E3333" t="s">
        <v>14</v>
      </c>
      <c r="F3333" t="s">
        <v>29</v>
      </c>
      <c r="G3333" t="s">
        <v>18</v>
      </c>
      <c r="H3333" t="s">
        <v>1587</v>
      </c>
      <c r="I3333" s="2">
        <v>223.96</v>
      </c>
      <c r="J3333">
        <v>5</v>
      </c>
      <c r="K3333" s="2">
        <v>11.198</v>
      </c>
      <c r="L3333" s="3">
        <f>(Table1[[#This Row],[Profit]]/Table1[[#This Row],[Sales]])*100</f>
        <v>5</v>
      </c>
    </row>
    <row r="3334" spans="1:12" x14ac:dyDescent="0.3">
      <c r="A3334" t="s">
        <v>2418</v>
      </c>
      <c r="B3334" s="1">
        <v>43700</v>
      </c>
      <c r="C3334" t="s">
        <v>2419</v>
      </c>
      <c r="D3334" t="s">
        <v>2420</v>
      </c>
      <c r="E3334" t="s">
        <v>14</v>
      </c>
      <c r="F3334" t="s">
        <v>23</v>
      </c>
      <c r="G3334" t="s">
        <v>24</v>
      </c>
      <c r="H3334" t="s">
        <v>2421</v>
      </c>
      <c r="I3334" s="2">
        <v>43.1</v>
      </c>
      <c r="J3334">
        <v>5</v>
      </c>
      <c r="K3334" s="2">
        <v>11.206</v>
      </c>
      <c r="L3334" s="3">
        <f>(Table1[[#This Row],[Profit]]/Table1[[#This Row],[Sales]])*100</f>
        <v>25.999999999999996</v>
      </c>
    </row>
    <row r="3335" spans="1:12" x14ac:dyDescent="0.3">
      <c r="A3335" t="s">
        <v>5249</v>
      </c>
      <c r="B3335" s="1">
        <v>44076</v>
      </c>
      <c r="C3335" t="s">
        <v>1745</v>
      </c>
      <c r="D3335" t="s">
        <v>1746</v>
      </c>
      <c r="E3335" t="s">
        <v>14</v>
      </c>
      <c r="F3335" t="s">
        <v>23</v>
      </c>
      <c r="G3335" t="s">
        <v>24</v>
      </c>
      <c r="H3335" t="s">
        <v>2421</v>
      </c>
      <c r="I3335" s="2">
        <v>179.1</v>
      </c>
      <c r="J3335">
        <v>5</v>
      </c>
      <c r="K3335" s="2">
        <v>11.206</v>
      </c>
      <c r="L3335" s="3">
        <f>(Table1[[#This Row],[Profit]]/Table1[[#This Row],[Sales]])*100</f>
        <v>6.2568397543271912</v>
      </c>
    </row>
    <row r="3336" spans="1:12" x14ac:dyDescent="0.3">
      <c r="A3336" t="s">
        <v>3222</v>
      </c>
      <c r="B3336" s="1">
        <v>43769</v>
      </c>
      <c r="C3336" t="s">
        <v>3223</v>
      </c>
      <c r="D3336" t="s">
        <v>3224</v>
      </c>
      <c r="E3336" t="s">
        <v>14</v>
      </c>
      <c r="F3336" t="s">
        <v>41</v>
      </c>
      <c r="G3336" t="s">
        <v>24</v>
      </c>
      <c r="H3336" t="s">
        <v>1295</v>
      </c>
      <c r="I3336" s="2">
        <v>32.064</v>
      </c>
      <c r="J3336">
        <v>6</v>
      </c>
      <c r="K3336" s="2">
        <v>11.2224</v>
      </c>
      <c r="L3336" s="3">
        <f>(Table1[[#This Row],[Profit]]/Table1[[#This Row],[Sales]])*100</f>
        <v>35</v>
      </c>
    </row>
    <row r="3337" spans="1:12" x14ac:dyDescent="0.3">
      <c r="A3337" t="s">
        <v>2568</v>
      </c>
      <c r="B3337" s="1">
        <v>43711</v>
      </c>
      <c r="C3337" t="s">
        <v>2569</v>
      </c>
      <c r="D3337" t="s">
        <v>2570</v>
      </c>
      <c r="E3337" t="s">
        <v>14</v>
      </c>
      <c r="F3337" t="s">
        <v>15</v>
      </c>
      <c r="G3337" t="s">
        <v>24</v>
      </c>
      <c r="H3337" t="s">
        <v>2483</v>
      </c>
      <c r="I3337" s="2">
        <v>30.96</v>
      </c>
      <c r="J3337">
        <v>6</v>
      </c>
      <c r="K3337" s="2">
        <v>11.223000000000001</v>
      </c>
      <c r="L3337" s="3">
        <f>(Table1[[#This Row],[Profit]]/Table1[[#This Row],[Sales]])*100</f>
        <v>36.25</v>
      </c>
    </row>
    <row r="3338" spans="1:12" x14ac:dyDescent="0.3">
      <c r="A3338" t="s">
        <v>4939</v>
      </c>
      <c r="B3338" s="1">
        <v>44015</v>
      </c>
      <c r="C3338" t="s">
        <v>2528</v>
      </c>
      <c r="D3338" t="s">
        <v>2529</v>
      </c>
      <c r="E3338" t="s">
        <v>14</v>
      </c>
      <c r="F3338" t="s">
        <v>15</v>
      </c>
      <c r="G3338" t="s">
        <v>24</v>
      </c>
      <c r="H3338" t="s">
        <v>2483</v>
      </c>
      <c r="I3338" s="2">
        <v>138.96</v>
      </c>
      <c r="J3338">
        <v>6</v>
      </c>
      <c r="K3338" s="2">
        <v>11.223000000000001</v>
      </c>
      <c r="L3338" s="3">
        <f>(Table1[[#This Row],[Profit]]/Table1[[#This Row],[Sales]])*100</f>
        <v>8.0764248704663206</v>
      </c>
    </row>
    <row r="3339" spans="1:12" x14ac:dyDescent="0.3">
      <c r="A3339" t="s">
        <v>6227</v>
      </c>
      <c r="B3339" s="1">
        <v>44186</v>
      </c>
      <c r="C3339" t="s">
        <v>1038</v>
      </c>
      <c r="D3339" t="s">
        <v>1039</v>
      </c>
      <c r="E3339" t="s">
        <v>14</v>
      </c>
      <c r="F3339" t="s">
        <v>41</v>
      </c>
      <c r="G3339" t="s">
        <v>24</v>
      </c>
      <c r="H3339" t="s">
        <v>1790</v>
      </c>
      <c r="I3339" s="2">
        <v>467.88</v>
      </c>
      <c r="J3339">
        <v>6</v>
      </c>
      <c r="K3339" s="2">
        <v>11.223599999999999</v>
      </c>
      <c r="L3339" s="3">
        <f>(Table1[[#This Row],[Profit]]/Table1[[#This Row],[Sales]])*100</f>
        <v>2.398820210310336</v>
      </c>
    </row>
    <row r="3340" spans="1:12" x14ac:dyDescent="0.3">
      <c r="A3340" t="s">
        <v>6286</v>
      </c>
      <c r="B3340" s="1">
        <v>44193</v>
      </c>
      <c r="C3340" t="s">
        <v>5362</v>
      </c>
      <c r="D3340" t="s">
        <v>5363</v>
      </c>
      <c r="E3340" t="s">
        <v>14</v>
      </c>
      <c r="F3340" t="s">
        <v>15</v>
      </c>
      <c r="G3340" t="s">
        <v>24</v>
      </c>
      <c r="H3340" t="s">
        <v>37</v>
      </c>
      <c r="I3340" s="2">
        <v>158.26400000000001</v>
      </c>
      <c r="J3340">
        <v>7</v>
      </c>
      <c r="K3340" s="2">
        <v>11.226599999999999</v>
      </c>
      <c r="L3340" s="3">
        <f>(Table1[[#This Row],[Profit]]/Table1[[#This Row],[Sales]])*100</f>
        <v>7.0935904564525085</v>
      </c>
    </row>
    <row r="3341" spans="1:12" x14ac:dyDescent="0.3">
      <c r="A3341" t="s">
        <v>3129</v>
      </c>
      <c r="B3341" s="1">
        <v>43759</v>
      </c>
      <c r="C3341" t="s">
        <v>59</v>
      </c>
      <c r="D3341" t="s">
        <v>60</v>
      </c>
      <c r="E3341" t="s">
        <v>14</v>
      </c>
      <c r="F3341" t="s">
        <v>23</v>
      </c>
      <c r="G3341" t="s">
        <v>24</v>
      </c>
      <c r="H3341" t="s">
        <v>468</v>
      </c>
      <c r="I3341" s="2">
        <v>22.92</v>
      </c>
      <c r="J3341">
        <v>3</v>
      </c>
      <c r="K3341" s="2">
        <v>11.2308</v>
      </c>
      <c r="L3341" s="3">
        <f>(Table1[[#This Row],[Profit]]/Table1[[#This Row],[Sales]])*100</f>
        <v>49</v>
      </c>
    </row>
    <row r="3342" spans="1:12" x14ac:dyDescent="0.3">
      <c r="A3342" t="s">
        <v>3634</v>
      </c>
      <c r="B3342" s="1">
        <v>43800</v>
      </c>
      <c r="C3342" t="s">
        <v>2520</v>
      </c>
      <c r="D3342" t="s">
        <v>2521</v>
      </c>
      <c r="E3342" t="s">
        <v>14</v>
      </c>
      <c r="F3342" t="s">
        <v>23</v>
      </c>
      <c r="G3342" t="s">
        <v>24</v>
      </c>
      <c r="H3342" t="s">
        <v>3651</v>
      </c>
      <c r="I3342" s="2">
        <v>22.92</v>
      </c>
      <c r="J3342">
        <v>3</v>
      </c>
      <c r="K3342" s="2">
        <v>11.2308</v>
      </c>
      <c r="L3342" s="3">
        <f>(Table1[[#This Row],[Profit]]/Table1[[#This Row],[Sales]])*100</f>
        <v>49</v>
      </c>
    </row>
    <row r="3343" spans="1:12" x14ac:dyDescent="0.3">
      <c r="A3343" t="s">
        <v>5197</v>
      </c>
      <c r="B3343" s="1">
        <v>44064</v>
      </c>
      <c r="C3343" t="s">
        <v>1038</v>
      </c>
      <c r="D3343" t="s">
        <v>1039</v>
      </c>
      <c r="E3343" t="s">
        <v>14</v>
      </c>
      <c r="F3343" t="s">
        <v>15</v>
      </c>
      <c r="G3343" t="s">
        <v>24</v>
      </c>
      <c r="H3343" t="s">
        <v>5200</v>
      </c>
      <c r="I3343" s="2">
        <v>139.08799999999999</v>
      </c>
      <c r="J3343">
        <v>7</v>
      </c>
      <c r="K3343" s="2">
        <v>11.2308</v>
      </c>
      <c r="L3343" s="3">
        <f>(Table1[[#This Row],[Profit]]/Table1[[#This Row],[Sales]])*100</f>
        <v>8.0746002530771896</v>
      </c>
    </row>
    <row r="3344" spans="1:12" x14ac:dyDescent="0.3">
      <c r="A3344" t="s">
        <v>2461</v>
      </c>
      <c r="B3344" s="1">
        <v>43703</v>
      </c>
      <c r="C3344" t="s">
        <v>2462</v>
      </c>
      <c r="D3344" t="s">
        <v>2463</v>
      </c>
      <c r="E3344" t="s">
        <v>14</v>
      </c>
      <c r="F3344" t="s">
        <v>41</v>
      </c>
      <c r="G3344" t="s">
        <v>24</v>
      </c>
      <c r="H3344" t="s">
        <v>2464</v>
      </c>
      <c r="I3344" s="2">
        <v>31.007999999999999</v>
      </c>
      <c r="J3344">
        <v>1</v>
      </c>
      <c r="K3344" s="2">
        <v>11.240399999999999</v>
      </c>
      <c r="L3344" s="3">
        <f>(Table1[[#This Row],[Profit]]/Table1[[#This Row],[Sales]])*100</f>
        <v>36.25</v>
      </c>
    </row>
    <row r="3345" spans="1:12" x14ac:dyDescent="0.3">
      <c r="A3345" t="s">
        <v>5980</v>
      </c>
      <c r="B3345" s="1">
        <v>44156</v>
      </c>
      <c r="C3345" t="s">
        <v>3368</v>
      </c>
      <c r="D3345" t="s">
        <v>3369</v>
      </c>
      <c r="E3345" t="s">
        <v>14</v>
      </c>
      <c r="F3345" t="s">
        <v>15</v>
      </c>
      <c r="G3345" t="s">
        <v>16</v>
      </c>
      <c r="H3345" t="s">
        <v>3079</v>
      </c>
      <c r="I3345" s="2">
        <v>142.41999999999999</v>
      </c>
      <c r="J3345">
        <v>1</v>
      </c>
      <c r="K3345" s="2">
        <v>11.2422</v>
      </c>
      <c r="L3345" s="3">
        <f>(Table1[[#This Row],[Profit]]/Table1[[#This Row],[Sales]])*100</f>
        <v>7.8936947057997475</v>
      </c>
    </row>
    <row r="3346" spans="1:12" x14ac:dyDescent="0.3">
      <c r="A3346" t="s">
        <v>4958</v>
      </c>
      <c r="B3346" s="1">
        <v>44017</v>
      </c>
      <c r="C3346" t="s">
        <v>2088</v>
      </c>
      <c r="D3346" t="s">
        <v>2089</v>
      </c>
      <c r="E3346" t="s">
        <v>14</v>
      </c>
      <c r="F3346" t="s">
        <v>29</v>
      </c>
      <c r="G3346" t="s">
        <v>24</v>
      </c>
      <c r="H3346" t="s">
        <v>2758</v>
      </c>
      <c r="I3346" s="2">
        <v>125.104</v>
      </c>
      <c r="J3346">
        <v>6</v>
      </c>
      <c r="K3346" s="2">
        <v>11.2752</v>
      </c>
      <c r="L3346" s="3">
        <f>(Table1[[#This Row],[Profit]]/Table1[[#This Row],[Sales]])*100</f>
        <v>9.012661465660571</v>
      </c>
    </row>
    <row r="3347" spans="1:12" x14ac:dyDescent="0.3">
      <c r="A3347" t="s">
        <v>5345</v>
      </c>
      <c r="B3347" s="1">
        <v>44083</v>
      </c>
      <c r="C3347" t="s">
        <v>769</v>
      </c>
      <c r="D3347" t="s">
        <v>770</v>
      </c>
      <c r="E3347" t="s">
        <v>14</v>
      </c>
      <c r="F3347" t="s">
        <v>23</v>
      </c>
      <c r="G3347" t="s">
        <v>24</v>
      </c>
      <c r="H3347" t="s">
        <v>2622</v>
      </c>
      <c r="I3347" s="2">
        <v>162.10400000000001</v>
      </c>
      <c r="J3347">
        <v>6</v>
      </c>
      <c r="K3347" s="2">
        <v>11.2752</v>
      </c>
      <c r="L3347" s="3">
        <f>(Table1[[#This Row],[Profit]]/Table1[[#This Row],[Sales]])*100</f>
        <v>6.9555347184523511</v>
      </c>
    </row>
    <row r="3348" spans="1:12" x14ac:dyDescent="0.3">
      <c r="A3348" t="s">
        <v>4578</v>
      </c>
      <c r="B3348" s="1">
        <v>43955</v>
      </c>
      <c r="C3348" t="s">
        <v>1259</v>
      </c>
      <c r="D3348" t="s">
        <v>1260</v>
      </c>
      <c r="E3348" t="s">
        <v>14</v>
      </c>
      <c r="F3348" t="s">
        <v>23</v>
      </c>
      <c r="G3348" t="s">
        <v>16</v>
      </c>
      <c r="H3348" t="s">
        <v>1700</v>
      </c>
      <c r="I3348" s="2">
        <v>329.904</v>
      </c>
      <c r="J3348">
        <v>1</v>
      </c>
      <c r="K3348" s="2">
        <v>11.283899999999999</v>
      </c>
      <c r="L3348" s="3">
        <f>(Table1[[#This Row],[Profit]]/Table1[[#This Row],[Sales]])*100</f>
        <v>3.420358649789029</v>
      </c>
    </row>
    <row r="3349" spans="1:12" x14ac:dyDescent="0.3">
      <c r="A3349" t="s">
        <v>5403</v>
      </c>
      <c r="B3349" s="1">
        <v>44089</v>
      </c>
      <c r="C3349" t="s">
        <v>1333</v>
      </c>
      <c r="D3349" t="s">
        <v>1334</v>
      </c>
      <c r="E3349" t="s">
        <v>14</v>
      </c>
      <c r="F3349" t="s">
        <v>23</v>
      </c>
      <c r="G3349" t="s">
        <v>16</v>
      </c>
      <c r="H3349" t="s">
        <v>1700</v>
      </c>
      <c r="I3349" s="2">
        <v>335.904</v>
      </c>
      <c r="J3349">
        <v>1</v>
      </c>
      <c r="K3349" s="2">
        <v>11.283899999999999</v>
      </c>
      <c r="L3349" s="3">
        <f>(Table1[[#This Row],[Profit]]/Table1[[#This Row],[Sales]])*100</f>
        <v>3.359263360960274</v>
      </c>
    </row>
    <row r="3350" spans="1:12" x14ac:dyDescent="0.3">
      <c r="A3350" t="s">
        <v>4488</v>
      </c>
      <c r="B3350" s="1">
        <v>43938</v>
      </c>
      <c r="C3350" t="s">
        <v>558</v>
      </c>
      <c r="D3350" t="s">
        <v>559</v>
      </c>
      <c r="E3350" t="s">
        <v>14</v>
      </c>
      <c r="F3350" t="s">
        <v>23</v>
      </c>
      <c r="G3350" t="s">
        <v>24</v>
      </c>
      <c r="H3350" t="s">
        <v>3810</v>
      </c>
      <c r="I3350" s="2">
        <v>159.04</v>
      </c>
      <c r="J3350">
        <v>8</v>
      </c>
      <c r="K3350" s="2">
        <v>11.2896</v>
      </c>
      <c r="L3350" s="3">
        <f>(Table1[[#This Row],[Profit]]/Table1[[#This Row],[Sales]])*100</f>
        <v>7.0985915492957758</v>
      </c>
    </row>
    <row r="3351" spans="1:12" x14ac:dyDescent="0.3">
      <c r="A3351" t="s">
        <v>4326</v>
      </c>
      <c r="B3351" s="1">
        <v>43913</v>
      </c>
      <c r="C3351" t="s">
        <v>544</v>
      </c>
      <c r="D3351" t="s">
        <v>545</v>
      </c>
      <c r="E3351" t="s">
        <v>14</v>
      </c>
      <c r="F3351" t="s">
        <v>23</v>
      </c>
      <c r="G3351" t="s">
        <v>24</v>
      </c>
      <c r="H3351" t="s">
        <v>2748</v>
      </c>
      <c r="I3351" s="2">
        <v>145.76</v>
      </c>
      <c r="J3351">
        <v>5</v>
      </c>
      <c r="K3351" s="2">
        <v>11.297000000000001</v>
      </c>
      <c r="L3351" s="3">
        <f>(Table1[[#This Row],[Profit]]/Table1[[#This Row],[Sales]])*100</f>
        <v>7.7504116355653148</v>
      </c>
    </row>
    <row r="3352" spans="1:12" x14ac:dyDescent="0.3">
      <c r="A3352" t="s">
        <v>3497</v>
      </c>
      <c r="B3352" s="1">
        <v>43789</v>
      </c>
      <c r="C3352" t="s">
        <v>3498</v>
      </c>
      <c r="D3352" t="s">
        <v>3499</v>
      </c>
      <c r="E3352" t="s">
        <v>14</v>
      </c>
      <c r="F3352" t="s">
        <v>23</v>
      </c>
      <c r="G3352" t="s">
        <v>24</v>
      </c>
      <c r="H3352" t="s">
        <v>3500</v>
      </c>
      <c r="I3352" s="2">
        <v>39</v>
      </c>
      <c r="J3352">
        <v>12</v>
      </c>
      <c r="K3352" s="2">
        <v>11.31</v>
      </c>
      <c r="L3352" s="3">
        <f>(Table1[[#This Row],[Profit]]/Table1[[#This Row],[Sales]])*100</f>
        <v>29.000000000000004</v>
      </c>
    </row>
    <row r="3353" spans="1:12" x14ac:dyDescent="0.3">
      <c r="A3353" t="s">
        <v>1517</v>
      </c>
      <c r="B3353" s="1">
        <v>43611</v>
      </c>
      <c r="C3353" t="s">
        <v>1197</v>
      </c>
      <c r="D3353" t="s">
        <v>1198</v>
      </c>
      <c r="E3353" t="s">
        <v>14</v>
      </c>
      <c r="F3353" t="s">
        <v>29</v>
      </c>
      <c r="G3353" t="s">
        <v>16</v>
      </c>
      <c r="H3353" t="s">
        <v>277</v>
      </c>
      <c r="I3353" s="2">
        <v>26.94</v>
      </c>
      <c r="J3353">
        <v>3</v>
      </c>
      <c r="K3353" s="2">
        <v>11.3148</v>
      </c>
      <c r="L3353" s="3">
        <f>(Table1[[#This Row],[Profit]]/Table1[[#This Row],[Sales]])*100</f>
        <v>42</v>
      </c>
    </row>
    <row r="3354" spans="1:12" x14ac:dyDescent="0.3">
      <c r="A3354" t="s">
        <v>1134</v>
      </c>
      <c r="B3354" s="1">
        <v>43578</v>
      </c>
      <c r="C3354" t="s">
        <v>1135</v>
      </c>
      <c r="D3354" t="s">
        <v>1136</v>
      </c>
      <c r="E3354" t="s">
        <v>14</v>
      </c>
      <c r="F3354" t="s">
        <v>41</v>
      </c>
      <c r="G3354" t="s">
        <v>24</v>
      </c>
      <c r="H3354" t="s">
        <v>1137</v>
      </c>
      <c r="I3354" s="2">
        <v>36.24</v>
      </c>
      <c r="J3354">
        <v>5</v>
      </c>
      <c r="K3354" s="2">
        <v>11.324999999999999</v>
      </c>
      <c r="L3354" s="3">
        <f>(Table1[[#This Row],[Profit]]/Table1[[#This Row],[Sales]])*100</f>
        <v>31.249999999999993</v>
      </c>
    </row>
    <row r="3355" spans="1:12" x14ac:dyDescent="0.3">
      <c r="A3355" t="s">
        <v>4122</v>
      </c>
      <c r="B3355" s="1">
        <v>43871</v>
      </c>
      <c r="C3355" t="s">
        <v>1384</v>
      </c>
      <c r="D3355" t="s">
        <v>1385</v>
      </c>
      <c r="E3355" t="s">
        <v>14</v>
      </c>
      <c r="F3355" t="s">
        <v>15</v>
      </c>
      <c r="G3355" t="s">
        <v>24</v>
      </c>
      <c r="H3355" t="s">
        <v>3675</v>
      </c>
      <c r="I3355" s="2">
        <v>1958.12</v>
      </c>
      <c r="J3355">
        <v>4</v>
      </c>
      <c r="K3355" s="2">
        <v>11.328799999999999</v>
      </c>
      <c r="L3355" s="3">
        <f>(Table1[[#This Row],[Profit]]/Table1[[#This Row],[Sales]])*100</f>
        <v>0.57855494045308764</v>
      </c>
    </row>
    <row r="3356" spans="1:12" x14ac:dyDescent="0.3">
      <c r="A3356" t="s">
        <v>4183</v>
      </c>
      <c r="B3356" s="1">
        <v>43887</v>
      </c>
      <c r="C3356" t="s">
        <v>169</v>
      </c>
      <c r="D3356" t="s">
        <v>170</v>
      </c>
      <c r="E3356" t="s">
        <v>14</v>
      </c>
      <c r="F3356" t="s">
        <v>23</v>
      </c>
      <c r="G3356" t="s">
        <v>24</v>
      </c>
      <c r="H3356" t="s">
        <v>3343</v>
      </c>
      <c r="I3356" s="2">
        <v>116.12</v>
      </c>
      <c r="J3356">
        <v>4</v>
      </c>
      <c r="K3356" s="2">
        <v>11.328799999999999</v>
      </c>
      <c r="L3356" s="3">
        <f>(Table1[[#This Row],[Profit]]/Table1[[#This Row],[Sales]])*100</f>
        <v>9.7561143644505677</v>
      </c>
    </row>
    <row r="3357" spans="1:12" x14ac:dyDescent="0.3">
      <c r="A3357" t="s">
        <v>4791</v>
      </c>
      <c r="B3357" s="1">
        <v>43991</v>
      </c>
      <c r="C3357" t="s">
        <v>2494</v>
      </c>
      <c r="D3357" t="s">
        <v>2495</v>
      </c>
      <c r="E3357" t="s">
        <v>14</v>
      </c>
      <c r="F3357" t="s">
        <v>29</v>
      </c>
      <c r="G3357" t="s">
        <v>24</v>
      </c>
      <c r="H3357" t="s">
        <v>1084</v>
      </c>
      <c r="I3357" s="2">
        <v>124.352</v>
      </c>
      <c r="J3357">
        <v>8</v>
      </c>
      <c r="K3357" s="2">
        <v>11.36</v>
      </c>
      <c r="L3357" s="3">
        <f>(Table1[[#This Row],[Profit]]/Table1[[#This Row],[Sales]])*100</f>
        <v>9.135357694287185</v>
      </c>
    </row>
    <row r="3358" spans="1:12" x14ac:dyDescent="0.3">
      <c r="A3358" t="s">
        <v>1546</v>
      </c>
      <c r="B3358" s="1">
        <v>43614</v>
      </c>
      <c r="C3358" t="s">
        <v>1547</v>
      </c>
      <c r="D3358" t="s">
        <v>1548</v>
      </c>
      <c r="E3358" t="s">
        <v>14</v>
      </c>
      <c r="F3358" t="s">
        <v>41</v>
      </c>
      <c r="G3358" t="s">
        <v>24</v>
      </c>
      <c r="H3358" t="s">
        <v>264</v>
      </c>
      <c r="I3358" s="2">
        <v>22.75</v>
      </c>
      <c r="J3358">
        <v>5</v>
      </c>
      <c r="K3358" s="2">
        <v>11.375</v>
      </c>
      <c r="L3358" s="3">
        <f>(Table1[[#This Row],[Profit]]/Table1[[#This Row],[Sales]])*100</f>
        <v>50</v>
      </c>
    </row>
    <row r="3359" spans="1:12" x14ac:dyDescent="0.3">
      <c r="A3359" t="s">
        <v>5225</v>
      </c>
      <c r="B3359" s="1">
        <v>44071</v>
      </c>
      <c r="C3359" t="s">
        <v>2140</v>
      </c>
      <c r="D3359" t="s">
        <v>2141</v>
      </c>
      <c r="E3359" t="s">
        <v>14</v>
      </c>
      <c r="F3359" t="s">
        <v>23</v>
      </c>
      <c r="G3359" t="s">
        <v>18</v>
      </c>
      <c r="H3359" t="s">
        <v>5227</v>
      </c>
      <c r="I3359" s="2">
        <v>150.16800000000001</v>
      </c>
      <c r="J3359">
        <v>4</v>
      </c>
      <c r="K3359" s="2">
        <v>11.429600000000001</v>
      </c>
      <c r="L3359" s="3">
        <f>(Table1[[#This Row],[Profit]]/Table1[[#This Row],[Sales]])*100</f>
        <v>7.6112087795002932</v>
      </c>
    </row>
    <row r="3360" spans="1:12" x14ac:dyDescent="0.3">
      <c r="A3360" t="s">
        <v>3403</v>
      </c>
      <c r="B3360" s="1">
        <v>43782</v>
      </c>
      <c r="C3360" t="s">
        <v>1661</v>
      </c>
      <c r="D3360" t="s">
        <v>1662</v>
      </c>
      <c r="E3360" t="s">
        <v>14</v>
      </c>
      <c r="F3360" t="s">
        <v>23</v>
      </c>
      <c r="G3360" t="s">
        <v>24</v>
      </c>
      <c r="H3360" t="s">
        <v>835</v>
      </c>
      <c r="I3360" s="2">
        <v>44.02</v>
      </c>
      <c r="J3360">
        <v>2</v>
      </c>
      <c r="K3360" s="2">
        <v>11.4452</v>
      </c>
      <c r="L3360" s="3">
        <f>(Table1[[#This Row],[Profit]]/Table1[[#This Row],[Sales]])*100</f>
        <v>25.999999999999996</v>
      </c>
    </row>
    <row r="3361" spans="1:12" x14ac:dyDescent="0.3">
      <c r="A3361" t="s">
        <v>3382</v>
      </c>
      <c r="B3361" s="1">
        <v>43780</v>
      </c>
      <c r="C3361" t="s">
        <v>942</v>
      </c>
      <c r="D3361" t="s">
        <v>943</v>
      </c>
      <c r="E3361" t="s">
        <v>14</v>
      </c>
      <c r="F3361" t="s">
        <v>15</v>
      </c>
      <c r="G3361" t="s">
        <v>24</v>
      </c>
      <c r="H3361" t="s">
        <v>71</v>
      </c>
      <c r="I3361" s="2">
        <v>35.231999999999999</v>
      </c>
      <c r="J3361">
        <v>3</v>
      </c>
      <c r="K3361" s="2">
        <v>11.4504</v>
      </c>
      <c r="L3361" s="3">
        <f>(Table1[[#This Row],[Profit]]/Table1[[#This Row],[Sales]])*100</f>
        <v>32.5</v>
      </c>
    </row>
    <row r="3362" spans="1:12" x14ac:dyDescent="0.3">
      <c r="A3362" t="s">
        <v>3661</v>
      </c>
      <c r="B3362" s="1">
        <v>43801</v>
      </c>
      <c r="C3362" t="s">
        <v>3662</v>
      </c>
      <c r="D3362" t="s">
        <v>3663</v>
      </c>
      <c r="E3362" t="s">
        <v>14</v>
      </c>
      <c r="F3362" t="s">
        <v>15</v>
      </c>
      <c r="G3362" t="s">
        <v>24</v>
      </c>
      <c r="H3362" t="s">
        <v>71</v>
      </c>
      <c r="I3362" s="2">
        <v>35.231999999999999</v>
      </c>
      <c r="J3362">
        <v>3</v>
      </c>
      <c r="K3362" s="2">
        <v>11.4504</v>
      </c>
      <c r="L3362" s="3">
        <f>(Table1[[#This Row],[Profit]]/Table1[[#This Row],[Sales]])*100</f>
        <v>32.5</v>
      </c>
    </row>
    <row r="3363" spans="1:12" x14ac:dyDescent="0.3">
      <c r="A3363" t="s">
        <v>3077</v>
      </c>
      <c r="B3363" s="1">
        <v>43751</v>
      </c>
      <c r="C3363" t="s">
        <v>3037</v>
      </c>
      <c r="D3363" t="s">
        <v>3038</v>
      </c>
      <c r="E3363" t="s">
        <v>14</v>
      </c>
      <c r="F3363" t="s">
        <v>15</v>
      </c>
      <c r="G3363" t="s">
        <v>24</v>
      </c>
      <c r="H3363" t="s">
        <v>1629</v>
      </c>
      <c r="I3363" s="2">
        <v>24.9</v>
      </c>
      <c r="J3363">
        <v>5</v>
      </c>
      <c r="K3363" s="2">
        <v>11.454000000000001</v>
      </c>
      <c r="L3363" s="3">
        <f>(Table1[[#This Row],[Profit]]/Table1[[#This Row],[Sales]])*100</f>
        <v>46.000000000000007</v>
      </c>
    </row>
    <row r="3364" spans="1:12" x14ac:dyDescent="0.3">
      <c r="A3364" t="s">
        <v>5088</v>
      </c>
      <c r="B3364" s="1">
        <v>44043</v>
      </c>
      <c r="C3364" t="s">
        <v>3795</v>
      </c>
      <c r="D3364" t="s">
        <v>3796</v>
      </c>
      <c r="E3364" t="s">
        <v>14</v>
      </c>
      <c r="F3364" t="s">
        <v>23</v>
      </c>
      <c r="G3364" t="s">
        <v>16</v>
      </c>
      <c r="H3364" t="s">
        <v>3915</v>
      </c>
      <c r="I3364" s="2">
        <v>104.96</v>
      </c>
      <c r="J3364">
        <v>7</v>
      </c>
      <c r="K3364" s="2">
        <v>11.457599999999999</v>
      </c>
      <c r="L3364" s="3">
        <f>(Table1[[#This Row],[Profit]]/Table1[[#This Row],[Sales]])*100</f>
        <v>10.916158536585366</v>
      </c>
    </row>
    <row r="3365" spans="1:12" x14ac:dyDescent="0.3">
      <c r="A3365" t="s">
        <v>6216</v>
      </c>
      <c r="B3365" s="1">
        <v>44184</v>
      </c>
      <c r="C3365" t="s">
        <v>1125</v>
      </c>
      <c r="D3365" t="s">
        <v>1126</v>
      </c>
      <c r="E3365" t="s">
        <v>14</v>
      </c>
      <c r="F3365" t="s">
        <v>23</v>
      </c>
      <c r="G3365" t="s">
        <v>24</v>
      </c>
      <c r="H3365" t="s">
        <v>2460</v>
      </c>
      <c r="I3365" s="2">
        <v>488.67200000000003</v>
      </c>
      <c r="J3365">
        <v>2</v>
      </c>
      <c r="K3365" s="2">
        <v>11.46</v>
      </c>
      <c r="L3365" s="3">
        <f>(Table1[[#This Row],[Profit]]/Table1[[#This Row],[Sales]])*100</f>
        <v>2.3451312946107001</v>
      </c>
    </row>
    <row r="3366" spans="1:12" x14ac:dyDescent="0.3">
      <c r="A3366" t="s">
        <v>3538</v>
      </c>
      <c r="B3366" s="1">
        <v>43793</v>
      </c>
      <c r="C3366" t="s">
        <v>3539</v>
      </c>
      <c r="D3366" t="s">
        <v>3540</v>
      </c>
      <c r="E3366" t="s">
        <v>14</v>
      </c>
      <c r="F3366" t="s">
        <v>15</v>
      </c>
      <c r="G3366" t="s">
        <v>18</v>
      </c>
      <c r="H3366" t="s">
        <v>3145</v>
      </c>
      <c r="I3366" s="2">
        <v>88.4</v>
      </c>
      <c r="J3366">
        <v>4</v>
      </c>
      <c r="K3366" s="2">
        <v>11.492000000000001</v>
      </c>
      <c r="L3366" s="3">
        <f>(Table1[[#This Row],[Profit]]/Table1[[#This Row],[Sales]])*100</f>
        <v>13</v>
      </c>
    </row>
    <row r="3367" spans="1:12" x14ac:dyDescent="0.3">
      <c r="A3367" t="s">
        <v>2158</v>
      </c>
      <c r="B3367" s="1">
        <v>43669</v>
      </c>
      <c r="C3367" t="s">
        <v>2159</v>
      </c>
      <c r="D3367" t="s">
        <v>2160</v>
      </c>
      <c r="E3367" t="s">
        <v>14</v>
      </c>
      <c r="F3367" t="s">
        <v>29</v>
      </c>
      <c r="G3367" t="s">
        <v>18</v>
      </c>
      <c r="H3367" t="s">
        <v>2161</v>
      </c>
      <c r="I3367" s="2">
        <v>115.136</v>
      </c>
      <c r="J3367">
        <v>8</v>
      </c>
      <c r="K3367" s="2">
        <v>11.5136</v>
      </c>
      <c r="L3367" s="3">
        <f>(Table1[[#This Row],[Profit]]/Table1[[#This Row],[Sales]])*100</f>
        <v>10</v>
      </c>
    </row>
    <row r="3368" spans="1:12" x14ac:dyDescent="0.3">
      <c r="A3368" t="s">
        <v>4241</v>
      </c>
      <c r="B3368" s="1">
        <v>43900</v>
      </c>
      <c r="C3368" t="s">
        <v>2414</v>
      </c>
      <c r="D3368" t="s">
        <v>2415</v>
      </c>
      <c r="E3368" t="s">
        <v>14</v>
      </c>
      <c r="F3368" t="s">
        <v>15</v>
      </c>
      <c r="G3368" t="s">
        <v>16</v>
      </c>
      <c r="H3368" t="s">
        <v>3079</v>
      </c>
      <c r="I3368" s="2">
        <v>150.87200000000001</v>
      </c>
      <c r="J3368">
        <v>2</v>
      </c>
      <c r="K3368" s="2">
        <v>11.516400000000001</v>
      </c>
      <c r="L3368" s="3">
        <f>(Table1[[#This Row],[Profit]]/Table1[[#This Row],[Sales]])*100</f>
        <v>7.6332255156689106</v>
      </c>
    </row>
    <row r="3369" spans="1:12" x14ac:dyDescent="0.3">
      <c r="A3369" t="s">
        <v>2508</v>
      </c>
      <c r="B3369" s="1">
        <v>43709</v>
      </c>
      <c r="C3369" t="s">
        <v>627</v>
      </c>
      <c r="D3369" t="s">
        <v>628</v>
      </c>
      <c r="E3369" t="s">
        <v>14</v>
      </c>
      <c r="F3369" t="s">
        <v>15</v>
      </c>
      <c r="G3369" t="s">
        <v>24</v>
      </c>
      <c r="H3369" t="s">
        <v>1175</v>
      </c>
      <c r="I3369" s="2">
        <v>24.56</v>
      </c>
      <c r="J3369">
        <v>2</v>
      </c>
      <c r="K3369" s="2">
        <v>11.543200000000001</v>
      </c>
      <c r="L3369" s="3">
        <f>(Table1[[#This Row],[Profit]]/Table1[[#This Row],[Sales]])*100</f>
        <v>47</v>
      </c>
    </row>
    <row r="3370" spans="1:12" x14ac:dyDescent="0.3">
      <c r="A3370" t="s">
        <v>4868</v>
      </c>
      <c r="B3370" s="1">
        <v>44001</v>
      </c>
      <c r="C3370" t="s">
        <v>3554</v>
      </c>
      <c r="D3370" t="s">
        <v>3555</v>
      </c>
      <c r="E3370" t="s">
        <v>14</v>
      </c>
      <c r="F3370" t="s">
        <v>23</v>
      </c>
      <c r="G3370" t="s">
        <v>24</v>
      </c>
      <c r="H3370" t="s">
        <v>3798</v>
      </c>
      <c r="I3370" s="2">
        <v>108.56</v>
      </c>
      <c r="J3370">
        <v>2</v>
      </c>
      <c r="K3370" s="2">
        <v>11.543200000000001</v>
      </c>
      <c r="L3370" s="3">
        <f>(Table1[[#This Row],[Profit]]/Table1[[#This Row],[Sales]])*100</f>
        <v>10.633014001473839</v>
      </c>
    </row>
    <row r="3371" spans="1:12" x14ac:dyDescent="0.3">
      <c r="A3371" t="s">
        <v>4942</v>
      </c>
      <c r="B3371" s="1">
        <v>44015</v>
      </c>
      <c r="C3371" t="s">
        <v>1661</v>
      </c>
      <c r="D3371" t="s">
        <v>1662</v>
      </c>
      <c r="E3371" t="s">
        <v>14</v>
      </c>
      <c r="F3371" t="s">
        <v>15</v>
      </c>
      <c r="G3371" t="s">
        <v>24</v>
      </c>
      <c r="H3371" t="s">
        <v>1175</v>
      </c>
      <c r="I3371" s="2">
        <v>113.56</v>
      </c>
      <c r="J3371">
        <v>2</v>
      </c>
      <c r="K3371" s="2">
        <v>11.543200000000001</v>
      </c>
      <c r="L3371" s="3">
        <f>(Table1[[#This Row],[Profit]]/Table1[[#This Row],[Sales]])*100</f>
        <v>10.164846777034168</v>
      </c>
    </row>
    <row r="3372" spans="1:12" x14ac:dyDescent="0.3">
      <c r="A3372" t="s">
        <v>4979</v>
      </c>
      <c r="B3372" s="1">
        <v>44020</v>
      </c>
      <c r="C3372" t="s">
        <v>143</v>
      </c>
      <c r="D3372" t="s">
        <v>144</v>
      </c>
      <c r="E3372" t="s">
        <v>14</v>
      </c>
      <c r="F3372" t="s">
        <v>15</v>
      </c>
      <c r="G3372" t="s">
        <v>24</v>
      </c>
      <c r="H3372" t="s">
        <v>234</v>
      </c>
      <c r="I3372" s="2">
        <v>131.56</v>
      </c>
      <c r="J3372">
        <v>2</v>
      </c>
      <c r="K3372" s="2">
        <v>11.543200000000001</v>
      </c>
      <c r="L3372" s="3">
        <f>(Table1[[#This Row],[Profit]]/Table1[[#This Row],[Sales]])*100</f>
        <v>8.7740954697476425</v>
      </c>
    </row>
    <row r="3373" spans="1:12" x14ac:dyDescent="0.3">
      <c r="A3373" t="s">
        <v>5119</v>
      </c>
      <c r="B3373" s="1">
        <v>44050</v>
      </c>
      <c r="C3373" t="s">
        <v>908</v>
      </c>
      <c r="D3373" t="s">
        <v>909</v>
      </c>
      <c r="E3373" t="s">
        <v>14</v>
      </c>
      <c r="F3373" t="s">
        <v>23</v>
      </c>
      <c r="G3373" t="s">
        <v>24</v>
      </c>
      <c r="H3373" t="s">
        <v>1175</v>
      </c>
      <c r="I3373" s="2">
        <v>96.56</v>
      </c>
      <c r="J3373">
        <v>2</v>
      </c>
      <c r="K3373" s="2">
        <v>11.543200000000001</v>
      </c>
      <c r="L3373" s="3">
        <f>(Table1[[#This Row],[Profit]]/Table1[[#This Row],[Sales]])*100</f>
        <v>11.954432477216239</v>
      </c>
    </row>
    <row r="3374" spans="1:12" x14ac:dyDescent="0.3">
      <c r="A3374" t="s">
        <v>5413</v>
      </c>
      <c r="B3374" s="1">
        <v>44089</v>
      </c>
      <c r="C3374" t="s">
        <v>3373</v>
      </c>
      <c r="D3374" t="s">
        <v>3374</v>
      </c>
      <c r="E3374" t="s">
        <v>14</v>
      </c>
      <c r="F3374" t="s">
        <v>29</v>
      </c>
      <c r="G3374" t="s">
        <v>24</v>
      </c>
      <c r="H3374" t="s">
        <v>5414</v>
      </c>
      <c r="I3374" s="2">
        <v>165.87200000000001</v>
      </c>
      <c r="J3374">
        <v>8</v>
      </c>
      <c r="K3374" s="2">
        <v>11.553599999999999</v>
      </c>
      <c r="L3374" s="3">
        <f>(Table1[[#This Row],[Profit]]/Table1[[#This Row],[Sales]])*100</f>
        <v>6.9653708883958707</v>
      </c>
    </row>
    <row r="3375" spans="1:12" x14ac:dyDescent="0.3">
      <c r="A3375" t="s">
        <v>4324</v>
      </c>
      <c r="B3375" s="1">
        <v>43913</v>
      </c>
      <c r="C3375" t="s">
        <v>3795</v>
      </c>
      <c r="D3375" t="s">
        <v>3796</v>
      </c>
      <c r="E3375" t="s">
        <v>14</v>
      </c>
      <c r="F3375" t="s">
        <v>15</v>
      </c>
      <c r="G3375" t="s">
        <v>24</v>
      </c>
      <c r="H3375" t="s">
        <v>4325</v>
      </c>
      <c r="I3375" s="2">
        <v>134.68</v>
      </c>
      <c r="J3375">
        <v>6</v>
      </c>
      <c r="K3375" s="2">
        <v>11.555999999999999</v>
      </c>
      <c r="L3375" s="3">
        <f>(Table1[[#This Row],[Profit]]/Table1[[#This Row],[Sales]])*100</f>
        <v>8.5803385803385801</v>
      </c>
    </row>
    <row r="3376" spans="1:12" x14ac:dyDescent="0.3">
      <c r="A3376" t="s">
        <v>2661</v>
      </c>
      <c r="B3376" s="1">
        <v>43716</v>
      </c>
      <c r="C3376" t="s">
        <v>884</v>
      </c>
      <c r="D3376" t="s">
        <v>885</v>
      </c>
      <c r="E3376" t="s">
        <v>14</v>
      </c>
      <c r="F3376" t="s">
        <v>23</v>
      </c>
      <c r="G3376" t="s">
        <v>24</v>
      </c>
      <c r="H3376" t="s">
        <v>122</v>
      </c>
      <c r="I3376" s="2">
        <v>33.024000000000001</v>
      </c>
      <c r="J3376">
        <v>2</v>
      </c>
      <c r="K3376" s="2">
        <v>11.558400000000001</v>
      </c>
      <c r="L3376" s="3">
        <f>(Table1[[#This Row],[Profit]]/Table1[[#This Row],[Sales]])*100</f>
        <v>35</v>
      </c>
    </row>
    <row r="3377" spans="1:12" x14ac:dyDescent="0.3">
      <c r="A3377" t="s">
        <v>3856</v>
      </c>
      <c r="B3377" s="1">
        <v>43818</v>
      </c>
      <c r="C3377" t="s">
        <v>324</v>
      </c>
      <c r="D3377" t="s">
        <v>325</v>
      </c>
      <c r="E3377" t="s">
        <v>14</v>
      </c>
      <c r="F3377" t="s">
        <v>15</v>
      </c>
      <c r="G3377" t="s">
        <v>24</v>
      </c>
      <c r="H3377" t="s">
        <v>2153</v>
      </c>
      <c r="I3377" s="2">
        <v>34.247999999999998</v>
      </c>
      <c r="J3377">
        <v>3</v>
      </c>
      <c r="K3377" s="2">
        <v>11.5587</v>
      </c>
      <c r="L3377" s="3">
        <f>(Table1[[#This Row],[Profit]]/Table1[[#This Row],[Sales]])*100</f>
        <v>33.75</v>
      </c>
    </row>
    <row r="3378" spans="1:12" x14ac:dyDescent="0.3">
      <c r="A3378" t="s">
        <v>5215</v>
      </c>
      <c r="B3378" s="1">
        <v>44070</v>
      </c>
      <c r="C3378" t="s">
        <v>4983</v>
      </c>
      <c r="D3378" t="s">
        <v>4984</v>
      </c>
      <c r="E3378" t="s">
        <v>14</v>
      </c>
      <c r="F3378" t="s">
        <v>15</v>
      </c>
      <c r="G3378" t="s">
        <v>24</v>
      </c>
      <c r="H3378" t="s">
        <v>1709</v>
      </c>
      <c r="I3378" s="2">
        <v>133.00800000000001</v>
      </c>
      <c r="J3378">
        <v>6</v>
      </c>
      <c r="K3378" s="2">
        <v>11.565</v>
      </c>
      <c r="L3378" s="3">
        <f>(Table1[[#This Row],[Profit]]/Table1[[#This Row],[Sales]])*100</f>
        <v>8.6949657163478875</v>
      </c>
    </row>
    <row r="3379" spans="1:12" x14ac:dyDescent="0.3">
      <c r="A3379" t="s">
        <v>4585</v>
      </c>
      <c r="B3379" s="1">
        <v>43956</v>
      </c>
      <c r="C3379" t="s">
        <v>4586</v>
      </c>
      <c r="D3379" t="s">
        <v>4587</v>
      </c>
      <c r="E3379" t="s">
        <v>14</v>
      </c>
      <c r="F3379" t="s">
        <v>23</v>
      </c>
      <c r="G3379" t="s">
        <v>24</v>
      </c>
      <c r="H3379" t="s">
        <v>3953</v>
      </c>
      <c r="I3379" s="2">
        <v>111.16</v>
      </c>
      <c r="J3379">
        <v>2</v>
      </c>
      <c r="K3379" s="2">
        <v>11.58</v>
      </c>
      <c r="L3379" s="3">
        <f>(Table1[[#This Row],[Profit]]/Table1[[#This Row],[Sales]])*100</f>
        <v>10.417416336811804</v>
      </c>
    </row>
    <row r="3380" spans="1:12" x14ac:dyDescent="0.3">
      <c r="A3380" t="s">
        <v>5972</v>
      </c>
      <c r="B3380" s="1">
        <v>44155</v>
      </c>
      <c r="C3380" t="s">
        <v>231</v>
      </c>
      <c r="D3380" t="s">
        <v>232</v>
      </c>
      <c r="E3380" t="s">
        <v>14</v>
      </c>
      <c r="F3380" t="s">
        <v>41</v>
      </c>
      <c r="G3380" t="s">
        <v>16</v>
      </c>
      <c r="H3380" t="s">
        <v>403</v>
      </c>
      <c r="I3380" s="2">
        <v>128.58000000000001</v>
      </c>
      <c r="J3380">
        <v>2</v>
      </c>
      <c r="K3380" s="2">
        <v>11.583600000000001</v>
      </c>
      <c r="L3380" s="3">
        <f>(Table1[[#This Row],[Profit]]/Table1[[#This Row],[Sales]])*100</f>
        <v>9.008866075594959</v>
      </c>
    </row>
    <row r="3381" spans="1:12" x14ac:dyDescent="0.3">
      <c r="A3381" t="s">
        <v>1882</v>
      </c>
      <c r="B3381" s="1">
        <v>43642</v>
      </c>
      <c r="C3381" t="s">
        <v>1883</v>
      </c>
      <c r="D3381" t="s">
        <v>1884</v>
      </c>
      <c r="E3381" t="s">
        <v>14</v>
      </c>
      <c r="F3381" t="s">
        <v>23</v>
      </c>
      <c r="G3381" t="s">
        <v>24</v>
      </c>
      <c r="H3381" t="s">
        <v>1112</v>
      </c>
      <c r="I3381" s="2">
        <v>231.72</v>
      </c>
      <c r="J3381">
        <v>2</v>
      </c>
      <c r="K3381" s="2">
        <v>11.586</v>
      </c>
      <c r="L3381" s="3">
        <f>(Table1[[#This Row],[Profit]]/Table1[[#This Row],[Sales]])*100</f>
        <v>5</v>
      </c>
    </row>
    <row r="3382" spans="1:12" x14ac:dyDescent="0.3">
      <c r="A3382" t="s">
        <v>5037</v>
      </c>
      <c r="B3382" s="1">
        <v>44033</v>
      </c>
      <c r="C3382" t="s">
        <v>2796</v>
      </c>
      <c r="D3382" t="s">
        <v>2797</v>
      </c>
      <c r="E3382" t="s">
        <v>14</v>
      </c>
      <c r="F3382" t="s">
        <v>41</v>
      </c>
      <c r="G3382" t="s">
        <v>24</v>
      </c>
      <c r="H3382" t="s">
        <v>1112</v>
      </c>
      <c r="I3382" s="2">
        <v>271.72000000000003</v>
      </c>
      <c r="J3382">
        <v>2</v>
      </c>
      <c r="K3382" s="2">
        <v>11.586</v>
      </c>
      <c r="L3382" s="3">
        <f>(Table1[[#This Row],[Profit]]/Table1[[#This Row],[Sales]])*100</f>
        <v>4.2639481819520091</v>
      </c>
    </row>
    <row r="3383" spans="1:12" x14ac:dyDescent="0.3">
      <c r="A3383" t="s">
        <v>2425</v>
      </c>
      <c r="B3383" s="1">
        <v>43700</v>
      </c>
      <c r="C3383" t="s">
        <v>2370</v>
      </c>
      <c r="D3383" t="s">
        <v>2371</v>
      </c>
      <c r="E3383" t="s">
        <v>14</v>
      </c>
      <c r="F3383" t="s">
        <v>29</v>
      </c>
      <c r="G3383" t="s">
        <v>24</v>
      </c>
      <c r="H3383" t="s">
        <v>1985</v>
      </c>
      <c r="I3383" s="2">
        <v>25.2</v>
      </c>
      <c r="J3383">
        <v>4</v>
      </c>
      <c r="K3383" s="2">
        <v>11.592000000000001</v>
      </c>
      <c r="L3383" s="3">
        <f>(Table1[[#This Row],[Profit]]/Table1[[#This Row],[Sales]])*100</f>
        <v>46</v>
      </c>
    </row>
    <row r="3384" spans="1:12" x14ac:dyDescent="0.3">
      <c r="A3384" t="s">
        <v>4543</v>
      </c>
      <c r="B3384" s="1">
        <v>43948</v>
      </c>
      <c r="C3384" t="s">
        <v>1324</v>
      </c>
      <c r="D3384" t="s">
        <v>1325</v>
      </c>
      <c r="E3384" t="s">
        <v>14</v>
      </c>
      <c r="F3384" t="s">
        <v>29</v>
      </c>
      <c r="G3384" t="s">
        <v>24</v>
      </c>
      <c r="H3384" t="s">
        <v>2852</v>
      </c>
      <c r="I3384" s="2">
        <v>171.12</v>
      </c>
      <c r="J3384">
        <v>4</v>
      </c>
      <c r="K3384" s="2">
        <v>11.592000000000001</v>
      </c>
      <c r="L3384" s="3">
        <f>(Table1[[#This Row],[Profit]]/Table1[[#This Row],[Sales]])*100</f>
        <v>6.7741935483870979</v>
      </c>
    </row>
    <row r="3385" spans="1:12" x14ac:dyDescent="0.3">
      <c r="A3385" t="s">
        <v>2362</v>
      </c>
      <c r="B3385" s="1">
        <v>43695</v>
      </c>
      <c r="C3385" t="s">
        <v>2363</v>
      </c>
      <c r="D3385" t="s">
        <v>2364</v>
      </c>
      <c r="E3385" t="s">
        <v>14</v>
      </c>
      <c r="F3385" t="s">
        <v>15</v>
      </c>
      <c r="G3385" t="s">
        <v>18</v>
      </c>
      <c r="H3385" t="s">
        <v>2365</v>
      </c>
      <c r="I3385" s="2">
        <v>39.99</v>
      </c>
      <c r="J3385">
        <v>1</v>
      </c>
      <c r="K3385" s="2">
        <v>11.597099999999999</v>
      </c>
      <c r="L3385" s="3">
        <f>(Table1[[#This Row],[Profit]]/Table1[[#This Row],[Sales]])*100</f>
        <v>28.999999999999996</v>
      </c>
    </row>
    <row r="3386" spans="1:12" x14ac:dyDescent="0.3">
      <c r="A3386" t="s">
        <v>5400</v>
      </c>
      <c r="B3386" s="1">
        <v>44089</v>
      </c>
      <c r="C3386" t="s">
        <v>3654</v>
      </c>
      <c r="D3386" t="s">
        <v>3655</v>
      </c>
      <c r="E3386" t="s">
        <v>14</v>
      </c>
      <c r="F3386" t="s">
        <v>15</v>
      </c>
      <c r="G3386" t="s">
        <v>18</v>
      </c>
      <c r="H3386" t="s">
        <v>2365</v>
      </c>
      <c r="I3386" s="2">
        <v>146.99</v>
      </c>
      <c r="J3386">
        <v>1</v>
      </c>
      <c r="K3386" s="2">
        <v>11.597099999999999</v>
      </c>
      <c r="L3386" s="3">
        <f>(Table1[[#This Row],[Profit]]/Table1[[#This Row],[Sales]])*100</f>
        <v>7.8897203891421173</v>
      </c>
    </row>
    <row r="3387" spans="1:12" x14ac:dyDescent="0.3">
      <c r="A3387" t="s">
        <v>5591</v>
      </c>
      <c r="B3387" s="1">
        <v>44112</v>
      </c>
      <c r="C3387" t="s">
        <v>1907</v>
      </c>
      <c r="D3387" t="s">
        <v>1908</v>
      </c>
      <c r="E3387" t="s">
        <v>14</v>
      </c>
      <c r="F3387" t="s">
        <v>23</v>
      </c>
      <c r="G3387" t="s">
        <v>18</v>
      </c>
      <c r="H3387" t="s">
        <v>1462</v>
      </c>
      <c r="I3387" s="2">
        <v>129.19200000000001</v>
      </c>
      <c r="J3387">
        <v>1</v>
      </c>
      <c r="K3387" s="2">
        <v>11.6091</v>
      </c>
      <c r="L3387" s="3">
        <f>(Table1[[#This Row],[Profit]]/Table1[[#This Row],[Sales]])*100</f>
        <v>8.9859279212335128</v>
      </c>
    </row>
    <row r="3388" spans="1:12" x14ac:dyDescent="0.3">
      <c r="A3388" t="s">
        <v>5195</v>
      </c>
      <c r="B3388" s="1">
        <v>44064</v>
      </c>
      <c r="C3388" t="s">
        <v>2875</v>
      </c>
      <c r="D3388" t="s">
        <v>2876</v>
      </c>
      <c r="E3388" t="s">
        <v>14</v>
      </c>
      <c r="F3388" t="s">
        <v>23</v>
      </c>
      <c r="G3388" t="s">
        <v>18</v>
      </c>
      <c r="H3388" t="s">
        <v>3239</v>
      </c>
      <c r="I3388" s="2">
        <v>135.18</v>
      </c>
      <c r="J3388">
        <v>2</v>
      </c>
      <c r="K3388" s="2">
        <v>11.613</v>
      </c>
      <c r="L3388" s="3">
        <f>(Table1[[#This Row],[Profit]]/Table1[[#This Row],[Sales]])*100</f>
        <v>8.5907678650687966</v>
      </c>
    </row>
    <row r="3389" spans="1:12" x14ac:dyDescent="0.3">
      <c r="A3389" t="s">
        <v>1266</v>
      </c>
      <c r="B3389" s="1">
        <v>43591</v>
      </c>
      <c r="C3389" t="s">
        <v>1267</v>
      </c>
      <c r="D3389" t="s">
        <v>1268</v>
      </c>
      <c r="E3389" t="s">
        <v>14</v>
      </c>
      <c r="F3389" t="s">
        <v>15</v>
      </c>
      <c r="G3389" t="s">
        <v>16</v>
      </c>
      <c r="H3389" t="s">
        <v>1271</v>
      </c>
      <c r="I3389" s="2">
        <v>54.712000000000003</v>
      </c>
      <c r="J3389">
        <v>7</v>
      </c>
      <c r="K3389" s="2">
        <v>11.626300000000001</v>
      </c>
      <c r="L3389" s="3">
        <f>(Table1[[#This Row],[Profit]]/Table1[[#This Row],[Sales]])*100</f>
        <v>21.25</v>
      </c>
    </row>
    <row r="3390" spans="1:12" x14ac:dyDescent="0.3">
      <c r="A3390" t="s">
        <v>3694</v>
      </c>
      <c r="B3390" s="1">
        <v>43803</v>
      </c>
      <c r="C3390" t="s">
        <v>2548</v>
      </c>
      <c r="D3390" t="s">
        <v>2549</v>
      </c>
      <c r="E3390" t="s">
        <v>14</v>
      </c>
      <c r="F3390" t="s">
        <v>15</v>
      </c>
      <c r="G3390" t="s">
        <v>24</v>
      </c>
      <c r="H3390" t="s">
        <v>3049</v>
      </c>
      <c r="I3390" s="2">
        <v>193.86</v>
      </c>
      <c r="J3390">
        <v>2</v>
      </c>
      <c r="K3390" s="2">
        <v>11.631600000000001</v>
      </c>
      <c r="L3390" s="3">
        <f>(Table1[[#This Row],[Profit]]/Table1[[#This Row],[Sales]])*100</f>
        <v>6</v>
      </c>
    </row>
    <row r="3391" spans="1:12" x14ac:dyDescent="0.3">
      <c r="A3391" t="s">
        <v>2638</v>
      </c>
      <c r="B3391" s="1">
        <v>43713</v>
      </c>
      <c r="C3391" t="s">
        <v>774</v>
      </c>
      <c r="D3391" t="s">
        <v>775</v>
      </c>
      <c r="E3391" t="s">
        <v>14</v>
      </c>
      <c r="F3391" t="s">
        <v>15</v>
      </c>
      <c r="G3391" t="s">
        <v>16</v>
      </c>
      <c r="H3391" t="s">
        <v>2590</v>
      </c>
      <c r="I3391" s="2">
        <v>58.247999999999998</v>
      </c>
      <c r="J3391">
        <v>9</v>
      </c>
      <c r="K3391" s="2">
        <v>11.6496</v>
      </c>
      <c r="L3391" s="3">
        <f>(Table1[[#This Row],[Profit]]/Table1[[#This Row],[Sales]])*100</f>
        <v>20</v>
      </c>
    </row>
    <row r="3392" spans="1:12" x14ac:dyDescent="0.3">
      <c r="A3392" t="s">
        <v>5367</v>
      </c>
      <c r="B3392" s="1">
        <v>44085</v>
      </c>
      <c r="C3392" t="s">
        <v>3607</v>
      </c>
      <c r="D3392" t="s">
        <v>3608</v>
      </c>
      <c r="E3392" t="s">
        <v>14</v>
      </c>
      <c r="F3392" t="s">
        <v>23</v>
      </c>
      <c r="G3392" t="s">
        <v>16</v>
      </c>
      <c r="H3392" t="s">
        <v>2590</v>
      </c>
      <c r="I3392" s="2">
        <v>114.36</v>
      </c>
      <c r="J3392">
        <v>4</v>
      </c>
      <c r="K3392" s="2">
        <v>11.6496</v>
      </c>
      <c r="L3392" s="3">
        <f>(Table1[[#This Row],[Profit]]/Table1[[#This Row],[Sales]])*100</f>
        <v>10.186778593913957</v>
      </c>
    </row>
    <row r="3393" spans="1:12" x14ac:dyDescent="0.3">
      <c r="A3393" t="s">
        <v>5119</v>
      </c>
      <c r="B3393" s="1">
        <v>44050</v>
      </c>
      <c r="C3393" t="s">
        <v>908</v>
      </c>
      <c r="D3393" t="s">
        <v>909</v>
      </c>
      <c r="E3393" t="s">
        <v>14</v>
      </c>
      <c r="F3393" t="s">
        <v>23</v>
      </c>
      <c r="G3393" t="s">
        <v>24</v>
      </c>
      <c r="H3393" t="s">
        <v>5128</v>
      </c>
      <c r="I3393" s="2">
        <v>151.12799999999999</v>
      </c>
      <c r="J3393">
        <v>3</v>
      </c>
      <c r="K3393" s="2">
        <v>11.673</v>
      </c>
      <c r="L3393" s="3">
        <f>(Table1[[#This Row],[Profit]]/Table1[[#This Row],[Sales]])*100</f>
        <v>7.7239161505478808</v>
      </c>
    </row>
    <row r="3394" spans="1:12" x14ac:dyDescent="0.3">
      <c r="A3394" t="s">
        <v>3882</v>
      </c>
      <c r="B3394" s="1">
        <v>43822</v>
      </c>
      <c r="C3394" t="s">
        <v>2069</v>
      </c>
      <c r="D3394" t="s">
        <v>2070</v>
      </c>
      <c r="E3394" t="s">
        <v>14</v>
      </c>
      <c r="F3394" t="s">
        <v>29</v>
      </c>
      <c r="G3394" t="s">
        <v>24</v>
      </c>
      <c r="H3394" t="s">
        <v>422</v>
      </c>
      <c r="I3394" s="2">
        <v>24.85</v>
      </c>
      <c r="J3394">
        <v>7</v>
      </c>
      <c r="K3394" s="2">
        <v>11.679500000000001</v>
      </c>
      <c r="L3394" s="3">
        <f>(Table1[[#This Row],[Profit]]/Table1[[#This Row],[Sales]])*100</f>
        <v>47</v>
      </c>
    </row>
    <row r="3395" spans="1:12" x14ac:dyDescent="0.3">
      <c r="A3395" t="s">
        <v>239</v>
      </c>
      <c r="B3395" s="1">
        <v>43496</v>
      </c>
      <c r="C3395" t="s">
        <v>240</v>
      </c>
      <c r="D3395" t="s">
        <v>241</v>
      </c>
      <c r="E3395" t="s">
        <v>14</v>
      </c>
      <c r="F3395" t="s">
        <v>15</v>
      </c>
      <c r="G3395" t="s">
        <v>24</v>
      </c>
      <c r="H3395" t="s">
        <v>242</v>
      </c>
      <c r="I3395" s="2">
        <v>23.36</v>
      </c>
      <c r="J3395">
        <v>2</v>
      </c>
      <c r="K3395" s="2">
        <v>11.68</v>
      </c>
      <c r="L3395" s="3">
        <f>(Table1[[#This Row],[Profit]]/Table1[[#This Row],[Sales]])*100</f>
        <v>50</v>
      </c>
    </row>
    <row r="3396" spans="1:12" x14ac:dyDescent="0.3">
      <c r="A3396" t="s">
        <v>5156</v>
      </c>
      <c r="B3396" s="1">
        <v>44060</v>
      </c>
      <c r="C3396" t="s">
        <v>4601</v>
      </c>
      <c r="D3396" t="s">
        <v>4602</v>
      </c>
      <c r="E3396" t="s">
        <v>14</v>
      </c>
      <c r="F3396" t="s">
        <v>23</v>
      </c>
      <c r="G3396" t="s">
        <v>24</v>
      </c>
      <c r="H3396" t="s">
        <v>242</v>
      </c>
      <c r="I3396" s="2">
        <v>115.36</v>
      </c>
      <c r="J3396">
        <v>2</v>
      </c>
      <c r="K3396" s="2">
        <v>11.68</v>
      </c>
      <c r="L3396" s="3">
        <f>(Table1[[#This Row],[Profit]]/Table1[[#This Row],[Sales]])*100</f>
        <v>10.124826629680998</v>
      </c>
    </row>
    <row r="3397" spans="1:12" x14ac:dyDescent="0.3">
      <c r="A3397" t="s">
        <v>5134</v>
      </c>
      <c r="B3397" s="1">
        <v>44055</v>
      </c>
      <c r="C3397" t="s">
        <v>5135</v>
      </c>
      <c r="D3397" t="s">
        <v>5136</v>
      </c>
      <c r="E3397" t="s">
        <v>14</v>
      </c>
      <c r="F3397" t="s">
        <v>23</v>
      </c>
      <c r="G3397" t="s">
        <v>24</v>
      </c>
      <c r="H3397" t="s">
        <v>4800</v>
      </c>
      <c r="I3397" s="2">
        <v>145.74</v>
      </c>
      <c r="J3397">
        <v>3</v>
      </c>
      <c r="K3397" s="2">
        <v>11.685</v>
      </c>
      <c r="L3397" s="3">
        <f>(Table1[[#This Row],[Profit]]/Table1[[#This Row],[Sales]])*100</f>
        <v>8.0177027583367639</v>
      </c>
    </row>
    <row r="3398" spans="1:12" x14ac:dyDescent="0.3">
      <c r="A3398" t="s">
        <v>1206</v>
      </c>
      <c r="B3398" s="1">
        <v>43587</v>
      </c>
      <c r="C3398" t="s">
        <v>431</v>
      </c>
      <c r="D3398" t="s">
        <v>432</v>
      </c>
      <c r="E3398" t="s">
        <v>14</v>
      </c>
      <c r="F3398" t="s">
        <v>41</v>
      </c>
      <c r="G3398" t="s">
        <v>16</v>
      </c>
      <c r="H3398" t="s">
        <v>1177</v>
      </c>
      <c r="I3398" s="2">
        <v>187.05600000000001</v>
      </c>
      <c r="J3398">
        <v>9</v>
      </c>
      <c r="K3398" s="2">
        <v>11.691000000000001</v>
      </c>
      <c r="L3398" s="3">
        <f>(Table1[[#This Row],[Profit]]/Table1[[#This Row],[Sales]])*100</f>
        <v>6.25</v>
      </c>
    </row>
    <row r="3399" spans="1:12" x14ac:dyDescent="0.3">
      <c r="A3399" t="s">
        <v>3300</v>
      </c>
      <c r="B3399" s="1">
        <v>43776</v>
      </c>
      <c r="C3399" t="s">
        <v>3301</v>
      </c>
      <c r="D3399" t="s">
        <v>3302</v>
      </c>
      <c r="E3399" t="s">
        <v>14</v>
      </c>
      <c r="F3399" t="s">
        <v>23</v>
      </c>
      <c r="G3399" t="s">
        <v>24</v>
      </c>
      <c r="H3399" t="s">
        <v>3303</v>
      </c>
      <c r="I3399" s="2">
        <v>37.44</v>
      </c>
      <c r="J3399">
        <v>4</v>
      </c>
      <c r="K3399" s="2">
        <v>11.7</v>
      </c>
      <c r="L3399" s="3">
        <f>(Table1[[#This Row],[Profit]]/Table1[[#This Row],[Sales]])*100</f>
        <v>31.25</v>
      </c>
    </row>
    <row r="3400" spans="1:12" x14ac:dyDescent="0.3">
      <c r="A3400" t="s">
        <v>4327</v>
      </c>
      <c r="B3400" s="1">
        <v>43914</v>
      </c>
      <c r="C3400" t="s">
        <v>2950</v>
      </c>
      <c r="D3400" t="s">
        <v>2951</v>
      </c>
      <c r="E3400" t="s">
        <v>14</v>
      </c>
      <c r="F3400" t="s">
        <v>15</v>
      </c>
      <c r="G3400" t="s">
        <v>18</v>
      </c>
      <c r="H3400" t="s">
        <v>3598</v>
      </c>
      <c r="I3400" s="2">
        <v>106</v>
      </c>
      <c r="J3400">
        <v>2</v>
      </c>
      <c r="K3400" s="2">
        <v>11.7</v>
      </c>
      <c r="L3400" s="3">
        <f>(Table1[[#This Row],[Profit]]/Table1[[#This Row],[Sales]])*100</f>
        <v>11.037735849056602</v>
      </c>
    </row>
    <row r="3401" spans="1:12" x14ac:dyDescent="0.3">
      <c r="A3401" t="s">
        <v>5348</v>
      </c>
      <c r="B3401" s="1">
        <v>44084</v>
      </c>
      <c r="C3401" t="s">
        <v>1559</v>
      </c>
      <c r="D3401" t="s">
        <v>1560</v>
      </c>
      <c r="E3401" t="s">
        <v>14</v>
      </c>
      <c r="F3401" t="s">
        <v>29</v>
      </c>
      <c r="G3401" t="s">
        <v>24</v>
      </c>
      <c r="H3401" t="s">
        <v>2882</v>
      </c>
      <c r="I3401" s="2">
        <v>92.9</v>
      </c>
      <c r="J3401">
        <v>5</v>
      </c>
      <c r="K3401" s="2">
        <v>11.702999999999999</v>
      </c>
      <c r="L3401" s="3">
        <f>(Table1[[#This Row],[Profit]]/Table1[[#This Row],[Sales]])*100</f>
        <v>12.597416576964477</v>
      </c>
    </row>
    <row r="3402" spans="1:12" x14ac:dyDescent="0.3">
      <c r="A3402" t="s">
        <v>2386</v>
      </c>
      <c r="B3402" s="1">
        <v>43698</v>
      </c>
      <c r="C3402" t="s">
        <v>2387</v>
      </c>
      <c r="D3402" t="s">
        <v>2388</v>
      </c>
      <c r="E3402" t="s">
        <v>14</v>
      </c>
      <c r="F3402" t="s">
        <v>23</v>
      </c>
      <c r="G3402" t="s">
        <v>24</v>
      </c>
      <c r="H3402" t="s">
        <v>409</v>
      </c>
      <c r="I3402" s="2">
        <v>33.44</v>
      </c>
      <c r="J3402">
        <v>10</v>
      </c>
      <c r="K3402" s="2">
        <v>11.704000000000001</v>
      </c>
      <c r="L3402" s="3">
        <f>(Table1[[#This Row],[Profit]]/Table1[[#This Row],[Sales]])*100</f>
        <v>35</v>
      </c>
    </row>
    <row r="3403" spans="1:12" x14ac:dyDescent="0.3">
      <c r="A3403" t="s">
        <v>5147</v>
      </c>
      <c r="B3403" s="1">
        <v>44056</v>
      </c>
      <c r="C3403" t="s">
        <v>1359</v>
      </c>
      <c r="D3403" t="s">
        <v>1360</v>
      </c>
      <c r="E3403" t="s">
        <v>14</v>
      </c>
      <c r="F3403" t="s">
        <v>23</v>
      </c>
      <c r="G3403" t="s">
        <v>24</v>
      </c>
      <c r="H3403" t="s">
        <v>965</v>
      </c>
      <c r="I3403" s="2">
        <v>134.024</v>
      </c>
      <c r="J3403">
        <v>3</v>
      </c>
      <c r="K3403" s="2">
        <v>11.707800000000001</v>
      </c>
      <c r="L3403" s="3">
        <f>(Table1[[#This Row],[Profit]]/Table1[[#This Row],[Sales]])*100</f>
        <v>8.735599594102549</v>
      </c>
    </row>
    <row r="3404" spans="1:12" x14ac:dyDescent="0.3">
      <c r="A3404" t="s">
        <v>3647</v>
      </c>
      <c r="B3404" s="1">
        <v>43800</v>
      </c>
      <c r="C3404" t="s">
        <v>692</v>
      </c>
      <c r="D3404" t="s">
        <v>693</v>
      </c>
      <c r="E3404" t="s">
        <v>14</v>
      </c>
      <c r="F3404" t="s">
        <v>29</v>
      </c>
      <c r="G3404" t="s">
        <v>24</v>
      </c>
      <c r="H3404" t="s">
        <v>1414</v>
      </c>
      <c r="I3404" s="2">
        <v>23.92</v>
      </c>
      <c r="J3404">
        <v>4</v>
      </c>
      <c r="K3404" s="2">
        <v>11.720800000000001</v>
      </c>
      <c r="L3404" s="3">
        <f>(Table1[[#This Row],[Profit]]/Table1[[#This Row],[Sales]])*100</f>
        <v>49</v>
      </c>
    </row>
    <row r="3405" spans="1:12" x14ac:dyDescent="0.3">
      <c r="A3405" t="s">
        <v>1584</v>
      </c>
      <c r="B3405" s="1">
        <v>43615</v>
      </c>
      <c r="C3405" t="s">
        <v>466</v>
      </c>
      <c r="D3405" t="s">
        <v>467</v>
      </c>
      <c r="E3405" t="s">
        <v>14</v>
      </c>
      <c r="F3405" t="s">
        <v>23</v>
      </c>
      <c r="G3405" t="s">
        <v>16</v>
      </c>
      <c r="H3405" t="s">
        <v>1524</v>
      </c>
      <c r="I3405" s="2">
        <v>167.84</v>
      </c>
      <c r="J3405">
        <v>8</v>
      </c>
      <c r="K3405" s="2">
        <v>11.748799999999999</v>
      </c>
      <c r="L3405" s="3">
        <f>(Table1[[#This Row],[Profit]]/Table1[[#This Row],[Sales]])*100</f>
        <v>6.9999999999999991</v>
      </c>
    </row>
    <row r="3406" spans="1:12" x14ac:dyDescent="0.3">
      <c r="A3406" t="s">
        <v>1739</v>
      </c>
      <c r="B3406" s="1">
        <v>43629</v>
      </c>
      <c r="C3406" t="s">
        <v>380</v>
      </c>
      <c r="D3406" t="s">
        <v>381</v>
      </c>
      <c r="E3406" t="s">
        <v>14</v>
      </c>
      <c r="F3406" t="s">
        <v>15</v>
      </c>
      <c r="G3406" t="s">
        <v>24</v>
      </c>
      <c r="H3406" t="s">
        <v>1740</v>
      </c>
      <c r="I3406" s="2">
        <v>33.567999999999998</v>
      </c>
      <c r="J3406">
        <v>2</v>
      </c>
      <c r="K3406" s="2">
        <v>11.748799999999999</v>
      </c>
      <c r="L3406" s="3">
        <f>(Table1[[#This Row],[Profit]]/Table1[[#This Row],[Sales]])*100</f>
        <v>35</v>
      </c>
    </row>
    <row r="3407" spans="1:12" x14ac:dyDescent="0.3">
      <c r="A3407" t="s">
        <v>1906</v>
      </c>
      <c r="B3407" s="1">
        <v>43644</v>
      </c>
      <c r="C3407" t="s">
        <v>1907</v>
      </c>
      <c r="D3407" t="s">
        <v>1908</v>
      </c>
      <c r="E3407" t="s">
        <v>14</v>
      </c>
      <c r="F3407" t="s">
        <v>23</v>
      </c>
      <c r="G3407" t="s">
        <v>24</v>
      </c>
      <c r="H3407" t="s">
        <v>1909</v>
      </c>
      <c r="I3407" s="2">
        <v>33.567999999999998</v>
      </c>
      <c r="J3407">
        <v>2</v>
      </c>
      <c r="K3407" s="2">
        <v>11.748799999999999</v>
      </c>
      <c r="L3407" s="3">
        <f>(Table1[[#This Row],[Profit]]/Table1[[#This Row],[Sales]])*100</f>
        <v>35</v>
      </c>
    </row>
    <row r="3408" spans="1:12" x14ac:dyDescent="0.3">
      <c r="A3408" t="s">
        <v>3911</v>
      </c>
      <c r="B3408" s="1">
        <v>43824</v>
      </c>
      <c r="C3408" t="s">
        <v>534</v>
      </c>
      <c r="D3408" t="s">
        <v>535</v>
      </c>
      <c r="E3408" t="s">
        <v>14</v>
      </c>
      <c r="F3408" t="s">
        <v>15</v>
      </c>
      <c r="G3408" t="s">
        <v>24</v>
      </c>
      <c r="H3408" t="s">
        <v>1909</v>
      </c>
      <c r="I3408" s="2">
        <v>33.567999999999998</v>
      </c>
      <c r="J3408">
        <v>2</v>
      </c>
      <c r="K3408" s="2">
        <v>11.748799999999999</v>
      </c>
      <c r="L3408" s="3">
        <f>(Table1[[#This Row],[Profit]]/Table1[[#This Row],[Sales]])*100</f>
        <v>35</v>
      </c>
    </row>
    <row r="3409" spans="1:12" x14ac:dyDescent="0.3">
      <c r="A3409" t="s">
        <v>4246</v>
      </c>
      <c r="B3409" s="1">
        <v>43901</v>
      </c>
      <c r="C3409" t="s">
        <v>414</v>
      </c>
      <c r="D3409" t="s">
        <v>415</v>
      </c>
      <c r="E3409" t="s">
        <v>14</v>
      </c>
      <c r="F3409" t="s">
        <v>15</v>
      </c>
      <c r="G3409" t="s">
        <v>16</v>
      </c>
      <c r="H3409" t="s">
        <v>1593</v>
      </c>
      <c r="I3409" s="2">
        <v>132.72</v>
      </c>
      <c r="J3409">
        <v>1</v>
      </c>
      <c r="K3409" s="2">
        <v>11.7568</v>
      </c>
      <c r="L3409" s="3">
        <f>(Table1[[#This Row],[Profit]]/Table1[[#This Row],[Sales]])*100</f>
        <v>8.858348402652199</v>
      </c>
    </row>
    <row r="3410" spans="1:12" x14ac:dyDescent="0.3">
      <c r="A3410" t="s">
        <v>127</v>
      </c>
      <c r="B3410" s="1">
        <v>43481</v>
      </c>
      <c r="C3410" t="s">
        <v>128</v>
      </c>
      <c r="D3410" t="s">
        <v>129</v>
      </c>
      <c r="E3410" t="s">
        <v>14</v>
      </c>
      <c r="F3410" t="s">
        <v>23</v>
      </c>
      <c r="G3410" t="s">
        <v>18</v>
      </c>
      <c r="H3410" t="s">
        <v>131</v>
      </c>
      <c r="I3410" s="2">
        <v>90.57</v>
      </c>
      <c r="J3410">
        <v>3</v>
      </c>
      <c r="K3410" s="2">
        <v>11.774100000000001</v>
      </c>
      <c r="L3410" s="3">
        <f>(Table1[[#This Row],[Profit]]/Table1[[#This Row],[Sales]])*100</f>
        <v>13</v>
      </c>
    </row>
    <row r="3411" spans="1:12" x14ac:dyDescent="0.3">
      <c r="A3411" t="s">
        <v>5074</v>
      </c>
      <c r="B3411" s="1">
        <v>44041</v>
      </c>
      <c r="C3411" t="s">
        <v>371</v>
      </c>
      <c r="D3411" t="s">
        <v>372</v>
      </c>
      <c r="E3411" t="s">
        <v>14</v>
      </c>
      <c r="F3411" t="s">
        <v>23</v>
      </c>
      <c r="G3411" t="s">
        <v>18</v>
      </c>
      <c r="H3411" t="s">
        <v>131</v>
      </c>
      <c r="I3411" s="2">
        <v>133.57</v>
      </c>
      <c r="J3411">
        <v>3</v>
      </c>
      <c r="K3411" s="2">
        <v>11.774100000000001</v>
      </c>
      <c r="L3411" s="3">
        <f>(Table1[[#This Row],[Profit]]/Table1[[#This Row],[Sales]])*100</f>
        <v>8.8149285019091117</v>
      </c>
    </row>
    <row r="3412" spans="1:12" x14ac:dyDescent="0.3">
      <c r="A3412" t="s">
        <v>1002</v>
      </c>
      <c r="B3412" s="1">
        <v>43569</v>
      </c>
      <c r="C3412" t="s">
        <v>1003</v>
      </c>
      <c r="D3412" t="s">
        <v>1004</v>
      </c>
      <c r="E3412" t="s">
        <v>14</v>
      </c>
      <c r="F3412" t="s">
        <v>15</v>
      </c>
      <c r="G3412" t="s">
        <v>24</v>
      </c>
      <c r="H3412" t="s">
        <v>1005</v>
      </c>
      <c r="I3412" s="2">
        <v>25.06</v>
      </c>
      <c r="J3412">
        <v>2</v>
      </c>
      <c r="K3412" s="2">
        <v>11.7782</v>
      </c>
      <c r="L3412" s="3">
        <f>(Table1[[#This Row],[Profit]]/Table1[[#This Row],[Sales]])*100</f>
        <v>47</v>
      </c>
    </row>
    <row r="3413" spans="1:12" x14ac:dyDescent="0.3">
      <c r="A3413" t="s">
        <v>2628</v>
      </c>
      <c r="B3413" s="1">
        <v>43713</v>
      </c>
      <c r="C3413" t="s">
        <v>1125</v>
      </c>
      <c r="D3413" t="s">
        <v>1126</v>
      </c>
      <c r="E3413" t="s">
        <v>14</v>
      </c>
      <c r="F3413" t="s">
        <v>41</v>
      </c>
      <c r="G3413" t="s">
        <v>24</v>
      </c>
      <c r="H3413" t="s">
        <v>2629</v>
      </c>
      <c r="I3413" s="2">
        <v>25.06</v>
      </c>
      <c r="J3413">
        <v>2</v>
      </c>
      <c r="K3413" s="2">
        <v>11.7782</v>
      </c>
      <c r="L3413" s="3">
        <f>(Table1[[#This Row],[Profit]]/Table1[[#This Row],[Sales]])*100</f>
        <v>47</v>
      </c>
    </row>
    <row r="3414" spans="1:12" x14ac:dyDescent="0.3">
      <c r="A3414" t="s">
        <v>4218</v>
      </c>
      <c r="B3414" s="1">
        <v>43895</v>
      </c>
      <c r="C3414" t="s">
        <v>1038</v>
      </c>
      <c r="D3414" t="s">
        <v>1039</v>
      </c>
      <c r="E3414" t="s">
        <v>14</v>
      </c>
      <c r="F3414" t="s">
        <v>29</v>
      </c>
      <c r="G3414" t="s">
        <v>24</v>
      </c>
      <c r="H3414" t="s">
        <v>2426</v>
      </c>
      <c r="I3414" s="2">
        <v>114.06</v>
      </c>
      <c r="J3414">
        <v>2</v>
      </c>
      <c r="K3414" s="2">
        <v>11.7782</v>
      </c>
      <c r="L3414" s="3">
        <f>(Table1[[#This Row],[Profit]]/Table1[[#This Row],[Sales]])*100</f>
        <v>10.326319480974925</v>
      </c>
    </row>
    <row r="3415" spans="1:12" x14ac:dyDescent="0.3">
      <c r="A3415" t="s">
        <v>3633</v>
      </c>
      <c r="B3415" s="1">
        <v>43800</v>
      </c>
      <c r="C3415" t="s">
        <v>197</v>
      </c>
      <c r="D3415" t="s">
        <v>198</v>
      </c>
      <c r="E3415" t="s">
        <v>14</v>
      </c>
      <c r="F3415" t="s">
        <v>41</v>
      </c>
      <c r="G3415" t="s">
        <v>24</v>
      </c>
      <c r="H3415" t="s">
        <v>1972</v>
      </c>
      <c r="I3415" s="2">
        <v>40.700000000000003</v>
      </c>
      <c r="J3415">
        <v>5</v>
      </c>
      <c r="K3415" s="2">
        <v>11.803000000000001</v>
      </c>
      <c r="L3415" s="3">
        <f>(Table1[[#This Row],[Profit]]/Table1[[#This Row],[Sales]])*100</f>
        <v>28.999999999999996</v>
      </c>
    </row>
    <row r="3416" spans="1:12" x14ac:dyDescent="0.3">
      <c r="A3416" t="s">
        <v>4890</v>
      </c>
      <c r="B3416" s="1">
        <v>44006</v>
      </c>
      <c r="C3416" t="s">
        <v>2904</v>
      </c>
      <c r="D3416" t="s">
        <v>2905</v>
      </c>
      <c r="E3416" t="s">
        <v>14</v>
      </c>
      <c r="F3416" t="s">
        <v>23</v>
      </c>
      <c r="G3416" t="s">
        <v>24</v>
      </c>
      <c r="H3416" t="s">
        <v>1322</v>
      </c>
      <c r="I3416" s="2">
        <v>135.82</v>
      </c>
      <c r="J3416">
        <v>9</v>
      </c>
      <c r="K3416" s="2">
        <v>11.820600000000001</v>
      </c>
      <c r="L3416" s="3">
        <f>(Table1[[#This Row],[Profit]]/Table1[[#This Row],[Sales]])*100</f>
        <v>8.7031365041967312</v>
      </c>
    </row>
    <row r="3417" spans="1:12" x14ac:dyDescent="0.3">
      <c r="A3417" t="s">
        <v>5005</v>
      </c>
      <c r="B3417" s="1">
        <v>44023</v>
      </c>
      <c r="C3417" t="s">
        <v>3249</v>
      </c>
      <c r="D3417" t="s">
        <v>3250</v>
      </c>
      <c r="E3417" t="s">
        <v>14</v>
      </c>
      <c r="F3417" t="s">
        <v>29</v>
      </c>
      <c r="G3417" t="s">
        <v>24</v>
      </c>
      <c r="H3417" t="s">
        <v>2987</v>
      </c>
      <c r="I3417" s="2">
        <v>134.32</v>
      </c>
      <c r="J3417">
        <v>4</v>
      </c>
      <c r="K3417" s="2">
        <v>11.8248</v>
      </c>
      <c r="L3417" s="3">
        <f>(Table1[[#This Row],[Profit]]/Table1[[#This Row],[Sales]])*100</f>
        <v>8.8034544371649801</v>
      </c>
    </row>
    <row r="3418" spans="1:12" x14ac:dyDescent="0.3">
      <c r="A3418" t="s">
        <v>5118</v>
      </c>
      <c r="B3418" s="1">
        <v>44049</v>
      </c>
      <c r="C3418" t="s">
        <v>876</v>
      </c>
      <c r="D3418" t="s">
        <v>877</v>
      </c>
      <c r="E3418" t="s">
        <v>14</v>
      </c>
      <c r="F3418" t="s">
        <v>15</v>
      </c>
      <c r="G3418" t="s">
        <v>24</v>
      </c>
      <c r="H3418" t="s">
        <v>1398</v>
      </c>
      <c r="I3418" s="2">
        <v>115.64</v>
      </c>
      <c r="J3418">
        <v>8</v>
      </c>
      <c r="K3418" s="2">
        <v>11.827199999999999</v>
      </c>
      <c r="L3418" s="3">
        <f>(Table1[[#This Row],[Profit]]/Table1[[#This Row],[Sales]])*100</f>
        <v>10.227602905569007</v>
      </c>
    </row>
    <row r="3419" spans="1:12" x14ac:dyDescent="0.3">
      <c r="A3419" t="s">
        <v>3177</v>
      </c>
      <c r="B3419" s="1">
        <v>43765</v>
      </c>
      <c r="C3419" t="s">
        <v>3178</v>
      </c>
      <c r="D3419" t="s">
        <v>3179</v>
      </c>
      <c r="E3419" t="s">
        <v>14</v>
      </c>
      <c r="F3419" t="s">
        <v>23</v>
      </c>
      <c r="G3419" t="s">
        <v>24</v>
      </c>
      <c r="H3419" t="s">
        <v>1353</v>
      </c>
      <c r="I3419" s="2">
        <v>43.92</v>
      </c>
      <c r="J3419">
        <v>4</v>
      </c>
      <c r="K3419" s="2">
        <v>11.8584</v>
      </c>
      <c r="L3419" s="3">
        <f>(Table1[[#This Row],[Profit]]/Table1[[#This Row],[Sales]])*100</f>
        <v>26.999999999999996</v>
      </c>
    </row>
    <row r="3420" spans="1:12" x14ac:dyDescent="0.3">
      <c r="A3420" t="s">
        <v>5859</v>
      </c>
      <c r="B3420" s="1">
        <v>44146</v>
      </c>
      <c r="C3420" t="s">
        <v>5844</v>
      </c>
      <c r="D3420" t="s">
        <v>5845</v>
      </c>
      <c r="E3420" t="s">
        <v>14</v>
      </c>
      <c r="F3420" t="s">
        <v>23</v>
      </c>
      <c r="G3420" t="s">
        <v>16</v>
      </c>
      <c r="H3420" t="s">
        <v>1729</v>
      </c>
      <c r="I3420" s="2">
        <v>150.91999999999999</v>
      </c>
      <c r="J3420">
        <v>4</v>
      </c>
      <c r="K3420" s="2">
        <v>11.8728</v>
      </c>
      <c r="L3420" s="3">
        <f>(Table1[[#This Row],[Profit]]/Table1[[#This Row],[Sales]])*100</f>
        <v>7.8669493771534595</v>
      </c>
    </row>
    <row r="3421" spans="1:12" x14ac:dyDescent="0.3">
      <c r="A3421" t="s">
        <v>5700</v>
      </c>
      <c r="B3421" s="1">
        <v>44127</v>
      </c>
      <c r="C3421" t="s">
        <v>5701</v>
      </c>
      <c r="D3421" t="s">
        <v>5702</v>
      </c>
      <c r="E3421" t="s">
        <v>14</v>
      </c>
      <c r="F3421" t="s">
        <v>15</v>
      </c>
      <c r="G3421" t="s">
        <v>24</v>
      </c>
      <c r="H3421" t="s">
        <v>3419</v>
      </c>
      <c r="I3421" s="2">
        <v>143.4</v>
      </c>
      <c r="J3421">
        <v>5</v>
      </c>
      <c r="K3421" s="2">
        <v>11.88</v>
      </c>
      <c r="L3421" s="3">
        <f>(Table1[[#This Row],[Profit]]/Table1[[#This Row],[Sales]])*100</f>
        <v>8.2845188284518834</v>
      </c>
    </row>
    <row r="3422" spans="1:12" x14ac:dyDescent="0.3">
      <c r="A3422" t="s">
        <v>5765</v>
      </c>
      <c r="B3422" s="1">
        <v>44138</v>
      </c>
      <c r="C3422" t="s">
        <v>1239</v>
      </c>
      <c r="D3422" t="s">
        <v>1240</v>
      </c>
      <c r="E3422" t="s">
        <v>14</v>
      </c>
      <c r="F3422" t="s">
        <v>41</v>
      </c>
      <c r="G3422" t="s">
        <v>24</v>
      </c>
      <c r="H3422" t="s">
        <v>5766</v>
      </c>
      <c r="I3422" s="2">
        <v>128.4</v>
      </c>
      <c r="J3422">
        <v>5</v>
      </c>
      <c r="K3422" s="2">
        <v>11.88</v>
      </c>
      <c r="L3422" s="3">
        <f>(Table1[[#This Row],[Profit]]/Table1[[#This Row],[Sales]])*100</f>
        <v>9.2523364485981308</v>
      </c>
    </row>
    <row r="3423" spans="1:12" x14ac:dyDescent="0.3">
      <c r="A3423" t="s">
        <v>1553</v>
      </c>
      <c r="B3423" s="1">
        <v>43615</v>
      </c>
      <c r="C3423" t="s">
        <v>1554</v>
      </c>
      <c r="D3423" t="s">
        <v>1555</v>
      </c>
      <c r="E3423" t="s">
        <v>14</v>
      </c>
      <c r="F3423" t="s">
        <v>23</v>
      </c>
      <c r="G3423" t="s">
        <v>24</v>
      </c>
      <c r="H3423" t="s">
        <v>296</v>
      </c>
      <c r="I3423" s="2">
        <v>32.792000000000002</v>
      </c>
      <c r="J3423">
        <v>1</v>
      </c>
      <c r="K3423" s="2">
        <v>11.8871</v>
      </c>
      <c r="L3423" s="3">
        <f>(Table1[[#This Row],[Profit]]/Table1[[#This Row],[Sales]])*100</f>
        <v>36.25</v>
      </c>
    </row>
    <row r="3424" spans="1:12" x14ac:dyDescent="0.3">
      <c r="A3424" t="s">
        <v>1027</v>
      </c>
      <c r="B3424" s="1">
        <v>43571</v>
      </c>
      <c r="C3424" t="s">
        <v>1028</v>
      </c>
      <c r="D3424" t="s">
        <v>1029</v>
      </c>
      <c r="E3424" t="s">
        <v>14</v>
      </c>
      <c r="F3424" t="s">
        <v>15</v>
      </c>
      <c r="G3424" t="s">
        <v>24</v>
      </c>
      <c r="H3424" t="s">
        <v>1032</v>
      </c>
      <c r="I3424" s="2">
        <v>25.3</v>
      </c>
      <c r="J3424">
        <v>5</v>
      </c>
      <c r="K3424" s="2">
        <v>11.891</v>
      </c>
      <c r="L3424" s="3">
        <f>(Table1[[#This Row],[Profit]]/Table1[[#This Row],[Sales]])*100</f>
        <v>47</v>
      </c>
    </row>
    <row r="3425" spans="1:12" x14ac:dyDescent="0.3">
      <c r="A3425" t="s">
        <v>474</v>
      </c>
      <c r="B3425" s="1">
        <v>43527</v>
      </c>
      <c r="C3425" t="s">
        <v>475</v>
      </c>
      <c r="D3425" t="s">
        <v>476</v>
      </c>
      <c r="E3425" t="s">
        <v>14</v>
      </c>
      <c r="F3425" t="s">
        <v>29</v>
      </c>
      <c r="G3425" t="s">
        <v>24</v>
      </c>
      <c r="H3425" t="s">
        <v>479</v>
      </c>
      <c r="I3425" s="2">
        <v>36.6</v>
      </c>
      <c r="J3425">
        <v>3</v>
      </c>
      <c r="K3425" s="2">
        <v>11.895</v>
      </c>
      <c r="L3425" s="3">
        <f>(Table1[[#This Row],[Profit]]/Table1[[#This Row],[Sales]])*100</f>
        <v>32.499999999999993</v>
      </c>
    </row>
    <row r="3426" spans="1:12" x14ac:dyDescent="0.3">
      <c r="A3426" t="s">
        <v>4511</v>
      </c>
      <c r="B3426" s="1">
        <v>43944</v>
      </c>
      <c r="C3426" t="s">
        <v>2685</v>
      </c>
      <c r="D3426" t="s">
        <v>2686</v>
      </c>
      <c r="E3426" t="s">
        <v>14</v>
      </c>
      <c r="F3426" t="s">
        <v>41</v>
      </c>
      <c r="G3426" t="s">
        <v>18</v>
      </c>
      <c r="H3426" t="s">
        <v>3086</v>
      </c>
      <c r="I3426" s="2">
        <v>132.40799999999999</v>
      </c>
      <c r="J3426">
        <v>2</v>
      </c>
      <c r="K3426" s="2">
        <v>11.919600000000001</v>
      </c>
      <c r="L3426" s="3">
        <f>(Table1[[#This Row],[Profit]]/Table1[[#This Row],[Sales]])*100</f>
        <v>9.0021750951604158</v>
      </c>
    </row>
    <row r="3427" spans="1:12" x14ac:dyDescent="0.3">
      <c r="A3427" t="s">
        <v>1514</v>
      </c>
      <c r="B3427" s="1">
        <v>43611</v>
      </c>
      <c r="C3427" t="s">
        <v>811</v>
      </c>
      <c r="D3427" t="s">
        <v>812</v>
      </c>
      <c r="E3427" t="s">
        <v>14</v>
      </c>
      <c r="F3427" t="s">
        <v>41</v>
      </c>
      <c r="G3427" t="s">
        <v>18</v>
      </c>
      <c r="H3427" t="s">
        <v>1516</v>
      </c>
      <c r="I3427" s="2">
        <v>47.92</v>
      </c>
      <c r="J3427">
        <v>2</v>
      </c>
      <c r="K3427" s="2">
        <v>11.98</v>
      </c>
      <c r="L3427" s="3">
        <f>(Table1[[#This Row],[Profit]]/Table1[[#This Row],[Sales]])*100</f>
        <v>25</v>
      </c>
    </row>
    <row r="3428" spans="1:12" x14ac:dyDescent="0.3">
      <c r="A3428" t="s">
        <v>480</v>
      </c>
      <c r="B3428" s="1">
        <v>43527</v>
      </c>
      <c r="C3428" t="s">
        <v>481</v>
      </c>
      <c r="D3428" t="s">
        <v>482</v>
      </c>
      <c r="E3428" t="s">
        <v>14</v>
      </c>
      <c r="F3428" t="s">
        <v>23</v>
      </c>
      <c r="G3428" t="s">
        <v>16</v>
      </c>
      <c r="H3428" t="s">
        <v>484</v>
      </c>
      <c r="I3428" s="2">
        <v>35.28</v>
      </c>
      <c r="J3428">
        <v>3</v>
      </c>
      <c r="K3428" s="2">
        <v>11.995200000000001</v>
      </c>
      <c r="L3428" s="3">
        <f>(Table1[[#This Row],[Profit]]/Table1[[#This Row],[Sales]])*100</f>
        <v>34</v>
      </c>
    </row>
    <row r="3429" spans="1:12" x14ac:dyDescent="0.3">
      <c r="A3429" t="s">
        <v>3576</v>
      </c>
      <c r="B3429" s="1">
        <v>43794</v>
      </c>
      <c r="C3429" t="s">
        <v>2771</v>
      </c>
      <c r="D3429" t="s">
        <v>2772</v>
      </c>
      <c r="E3429" t="s">
        <v>14</v>
      </c>
      <c r="F3429" t="s">
        <v>15</v>
      </c>
      <c r="G3429" t="s">
        <v>18</v>
      </c>
      <c r="H3429" t="s">
        <v>3578</v>
      </c>
      <c r="I3429" s="2">
        <v>59.975999999999999</v>
      </c>
      <c r="J3429">
        <v>3</v>
      </c>
      <c r="K3429" s="2">
        <v>11.995200000000001</v>
      </c>
      <c r="L3429" s="3">
        <f>(Table1[[#This Row],[Profit]]/Table1[[#This Row],[Sales]])*100</f>
        <v>20</v>
      </c>
    </row>
    <row r="3430" spans="1:12" x14ac:dyDescent="0.3">
      <c r="A3430" t="s">
        <v>4057</v>
      </c>
      <c r="B3430" s="1">
        <v>43853</v>
      </c>
      <c r="C3430" t="s">
        <v>4058</v>
      </c>
      <c r="D3430" t="s">
        <v>4059</v>
      </c>
      <c r="E3430" t="s">
        <v>14</v>
      </c>
      <c r="F3430" t="s">
        <v>23</v>
      </c>
      <c r="G3430" t="s">
        <v>18</v>
      </c>
      <c r="H3430" t="s">
        <v>4060</v>
      </c>
      <c r="I3430" s="2">
        <v>132.98400000000001</v>
      </c>
      <c r="J3430">
        <v>2</v>
      </c>
      <c r="K3430" s="2">
        <v>11.997999999999999</v>
      </c>
      <c r="L3430" s="3">
        <f>(Table1[[#This Row],[Profit]]/Table1[[#This Row],[Sales]])*100</f>
        <v>9.0221380015640964</v>
      </c>
    </row>
    <row r="3431" spans="1:12" x14ac:dyDescent="0.3">
      <c r="A3431" t="s">
        <v>5691</v>
      </c>
      <c r="B3431" s="1">
        <v>44126</v>
      </c>
      <c r="C3431" t="s">
        <v>1310</v>
      </c>
      <c r="D3431" t="s">
        <v>1311</v>
      </c>
      <c r="E3431" t="s">
        <v>14</v>
      </c>
      <c r="F3431" t="s">
        <v>29</v>
      </c>
      <c r="G3431" t="s">
        <v>24</v>
      </c>
      <c r="H3431" t="s">
        <v>4598</v>
      </c>
      <c r="I3431" s="2">
        <v>150.44</v>
      </c>
      <c r="J3431">
        <v>4</v>
      </c>
      <c r="K3431" s="2">
        <v>12.0252</v>
      </c>
      <c r="L3431" s="3">
        <f>(Table1[[#This Row],[Profit]]/Table1[[#This Row],[Sales]])*100</f>
        <v>7.9933528316936977</v>
      </c>
    </row>
    <row r="3432" spans="1:12" x14ac:dyDescent="0.3">
      <c r="A3432" t="s">
        <v>5807</v>
      </c>
      <c r="B3432" s="1">
        <v>44141</v>
      </c>
      <c r="C3432" t="s">
        <v>884</v>
      </c>
      <c r="D3432" t="s">
        <v>885</v>
      </c>
      <c r="E3432" t="s">
        <v>14</v>
      </c>
      <c r="F3432" t="s">
        <v>15</v>
      </c>
      <c r="G3432" t="s">
        <v>24</v>
      </c>
      <c r="H3432" t="s">
        <v>5808</v>
      </c>
      <c r="I3432" s="2">
        <v>133.26</v>
      </c>
      <c r="J3432">
        <v>3</v>
      </c>
      <c r="K3432" s="2">
        <v>12.0276</v>
      </c>
      <c r="L3432" s="3">
        <f>(Table1[[#This Row],[Profit]]/Table1[[#This Row],[Sales]])*100</f>
        <v>9.0256641152633943</v>
      </c>
    </row>
    <row r="3433" spans="1:12" x14ac:dyDescent="0.3">
      <c r="A3433" t="s">
        <v>5669</v>
      </c>
      <c r="B3433" s="1">
        <v>44124</v>
      </c>
      <c r="C3433" t="s">
        <v>554</v>
      </c>
      <c r="D3433" t="s">
        <v>555</v>
      </c>
      <c r="E3433" t="s">
        <v>14</v>
      </c>
      <c r="F3433" t="s">
        <v>15</v>
      </c>
      <c r="G3433" t="s">
        <v>24</v>
      </c>
      <c r="H3433" t="s">
        <v>2253</v>
      </c>
      <c r="I3433" s="2">
        <v>124.55</v>
      </c>
      <c r="J3433">
        <v>5</v>
      </c>
      <c r="K3433" s="2">
        <v>12.029500000000001</v>
      </c>
      <c r="L3433" s="3">
        <f>(Table1[[#This Row],[Profit]]/Table1[[#This Row],[Sales]])*100</f>
        <v>9.658370132476918</v>
      </c>
    </row>
    <row r="3434" spans="1:12" x14ac:dyDescent="0.3">
      <c r="A3434" t="s">
        <v>5070</v>
      </c>
      <c r="B3434" s="1">
        <v>44039</v>
      </c>
      <c r="C3434" t="s">
        <v>2078</v>
      </c>
      <c r="D3434" t="s">
        <v>2079</v>
      </c>
      <c r="E3434" t="s">
        <v>14</v>
      </c>
      <c r="F3434" t="s">
        <v>23</v>
      </c>
      <c r="G3434" t="s">
        <v>24</v>
      </c>
      <c r="H3434" t="s">
        <v>5072</v>
      </c>
      <c r="I3434" s="2">
        <v>103.2</v>
      </c>
      <c r="J3434">
        <v>4</v>
      </c>
      <c r="K3434" s="2">
        <v>12.052</v>
      </c>
      <c r="L3434" s="3">
        <f>(Table1[[#This Row],[Profit]]/Table1[[#This Row],[Sales]])*100</f>
        <v>11.678294573643411</v>
      </c>
    </row>
    <row r="3435" spans="1:12" x14ac:dyDescent="0.3">
      <c r="A3435" t="s">
        <v>4159</v>
      </c>
      <c r="B3435" s="1">
        <v>43880</v>
      </c>
      <c r="C3435" t="s">
        <v>3168</v>
      </c>
      <c r="D3435" t="s">
        <v>3169</v>
      </c>
      <c r="E3435" t="s">
        <v>14</v>
      </c>
      <c r="F3435" t="s">
        <v>23</v>
      </c>
      <c r="G3435" t="s">
        <v>16</v>
      </c>
      <c r="H3435" t="s">
        <v>4161</v>
      </c>
      <c r="I3435" s="2">
        <v>111.67</v>
      </c>
      <c r="J3435">
        <v>3</v>
      </c>
      <c r="K3435" s="2">
        <v>12.0609</v>
      </c>
      <c r="L3435" s="3">
        <f>(Table1[[#This Row],[Profit]]/Table1[[#This Row],[Sales]])*100</f>
        <v>10.800483567654696</v>
      </c>
    </row>
    <row r="3436" spans="1:12" x14ac:dyDescent="0.3">
      <c r="A3436" t="s">
        <v>5409</v>
      </c>
      <c r="B3436" s="1">
        <v>44089</v>
      </c>
      <c r="C3436" t="s">
        <v>2494</v>
      </c>
      <c r="D3436" t="s">
        <v>2495</v>
      </c>
      <c r="E3436" t="s">
        <v>14</v>
      </c>
      <c r="F3436" t="s">
        <v>15</v>
      </c>
      <c r="G3436" t="s">
        <v>16</v>
      </c>
      <c r="H3436" t="s">
        <v>717</v>
      </c>
      <c r="I3436" s="2">
        <v>124.56</v>
      </c>
      <c r="J3436">
        <v>7</v>
      </c>
      <c r="K3436" s="2">
        <v>12.090400000000001</v>
      </c>
      <c r="L3436" s="3">
        <f>(Table1[[#This Row],[Profit]]/Table1[[#This Row],[Sales]])*100</f>
        <v>9.7064868336544645</v>
      </c>
    </row>
    <row r="3437" spans="1:12" x14ac:dyDescent="0.3">
      <c r="A3437" t="s">
        <v>2350</v>
      </c>
      <c r="B3437" s="1">
        <v>43693</v>
      </c>
      <c r="C3437" t="s">
        <v>2351</v>
      </c>
      <c r="D3437" t="s">
        <v>2352</v>
      </c>
      <c r="E3437" t="s">
        <v>14</v>
      </c>
      <c r="F3437" t="s">
        <v>23</v>
      </c>
      <c r="G3437" t="s">
        <v>16</v>
      </c>
      <c r="H3437" t="s">
        <v>2353</v>
      </c>
      <c r="I3437" s="2">
        <v>161.28</v>
      </c>
      <c r="J3437">
        <v>2</v>
      </c>
      <c r="K3437" s="2">
        <v>12.096</v>
      </c>
      <c r="L3437" s="3">
        <f>(Table1[[#This Row],[Profit]]/Table1[[#This Row],[Sales]])*100</f>
        <v>7.5</v>
      </c>
    </row>
    <row r="3438" spans="1:12" x14ac:dyDescent="0.3">
      <c r="A3438" t="s">
        <v>2527</v>
      </c>
      <c r="B3438" s="1">
        <v>43710</v>
      </c>
      <c r="C3438" t="s">
        <v>2528</v>
      </c>
      <c r="D3438" t="s">
        <v>2529</v>
      </c>
      <c r="E3438" t="s">
        <v>14</v>
      </c>
      <c r="F3438" t="s">
        <v>23</v>
      </c>
      <c r="G3438" t="s">
        <v>24</v>
      </c>
      <c r="H3438" t="s">
        <v>873</v>
      </c>
      <c r="I3438" s="2">
        <v>46.53</v>
      </c>
      <c r="J3438">
        <v>3</v>
      </c>
      <c r="K3438" s="2">
        <v>12.097799999999999</v>
      </c>
      <c r="L3438" s="3">
        <f>(Table1[[#This Row],[Profit]]/Table1[[#This Row],[Sales]])*100</f>
        <v>26</v>
      </c>
    </row>
    <row r="3439" spans="1:12" x14ac:dyDescent="0.3">
      <c r="A3439" t="s">
        <v>4279</v>
      </c>
      <c r="B3439" s="1">
        <v>43907</v>
      </c>
      <c r="C3439" t="s">
        <v>4280</v>
      </c>
      <c r="D3439" t="s">
        <v>4281</v>
      </c>
      <c r="E3439" t="s">
        <v>14</v>
      </c>
      <c r="F3439" t="s">
        <v>15</v>
      </c>
      <c r="G3439" t="s">
        <v>24</v>
      </c>
      <c r="H3439" t="s">
        <v>873</v>
      </c>
      <c r="I3439" s="2">
        <v>137.53</v>
      </c>
      <c r="J3439">
        <v>3</v>
      </c>
      <c r="K3439" s="2">
        <v>12.097799999999999</v>
      </c>
      <c r="L3439" s="3">
        <f>(Table1[[#This Row],[Profit]]/Table1[[#This Row],[Sales]])*100</f>
        <v>8.7964807678324721</v>
      </c>
    </row>
    <row r="3440" spans="1:12" x14ac:dyDescent="0.3">
      <c r="A3440" t="s">
        <v>3113</v>
      </c>
      <c r="B3440" s="1">
        <v>43755</v>
      </c>
      <c r="C3440" t="s">
        <v>1214</v>
      </c>
      <c r="D3440" t="s">
        <v>1215</v>
      </c>
      <c r="E3440" t="s">
        <v>14</v>
      </c>
      <c r="F3440" t="s">
        <v>15</v>
      </c>
      <c r="G3440" t="s">
        <v>16</v>
      </c>
      <c r="H3440" t="s">
        <v>2313</v>
      </c>
      <c r="I3440" s="2">
        <v>120.98</v>
      </c>
      <c r="J3440">
        <v>1</v>
      </c>
      <c r="K3440" s="2">
        <v>12.098000000000001</v>
      </c>
      <c r="L3440" s="3">
        <f>(Table1[[#This Row],[Profit]]/Table1[[#This Row],[Sales]])*100</f>
        <v>10</v>
      </c>
    </row>
    <row r="3441" spans="1:12" x14ac:dyDescent="0.3">
      <c r="A3441" t="s">
        <v>5203</v>
      </c>
      <c r="B3441" s="1">
        <v>44066</v>
      </c>
      <c r="C3441" t="s">
        <v>2500</v>
      </c>
      <c r="D3441" t="s">
        <v>2501</v>
      </c>
      <c r="E3441" t="s">
        <v>14</v>
      </c>
      <c r="F3441" t="s">
        <v>41</v>
      </c>
      <c r="G3441" t="s">
        <v>24</v>
      </c>
      <c r="H3441" t="s">
        <v>4398</v>
      </c>
      <c r="I3441" s="2">
        <v>202.376</v>
      </c>
      <c r="J3441">
        <v>6</v>
      </c>
      <c r="K3441" s="2">
        <v>12.103199999999999</v>
      </c>
      <c r="L3441" s="3">
        <f>(Table1[[#This Row],[Profit]]/Table1[[#This Row],[Sales]])*100</f>
        <v>5.9805510534846018</v>
      </c>
    </row>
    <row r="3442" spans="1:12" x14ac:dyDescent="0.3">
      <c r="A3442" t="s">
        <v>3146</v>
      </c>
      <c r="B3442" s="1">
        <v>43759</v>
      </c>
      <c r="C3442" t="s">
        <v>815</v>
      </c>
      <c r="D3442" t="s">
        <v>816</v>
      </c>
      <c r="E3442" t="s">
        <v>14</v>
      </c>
      <c r="F3442" t="s">
        <v>23</v>
      </c>
      <c r="G3442" t="s">
        <v>16</v>
      </c>
      <c r="H3442" t="s">
        <v>2194</v>
      </c>
      <c r="I3442" s="2">
        <v>242.136</v>
      </c>
      <c r="J3442">
        <v>3</v>
      </c>
      <c r="K3442" s="2">
        <v>12.1068</v>
      </c>
      <c r="L3442" s="3">
        <f>(Table1[[#This Row],[Profit]]/Table1[[#This Row],[Sales]])*100</f>
        <v>5</v>
      </c>
    </row>
    <row r="3443" spans="1:12" x14ac:dyDescent="0.3">
      <c r="A3443" t="s">
        <v>6305</v>
      </c>
      <c r="B3443" s="1">
        <v>44195</v>
      </c>
      <c r="C3443" t="s">
        <v>2785</v>
      </c>
      <c r="D3443" t="s">
        <v>2786</v>
      </c>
      <c r="E3443" t="s">
        <v>14</v>
      </c>
      <c r="F3443" t="s">
        <v>15</v>
      </c>
      <c r="G3443" t="s">
        <v>16</v>
      </c>
      <c r="H3443" t="s">
        <v>1050</v>
      </c>
      <c r="I3443" s="2">
        <v>213.136</v>
      </c>
      <c r="J3443">
        <v>4</v>
      </c>
      <c r="K3443" s="2">
        <v>12.117599999999999</v>
      </c>
      <c r="L3443" s="3">
        <f>(Table1[[#This Row],[Profit]]/Table1[[#This Row],[Sales]])*100</f>
        <v>5.6853839801816681</v>
      </c>
    </row>
    <row r="3444" spans="1:12" x14ac:dyDescent="0.3">
      <c r="A3444" t="s">
        <v>450</v>
      </c>
      <c r="B3444" s="1">
        <v>43525</v>
      </c>
      <c r="C3444" t="s">
        <v>451</v>
      </c>
      <c r="D3444" t="s">
        <v>452</v>
      </c>
      <c r="E3444" t="s">
        <v>14</v>
      </c>
      <c r="F3444" t="s">
        <v>15</v>
      </c>
      <c r="G3444" t="s">
        <v>24</v>
      </c>
      <c r="H3444" t="s">
        <v>234</v>
      </c>
      <c r="I3444" s="2">
        <v>26.38</v>
      </c>
      <c r="J3444">
        <v>1</v>
      </c>
      <c r="K3444" s="2">
        <v>12.1348</v>
      </c>
      <c r="L3444" s="3">
        <f>(Table1[[#This Row],[Profit]]/Table1[[#This Row],[Sales]])*100</f>
        <v>46</v>
      </c>
    </row>
    <row r="3445" spans="1:12" x14ac:dyDescent="0.3">
      <c r="A3445" t="s">
        <v>4222</v>
      </c>
      <c r="B3445" s="1">
        <v>43896</v>
      </c>
      <c r="C3445" t="s">
        <v>4223</v>
      </c>
      <c r="D3445" t="s">
        <v>4224</v>
      </c>
      <c r="E3445" t="s">
        <v>14</v>
      </c>
      <c r="F3445" t="s">
        <v>15</v>
      </c>
      <c r="G3445" t="s">
        <v>24</v>
      </c>
      <c r="H3445" t="s">
        <v>255</v>
      </c>
      <c r="I3445" s="2">
        <v>132.38</v>
      </c>
      <c r="J3445">
        <v>1</v>
      </c>
      <c r="K3445" s="2">
        <v>12.1348</v>
      </c>
      <c r="L3445" s="3">
        <f>(Table1[[#This Row],[Profit]]/Table1[[#This Row],[Sales]])*100</f>
        <v>9.1666414866294019</v>
      </c>
    </row>
    <row r="3446" spans="1:12" x14ac:dyDescent="0.3">
      <c r="A3446" t="s">
        <v>5804</v>
      </c>
      <c r="B3446" s="1">
        <v>44141</v>
      </c>
      <c r="C3446" t="s">
        <v>133</v>
      </c>
      <c r="D3446" t="s">
        <v>134</v>
      </c>
      <c r="E3446" t="s">
        <v>14</v>
      </c>
      <c r="F3446" t="s">
        <v>29</v>
      </c>
      <c r="G3446" t="s">
        <v>24</v>
      </c>
      <c r="H3446" t="s">
        <v>234</v>
      </c>
      <c r="I3446" s="2">
        <v>130.38</v>
      </c>
      <c r="J3446">
        <v>1</v>
      </c>
      <c r="K3446" s="2">
        <v>12.1348</v>
      </c>
      <c r="L3446" s="3">
        <f>(Table1[[#This Row],[Profit]]/Table1[[#This Row],[Sales]])*100</f>
        <v>9.3072557140665761</v>
      </c>
    </row>
    <row r="3447" spans="1:12" x14ac:dyDescent="0.3">
      <c r="A3447" t="s">
        <v>1844</v>
      </c>
      <c r="B3447" s="1">
        <v>43639</v>
      </c>
      <c r="C3447" t="s">
        <v>1845</v>
      </c>
      <c r="D3447" t="s">
        <v>1846</v>
      </c>
      <c r="E3447" t="s">
        <v>14</v>
      </c>
      <c r="F3447" t="s">
        <v>15</v>
      </c>
      <c r="G3447" t="s">
        <v>24</v>
      </c>
      <c r="H3447" t="s">
        <v>1684</v>
      </c>
      <c r="I3447" s="2">
        <v>25.83</v>
      </c>
      <c r="J3447">
        <v>7</v>
      </c>
      <c r="K3447" s="2">
        <v>12.1401</v>
      </c>
      <c r="L3447" s="3">
        <f>(Table1[[#This Row],[Profit]]/Table1[[#This Row],[Sales]])*100</f>
        <v>47</v>
      </c>
    </row>
    <row r="3448" spans="1:12" x14ac:dyDescent="0.3">
      <c r="A3448" t="s">
        <v>6022</v>
      </c>
      <c r="B3448" s="1">
        <v>44161</v>
      </c>
      <c r="C3448" t="s">
        <v>1527</v>
      </c>
      <c r="D3448" t="s">
        <v>1528</v>
      </c>
      <c r="E3448" t="s">
        <v>14</v>
      </c>
      <c r="F3448" t="s">
        <v>29</v>
      </c>
      <c r="G3448" t="s">
        <v>18</v>
      </c>
      <c r="H3448" t="s">
        <v>1461</v>
      </c>
      <c r="I3448" s="2">
        <v>136.04</v>
      </c>
      <c r="J3448">
        <v>2</v>
      </c>
      <c r="K3448" s="2">
        <v>12.172800000000001</v>
      </c>
      <c r="L3448" s="3">
        <f>(Table1[[#This Row],[Profit]]/Table1[[#This Row],[Sales]])*100</f>
        <v>8.9479564833872391</v>
      </c>
    </row>
    <row r="3449" spans="1:12" x14ac:dyDescent="0.3">
      <c r="A3449" t="s">
        <v>1897</v>
      </c>
      <c r="B3449" s="1">
        <v>43643</v>
      </c>
      <c r="C3449" t="s">
        <v>1898</v>
      </c>
      <c r="D3449" t="s">
        <v>1899</v>
      </c>
      <c r="E3449" t="s">
        <v>14</v>
      </c>
      <c r="F3449" t="s">
        <v>29</v>
      </c>
      <c r="G3449" t="s">
        <v>24</v>
      </c>
      <c r="H3449" t="s">
        <v>1529</v>
      </c>
      <c r="I3449" s="2">
        <v>37.463999999999999</v>
      </c>
      <c r="J3449">
        <v>7</v>
      </c>
      <c r="K3449" s="2">
        <v>12.175800000000001</v>
      </c>
      <c r="L3449" s="3">
        <f>(Table1[[#This Row],[Profit]]/Table1[[#This Row],[Sales]])*100</f>
        <v>32.5</v>
      </c>
    </row>
    <row r="3450" spans="1:12" x14ac:dyDescent="0.3">
      <c r="A3450" t="s">
        <v>2980</v>
      </c>
      <c r="B3450" s="1">
        <v>43739</v>
      </c>
      <c r="C3450" t="s">
        <v>534</v>
      </c>
      <c r="D3450" t="s">
        <v>535</v>
      </c>
      <c r="E3450" t="s">
        <v>14</v>
      </c>
      <c r="F3450" t="s">
        <v>23</v>
      </c>
      <c r="G3450" t="s">
        <v>16</v>
      </c>
      <c r="H3450" t="s">
        <v>1861</v>
      </c>
      <c r="I3450" s="2">
        <v>194.84800000000001</v>
      </c>
      <c r="J3450">
        <v>4</v>
      </c>
      <c r="K3450" s="2">
        <v>12.178000000000001</v>
      </c>
      <c r="L3450" s="3">
        <f>(Table1[[#This Row],[Profit]]/Table1[[#This Row],[Sales]])*100</f>
        <v>6.25</v>
      </c>
    </row>
    <row r="3451" spans="1:12" x14ac:dyDescent="0.3">
      <c r="A3451" t="s">
        <v>5069</v>
      </c>
      <c r="B3451" s="1">
        <v>44039</v>
      </c>
      <c r="C3451" t="s">
        <v>3936</v>
      </c>
      <c r="D3451" t="s">
        <v>3937</v>
      </c>
      <c r="E3451" t="s">
        <v>14</v>
      </c>
      <c r="F3451" t="s">
        <v>41</v>
      </c>
      <c r="G3451" t="s">
        <v>16</v>
      </c>
      <c r="H3451" t="s">
        <v>1861</v>
      </c>
      <c r="I3451" s="2">
        <v>224.84800000000001</v>
      </c>
      <c r="J3451">
        <v>4</v>
      </c>
      <c r="K3451" s="2">
        <v>12.178000000000001</v>
      </c>
      <c r="L3451" s="3">
        <f>(Table1[[#This Row],[Profit]]/Table1[[#This Row],[Sales]])*100</f>
        <v>5.4161033231338509</v>
      </c>
    </row>
    <row r="3452" spans="1:12" x14ac:dyDescent="0.3">
      <c r="A3452" t="s">
        <v>999</v>
      </c>
      <c r="B3452" s="1">
        <v>43569</v>
      </c>
      <c r="C3452" t="s">
        <v>1000</v>
      </c>
      <c r="D3452" t="s">
        <v>1001</v>
      </c>
      <c r="E3452" t="s">
        <v>14</v>
      </c>
      <c r="F3452" t="s">
        <v>41</v>
      </c>
      <c r="G3452" t="s">
        <v>24</v>
      </c>
      <c r="H3452" t="s">
        <v>512</v>
      </c>
      <c r="I3452" s="2">
        <v>81.2</v>
      </c>
      <c r="J3452">
        <v>5</v>
      </c>
      <c r="K3452" s="2">
        <v>12.18</v>
      </c>
      <c r="L3452" s="3">
        <f>(Table1[[#This Row],[Profit]]/Table1[[#This Row],[Sales]])*100</f>
        <v>15</v>
      </c>
    </row>
    <row r="3453" spans="1:12" x14ac:dyDescent="0.3">
      <c r="A3453" t="s">
        <v>2641</v>
      </c>
      <c r="B3453" s="1">
        <v>43713</v>
      </c>
      <c r="C3453" t="s">
        <v>2642</v>
      </c>
      <c r="D3453" t="s">
        <v>2643</v>
      </c>
      <c r="E3453" t="s">
        <v>14</v>
      </c>
      <c r="F3453" t="s">
        <v>15</v>
      </c>
      <c r="G3453" t="s">
        <v>18</v>
      </c>
      <c r="H3453" t="s">
        <v>1364</v>
      </c>
      <c r="I3453" s="2">
        <v>43.6</v>
      </c>
      <c r="J3453">
        <v>4</v>
      </c>
      <c r="K3453" s="2">
        <v>12.208</v>
      </c>
      <c r="L3453" s="3">
        <f>(Table1[[#This Row],[Profit]]/Table1[[#This Row],[Sales]])*100</f>
        <v>27.999999999999996</v>
      </c>
    </row>
    <row r="3454" spans="1:12" x14ac:dyDescent="0.3">
      <c r="A3454" t="s">
        <v>5879</v>
      </c>
      <c r="B3454" s="1">
        <v>44148</v>
      </c>
      <c r="C3454" t="s">
        <v>3726</v>
      </c>
      <c r="D3454" t="s">
        <v>3727</v>
      </c>
      <c r="E3454" t="s">
        <v>14</v>
      </c>
      <c r="F3454" t="s">
        <v>15</v>
      </c>
      <c r="G3454" t="s">
        <v>18</v>
      </c>
      <c r="H3454" t="s">
        <v>1364</v>
      </c>
      <c r="I3454" s="2">
        <v>149.6</v>
      </c>
      <c r="J3454">
        <v>4</v>
      </c>
      <c r="K3454" s="2">
        <v>12.208</v>
      </c>
      <c r="L3454" s="3">
        <f>(Table1[[#This Row],[Profit]]/Table1[[#This Row],[Sales]])*100</f>
        <v>8.1604278074866308</v>
      </c>
    </row>
    <row r="3455" spans="1:12" x14ac:dyDescent="0.3">
      <c r="A3455" t="s">
        <v>4482</v>
      </c>
      <c r="B3455" s="1">
        <v>43937</v>
      </c>
      <c r="C3455" t="s">
        <v>4483</v>
      </c>
      <c r="D3455" t="s">
        <v>4484</v>
      </c>
      <c r="E3455" t="s">
        <v>14</v>
      </c>
      <c r="F3455" t="s">
        <v>23</v>
      </c>
      <c r="G3455" t="s">
        <v>24</v>
      </c>
      <c r="H3455" t="s">
        <v>3983</v>
      </c>
      <c r="I3455" s="2">
        <v>115.74</v>
      </c>
      <c r="J3455">
        <v>3</v>
      </c>
      <c r="K3455" s="2">
        <v>12.222</v>
      </c>
      <c r="L3455" s="3">
        <f>(Table1[[#This Row],[Profit]]/Table1[[#This Row],[Sales]])*100</f>
        <v>10.559875583203732</v>
      </c>
    </row>
    <row r="3456" spans="1:12" x14ac:dyDescent="0.3">
      <c r="A3456" t="s">
        <v>209</v>
      </c>
      <c r="B3456" s="1">
        <v>43495</v>
      </c>
      <c r="C3456" t="s">
        <v>210</v>
      </c>
      <c r="D3456" t="s">
        <v>211</v>
      </c>
      <c r="E3456" t="s">
        <v>14</v>
      </c>
      <c r="F3456" t="s">
        <v>23</v>
      </c>
      <c r="G3456" t="s">
        <v>24</v>
      </c>
      <c r="H3456" t="s">
        <v>214</v>
      </c>
      <c r="I3456" s="2">
        <v>26.01</v>
      </c>
      <c r="J3456">
        <v>9</v>
      </c>
      <c r="K3456" s="2">
        <v>12.2247</v>
      </c>
      <c r="L3456" s="3">
        <f>(Table1[[#This Row],[Profit]]/Table1[[#This Row],[Sales]])*100</f>
        <v>47</v>
      </c>
    </row>
    <row r="3457" spans="1:12" x14ac:dyDescent="0.3">
      <c r="A3457" t="s">
        <v>5479</v>
      </c>
      <c r="B3457" s="1">
        <v>44096</v>
      </c>
      <c r="C3457" t="s">
        <v>3490</v>
      </c>
      <c r="D3457" t="s">
        <v>3491</v>
      </c>
      <c r="E3457" t="s">
        <v>14</v>
      </c>
      <c r="F3457" t="s">
        <v>23</v>
      </c>
      <c r="G3457" t="s">
        <v>24</v>
      </c>
      <c r="H3457" t="s">
        <v>1137</v>
      </c>
      <c r="I3457" s="2">
        <v>142.18</v>
      </c>
      <c r="J3457">
        <v>3</v>
      </c>
      <c r="K3457" s="2">
        <v>12.231</v>
      </c>
      <c r="L3457" s="3">
        <f>(Table1[[#This Row],[Profit]]/Table1[[#This Row],[Sales]])*100</f>
        <v>8.6024757349838232</v>
      </c>
    </row>
    <row r="3458" spans="1:12" x14ac:dyDescent="0.3">
      <c r="A3458" t="s">
        <v>2332</v>
      </c>
      <c r="B3458" s="1">
        <v>43692</v>
      </c>
      <c r="C3458" t="s">
        <v>2333</v>
      </c>
      <c r="D3458" t="s">
        <v>2334</v>
      </c>
      <c r="E3458" t="s">
        <v>14</v>
      </c>
      <c r="F3458" t="s">
        <v>23</v>
      </c>
      <c r="G3458" t="s">
        <v>24</v>
      </c>
      <c r="H3458" t="s">
        <v>2335</v>
      </c>
      <c r="I3458" s="2">
        <v>122.328</v>
      </c>
      <c r="J3458">
        <v>3</v>
      </c>
      <c r="K3458" s="2">
        <v>12.232799999999999</v>
      </c>
      <c r="L3458" s="3">
        <f>(Table1[[#This Row],[Profit]]/Table1[[#This Row],[Sales]])*100</f>
        <v>10</v>
      </c>
    </row>
    <row r="3459" spans="1:12" x14ac:dyDescent="0.3">
      <c r="A3459" t="s">
        <v>5134</v>
      </c>
      <c r="B3459" s="1">
        <v>44055</v>
      </c>
      <c r="C3459" t="s">
        <v>5135</v>
      </c>
      <c r="D3459" t="s">
        <v>5136</v>
      </c>
      <c r="E3459" t="s">
        <v>14</v>
      </c>
      <c r="F3459" t="s">
        <v>23</v>
      </c>
      <c r="G3459" t="s">
        <v>18</v>
      </c>
      <c r="H3459" t="s">
        <v>1891</v>
      </c>
      <c r="I3459" s="2">
        <v>224.95</v>
      </c>
      <c r="J3459">
        <v>5</v>
      </c>
      <c r="K3459" s="2">
        <v>12.246499999999999</v>
      </c>
      <c r="L3459" s="3">
        <f>(Table1[[#This Row],[Profit]]/Table1[[#This Row],[Sales]])*100</f>
        <v>5.4440986885974656</v>
      </c>
    </row>
    <row r="3460" spans="1:12" x14ac:dyDescent="0.3">
      <c r="A3460" t="s">
        <v>5931</v>
      </c>
      <c r="B3460" s="1">
        <v>44152</v>
      </c>
      <c r="C3460" t="s">
        <v>684</v>
      </c>
      <c r="D3460" t="s">
        <v>685</v>
      </c>
      <c r="E3460" t="s">
        <v>14</v>
      </c>
      <c r="F3460" t="s">
        <v>41</v>
      </c>
      <c r="G3460" t="s">
        <v>24</v>
      </c>
      <c r="H3460" t="s">
        <v>1723</v>
      </c>
      <c r="I3460" s="2">
        <v>130.04</v>
      </c>
      <c r="J3460">
        <v>2</v>
      </c>
      <c r="K3460" s="2">
        <v>12.263999999999999</v>
      </c>
      <c r="L3460" s="3">
        <f>(Table1[[#This Row],[Profit]]/Table1[[#This Row],[Sales]])*100</f>
        <v>9.4309443248231322</v>
      </c>
    </row>
    <row r="3461" spans="1:12" x14ac:dyDescent="0.3">
      <c r="A3461" t="s">
        <v>3763</v>
      </c>
      <c r="B3461" s="1">
        <v>43809</v>
      </c>
      <c r="C3461" t="s">
        <v>1024</v>
      </c>
      <c r="D3461" t="s">
        <v>1025</v>
      </c>
      <c r="E3461" t="s">
        <v>14</v>
      </c>
      <c r="F3461" t="s">
        <v>23</v>
      </c>
      <c r="G3461" t="s">
        <v>24</v>
      </c>
      <c r="H3461" t="s">
        <v>3768</v>
      </c>
      <c r="I3461" s="2">
        <v>35.1</v>
      </c>
      <c r="J3461">
        <v>3</v>
      </c>
      <c r="K3461" s="2">
        <v>12.285</v>
      </c>
      <c r="L3461" s="3">
        <f>(Table1[[#This Row],[Profit]]/Table1[[#This Row],[Sales]])*100</f>
        <v>35</v>
      </c>
    </row>
    <row r="3462" spans="1:12" x14ac:dyDescent="0.3">
      <c r="A3462" t="s">
        <v>4542</v>
      </c>
      <c r="B3462" s="1">
        <v>43948</v>
      </c>
      <c r="C3462" t="s">
        <v>1024</v>
      </c>
      <c r="D3462" t="s">
        <v>1025</v>
      </c>
      <c r="E3462" t="s">
        <v>14</v>
      </c>
      <c r="F3462" t="s">
        <v>23</v>
      </c>
      <c r="G3462" t="s">
        <v>24</v>
      </c>
      <c r="H3462" t="s">
        <v>3433</v>
      </c>
      <c r="I3462" s="2">
        <v>148.30000000000001</v>
      </c>
      <c r="J3462">
        <v>2</v>
      </c>
      <c r="K3462" s="2">
        <v>12.298</v>
      </c>
      <c r="L3462" s="3">
        <f>(Table1[[#This Row],[Profit]]/Table1[[#This Row],[Sales]])*100</f>
        <v>8.2926500337154412</v>
      </c>
    </row>
    <row r="3463" spans="1:12" x14ac:dyDescent="0.3">
      <c r="A3463" t="s">
        <v>4781</v>
      </c>
      <c r="B3463" s="1">
        <v>43990</v>
      </c>
      <c r="C3463" t="s">
        <v>3223</v>
      </c>
      <c r="D3463" t="s">
        <v>3224</v>
      </c>
      <c r="E3463" t="s">
        <v>14</v>
      </c>
      <c r="F3463" t="s">
        <v>23</v>
      </c>
      <c r="G3463" t="s">
        <v>18</v>
      </c>
      <c r="H3463" t="s">
        <v>2448</v>
      </c>
      <c r="I3463" s="2">
        <v>127.544</v>
      </c>
      <c r="J3463">
        <v>7</v>
      </c>
      <c r="K3463" s="2">
        <v>12.3123</v>
      </c>
      <c r="L3463" s="3">
        <f>(Table1[[#This Row],[Profit]]/Table1[[#This Row],[Sales]])*100</f>
        <v>9.6533745217336762</v>
      </c>
    </row>
    <row r="3464" spans="1:12" x14ac:dyDescent="0.3">
      <c r="A3464" t="s">
        <v>5857</v>
      </c>
      <c r="B3464" s="1">
        <v>44146</v>
      </c>
      <c r="C3464" t="s">
        <v>356</v>
      </c>
      <c r="D3464" t="s">
        <v>357</v>
      </c>
      <c r="E3464" t="s">
        <v>14</v>
      </c>
      <c r="F3464" t="s">
        <v>29</v>
      </c>
      <c r="G3464" t="s">
        <v>18</v>
      </c>
      <c r="H3464" t="s">
        <v>4259</v>
      </c>
      <c r="I3464" s="2">
        <v>143.184</v>
      </c>
      <c r="J3464">
        <v>2</v>
      </c>
      <c r="K3464" s="2">
        <v>12.314399999999999</v>
      </c>
      <c r="L3464" s="3">
        <f>(Table1[[#This Row],[Profit]]/Table1[[#This Row],[Sales]])*100</f>
        <v>8.600402279584312</v>
      </c>
    </row>
    <row r="3465" spans="1:12" x14ac:dyDescent="0.3">
      <c r="A3465" t="s">
        <v>1418</v>
      </c>
      <c r="B3465" s="1">
        <v>43604</v>
      </c>
      <c r="C3465" t="s">
        <v>1419</v>
      </c>
      <c r="D3465" t="s">
        <v>1420</v>
      </c>
      <c r="E3465" t="s">
        <v>14</v>
      </c>
      <c r="F3465" t="s">
        <v>15</v>
      </c>
      <c r="G3465" t="s">
        <v>16</v>
      </c>
      <c r="H3465" t="s">
        <v>91</v>
      </c>
      <c r="I3465" s="2">
        <v>39.76</v>
      </c>
      <c r="J3465">
        <v>8</v>
      </c>
      <c r="K3465" s="2">
        <v>12.3256</v>
      </c>
      <c r="L3465" s="3">
        <f>(Table1[[#This Row],[Profit]]/Table1[[#This Row],[Sales]])*100</f>
        <v>31</v>
      </c>
    </row>
    <row r="3466" spans="1:12" x14ac:dyDescent="0.3">
      <c r="A3466" t="s">
        <v>3531</v>
      </c>
      <c r="B3466" s="1">
        <v>43792</v>
      </c>
      <c r="C3466" t="s">
        <v>3532</v>
      </c>
      <c r="D3466" t="s">
        <v>3533</v>
      </c>
      <c r="E3466" t="s">
        <v>14</v>
      </c>
      <c r="F3466" t="s">
        <v>15</v>
      </c>
      <c r="G3466" t="s">
        <v>16</v>
      </c>
      <c r="H3466" t="s">
        <v>1892</v>
      </c>
      <c r="I3466" s="2">
        <v>70.447999999999993</v>
      </c>
      <c r="J3466">
        <v>7</v>
      </c>
      <c r="K3466" s="2">
        <v>12.3284</v>
      </c>
      <c r="L3466" s="3">
        <f>(Table1[[#This Row],[Profit]]/Table1[[#This Row],[Sales]])*100</f>
        <v>17.5</v>
      </c>
    </row>
    <row r="3467" spans="1:12" x14ac:dyDescent="0.3">
      <c r="A3467" t="s">
        <v>2780</v>
      </c>
      <c r="B3467" s="1">
        <v>43725</v>
      </c>
      <c r="C3467" t="s">
        <v>2781</v>
      </c>
      <c r="D3467" t="s">
        <v>2782</v>
      </c>
      <c r="E3467" t="s">
        <v>14</v>
      </c>
      <c r="F3467" t="s">
        <v>29</v>
      </c>
      <c r="G3467" t="s">
        <v>24</v>
      </c>
      <c r="H3467" t="s">
        <v>2783</v>
      </c>
      <c r="I3467" s="2">
        <v>33.4</v>
      </c>
      <c r="J3467">
        <v>5</v>
      </c>
      <c r="K3467" s="2">
        <v>12.358000000000001</v>
      </c>
      <c r="L3467" s="3">
        <f>(Table1[[#This Row],[Profit]]/Table1[[#This Row],[Sales]])*100</f>
        <v>37.000000000000007</v>
      </c>
    </row>
    <row r="3468" spans="1:12" x14ac:dyDescent="0.3">
      <c r="A3468" t="s">
        <v>4524</v>
      </c>
      <c r="B3468" s="1">
        <v>43945</v>
      </c>
      <c r="C3468" t="s">
        <v>769</v>
      </c>
      <c r="D3468" t="s">
        <v>770</v>
      </c>
      <c r="E3468" t="s">
        <v>14</v>
      </c>
      <c r="F3468" t="s">
        <v>15</v>
      </c>
      <c r="G3468" t="s">
        <v>24</v>
      </c>
      <c r="H3468" t="s">
        <v>4525</v>
      </c>
      <c r="I3468" s="2">
        <v>139.28</v>
      </c>
      <c r="J3468">
        <v>2</v>
      </c>
      <c r="K3468" s="2">
        <v>12.41</v>
      </c>
      <c r="L3468" s="3">
        <f>(Table1[[#This Row],[Profit]]/Table1[[#This Row],[Sales]])*100</f>
        <v>8.9101091326823667</v>
      </c>
    </row>
    <row r="3469" spans="1:12" x14ac:dyDescent="0.3">
      <c r="A3469" t="s">
        <v>2045</v>
      </c>
      <c r="B3469" s="1">
        <v>43660</v>
      </c>
      <c r="C3469" t="s">
        <v>824</v>
      </c>
      <c r="D3469" t="s">
        <v>825</v>
      </c>
      <c r="E3469" t="s">
        <v>14</v>
      </c>
      <c r="F3469" t="s">
        <v>23</v>
      </c>
      <c r="G3469" t="s">
        <v>18</v>
      </c>
      <c r="H3469" t="s">
        <v>171</v>
      </c>
      <c r="I3469" s="2">
        <v>110.376</v>
      </c>
      <c r="J3469">
        <v>3</v>
      </c>
      <c r="K3469" s="2">
        <v>12.417299999999999</v>
      </c>
      <c r="L3469" s="3">
        <f>(Table1[[#This Row],[Profit]]/Table1[[#This Row],[Sales]])*100</f>
        <v>11.249999999999998</v>
      </c>
    </row>
    <row r="3470" spans="1:12" x14ac:dyDescent="0.3">
      <c r="A3470" t="s">
        <v>2048</v>
      </c>
      <c r="B3470" s="1">
        <v>43661</v>
      </c>
      <c r="C3470" t="s">
        <v>578</v>
      </c>
      <c r="D3470" t="s">
        <v>579</v>
      </c>
      <c r="E3470" t="s">
        <v>14</v>
      </c>
      <c r="F3470" t="s">
        <v>23</v>
      </c>
      <c r="G3470" t="s">
        <v>24</v>
      </c>
      <c r="H3470" t="s">
        <v>2049</v>
      </c>
      <c r="I3470" s="2">
        <v>44.4</v>
      </c>
      <c r="J3470">
        <v>5</v>
      </c>
      <c r="K3470" s="2">
        <v>12.432</v>
      </c>
      <c r="L3470" s="3">
        <f>(Table1[[#This Row],[Profit]]/Table1[[#This Row],[Sales]])*100</f>
        <v>28.000000000000004</v>
      </c>
    </row>
    <row r="3471" spans="1:12" x14ac:dyDescent="0.3">
      <c r="A3471" t="s">
        <v>2739</v>
      </c>
      <c r="B3471" s="1">
        <v>43722</v>
      </c>
      <c r="C3471" t="s">
        <v>2685</v>
      </c>
      <c r="D3471" t="s">
        <v>2686</v>
      </c>
      <c r="E3471" t="s">
        <v>14</v>
      </c>
      <c r="F3471" t="s">
        <v>41</v>
      </c>
      <c r="G3471" t="s">
        <v>24</v>
      </c>
      <c r="H3471" t="s">
        <v>1484</v>
      </c>
      <c r="I3471" s="2">
        <v>25.92</v>
      </c>
      <c r="J3471">
        <v>4</v>
      </c>
      <c r="K3471" s="2">
        <v>12.441599999999999</v>
      </c>
      <c r="L3471" s="3">
        <f>(Table1[[#This Row],[Profit]]/Table1[[#This Row],[Sales]])*100</f>
        <v>47.999999999999993</v>
      </c>
    </row>
    <row r="3472" spans="1:12" x14ac:dyDescent="0.3">
      <c r="A3472" t="s">
        <v>3606</v>
      </c>
      <c r="B3472" s="1">
        <v>43796</v>
      </c>
      <c r="C3472" t="s">
        <v>3607</v>
      </c>
      <c r="D3472" t="s">
        <v>3608</v>
      </c>
      <c r="E3472" t="s">
        <v>14</v>
      </c>
      <c r="F3472" t="s">
        <v>15</v>
      </c>
      <c r="G3472" t="s">
        <v>24</v>
      </c>
      <c r="H3472" t="s">
        <v>3609</v>
      </c>
      <c r="I3472" s="2">
        <v>25.92</v>
      </c>
      <c r="J3472">
        <v>4</v>
      </c>
      <c r="K3472" s="2">
        <v>12.441599999999999</v>
      </c>
      <c r="L3472" s="3">
        <f>(Table1[[#This Row],[Profit]]/Table1[[#This Row],[Sales]])*100</f>
        <v>47.999999999999993</v>
      </c>
    </row>
    <row r="3473" spans="1:12" x14ac:dyDescent="0.3">
      <c r="A3473" t="s">
        <v>3672</v>
      </c>
      <c r="B3473" s="1">
        <v>43801</v>
      </c>
      <c r="C3473" t="s">
        <v>3673</v>
      </c>
      <c r="D3473" t="s">
        <v>3674</v>
      </c>
      <c r="E3473" t="s">
        <v>14</v>
      </c>
      <c r="F3473" t="s">
        <v>23</v>
      </c>
      <c r="G3473" t="s">
        <v>24</v>
      </c>
      <c r="H3473" t="s">
        <v>2138</v>
      </c>
      <c r="I3473" s="2">
        <v>25.92</v>
      </c>
      <c r="J3473">
        <v>4</v>
      </c>
      <c r="K3473" s="2">
        <v>12.441599999999999</v>
      </c>
      <c r="L3473" s="3">
        <f>(Table1[[#This Row],[Profit]]/Table1[[#This Row],[Sales]])*100</f>
        <v>47.999999999999993</v>
      </c>
    </row>
    <row r="3474" spans="1:12" x14ac:dyDescent="0.3">
      <c r="A3474" t="s">
        <v>4061</v>
      </c>
      <c r="B3474" s="1">
        <v>43853</v>
      </c>
      <c r="C3474" t="s">
        <v>1907</v>
      </c>
      <c r="D3474" t="s">
        <v>1908</v>
      </c>
      <c r="E3474" t="s">
        <v>14</v>
      </c>
      <c r="F3474" t="s">
        <v>23</v>
      </c>
      <c r="G3474" t="s">
        <v>24</v>
      </c>
      <c r="H3474" t="s">
        <v>62</v>
      </c>
      <c r="I3474" s="2">
        <v>116.92</v>
      </c>
      <c r="J3474">
        <v>4</v>
      </c>
      <c r="K3474" s="2">
        <v>12.441599999999999</v>
      </c>
      <c r="L3474" s="3">
        <f>(Table1[[#This Row],[Profit]]/Table1[[#This Row],[Sales]])*100</f>
        <v>10.64112213479302</v>
      </c>
    </row>
    <row r="3475" spans="1:12" x14ac:dyDescent="0.3">
      <c r="A3475" t="s">
        <v>4576</v>
      </c>
      <c r="B3475" s="1">
        <v>43954</v>
      </c>
      <c r="C3475" t="s">
        <v>3673</v>
      </c>
      <c r="D3475" t="s">
        <v>3674</v>
      </c>
      <c r="E3475" t="s">
        <v>14</v>
      </c>
      <c r="F3475" t="s">
        <v>23</v>
      </c>
      <c r="G3475" t="s">
        <v>24</v>
      </c>
      <c r="H3475" t="s">
        <v>95</v>
      </c>
      <c r="I3475" s="2">
        <v>143.91999999999999</v>
      </c>
      <c r="J3475">
        <v>4</v>
      </c>
      <c r="K3475" s="2">
        <v>12.441599999999999</v>
      </c>
      <c r="L3475" s="3">
        <f>(Table1[[#This Row],[Profit]]/Table1[[#This Row],[Sales]])*100</f>
        <v>8.6448026681489729</v>
      </c>
    </row>
    <row r="3476" spans="1:12" x14ac:dyDescent="0.3">
      <c r="A3476" t="s">
        <v>4933</v>
      </c>
      <c r="B3476" s="1">
        <v>44013</v>
      </c>
      <c r="C3476" t="s">
        <v>573</v>
      </c>
      <c r="D3476" t="s">
        <v>574</v>
      </c>
      <c r="E3476" t="s">
        <v>14</v>
      </c>
      <c r="F3476" t="s">
        <v>29</v>
      </c>
      <c r="G3476" t="s">
        <v>24</v>
      </c>
      <c r="H3476" t="s">
        <v>1159</v>
      </c>
      <c r="I3476" s="2">
        <v>134.91999999999999</v>
      </c>
      <c r="J3476">
        <v>4</v>
      </c>
      <c r="K3476" s="2">
        <v>12.441599999999999</v>
      </c>
      <c r="L3476" s="3">
        <f>(Table1[[#This Row],[Profit]]/Table1[[#This Row],[Sales]])*100</f>
        <v>9.2214645715979842</v>
      </c>
    </row>
    <row r="3477" spans="1:12" x14ac:dyDescent="0.3">
      <c r="A3477" t="s">
        <v>5133</v>
      </c>
      <c r="B3477" s="1">
        <v>44054</v>
      </c>
      <c r="C3477" t="s">
        <v>544</v>
      </c>
      <c r="D3477" t="s">
        <v>545</v>
      </c>
      <c r="E3477" t="s">
        <v>14</v>
      </c>
      <c r="F3477" t="s">
        <v>15</v>
      </c>
      <c r="G3477" t="s">
        <v>24</v>
      </c>
      <c r="H3477" t="s">
        <v>1159</v>
      </c>
      <c r="I3477" s="2">
        <v>110.92</v>
      </c>
      <c r="J3477">
        <v>4</v>
      </c>
      <c r="K3477" s="2">
        <v>12.441599999999999</v>
      </c>
      <c r="L3477" s="3">
        <f>(Table1[[#This Row],[Profit]]/Table1[[#This Row],[Sales]])*100</f>
        <v>11.216732780382257</v>
      </c>
    </row>
    <row r="3478" spans="1:12" x14ac:dyDescent="0.3">
      <c r="A3478" t="s">
        <v>5185</v>
      </c>
      <c r="B3478" s="1">
        <v>44063</v>
      </c>
      <c r="C3478" t="s">
        <v>2690</v>
      </c>
      <c r="D3478" t="s">
        <v>2691</v>
      </c>
      <c r="E3478" t="s">
        <v>14</v>
      </c>
      <c r="F3478" t="s">
        <v>23</v>
      </c>
      <c r="G3478" t="s">
        <v>24</v>
      </c>
      <c r="H3478" t="s">
        <v>4820</v>
      </c>
      <c r="I3478" s="2">
        <v>140.91999999999999</v>
      </c>
      <c r="J3478">
        <v>4</v>
      </c>
      <c r="K3478" s="2">
        <v>12.441599999999999</v>
      </c>
      <c r="L3478" s="3">
        <f>(Table1[[#This Row],[Profit]]/Table1[[#This Row],[Sales]])*100</f>
        <v>8.8288390576213462</v>
      </c>
    </row>
    <row r="3479" spans="1:12" x14ac:dyDescent="0.3">
      <c r="A3479" t="s">
        <v>5434</v>
      </c>
      <c r="B3479" s="1">
        <v>44092</v>
      </c>
      <c r="C3479" t="s">
        <v>3913</v>
      </c>
      <c r="D3479" t="s">
        <v>3914</v>
      </c>
      <c r="E3479" t="s">
        <v>14</v>
      </c>
      <c r="F3479" t="s">
        <v>41</v>
      </c>
      <c r="G3479" t="s">
        <v>24</v>
      </c>
      <c r="H3479" t="s">
        <v>2384</v>
      </c>
      <c r="I3479" s="2">
        <v>144.91999999999999</v>
      </c>
      <c r="J3479">
        <v>4</v>
      </c>
      <c r="K3479" s="2">
        <v>12.441599999999999</v>
      </c>
      <c r="L3479" s="3">
        <f>(Table1[[#This Row],[Profit]]/Table1[[#This Row],[Sales]])*100</f>
        <v>8.5851504278222475</v>
      </c>
    </row>
    <row r="3480" spans="1:12" x14ac:dyDescent="0.3">
      <c r="A3480" t="s">
        <v>5618</v>
      </c>
      <c r="B3480" s="1">
        <v>44117</v>
      </c>
      <c r="C3480" t="s">
        <v>4180</v>
      </c>
      <c r="D3480" t="s">
        <v>4181</v>
      </c>
      <c r="E3480" t="s">
        <v>14</v>
      </c>
      <c r="F3480" t="s">
        <v>41</v>
      </c>
      <c r="G3480" t="s">
        <v>24</v>
      </c>
      <c r="H3480" t="s">
        <v>2156</v>
      </c>
      <c r="I3480" s="2">
        <v>138.91999999999999</v>
      </c>
      <c r="J3480">
        <v>4</v>
      </c>
      <c r="K3480" s="2">
        <v>12.441599999999999</v>
      </c>
      <c r="L3480" s="3">
        <f>(Table1[[#This Row],[Profit]]/Table1[[#This Row],[Sales]])*100</f>
        <v>8.9559458681255411</v>
      </c>
    </row>
    <row r="3481" spans="1:12" x14ac:dyDescent="0.3">
      <c r="A3481" t="s">
        <v>4264</v>
      </c>
      <c r="B3481" s="1">
        <v>43903</v>
      </c>
      <c r="C3481" t="s">
        <v>2937</v>
      </c>
      <c r="D3481" t="s">
        <v>2938</v>
      </c>
      <c r="E3481" t="s">
        <v>14</v>
      </c>
      <c r="F3481" t="s">
        <v>15</v>
      </c>
      <c r="G3481" t="s">
        <v>24</v>
      </c>
      <c r="H3481" t="s">
        <v>3864</v>
      </c>
      <c r="I3481" s="2">
        <v>160.12</v>
      </c>
      <c r="J3481">
        <v>4</v>
      </c>
      <c r="K3481" s="2">
        <v>12.475199999999999</v>
      </c>
      <c r="L3481" s="3">
        <f>(Table1[[#This Row],[Profit]]/Table1[[#This Row],[Sales]])*100</f>
        <v>7.7911566325256043</v>
      </c>
    </row>
    <row r="3482" spans="1:12" x14ac:dyDescent="0.3">
      <c r="A3482" t="s">
        <v>3077</v>
      </c>
      <c r="B3482" s="1">
        <v>43751</v>
      </c>
      <c r="C3482" t="s">
        <v>3037</v>
      </c>
      <c r="D3482" t="s">
        <v>3038</v>
      </c>
      <c r="E3482" t="s">
        <v>14</v>
      </c>
      <c r="F3482" t="s">
        <v>15</v>
      </c>
      <c r="G3482" t="s">
        <v>24</v>
      </c>
      <c r="H3482" t="s">
        <v>1490</v>
      </c>
      <c r="I3482" s="2">
        <v>34.700000000000003</v>
      </c>
      <c r="J3482">
        <v>5</v>
      </c>
      <c r="K3482" s="2">
        <v>12.492000000000001</v>
      </c>
      <c r="L3482" s="3">
        <f>(Table1[[#This Row],[Profit]]/Table1[[#This Row],[Sales]])*100</f>
        <v>36</v>
      </c>
    </row>
    <row r="3483" spans="1:12" x14ac:dyDescent="0.3">
      <c r="A3483" t="s">
        <v>6139</v>
      </c>
      <c r="B3483" s="1">
        <v>44174</v>
      </c>
      <c r="C3483" t="s">
        <v>774</v>
      </c>
      <c r="D3483" t="s">
        <v>775</v>
      </c>
      <c r="E3483" t="s">
        <v>14</v>
      </c>
      <c r="F3483" t="s">
        <v>29</v>
      </c>
      <c r="G3483" t="s">
        <v>24</v>
      </c>
      <c r="H3483" t="s">
        <v>1490</v>
      </c>
      <c r="I3483" s="2">
        <v>126.7</v>
      </c>
      <c r="J3483">
        <v>5</v>
      </c>
      <c r="K3483" s="2">
        <v>12.492000000000001</v>
      </c>
      <c r="L3483" s="3">
        <f>(Table1[[#This Row],[Profit]]/Table1[[#This Row],[Sales]])*100</f>
        <v>9.8595106550907659</v>
      </c>
    </row>
    <row r="3484" spans="1:12" x14ac:dyDescent="0.3">
      <c r="A3484" t="s">
        <v>5165</v>
      </c>
      <c r="B3484" s="1">
        <v>44061</v>
      </c>
      <c r="C3484" t="s">
        <v>2872</v>
      </c>
      <c r="D3484" t="s">
        <v>2873</v>
      </c>
      <c r="E3484" t="s">
        <v>14</v>
      </c>
      <c r="F3484" t="s">
        <v>29</v>
      </c>
      <c r="G3484" t="s">
        <v>24</v>
      </c>
      <c r="H3484" t="s">
        <v>2125</v>
      </c>
      <c r="I3484" s="2">
        <v>220.06399999999999</v>
      </c>
      <c r="J3484">
        <v>3</v>
      </c>
      <c r="K3484" s="2">
        <v>12.504</v>
      </c>
      <c r="L3484" s="3">
        <f>(Table1[[#This Row],[Profit]]/Table1[[#This Row],[Sales]])*100</f>
        <v>5.6819834230042172</v>
      </c>
    </row>
    <row r="3485" spans="1:12" x14ac:dyDescent="0.3">
      <c r="A3485" t="s">
        <v>5957</v>
      </c>
      <c r="B3485" s="1">
        <v>44154</v>
      </c>
      <c r="C3485" t="s">
        <v>2397</v>
      </c>
      <c r="D3485" t="s">
        <v>2398</v>
      </c>
      <c r="E3485" t="s">
        <v>14</v>
      </c>
      <c r="F3485" t="s">
        <v>41</v>
      </c>
      <c r="G3485" t="s">
        <v>24</v>
      </c>
      <c r="H3485" t="s">
        <v>1885</v>
      </c>
      <c r="I3485" s="2">
        <v>138.06</v>
      </c>
      <c r="J3485">
        <v>7</v>
      </c>
      <c r="K3485" s="2">
        <v>12.53</v>
      </c>
      <c r="L3485" s="3">
        <f>(Table1[[#This Row],[Profit]]/Table1[[#This Row],[Sales]])*100</f>
        <v>9.0757641605099213</v>
      </c>
    </row>
    <row r="3486" spans="1:12" x14ac:dyDescent="0.3">
      <c r="A3486" t="s">
        <v>5333</v>
      </c>
      <c r="B3486" s="1">
        <v>44083</v>
      </c>
      <c r="C3486" t="s">
        <v>3451</v>
      </c>
      <c r="D3486" t="s">
        <v>3452</v>
      </c>
      <c r="E3486" t="s">
        <v>14</v>
      </c>
      <c r="F3486" t="s">
        <v>41</v>
      </c>
      <c r="G3486" t="s">
        <v>24</v>
      </c>
      <c r="H3486" t="s">
        <v>398</v>
      </c>
      <c r="I3486" s="2">
        <v>667.81</v>
      </c>
      <c r="J3486">
        <v>7</v>
      </c>
      <c r="K3486" s="2">
        <v>12.5762</v>
      </c>
      <c r="L3486" s="3">
        <f>(Table1[[#This Row],[Profit]]/Table1[[#This Row],[Sales]])*100</f>
        <v>1.8832003114658362</v>
      </c>
    </row>
    <row r="3487" spans="1:12" x14ac:dyDescent="0.3">
      <c r="A3487" t="s">
        <v>1202</v>
      </c>
      <c r="B3487" s="1">
        <v>43587</v>
      </c>
      <c r="C3487" t="s">
        <v>1203</v>
      </c>
      <c r="D3487" t="s">
        <v>1204</v>
      </c>
      <c r="E3487" t="s">
        <v>14</v>
      </c>
      <c r="F3487" t="s">
        <v>15</v>
      </c>
      <c r="G3487" t="s">
        <v>24</v>
      </c>
      <c r="H3487" t="s">
        <v>1205</v>
      </c>
      <c r="I3487" s="2">
        <v>44.94</v>
      </c>
      <c r="J3487">
        <v>3</v>
      </c>
      <c r="K3487" s="2">
        <v>12.5832</v>
      </c>
      <c r="L3487" s="3">
        <f>(Table1[[#This Row],[Profit]]/Table1[[#This Row],[Sales]])*100</f>
        <v>28.000000000000004</v>
      </c>
    </row>
    <row r="3488" spans="1:12" x14ac:dyDescent="0.3">
      <c r="A3488" t="s">
        <v>1901</v>
      </c>
      <c r="B3488" s="1">
        <v>43643</v>
      </c>
      <c r="C3488" t="s">
        <v>698</v>
      </c>
      <c r="D3488" t="s">
        <v>699</v>
      </c>
      <c r="E3488" t="s">
        <v>14</v>
      </c>
      <c r="F3488" t="s">
        <v>23</v>
      </c>
      <c r="G3488" t="s">
        <v>18</v>
      </c>
      <c r="H3488" t="s">
        <v>1736</v>
      </c>
      <c r="I3488" s="2">
        <v>201.584</v>
      </c>
      <c r="J3488">
        <v>2</v>
      </c>
      <c r="K3488" s="2">
        <v>12.599</v>
      </c>
      <c r="L3488" s="3">
        <f>(Table1[[#This Row],[Profit]]/Table1[[#This Row],[Sales]])*100</f>
        <v>6.25</v>
      </c>
    </row>
    <row r="3489" spans="1:12" x14ac:dyDescent="0.3">
      <c r="A3489" t="s">
        <v>5245</v>
      </c>
      <c r="B3489" s="1">
        <v>44076</v>
      </c>
      <c r="C3489" t="s">
        <v>5246</v>
      </c>
      <c r="D3489" t="s">
        <v>5247</v>
      </c>
      <c r="E3489" t="s">
        <v>14</v>
      </c>
      <c r="F3489" t="s">
        <v>23</v>
      </c>
      <c r="G3489" t="s">
        <v>18</v>
      </c>
      <c r="H3489" t="s">
        <v>1736</v>
      </c>
      <c r="I3489" s="2">
        <v>247.584</v>
      </c>
      <c r="J3489">
        <v>2</v>
      </c>
      <c r="K3489" s="2">
        <v>12.599</v>
      </c>
      <c r="L3489" s="3">
        <f>(Table1[[#This Row],[Profit]]/Table1[[#This Row],[Sales]])*100</f>
        <v>5.0887779501098613</v>
      </c>
    </row>
    <row r="3490" spans="1:12" x14ac:dyDescent="0.3">
      <c r="A3490" t="s">
        <v>5081</v>
      </c>
      <c r="B3490" s="1">
        <v>44042</v>
      </c>
      <c r="C3490" t="s">
        <v>1183</v>
      </c>
      <c r="D3490" t="s">
        <v>1184</v>
      </c>
      <c r="E3490" t="s">
        <v>14</v>
      </c>
      <c r="F3490" t="s">
        <v>23</v>
      </c>
      <c r="G3490" t="s">
        <v>24</v>
      </c>
      <c r="H3490" t="s">
        <v>2806</v>
      </c>
      <c r="I3490" s="2">
        <v>116.25</v>
      </c>
      <c r="J3490">
        <v>7</v>
      </c>
      <c r="K3490" s="2">
        <v>12.6</v>
      </c>
      <c r="L3490" s="3">
        <f>(Table1[[#This Row],[Profit]]/Table1[[#This Row],[Sales]])*100</f>
        <v>10.838709677419354</v>
      </c>
    </row>
    <row r="3491" spans="1:12" x14ac:dyDescent="0.3">
      <c r="A3491" t="s">
        <v>3186</v>
      </c>
      <c r="B3491" s="1">
        <v>43765</v>
      </c>
      <c r="C3491" t="s">
        <v>3181</v>
      </c>
      <c r="D3491" t="s">
        <v>3182</v>
      </c>
      <c r="E3491" t="s">
        <v>14</v>
      </c>
      <c r="F3491" t="s">
        <v>15</v>
      </c>
      <c r="G3491" t="s">
        <v>24</v>
      </c>
      <c r="H3491" t="s">
        <v>1046</v>
      </c>
      <c r="I3491" s="2">
        <v>40.67</v>
      </c>
      <c r="J3491">
        <v>7</v>
      </c>
      <c r="K3491" s="2">
        <v>12.607699999999999</v>
      </c>
      <c r="L3491" s="3">
        <f>(Table1[[#This Row],[Profit]]/Table1[[#This Row],[Sales]])*100</f>
        <v>31</v>
      </c>
    </row>
    <row r="3492" spans="1:12" x14ac:dyDescent="0.3">
      <c r="A3492" t="s">
        <v>4100</v>
      </c>
      <c r="B3492" s="1">
        <v>43863</v>
      </c>
      <c r="C3492" t="s">
        <v>34</v>
      </c>
      <c r="D3492" t="s">
        <v>35</v>
      </c>
      <c r="E3492" t="s">
        <v>14</v>
      </c>
      <c r="F3492" t="s">
        <v>23</v>
      </c>
      <c r="G3492" t="s">
        <v>16</v>
      </c>
      <c r="H3492" t="s">
        <v>4101</v>
      </c>
      <c r="I3492" s="2">
        <v>242.58</v>
      </c>
      <c r="J3492">
        <v>2</v>
      </c>
      <c r="K3492" s="2">
        <v>12.6348</v>
      </c>
      <c r="L3492" s="3">
        <f>(Table1[[#This Row],[Profit]]/Table1[[#This Row],[Sales]])*100</f>
        <v>5.2085085332673753</v>
      </c>
    </row>
    <row r="3493" spans="1:12" x14ac:dyDescent="0.3">
      <c r="A3493" t="s">
        <v>3297</v>
      </c>
      <c r="B3493" s="1">
        <v>43775</v>
      </c>
      <c r="C3493" t="s">
        <v>2869</v>
      </c>
      <c r="D3493" t="s">
        <v>2870</v>
      </c>
      <c r="E3493" t="s">
        <v>14</v>
      </c>
      <c r="F3493" t="s">
        <v>41</v>
      </c>
      <c r="G3493" t="s">
        <v>24</v>
      </c>
      <c r="H3493" t="s">
        <v>1141</v>
      </c>
      <c r="I3493" s="2">
        <v>36.112000000000002</v>
      </c>
      <c r="J3493">
        <v>2</v>
      </c>
      <c r="K3493" s="2">
        <v>12.639200000000001</v>
      </c>
      <c r="L3493" s="3">
        <f>(Table1[[#This Row],[Profit]]/Table1[[#This Row],[Sales]])*100</f>
        <v>35</v>
      </c>
    </row>
    <row r="3494" spans="1:12" x14ac:dyDescent="0.3">
      <c r="A3494" t="s">
        <v>6135</v>
      </c>
      <c r="B3494" s="1">
        <v>44173</v>
      </c>
      <c r="C3494" t="s">
        <v>2355</v>
      </c>
      <c r="D3494" t="s">
        <v>2356</v>
      </c>
      <c r="E3494" t="s">
        <v>14</v>
      </c>
      <c r="F3494" t="s">
        <v>29</v>
      </c>
      <c r="G3494" t="s">
        <v>24</v>
      </c>
      <c r="H3494" t="s">
        <v>912</v>
      </c>
      <c r="I3494" s="2">
        <v>132.52000000000001</v>
      </c>
      <c r="J3494">
        <v>4</v>
      </c>
      <c r="K3494" s="2">
        <v>12.6592</v>
      </c>
      <c r="L3494" s="3">
        <f>(Table1[[#This Row],[Profit]]/Table1[[#This Row],[Sales]])*100</f>
        <v>9.5526712948988823</v>
      </c>
    </row>
    <row r="3495" spans="1:12" x14ac:dyDescent="0.3">
      <c r="A3495" t="s">
        <v>2515</v>
      </c>
      <c r="B3495" s="1">
        <v>43709</v>
      </c>
      <c r="C3495" t="s">
        <v>2516</v>
      </c>
      <c r="D3495" t="s">
        <v>2517</v>
      </c>
      <c r="E3495" t="s">
        <v>14</v>
      </c>
      <c r="F3495" t="s">
        <v>29</v>
      </c>
      <c r="G3495" t="s">
        <v>24</v>
      </c>
      <c r="H3495" t="s">
        <v>2124</v>
      </c>
      <c r="I3495" s="2">
        <v>26.4</v>
      </c>
      <c r="J3495">
        <v>5</v>
      </c>
      <c r="K3495" s="2">
        <v>12.672000000000001</v>
      </c>
      <c r="L3495" s="3">
        <f>(Table1[[#This Row],[Profit]]/Table1[[#This Row],[Sales]])*100</f>
        <v>48.000000000000007</v>
      </c>
    </row>
    <row r="3496" spans="1:12" x14ac:dyDescent="0.3">
      <c r="A3496" t="s">
        <v>5805</v>
      </c>
      <c r="B3496" s="1">
        <v>44141</v>
      </c>
      <c r="C3496" t="s">
        <v>1661</v>
      </c>
      <c r="D3496" t="s">
        <v>1662</v>
      </c>
      <c r="E3496" t="s">
        <v>14</v>
      </c>
      <c r="F3496" t="s">
        <v>23</v>
      </c>
      <c r="G3496" t="s">
        <v>24</v>
      </c>
      <c r="H3496" t="s">
        <v>3030</v>
      </c>
      <c r="I3496" s="2">
        <v>126.4</v>
      </c>
      <c r="J3496">
        <v>5</v>
      </c>
      <c r="K3496" s="2">
        <v>12.672000000000001</v>
      </c>
      <c r="L3496" s="3">
        <f>(Table1[[#This Row],[Profit]]/Table1[[#This Row],[Sales]])*100</f>
        <v>10.025316455696203</v>
      </c>
    </row>
    <row r="3497" spans="1:12" x14ac:dyDescent="0.3">
      <c r="A3497" t="s">
        <v>4302</v>
      </c>
      <c r="B3497" s="1">
        <v>43909</v>
      </c>
      <c r="C3497" t="s">
        <v>3869</v>
      </c>
      <c r="D3497" t="s">
        <v>3870</v>
      </c>
      <c r="E3497" t="s">
        <v>14</v>
      </c>
      <c r="F3497" t="s">
        <v>23</v>
      </c>
      <c r="G3497" t="s">
        <v>16</v>
      </c>
      <c r="H3497" t="s">
        <v>2110</v>
      </c>
      <c r="I3497" s="2">
        <v>129.93</v>
      </c>
      <c r="J3497">
        <v>1</v>
      </c>
      <c r="K3497" s="2">
        <v>12.6813</v>
      </c>
      <c r="L3497" s="3">
        <f>(Table1[[#This Row],[Profit]]/Table1[[#This Row],[Sales]])*100</f>
        <v>9.760101593165551</v>
      </c>
    </row>
    <row r="3498" spans="1:12" x14ac:dyDescent="0.3">
      <c r="A3498" t="s">
        <v>6293</v>
      </c>
      <c r="B3498" s="1">
        <v>44193</v>
      </c>
      <c r="C3498" t="s">
        <v>1333</v>
      </c>
      <c r="D3498" t="s">
        <v>1334</v>
      </c>
      <c r="E3498" t="s">
        <v>14</v>
      </c>
      <c r="F3498" t="s">
        <v>29</v>
      </c>
      <c r="G3498" t="s">
        <v>24</v>
      </c>
      <c r="H3498" t="s">
        <v>1160</v>
      </c>
      <c r="I3498" s="2">
        <v>296.89999999999998</v>
      </c>
      <c r="J3498">
        <v>5</v>
      </c>
      <c r="K3498" s="2">
        <v>12.691000000000001</v>
      </c>
      <c r="L3498" s="3">
        <f>(Table1[[#This Row],[Profit]]/Table1[[#This Row],[Sales]])*100</f>
        <v>4.2745031997305496</v>
      </c>
    </row>
    <row r="3499" spans="1:12" x14ac:dyDescent="0.3">
      <c r="A3499" t="s">
        <v>4882</v>
      </c>
      <c r="B3499" s="1">
        <v>44004</v>
      </c>
      <c r="C3499" t="s">
        <v>762</v>
      </c>
      <c r="D3499" t="s">
        <v>763</v>
      </c>
      <c r="E3499" t="s">
        <v>14</v>
      </c>
      <c r="F3499" t="s">
        <v>41</v>
      </c>
      <c r="G3499" t="s">
        <v>24</v>
      </c>
      <c r="H3499" t="s">
        <v>247</v>
      </c>
      <c r="I3499" s="2">
        <v>145.608</v>
      </c>
      <c r="J3499">
        <v>3</v>
      </c>
      <c r="K3499" s="2">
        <v>12.6927</v>
      </c>
      <c r="L3499" s="3">
        <f>(Table1[[#This Row],[Profit]]/Table1[[#This Row],[Sales]])*100</f>
        <v>8.717034778308884</v>
      </c>
    </row>
    <row r="3500" spans="1:12" x14ac:dyDescent="0.3">
      <c r="A3500" t="s">
        <v>936</v>
      </c>
      <c r="B3500" s="1">
        <v>43563</v>
      </c>
      <c r="C3500" t="s">
        <v>937</v>
      </c>
      <c r="D3500" t="s">
        <v>938</v>
      </c>
      <c r="E3500" t="s">
        <v>14</v>
      </c>
      <c r="F3500" t="s">
        <v>41</v>
      </c>
      <c r="G3500" t="s">
        <v>24</v>
      </c>
      <c r="H3500" t="s">
        <v>541</v>
      </c>
      <c r="I3500" s="2">
        <v>25.92</v>
      </c>
      <c r="J3500">
        <v>4</v>
      </c>
      <c r="K3500" s="2">
        <v>12.700799999999999</v>
      </c>
      <c r="L3500" s="3">
        <f>(Table1[[#This Row],[Profit]]/Table1[[#This Row],[Sales]])*100</f>
        <v>48.999999999999993</v>
      </c>
    </row>
    <row r="3501" spans="1:12" x14ac:dyDescent="0.3">
      <c r="A3501" t="s">
        <v>4009</v>
      </c>
      <c r="B3501" s="1">
        <v>43844</v>
      </c>
      <c r="C3501" t="s">
        <v>460</v>
      </c>
      <c r="D3501" t="s">
        <v>461</v>
      </c>
      <c r="E3501" t="s">
        <v>14</v>
      </c>
      <c r="F3501" t="s">
        <v>41</v>
      </c>
      <c r="G3501" t="s">
        <v>24</v>
      </c>
      <c r="H3501" t="s">
        <v>918</v>
      </c>
      <c r="I3501" s="2">
        <v>157.28800000000001</v>
      </c>
      <c r="J3501">
        <v>7</v>
      </c>
      <c r="K3501" s="2">
        <v>12.700799999999999</v>
      </c>
      <c r="L3501" s="3">
        <f>(Table1[[#This Row],[Profit]]/Table1[[#This Row],[Sales]])*100</f>
        <v>8.0748690300595083</v>
      </c>
    </row>
    <row r="3502" spans="1:12" x14ac:dyDescent="0.3">
      <c r="A3502" t="s">
        <v>5097</v>
      </c>
      <c r="B3502" s="1">
        <v>44044</v>
      </c>
      <c r="C3502" t="s">
        <v>788</v>
      </c>
      <c r="D3502" t="s">
        <v>789</v>
      </c>
      <c r="E3502" t="s">
        <v>14</v>
      </c>
      <c r="F3502" t="s">
        <v>29</v>
      </c>
      <c r="G3502" t="s">
        <v>24</v>
      </c>
      <c r="H3502" t="s">
        <v>5098</v>
      </c>
      <c r="I3502" s="2">
        <v>128.28800000000001</v>
      </c>
      <c r="J3502">
        <v>7</v>
      </c>
      <c r="K3502" s="2">
        <v>12.700799999999999</v>
      </c>
      <c r="L3502" s="3">
        <f>(Table1[[#This Row],[Profit]]/Table1[[#This Row],[Sales]])*100</f>
        <v>9.9002244948865048</v>
      </c>
    </row>
    <row r="3503" spans="1:12" x14ac:dyDescent="0.3">
      <c r="A3503" t="s">
        <v>5985</v>
      </c>
      <c r="B3503" s="1">
        <v>44158</v>
      </c>
      <c r="C3503" t="s">
        <v>2095</v>
      </c>
      <c r="D3503" t="s">
        <v>2096</v>
      </c>
      <c r="E3503" t="s">
        <v>14</v>
      </c>
      <c r="F3503" t="s">
        <v>29</v>
      </c>
      <c r="G3503" t="s">
        <v>24</v>
      </c>
      <c r="H3503" t="s">
        <v>3245</v>
      </c>
      <c r="I3503" s="2">
        <v>133.28800000000001</v>
      </c>
      <c r="J3503">
        <v>7</v>
      </c>
      <c r="K3503" s="2">
        <v>12.700799999999999</v>
      </c>
      <c r="L3503" s="3">
        <f>(Table1[[#This Row],[Profit]]/Table1[[#This Row],[Sales]])*100</f>
        <v>9.5288398055338792</v>
      </c>
    </row>
    <row r="3504" spans="1:12" x14ac:dyDescent="0.3">
      <c r="A3504" t="s">
        <v>5450</v>
      </c>
      <c r="B3504" s="1">
        <v>44094</v>
      </c>
      <c r="C3504" t="s">
        <v>1698</v>
      </c>
      <c r="D3504" t="s">
        <v>1699</v>
      </c>
      <c r="E3504" t="s">
        <v>14</v>
      </c>
      <c r="F3504" t="s">
        <v>15</v>
      </c>
      <c r="G3504" t="s">
        <v>24</v>
      </c>
      <c r="H3504" t="s">
        <v>3738</v>
      </c>
      <c r="I3504" s="2">
        <v>154.4</v>
      </c>
      <c r="J3504">
        <v>4</v>
      </c>
      <c r="K3504" s="2">
        <v>12.712</v>
      </c>
      <c r="L3504" s="3">
        <f>(Table1[[#This Row],[Profit]]/Table1[[#This Row],[Sales]])*100</f>
        <v>8.2331606217616571</v>
      </c>
    </row>
    <row r="3505" spans="1:12" x14ac:dyDescent="0.3">
      <c r="A3505" t="s">
        <v>2815</v>
      </c>
      <c r="B3505" s="1">
        <v>43727</v>
      </c>
      <c r="C3505" t="s">
        <v>2816</v>
      </c>
      <c r="D3505" t="s">
        <v>2817</v>
      </c>
      <c r="E3505" t="s">
        <v>14</v>
      </c>
      <c r="F3505" t="s">
        <v>15</v>
      </c>
      <c r="G3505" t="s">
        <v>24</v>
      </c>
      <c r="H3505" t="s">
        <v>2818</v>
      </c>
      <c r="I3505" s="2">
        <v>25.44</v>
      </c>
      <c r="J3505">
        <v>6</v>
      </c>
      <c r="K3505" s="2">
        <v>12.72</v>
      </c>
      <c r="L3505" s="3">
        <f>(Table1[[#This Row],[Profit]]/Table1[[#This Row],[Sales]])*100</f>
        <v>50</v>
      </c>
    </row>
    <row r="3506" spans="1:12" x14ac:dyDescent="0.3">
      <c r="A3506" t="s">
        <v>4624</v>
      </c>
      <c r="B3506" s="1">
        <v>43962</v>
      </c>
      <c r="C3506" t="s">
        <v>528</v>
      </c>
      <c r="D3506" t="s">
        <v>529</v>
      </c>
      <c r="E3506" t="s">
        <v>14</v>
      </c>
      <c r="F3506" t="s">
        <v>15</v>
      </c>
      <c r="G3506" t="s">
        <v>24</v>
      </c>
      <c r="H3506" t="s">
        <v>1082</v>
      </c>
      <c r="I3506" s="2">
        <v>149.91999999999999</v>
      </c>
      <c r="J3506">
        <v>3</v>
      </c>
      <c r="K3506" s="2">
        <v>12.736800000000001</v>
      </c>
      <c r="L3506" s="3">
        <f>(Table1[[#This Row],[Profit]]/Table1[[#This Row],[Sales]])*100</f>
        <v>8.4957310565635016</v>
      </c>
    </row>
    <row r="3507" spans="1:12" x14ac:dyDescent="0.3">
      <c r="A3507" t="s">
        <v>1585</v>
      </c>
      <c r="B3507" s="1">
        <v>43615</v>
      </c>
      <c r="C3507" t="s">
        <v>942</v>
      </c>
      <c r="D3507" t="s">
        <v>943</v>
      </c>
      <c r="E3507" t="s">
        <v>14</v>
      </c>
      <c r="F3507" t="s">
        <v>41</v>
      </c>
      <c r="G3507" t="s">
        <v>24</v>
      </c>
      <c r="H3507" t="s">
        <v>1586</v>
      </c>
      <c r="I3507" s="2">
        <v>26.55</v>
      </c>
      <c r="J3507">
        <v>9</v>
      </c>
      <c r="K3507" s="2">
        <v>12.744</v>
      </c>
      <c r="L3507" s="3">
        <f>(Table1[[#This Row],[Profit]]/Table1[[#This Row],[Sales]])*100</f>
        <v>48</v>
      </c>
    </row>
    <row r="3508" spans="1:12" x14ac:dyDescent="0.3">
      <c r="A3508" t="s">
        <v>3518</v>
      </c>
      <c r="B3508" s="1">
        <v>43790</v>
      </c>
      <c r="C3508" t="s">
        <v>1020</v>
      </c>
      <c r="D3508" t="s">
        <v>1021</v>
      </c>
      <c r="E3508" t="s">
        <v>14</v>
      </c>
      <c r="F3508" t="s">
        <v>15</v>
      </c>
      <c r="G3508" t="s">
        <v>16</v>
      </c>
      <c r="H3508" t="s">
        <v>3519</v>
      </c>
      <c r="I3508" s="2">
        <v>113.568</v>
      </c>
      <c r="J3508">
        <v>2</v>
      </c>
      <c r="K3508" s="2">
        <v>12.776400000000001</v>
      </c>
      <c r="L3508" s="3">
        <f>(Table1[[#This Row],[Profit]]/Table1[[#This Row],[Sales]])*100</f>
        <v>11.25</v>
      </c>
    </row>
    <row r="3509" spans="1:12" x14ac:dyDescent="0.3">
      <c r="A3509" t="s">
        <v>6273</v>
      </c>
      <c r="B3509" s="1">
        <v>44190</v>
      </c>
      <c r="C3509" t="s">
        <v>714</v>
      </c>
      <c r="D3509" t="s">
        <v>715</v>
      </c>
      <c r="E3509" t="s">
        <v>14</v>
      </c>
      <c r="F3509" t="s">
        <v>15</v>
      </c>
      <c r="G3509" t="s">
        <v>24</v>
      </c>
      <c r="H3509" t="s">
        <v>449</v>
      </c>
      <c r="I3509" s="2">
        <v>330.31200000000001</v>
      </c>
      <c r="J3509">
        <v>13</v>
      </c>
      <c r="K3509" s="2">
        <v>12.776400000000001</v>
      </c>
      <c r="L3509" s="3">
        <f>(Table1[[#This Row],[Profit]]/Table1[[#This Row],[Sales]])*100</f>
        <v>3.8679793649640337</v>
      </c>
    </row>
    <row r="3510" spans="1:12" x14ac:dyDescent="0.3">
      <c r="A3510" t="s">
        <v>1823</v>
      </c>
      <c r="B3510" s="1">
        <v>43637</v>
      </c>
      <c r="C3510" t="s">
        <v>1208</v>
      </c>
      <c r="D3510" t="s">
        <v>1209</v>
      </c>
      <c r="E3510" t="s">
        <v>14</v>
      </c>
      <c r="F3510" t="s">
        <v>15</v>
      </c>
      <c r="G3510" t="s">
        <v>24</v>
      </c>
      <c r="H3510" t="s">
        <v>1824</v>
      </c>
      <c r="I3510" s="2">
        <v>36.56</v>
      </c>
      <c r="J3510">
        <v>5</v>
      </c>
      <c r="K3510" s="2">
        <v>12.795999999999999</v>
      </c>
      <c r="L3510" s="3">
        <f>(Table1[[#This Row],[Profit]]/Table1[[#This Row],[Sales]])*100</f>
        <v>35</v>
      </c>
    </row>
    <row r="3511" spans="1:12" x14ac:dyDescent="0.3">
      <c r="A3511" t="s">
        <v>941</v>
      </c>
      <c r="B3511" s="1">
        <v>43564</v>
      </c>
      <c r="C3511" t="s">
        <v>942</v>
      </c>
      <c r="D3511" t="s">
        <v>943</v>
      </c>
      <c r="E3511" t="s">
        <v>14</v>
      </c>
      <c r="F3511" t="s">
        <v>23</v>
      </c>
      <c r="G3511" t="s">
        <v>24</v>
      </c>
      <c r="H3511" t="s">
        <v>944</v>
      </c>
      <c r="I3511" s="2">
        <v>35.351999999999997</v>
      </c>
      <c r="J3511">
        <v>9</v>
      </c>
      <c r="K3511" s="2">
        <v>12.815099999999999</v>
      </c>
      <c r="L3511" s="3">
        <f>(Table1[[#This Row],[Profit]]/Table1[[#This Row],[Sales]])*100</f>
        <v>36.25</v>
      </c>
    </row>
    <row r="3512" spans="1:12" x14ac:dyDescent="0.3">
      <c r="A3512" t="s">
        <v>4683</v>
      </c>
      <c r="B3512" s="1">
        <v>43970</v>
      </c>
      <c r="C3512" t="s">
        <v>4684</v>
      </c>
      <c r="D3512" t="s">
        <v>4685</v>
      </c>
      <c r="E3512" t="s">
        <v>14</v>
      </c>
      <c r="F3512" t="s">
        <v>41</v>
      </c>
      <c r="G3512" t="s">
        <v>24</v>
      </c>
      <c r="H3512" t="s">
        <v>4686</v>
      </c>
      <c r="I3512" s="2">
        <v>131.16</v>
      </c>
      <c r="J3512">
        <v>4</v>
      </c>
      <c r="K3512" s="2">
        <v>12.8184</v>
      </c>
      <c r="L3512" s="3">
        <f>(Table1[[#This Row],[Profit]]/Table1[[#This Row],[Sales]])*100</f>
        <v>9.7731015553522429</v>
      </c>
    </row>
    <row r="3513" spans="1:12" x14ac:dyDescent="0.3">
      <c r="A3513" t="s">
        <v>2279</v>
      </c>
      <c r="B3513" s="1">
        <v>43685</v>
      </c>
      <c r="C3513" t="s">
        <v>1149</v>
      </c>
      <c r="D3513" t="s">
        <v>1150</v>
      </c>
      <c r="E3513" t="s">
        <v>14</v>
      </c>
      <c r="F3513" t="s">
        <v>23</v>
      </c>
      <c r="G3513" t="s">
        <v>16</v>
      </c>
      <c r="H3513" t="s">
        <v>2280</v>
      </c>
      <c r="I3513" s="2">
        <v>513.024</v>
      </c>
      <c r="J3513">
        <v>2</v>
      </c>
      <c r="K3513" s="2">
        <v>12.8256</v>
      </c>
      <c r="L3513" s="3">
        <f>(Table1[[#This Row],[Profit]]/Table1[[#This Row],[Sales]])*100</f>
        <v>2.5</v>
      </c>
    </row>
    <row r="3514" spans="1:12" x14ac:dyDescent="0.3">
      <c r="A3514" t="s">
        <v>4366</v>
      </c>
      <c r="B3514" s="1">
        <v>43918</v>
      </c>
      <c r="C3514" t="s">
        <v>1854</v>
      </c>
      <c r="D3514" t="s">
        <v>1855</v>
      </c>
      <c r="E3514" t="s">
        <v>14</v>
      </c>
      <c r="F3514" t="s">
        <v>23</v>
      </c>
      <c r="G3514" t="s">
        <v>24</v>
      </c>
      <c r="H3514" t="s">
        <v>2744</v>
      </c>
      <c r="I3514" s="2">
        <v>139.72</v>
      </c>
      <c r="J3514">
        <v>4</v>
      </c>
      <c r="K3514" s="2">
        <v>12.8256</v>
      </c>
      <c r="L3514" s="3">
        <f>(Table1[[#This Row],[Profit]]/Table1[[#This Row],[Sales]])*100</f>
        <v>9.1795018608645869</v>
      </c>
    </row>
    <row r="3515" spans="1:12" x14ac:dyDescent="0.3">
      <c r="A3515" t="s">
        <v>1887</v>
      </c>
      <c r="B3515" s="1">
        <v>43642</v>
      </c>
      <c r="C3515" t="s">
        <v>1888</v>
      </c>
      <c r="D3515" t="s">
        <v>1889</v>
      </c>
      <c r="E3515" t="s">
        <v>14</v>
      </c>
      <c r="F3515" t="s">
        <v>15</v>
      </c>
      <c r="G3515" t="s">
        <v>16</v>
      </c>
      <c r="H3515" t="s">
        <v>1892</v>
      </c>
      <c r="I3515" s="2">
        <v>37.74</v>
      </c>
      <c r="J3515">
        <v>3</v>
      </c>
      <c r="K3515" s="2">
        <v>12.8316</v>
      </c>
      <c r="L3515" s="3">
        <f>(Table1[[#This Row],[Profit]]/Table1[[#This Row],[Sales]])*100</f>
        <v>34</v>
      </c>
    </row>
    <row r="3516" spans="1:12" x14ac:dyDescent="0.3">
      <c r="A3516" t="s">
        <v>4077</v>
      </c>
      <c r="B3516" s="1">
        <v>43858</v>
      </c>
      <c r="C3516" t="s">
        <v>4078</v>
      </c>
      <c r="D3516" t="s">
        <v>4079</v>
      </c>
      <c r="E3516" t="s">
        <v>14</v>
      </c>
      <c r="F3516" t="s">
        <v>23</v>
      </c>
      <c r="G3516" t="s">
        <v>16</v>
      </c>
      <c r="H3516" t="s">
        <v>1892</v>
      </c>
      <c r="I3516" s="2">
        <v>135.74</v>
      </c>
      <c r="J3516">
        <v>3</v>
      </c>
      <c r="K3516" s="2">
        <v>12.8316</v>
      </c>
      <c r="L3516" s="3">
        <f>(Table1[[#This Row],[Profit]]/Table1[[#This Row],[Sales]])*100</f>
        <v>9.4530720495064084</v>
      </c>
    </row>
    <row r="3517" spans="1:12" x14ac:dyDescent="0.3">
      <c r="A3517" t="s">
        <v>6069</v>
      </c>
      <c r="B3517" s="1">
        <v>44167</v>
      </c>
      <c r="C3517" t="s">
        <v>4254</v>
      </c>
      <c r="D3517" t="s">
        <v>4255</v>
      </c>
      <c r="E3517" t="s">
        <v>14</v>
      </c>
      <c r="F3517" t="s">
        <v>23</v>
      </c>
      <c r="G3517" t="s">
        <v>24</v>
      </c>
      <c r="H3517" t="s">
        <v>1640</v>
      </c>
      <c r="I3517" s="2">
        <v>155.28800000000001</v>
      </c>
      <c r="J3517">
        <v>1</v>
      </c>
      <c r="K3517" s="2">
        <v>12.8574</v>
      </c>
      <c r="L3517" s="3">
        <f>(Table1[[#This Row],[Profit]]/Table1[[#This Row],[Sales]])*100</f>
        <v>8.2797125341301321</v>
      </c>
    </row>
    <row r="3518" spans="1:12" x14ac:dyDescent="0.3">
      <c r="A3518" t="s">
        <v>1988</v>
      </c>
      <c r="B3518" s="1">
        <v>43653</v>
      </c>
      <c r="C3518" t="s">
        <v>1139</v>
      </c>
      <c r="D3518" t="s">
        <v>1140</v>
      </c>
      <c r="E3518" t="s">
        <v>14</v>
      </c>
      <c r="F3518" t="s">
        <v>23</v>
      </c>
      <c r="G3518" t="s">
        <v>24</v>
      </c>
      <c r="H3518" t="s">
        <v>1373</v>
      </c>
      <c r="I3518" s="2">
        <v>45.98</v>
      </c>
      <c r="J3518">
        <v>2</v>
      </c>
      <c r="K3518" s="2">
        <v>12.8744</v>
      </c>
      <c r="L3518" s="3">
        <f>(Table1[[#This Row],[Profit]]/Table1[[#This Row],[Sales]])*100</f>
        <v>28.000000000000004</v>
      </c>
    </row>
    <row r="3519" spans="1:12" x14ac:dyDescent="0.3">
      <c r="A3519" t="s">
        <v>1459</v>
      </c>
      <c r="B3519" s="1">
        <v>43607</v>
      </c>
      <c r="C3519" t="s">
        <v>1145</v>
      </c>
      <c r="D3519" t="s">
        <v>1146</v>
      </c>
      <c r="E3519" t="s">
        <v>14</v>
      </c>
      <c r="F3519" t="s">
        <v>15</v>
      </c>
      <c r="G3519" t="s">
        <v>24</v>
      </c>
      <c r="H3519" t="s">
        <v>931</v>
      </c>
      <c r="I3519" s="2">
        <v>26.88</v>
      </c>
      <c r="J3519">
        <v>6</v>
      </c>
      <c r="K3519" s="2">
        <v>12.9024</v>
      </c>
      <c r="L3519" s="3">
        <f>(Table1[[#This Row],[Profit]]/Table1[[#This Row],[Sales]])*100</f>
        <v>48.000000000000007</v>
      </c>
    </row>
    <row r="3520" spans="1:12" x14ac:dyDescent="0.3">
      <c r="A3520" t="s">
        <v>2709</v>
      </c>
      <c r="B3520" s="1">
        <v>43719</v>
      </c>
      <c r="C3520" t="s">
        <v>2710</v>
      </c>
      <c r="D3520" t="s">
        <v>2711</v>
      </c>
      <c r="E3520" t="s">
        <v>14</v>
      </c>
      <c r="F3520" t="s">
        <v>23</v>
      </c>
      <c r="G3520" t="s">
        <v>24</v>
      </c>
      <c r="H3520" t="s">
        <v>1556</v>
      </c>
      <c r="I3520" s="2">
        <v>39.872</v>
      </c>
      <c r="J3520">
        <v>2</v>
      </c>
      <c r="K3520" s="2">
        <v>12.958399999999999</v>
      </c>
      <c r="L3520" s="3">
        <f>(Table1[[#This Row],[Profit]]/Table1[[#This Row],[Sales]])*100</f>
        <v>32.499999999999993</v>
      </c>
    </row>
    <row r="3521" spans="1:12" x14ac:dyDescent="0.3">
      <c r="A3521" t="s">
        <v>3288</v>
      </c>
      <c r="B3521" s="1">
        <v>43774</v>
      </c>
      <c r="C3521" t="s">
        <v>1355</v>
      </c>
      <c r="D3521" t="s">
        <v>1356</v>
      </c>
      <c r="E3521" t="s">
        <v>14</v>
      </c>
      <c r="F3521" t="s">
        <v>23</v>
      </c>
      <c r="G3521" t="s">
        <v>18</v>
      </c>
      <c r="H3521" t="s">
        <v>3289</v>
      </c>
      <c r="I3521" s="2">
        <v>72</v>
      </c>
      <c r="J3521">
        <v>4</v>
      </c>
      <c r="K3521" s="2">
        <v>12.96</v>
      </c>
      <c r="L3521" s="3">
        <f>(Table1[[#This Row],[Profit]]/Table1[[#This Row],[Sales]])*100</f>
        <v>18.000000000000004</v>
      </c>
    </row>
    <row r="3522" spans="1:12" x14ac:dyDescent="0.3">
      <c r="A3522" t="s">
        <v>5494</v>
      </c>
      <c r="B3522" s="1">
        <v>44098</v>
      </c>
      <c r="C3522" t="s">
        <v>305</v>
      </c>
      <c r="D3522" t="s">
        <v>306</v>
      </c>
      <c r="E3522" t="s">
        <v>14</v>
      </c>
      <c r="F3522" t="s">
        <v>29</v>
      </c>
      <c r="G3522" t="s">
        <v>18</v>
      </c>
      <c r="H3522" t="s">
        <v>3289</v>
      </c>
      <c r="I3522" s="2">
        <v>112</v>
      </c>
      <c r="J3522">
        <v>4</v>
      </c>
      <c r="K3522" s="2">
        <v>12.96</v>
      </c>
      <c r="L3522" s="3">
        <f>(Table1[[#This Row],[Profit]]/Table1[[#This Row],[Sales]])*100</f>
        <v>11.571428571428573</v>
      </c>
    </row>
    <row r="3523" spans="1:12" x14ac:dyDescent="0.3">
      <c r="A3523" t="s">
        <v>1077</v>
      </c>
      <c r="B3523" s="1">
        <v>43574</v>
      </c>
      <c r="C3523" t="s">
        <v>1078</v>
      </c>
      <c r="D3523" t="s">
        <v>1079</v>
      </c>
      <c r="E3523" t="s">
        <v>14</v>
      </c>
      <c r="F3523" t="s">
        <v>23</v>
      </c>
      <c r="G3523" t="s">
        <v>18</v>
      </c>
      <c r="H3523" t="s">
        <v>1080</v>
      </c>
      <c r="I3523" s="2">
        <v>39.96</v>
      </c>
      <c r="J3523">
        <v>5</v>
      </c>
      <c r="K3523" s="2">
        <v>12.987</v>
      </c>
      <c r="L3523" s="3">
        <f>(Table1[[#This Row],[Profit]]/Table1[[#This Row],[Sales]])*100</f>
        <v>32.5</v>
      </c>
    </row>
    <row r="3524" spans="1:12" x14ac:dyDescent="0.3">
      <c r="A3524" t="s">
        <v>4568</v>
      </c>
      <c r="B3524" s="1">
        <v>43953</v>
      </c>
      <c r="C3524" t="s">
        <v>2270</v>
      </c>
      <c r="D3524" t="s">
        <v>2271</v>
      </c>
      <c r="E3524" t="s">
        <v>14</v>
      </c>
      <c r="F3524" t="s">
        <v>15</v>
      </c>
      <c r="G3524" t="s">
        <v>16</v>
      </c>
      <c r="H3524" t="s">
        <v>1117</v>
      </c>
      <c r="I3524" s="2">
        <v>159.93</v>
      </c>
      <c r="J3524">
        <v>3</v>
      </c>
      <c r="K3524" s="2">
        <v>12.993</v>
      </c>
      <c r="L3524" s="3">
        <f>(Table1[[#This Row],[Profit]]/Table1[[#This Row],[Sales]])*100</f>
        <v>8.1241793284561989</v>
      </c>
    </row>
    <row r="3525" spans="1:12" x14ac:dyDescent="0.3">
      <c r="A3525" t="s">
        <v>5863</v>
      </c>
      <c r="B3525" s="1">
        <v>44147</v>
      </c>
      <c r="C3525" t="s">
        <v>1577</v>
      </c>
      <c r="D3525" t="s">
        <v>1578</v>
      </c>
      <c r="E3525" t="s">
        <v>14</v>
      </c>
      <c r="F3525" t="s">
        <v>23</v>
      </c>
      <c r="G3525" t="s">
        <v>18</v>
      </c>
      <c r="H3525" t="s">
        <v>3598</v>
      </c>
      <c r="I3525" s="2">
        <v>131.6</v>
      </c>
      <c r="J3525">
        <v>4</v>
      </c>
      <c r="K3525" s="2">
        <v>13</v>
      </c>
      <c r="L3525" s="3">
        <f>(Table1[[#This Row],[Profit]]/Table1[[#This Row],[Sales]])*100</f>
        <v>9.8784194528875382</v>
      </c>
    </row>
    <row r="3526" spans="1:12" x14ac:dyDescent="0.3">
      <c r="A3526" t="s">
        <v>5015</v>
      </c>
      <c r="B3526" s="1">
        <v>44027</v>
      </c>
      <c r="C3526" t="s">
        <v>2802</v>
      </c>
      <c r="D3526" t="s">
        <v>2803</v>
      </c>
      <c r="E3526" t="s">
        <v>14</v>
      </c>
      <c r="F3526" t="s">
        <v>15</v>
      </c>
      <c r="G3526" t="s">
        <v>24</v>
      </c>
      <c r="H3526" t="s">
        <v>2032</v>
      </c>
      <c r="I3526" s="2">
        <v>132.55000000000001</v>
      </c>
      <c r="J3526">
        <v>3</v>
      </c>
      <c r="K3526" s="2">
        <v>13.009499999999999</v>
      </c>
      <c r="L3526" s="3">
        <f>(Table1[[#This Row],[Profit]]/Table1[[#This Row],[Sales]])*100</f>
        <v>9.8147868728781571</v>
      </c>
    </row>
    <row r="3527" spans="1:12" x14ac:dyDescent="0.3">
      <c r="A3527" t="s">
        <v>6205</v>
      </c>
      <c r="B3527" s="1">
        <v>44183</v>
      </c>
      <c r="C3527" t="s">
        <v>977</v>
      </c>
      <c r="D3527" t="s">
        <v>978</v>
      </c>
      <c r="E3527" t="s">
        <v>14</v>
      </c>
      <c r="F3527" t="s">
        <v>15</v>
      </c>
      <c r="G3527" t="s">
        <v>24</v>
      </c>
      <c r="H3527" t="s">
        <v>1097</v>
      </c>
      <c r="I3527" s="2">
        <v>498.11200000000002</v>
      </c>
      <c r="J3527">
        <v>2</v>
      </c>
      <c r="K3527" s="2">
        <v>13.011200000000001</v>
      </c>
      <c r="L3527" s="3">
        <f>(Table1[[#This Row],[Profit]]/Table1[[#This Row],[Sales]])*100</f>
        <v>2.6121033020686113</v>
      </c>
    </row>
    <row r="3528" spans="1:12" x14ac:dyDescent="0.3">
      <c r="A3528" t="s">
        <v>3833</v>
      </c>
      <c r="B3528" s="1">
        <v>43816</v>
      </c>
      <c r="C3528" t="s">
        <v>2197</v>
      </c>
      <c r="D3528" t="s">
        <v>2198</v>
      </c>
      <c r="E3528" t="s">
        <v>14</v>
      </c>
      <c r="F3528" t="s">
        <v>23</v>
      </c>
      <c r="G3528" t="s">
        <v>24</v>
      </c>
      <c r="H3528" t="s">
        <v>2056</v>
      </c>
      <c r="I3528" s="2">
        <v>46.53</v>
      </c>
      <c r="J3528">
        <v>3</v>
      </c>
      <c r="K3528" s="2">
        <v>13.0284</v>
      </c>
      <c r="L3528" s="3">
        <f>(Table1[[#This Row],[Profit]]/Table1[[#This Row],[Sales]])*100</f>
        <v>27.999999999999996</v>
      </c>
    </row>
    <row r="3529" spans="1:12" x14ac:dyDescent="0.3">
      <c r="A3529" t="s">
        <v>3090</v>
      </c>
      <c r="B3529" s="1">
        <v>43753</v>
      </c>
      <c r="C3529" t="s">
        <v>3091</v>
      </c>
      <c r="D3529" t="s">
        <v>3092</v>
      </c>
      <c r="E3529" t="s">
        <v>14</v>
      </c>
      <c r="F3529" t="s">
        <v>23</v>
      </c>
      <c r="G3529" t="s">
        <v>24</v>
      </c>
      <c r="H3529" t="s">
        <v>3095</v>
      </c>
      <c r="I3529" s="2">
        <v>41.72</v>
      </c>
      <c r="J3529">
        <v>5</v>
      </c>
      <c r="K3529" s="2">
        <v>13.0375</v>
      </c>
      <c r="L3529" s="3">
        <f>(Table1[[#This Row],[Profit]]/Table1[[#This Row],[Sales]])*100</f>
        <v>31.25</v>
      </c>
    </row>
    <row r="3530" spans="1:12" x14ac:dyDescent="0.3">
      <c r="A3530" t="s">
        <v>3413</v>
      </c>
      <c r="B3530" s="1">
        <v>43782</v>
      </c>
      <c r="C3530" t="s">
        <v>2440</v>
      </c>
      <c r="D3530" t="s">
        <v>2441</v>
      </c>
      <c r="E3530" t="s">
        <v>14</v>
      </c>
      <c r="F3530" t="s">
        <v>29</v>
      </c>
      <c r="G3530" t="s">
        <v>16</v>
      </c>
      <c r="H3530" t="s">
        <v>3414</v>
      </c>
      <c r="I3530" s="2">
        <v>30.36</v>
      </c>
      <c r="J3530">
        <v>4</v>
      </c>
      <c r="K3530" s="2">
        <v>13.0548</v>
      </c>
      <c r="L3530" s="3">
        <f>(Table1[[#This Row],[Profit]]/Table1[[#This Row],[Sales]])*100</f>
        <v>43</v>
      </c>
    </row>
    <row r="3531" spans="1:12" x14ac:dyDescent="0.3">
      <c r="A3531" t="s">
        <v>864</v>
      </c>
      <c r="B3531" s="1">
        <v>43559</v>
      </c>
      <c r="C3531" t="s">
        <v>795</v>
      </c>
      <c r="D3531" t="s">
        <v>796</v>
      </c>
      <c r="E3531" t="s">
        <v>14</v>
      </c>
      <c r="F3531" t="s">
        <v>41</v>
      </c>
      <c r="G3531" t="s">
        <v>24</v>
      </c>
      <c r="H3531" t="s">
        <v>865</v>
      </c>
      <c r="I3531" s="2">
        <v>27.81</v>
      </c>
      <c r="J3531">
        <v>3</v>
      </c>
      <c r="K3531" s="2">
        <v>13.0707</v>
      </c>
      <c r="L3531" s="3">
        <f>(Table1[[#This Row],[Profit]]/Table1[[#This Row],[Sales]])*100</f>
        <v>47</v>
      </c>
    </row>
    <row r="3532" spans="1:12" x14ac:dyDescent="0.3">
      <c r="A3532" t="s">
        <v>3949</v>
      </c>
      <c r="B3532" s="1">
        <v>43828</v>
      </c>
      <c r="C3532" t="s">
        <v>1745</v>
      </c>
      <c r="D3532" t="s">
        <v>1746</v>
      </c>
      <c r="E3532" t="s">
        <v>14</v>
      </c>
      <c r="F3532" t="s">
        <v>41</v>
      </c>
      <c r="G3532" t="s">
        <v>24</v>
      </c>
      <c r="H3532" t="s">
        <v>1295</v>
      </c>
      <c r="I3532" s="2">
        <v>37.408000000000001</v>
      </c>
      <c r="J3532">
        <v>7</v>
      </c>
      <c r="K3532" s="2">
        <v>13.0928</v>
      </c>
      <c r="L3532" s="3">
        <f>(Table1[[#This Row],[Profit]]/Table1[[#This Row],[Sales]])*100</f>
        <v>35</v>
      </c>
    </row>
    <row r="3533" spans="1:12" x14ac:dyDescent="0.3">
      <c r="A3533" t="s">
        <v>3082</v>
      </c>
      <c r="B3533" s="1">
        <v>43752</v>
      </c>
      <c r="C3533" t="s">
        <v>3083</v>
      </c>
      <c r="D3533" t="s">
        <v>3084</v>
      </c>
      <c r="E3533" t="s">
        <v>14</v>
      </c>
      <c r="F3533" t="s">
        <v>41</v>
      </c>
      <c r="G3533" t="s">
        <v>24</v>
      </c>
      <c r="H3533" t="s">
        <v>2511</v>
      </c>
      <c r="I3533" s="2">
        <v>35.008000000000003</v>
      </c>
      <c r="J3533">
        <v>4</v>
      </c>
      <c r="K3533" s="2">
        <v>13.128</v>
      </c>
      <c r="L3533" s="3">
        <f>(Table1[[#This Row],[Profit]]/Table1[[#This Row],[Sales]])*100</f>
        <v>37.5</v>
      </c>
    </row>
    <row r="3534" spans="1:12" x14ac:dyDescent="0.3">
      <c r="A3534" t="s">
        <v>1302</v>
      </c>
      <c r="B3534" s="1">
        <v>43594</v>
      </c>
      <c r="C3534" t="s">
        <v>1303</v>
      </c>
      <c r="D3534" t="s">
        <v>1304</v>
      </c>
      <c r="E3534" t="s">
        <v>14</v>
      </c>
      <c r="F3534" t="s">
        <v>23</v>
      </c>
      <c r="G3534" t="s">
        <v>18</v>
      </c>
      <c r="H3534" t="s">
        <v>1305</v>
      </c>
      <c r="I3534" s="2">
        <v>93.98</v>
      </c>
      <c r="J3534">
        <v>2</v>
      </c>
      <c r="K3534" s="2">
        <v>13.1572</v>
      </c>
      <c r="L3534" s="3">
        <f>(Table1[[#This Row],[Profit]]/Table1[[#This Row],[Sales]])*100</f>
        <v>13.999999999999998</v>
      </c>
    </row>
    <row r="3535" spans="1:12" x14ac:dyDescent="0.3">
      <c r="A3535" t="s">
        <v>132</v>
      </c>
      <c r="B3535" s="1">
        <v>43482</v>
      </c>
      <c r="C3535" t="s">
        <v>133</v>
      </c>
      <c r="D3535" t="s">
        <v>134</v>
      </c>
      <c r="E3535" t="s">
        <v>14</v>
      </c>
      <c r="F3535" t="s">
        <v>15</v>
      </c>
      <c r="G3535" t="s">
        <v>18</v>
      </c>
      <c r="H3535" t="s">
        <v>136</v>
      </c>
      <c r="I3535" s="2">
        <v>29.99</v>
      </c>
      <c r="J3535">
        <v>1</v>
      </c>
      <c r="K3535" s="2">
        <v>13.195600000000001</v>
      </c>
      <c r="L3535" s="3">
        <f>(Table1[[#This Row],[Profit]]/Table1[[#This Row],[Sales]])*100</f>
        <v>44.000000000000007</v>
      </c>
    </row>
    <row r="3536" spans="1:12" x14ac:dyDescent="0.3">
      <c r="A3536" t="s">
        <v>2437</v>
      </c>
      <c r="B3536" s="1">
        <v>43703</v>
      </c>
      <c r="C3536" t="s">
        <v>758</v>
      </c>
      <c r="D3536" t="s">
        <v>759</v>
      </c>
      <c r="E3536" t="s">
        <v>14</v>
      </c>
      <c r="F3536" t="s">
        <v>15</v>
      </c>
      <c r="G3536" t="s">
        <v>18</v>
      </c>
      <c r="H3536" t="s">
        <v>874</v>
      </c>
      <c r="I3536" s="2">
        <v>47.984000000000002</v>
      </c>
      <c r="J3536">
        <v>2</v>
      </c>
      <c r="K3536" s="2">
        <v>13.195600000000001</v>
      </c>
      <c r="L3536" s="3">
        <f>(Table1[[#This Row],[Profit]]/Table1[[#This Row],[Sales]])*100</f>
        <v>27.500000000000004</v>
      </c>
    </row>
    <row r="3537" spans="1:12" x14ac:dyDescent="0.3">
      <c r="A3537" t="s">
        <v>4708</v>
      </c>
      <c r="B3537" s="1">
        <v>43976</v>
      </c>
      <c r="C3537" t="s">
        <v>1299</v>
      </c>
      <c r="D3537" t="s">
        <v>1300</v>
      </c>
      <c r="E3537" t="s">
        <v>14</v>
      </c>
      <c r="F3537" t="s">
        <v>15</v>
      </c>
      <c r="G3537" t="s">
        <v>18</v>
      </c>
      <c r="H3537" t="s">
        <v>1774</v>
      </c>
      <c r="I3537" s="2">
        <v>139</v>
      </c>
      <c r="J3537">
        <v>8</v>
      </c>
      <c r="K3537" s="2">
        <v>13.2</v>
      </c>
      <c r="L3537" s="3">
        <f>(Table1[[#This Row],[Profit]]/Table1[[#This Row],[Sales]])*100</f>
        <v>9.4964028776978413</v>
      </c>
    </row>
    <row r="3538" spans="1:12" x14ac:dyDescent="0.3">
      <c r="A3538" t="s">
        <v>3711</v>
      </c>
      <c r="B3538" s="1">
        <v>43804</v>
      </c>
      <c r="C3538" t="s">
        <v>2407</v>
      </c>
      <c r="D3538" t="s">
        <v>2408</v>
      </c>
      <c r="E3538" t="s">
        <v>14</v>
      </c>
      <c r="F3538" t="s">
        <v>15</v>
      </c>
      <c r="G3538" t="s">
        <v>24</v>
      </c>
      <c r="H3538" t="s">
        <v>969</v>
      </c>
      <c r="I3538" s="2">
        <v>33.92</v>
      </c>
      <c r="J3538">
        <v>8</v>
      </c>
      <c r="K3538" s="2">
        <v>13.2288</v>
      </c>
      <c r="L3538" s="3">
        <f>(Table1[[#This Row],[Profit]]/Table1[[#This Row],[Sales]])*100</f>
        <v>38.999999999999993</v>
      </c>
    </row>
    <row r="3539" spans="1:12" x14ac:dyDescent="0.3">
      <c r="A3539" t="s">
        <v>3496</v>
      </c>
      <c r="B3539" s="1">
        <v>43789</v>
      </c>
      <c r="C3539" t="s">
        <v>820</v>
      </c>
      <c r="D3539" t="s">
        <v>821</v>
      </c>
      <c r="E3539" t="s">
        <v>14</v>
      </c>
      <c r="F3539" t="s">
        <v>29</v>
      </c>
      <c r="G3539" t="s">
        <v>18</v>
      </c>
      <c r="H3539" t="s">
        <v>1791</v>
      </c>
      <c r="I3539" s="2">
        <v>151.19200000000001</v>
      </c>
      <c r="J3539">
        <v>1</v>
      </c>
      <c r="K3539" s="2">
        <v>13.2293</v>
      </c>
      <c r="L3539" s="3">
        <f>(Table1[[#This Row],[Profit]]/Table1[[#This Row],[Sales]])*100</f>
        <v>8.75</v>
      </c>
    </row>
    <row r="3540" spans="1:12" x14ac:dyDescent="0.3">
      <c r="A3540" t="s">
        <v>6203</v>
      </c>
      <c r="B3540" s="1">
        <v>44182</v>
      </c>
      <c r="C3540" t="s">
        <v>4702</v>
      </c>
      <c r="D3540" t="s">
        <v>4703</v>
      </c>
      <c r="E3540" t="s">
        <v>14</v>
      </c>
      <c r="F3540" t="s">
        <v>29</v>
      </c>
      <c r="G3540" t="s">
        <v>24</v>
      </c>
      <c r="H3540" t="s">
        <v>1815</v>
      </c>
      <c r="I3540" s="2">
        <v>407.16</v>
      </c>
      <c r="J3540">
        <v>4</v>
      </c>
      <c r="K3540" s="2">
        <v>13.235200000000001</v>
      </c>
      <c r="L3540" s="3">
        <f>(Table1[[#This Row],[Profit]]/Table1[[#This Row],[Sales]])*100</f>
        <v>3.2506140092346989</v>
      </c>
    </row>
    <row r="3541" spans="1:12" x14ac:dyDescent="0.3">
      <c r="A3541" t="s">
        <v>83</v>
      </c>
      <c r="B3541" s="1">
        <v>43475</v>
      </c>
      <c r="C3541" t="s">
        <v>84</v>
      </c>
      <c r="D3541" t="s">
        <v>85</v>
      </c>
      <c r="E3541" t="s">
        <v>14</v>
      </c>
      <c r="F3541" t="s">
        <v>23</v>
      </c>
      <c r="G3541" t="s">
        <v>18</v>
      </c>
      <c r="H3541" t="s">
        <v>87</v>
      </c>
      <c r="I3541" s="2">
        <v>69.98</v>
      </c>
      <c r="J3541">
        <v>2</v>
      </c>
      <c r="K3541" s="2">
        <v>13.296200000000001</v>
      </c>
      <c r="L3541" s="3">
        <f>(Table1[[#This Row],[Profit]]/Table1[[#This Row],[Sales]])*100</f>
        <v>19</v>
      </c>
    </row>
    <row r="3542" spans="1:12" x14ac:dyDescent="0.3">
      <c r="A3542" t="s">
        <v>4304</v>
      </c>
      <c r="B3542" s="1">
        <v>43909</v>
      </c>
      <c r="C3542" t="s">
        <v>1813</v>
      </c>
      <c r="D3542" t="s">
        <v>1814</v>
      </c>
      <c r="E3542" t="s">
        <v>14</v>
      </c>
      <c r="F3542" t="s">
        <v>15</v>
      </c>
      <c r="G3542" t="s">
        <v>24</v>
      </c>
      <c r="H3542" t="s">
        <v>4305</v>
      </c>
      <c r="I3542" s="2">
        <v>153.91</v>
      </c>
      <c r="J3542">
        <v>7</v>
      </c>
      <c r="K3542" s="2">
        <v>13.2986</v>
      </c>
      <c r="L3542" s="3">
        <f>(Table1[[#This Row],[Profit]]/Table1[[#This Row],[Sales]])*100</f>
        <v>8.6405041907608346</v>
      </c>
    </row>
    <row r="3543" spans="1:12" x14ac:dyDescent="0.3">
      <c r="A3543" t="s">
        <v>4019</v>
      </c>
      <c r="B3543" s="1">
        <v>43845</v>
      </c>
      <c r="C3543" t="s">
        <v>216</v>
      </c>
      <c r="D3543" t="s">
        <v>217</v>
      </c>
      <c r="E3543" t="s">
        <v>14</v>
      </c>
      <c r="F3543" t="s">
        <v>29</v>
      </c>
      <c r="G3543" t="s">
        <v>18</v>
      </c>
      <c r="H3543" t="s">
        <v>4020</v>
      </c>
      <c r="I3543" s="2">
        <v>102.592</v>
      </c>
      <c r="J3543">
        <v>8</v>
      </c>
      <c r="K3543" s="2">
        <v>13.300800000000001</v>
      </c>
      <c r="L3543" s="3">
        <f>(Table1[[#This Row],[Profit]]/Table1[[#This Row],[Sales]])*100</f>
        <v>12.96475358702433</v>
      </c>
    </row>
    <row r="3544" spans="1:12" x14ac:dyDescent="0.3">
      <c r="A3544" t="s">
        <v>6132</v>
      </c>
      <c r="B3544" s="1">
        <v>44173</v>
      </c>
      <c r="C3544" t="s">
        <v>5720</v>
      </c>
      <c r="D3544" t="s">
        <v>5721</v>
      </c>
      <c r="E3544" t="s">
        <v>14</v>
      </c>
      <c r="F3544" t="s">
        <v>23</v>
      </c>
      <c r="G3544" t="s">
        <v>24</v>
      </c>
      <c r="H3544" t="s">
        <v>5704</v>
      </c>
      <c r="I3544" s="2">
        <v>111.15</v>
      </c>
      <c r="J3544">
        <v>5</v>
      </c>
      <c r="K3544" s="2">
        <v>13.3035</v>
      </c>
      <c r="L3544" s="3">
        <f>(Table1[[#This Row],[Profit]]/Table1[[#This Row],[Sales]])*100</f>
        <v>11.968960863697705</v>
      </c>
    </row>
    <row r="3545" spans="1:12" x14ac:dyDescent="0.3">
      <c r="A3545" t="s">
        <v>1394</v>
      </c>
      <c r="B3545" s="1">
        <v>43601</v>
      </c>
      <c r="C3545" t="s">
        <v>1395</v>
      </c>
      <c r="D3545" t="s">
        <v>1396</v>
      </c>
      <c r="E3545" t="s">
        <v>14</v>
      </c>
      <c r="F3545" t="s">
        <v>23</v>
      </c>
      <c r="G3545" t="s">
        <v>24</v>
      </c>
      <c r="H3545" t="s">
        <v>1398</v>
      </c>
      <c r="I3545" s="2">
        <v>27.72</v>
      </c>
      <c r="J3545">
        <v>9</v>
      </c>
      <c r="K3545" s="2">
        <v>13.3056</v>
      </c>
      <c r="L3545" s="3">
        <f>(Table1[[#This Row],[Profit]]/Table1[[#This Row],[Sales]])*100</f>
        <v>48.000000000000007</v>
      </c>
    </row>
    <row r="3546" spans="1:12" x14ac:dyDescent="0.3">
      <c r="A3546" t="s">
        <v>5466</v>
      </c>
      <c r="B3546" s="1">
        <v>44096</v>
      </c>
      <c r="C3546" t="s">
        <v>1173</v>
      </c>
      <c r="D3546" t="s">
        <v>1174</v>
      </c>
      <c r="E3546" t="s">
        <v>14</v>
      </c>
      <c r="F3546" t="s">
        <v>29</v>
      </c>
      <c r="G3546" t="s">
        <v>24</v>
      </c>
      <c r="H3546" t="s">
        <v>3032</v>
      </c>
      <c r="I3546" s="2">
        <v>149.72</v>
      </c>
      <c r="J3546">
        <v>9</v>
      </c>
      <c r="K3546" s="2">
        <v>13.3056</v>
      </c>
      <c r="L3546" s="3">
        <f>(Table1[[#This Row],[Profit]]/Table1[[#This Row],[Sales]])*100</f>
        <v>8.8869890462196093</v>
      </c>
    </row>
    <row r="3547" spans="1:12" x14ac:dyDescent="0.3">
      <c r="A3547" t="s">
        <v>4933</v>
      </c>
      <c r="B3547" s="1">
        <v>44013</v>
      </c>
      <c r="C3547" t="s">
        <v>573</v>
      </c>
      <c r="D3547" t="s">
        <v>574</v>
      </c>
      <c r="E3547" t="s">
        <v>14</v>
      </c>
      <c r="F3547" t="s">
        <v>29</v>
      </c>
      <c r="G3547" t="s">
        <v>24</v>
      </c>
      <c r="H3547" t="s">
        <v>3227</v>
      </c>
      <c r="I3547" s="2">
        <v>475.92</v>
      </c>
      <c r="J3547">
        <v>4</v>
      </c>
      <c r="K3547" s="2">
        <v>13.317600000000001</v>
      </c>
      <c r="L3547" s="3">
        <f>(Table1[[#This Row],[Profit]]/Table1[[#This Row],[Sales]])*100</f>
        <v>2.7982854261220371</v>
      </c>
    </row>
    <row r="3548" spans="1:12" x14ac:dyDescent="0.3">
      <c r="A3548" t="s">
        <v>4182</v>
      </c>
      <c r="B3548" s="1">
        <v>43887</v>
      </c>
      <c r="C3548" t="s">
        <v>706</v>
      </c>
      <c r="D3548" t="s">
        <v>707</v>
      </c>
      <c r="E3548" t="s">
        <v>14</v>
      </c>
      <c r="F3548" t="s">
        <v>23</v>
      </c>
      <c r="G3548" t="s">
        <v>24</v>
      </c>
      <c r="H3548" t="s">
        <v>3932</v>
      </c>
      <c r="I3548" s="2">
        <v>152.6</v>
      </c>
      <c r="J3548">
        <v>4</v>
      </c>
      <c r="K3548" s="2">
        <v>13.32</v>
      </c>
      <c r="L3548" s="3">
        <f>(Table1[[#This Row],[Profit]]/Table1[[#This Row],[Sales]])*100</f>
        <v>8.7287024901703791</v>
      </c>
    </row>
    <row r="3549" spans="1:12" x14ac:dyDescent="0.3">
      <c r="A3549" t="s">
        <v>2037</v>
      </c>
      <c r="B3549" s="1">
        <v>43660</v>
      </c>
      <c r="C3549" t="s">
        <v>2038</v>
      </c>
      <c r="D3549" t="s">
        <v>2039</v>
      </c>
      <c r="E3549" t="s">
        <v>14</v>
      </c>
      <c r="F3549" t="s">
        <v>15</v>
      </c>
      <c r="G3549" t="s">
        <v>24</v>
      </c>
      <c r="H3549" t="s">
        <v>1411</v>
      </c>
      <c r="I3549" s="2">
        <v>29.61</v>
      </c>
      <c r="J3549">
        <v>9</v>
      </c>
      <c r="K3549" s="2">
        <v>13.3245</v>
      </c>
      <c r="L3549" s="3">
        <f>(Table1[[#This Row],[Profit]]/Table1[[#This Row],[Sales]])*100</f>
        <v>45</v>
      </c>
    </row>
    <row r="3550" spans="1:12" x14ac:dyDescent="0.3">
      <c r="A3550" t="s">
        <v>3234</v>
      </c>
      <c r="B3550" s="1">
        <v>43772</v>
      </c>
      <c r="C3550" t="s">
        <v>1292</v>
      </c>
      <c r="D3550" t="s">
        <v>1293</v>
      </c>
      <c r="E3550" t="s">
        <v>14</v>
      </c>
      <c r="F3550" t="s">
        <v>29</v>
      </c>
      <c r="G3550" t="s">
        <v>24</v>
      </c>
      <c r="H3550" t="s">
        <v>3106</v>
      </c>
      <c r="I3550" s="2">
        <v>27.24</v>
      </c>
      <c r="J3550">
        <v>6</v>
      </c>
      <c r="K3550" s="2">
        <v>13.3476</v>
      </c>
      <c r="L3550" s="3">
        <f>(Table1[[#This Row],[Profit]]/Table1[[#This Row],[Sales]])*100</f>
        <v>49.000000000000007</v>
      </c>
    </row>
    <row r="3551" spans="1:12" x14ac:dyDescent="0.3">
      <c r="A3551" t="s">
        <v>3435</v>
      </c>
      <c r="B3551" s="1">
        <v>43784</v>
      </c>
      <c r="C3551" t="s">
        <v>2543</v>
      </c>
      <c r="D3551" t="s">
        <v>2544</v>
      </c>
      <c r="E3551" t="s">
        <v>14</v>
      </c>
      <c r="F3551" t="s">
        <v>23</v>
      </c>
      <c r="G3551" t="s">
        <v>24</v>
      </c>
      <c r="H3551" t="s">
        <v>517</v>
      </c>
      <c r="I3551" s="2">
        <v>38.136000000000003</v>
      </c>
      <c r="J3551">
        <v>7</v>
      </c>
      <c r="K3551" s="2">
        <v>13.3476</v>
      </c>
      <c r="L3551" s="3">
        <f>(Table1[[#This Row],[Profit]]/Table1[[#This Row],[Sales]])*100</f>
        <v>35</v>
      </c>
    </row>
    <row r="3552" spans="1:12" x14ac:dyDescent="0.3">
      <c r="A3552" t="s">
        <v>3439</v>
      </c>
      <c r="B3552" s="1">
        <v>43785</v>
      </c>
      <c r="C3552" t="s">
        <v>1839</v>
      </c>
      <c r="D3552" t="s">
        <v>1840</v>
      </c>
      <c r="E3552" t="s">
        <v>14</v>
      </c>
      <c r="F3552" t="s">
        <v>23</v>
      </c>
      <c r="G3552" t="s">
        <v>24</v>
      </c>
      <c r="H3552" t="s">
        <v>242</v>
      </c>
      <c r="I3552" s="2">
        <v>28.4</v>
      </c>
      <c r="J3552">
        <v>5</v>
      </c>
      <c r="K3552" s="2">
        <v>13.348000000000001</v>
      </c>
      <c r="L3552" s="3">
        <f>(Table1[[#This Row],[Profit]]/Table1[[#This Row],[Sales]])*100</f>
        <v>47</v>
      </c>
    </row>
    <row r="3553" spans="1:12" x14ac:dyDescent="0.3">
      <c r="A3553" t="s">
        <v>4399</v>
      </c>
      <c r="B3553" s="1">
        <v>43922</v>
      </c>
      <c r="C3553" t="s">
        <v>1208</v>
      </c>
      <c r="D3553" t="s">
        <v>1209</v>
      </c>
      <c r="E3553" t="s">
        <v>14</v>
      </c>
      <c r="F3553" t="s">
        <v>29</v>
      </c>
      <c r="G3553" t="s">
        <v>24</v>
      </c>
      <c r="H3553" t="s">
        <v>242</v>
      </c>
      <c r="I3553" s="2">
        <v>118.4</v>
      </c>
      <c r="J3553">
        <v>5</v>
      </c>
      <c r="K3553" s="2">
        <v>13.348000000000001</v>
      </c>
      <c r="L3553" s="3">
        <f>(Table1[[#This Row],[Profit]]/Table1[[#This Row],[Sales]])*100</f>
        <v>11.273648648648649</v>
      </c>
    </row>
    <row r="3554" spans="1:12" x14ac:dyDescent="0.3">
      <c r="A3554" t="s">
        <v>3445</v>
      </c>
      <c r="B3554" s="1">
        <v>43786</v>
      </c>
      <c r="C3554" t="s">
        <v>2842</v>
      </c>
      <c r="D3554" t="s">
        <v>2843</v>
      </c>
      <c r="E3554" t="s">
        <v>14</v>
      </c>
      <c r="F3554" t="s">
        <v>23</v>
      </c>
      <c r="G3554" t="s">
        <v>24</v>
      </c>
      <c r="H3554" t="s">
        <v>3446</v>
      </c>
      <c r="I3554" s="2">
        <v>49.5</v>
      </c>
      <c r="J3554">
        <v>5</v>
      </c>
      <c r="K3554" s="2">
        <v>13.365</v>
      </c>
      <c r="L3554" s="3">
        <f>(Table1[[#This Row],[Profit]]/Table1[[#This Row],[Sales]])*100</f>
        <v>27</v>
      </c>
    </row>
    <row r="3555" spans="1:12" x14ac:dyDescent="0.3">
      <c r="A3555" t="s">
        <v>4454</v>
      </c>
      <c r="B3555" s="1">
        <v>43933</v>
      </c>
      <c r="C3555" t="s">
        <v>1013</v>
      </c>
      <c r="D3555" t="s">
        <v>1014</v>
      </c>
      <c r="E3555" t="s">
        <v>14</v>
      </c>
      <c r="F3555" t="s">
        <v>15</v>
      </c>
      <c r="G3555" t="s">
        <v>24</v>
      </c>
      <c r="H3555" t="s">
        <v>37</v>
      </c>
      <c r="I3555" s="2">
        <v>145.69999999999999</v>
      </c>
      <c r="J3555">
        <v>5</v>
      </c>
      <c r="K3555" s="2">
        <v>13.365</v>
      </c>
      <c r="L3555" s="3">
        <f>(Table1[[#This Row],[Profit]]/Table1[[#This Row],[Sales]])*100</f>
        <v>9.1729581331503098</v>
      </c>
    </row>
    <row r="3556" spans="1:12" x14ac:dyDescent="0.3">
      <c r="A3556" t="s">
        <v>4711</v>
      </c>
      <c r="B3556" s="1">
        <v>43976</v>
      </c>
      <c r="C3556" t="s">
        <v>2414</v>
      </c>
      <c r="D3556" t="s">
        <v>2415</v>
      </c>
      <c r="E3556" t="s">
        <v>14</v>
      </c>
      <c r="F3556" t="s">
        <v>41</v>
      </c>
      <c r="G3556" t="s">
        <v>24</v>
      </c>
      <c r="H3556" t="s">
        <v>1423</v>
      </c>
      <c r="I3556" s="2">
        <v>145.84</v>
      </c>
      <c r="J3556">
        <v>2</v>
      </c>
      <c r="K3556" s="2">
        <v>13.428000000000001</v>
      </c>
      <c r="L3556" s="3">
        <f>(Table1[[#This Row],[Profit]]/Table1[[#This Row],[Sales]])*100</f>
        <v>9.2073505211190341</v>
      </c>
    </row>
    <row r="3557" spans="1:12" x14ac:dyDescent="0.3">
      <c r="A3557" t="s">
        <v>3971</v>
      </c>
      <c r="B3557" s="1">
        <v>43830</v>
      </c>
      <c r="C3557" t="s">
        <v>1911</v>
      </c>
      <c r="D3557" t="s">
        <v>1912</v>
      </c>
      <c r="E3557" t="s">
        <v>14</v>
      </c>
      <c r="F3557" t="s">
        <v>23</v>
      </c>
      <c r="G3557" t="s">
        <v>24</v>
      </c>
      <c r="H3557" t="s">
        <v>682</v>
      </c>
      <c r="I3557" s="2">
        <v>38.375999999999998</v>
      </c>
      <c r="J3557">
        <v>3</v>
      </c>
      <c r="K3557" s="2">
        <v>13.4316</v>
      </c>
      <c r="L3557" s="3">
        <f>(Table1[[#This Row],[Profit]]/Table1[[#This Row],[Sales]])*100</f>
        <v>35</v>
      </c>
    </row>
    <row r="3558" spans="1:12" x14ac:dyDescent="0.3">
      <c r="A3558" t="s">
        <v>5131</v>
      </c>
      <c r="B3558" s="1">
        <v>44054</v>
      </c>
      <c r="C3558" t="s">
        <v>3229</v>
      </c>
      <c r="D3558" t="s">
        <v>3230</v>
      </c>
      <c r="E3558" t="s">
        <v>14</v>
      </c>
      <c r="F3558" t="s">
        <v>29</v>
      </c>
      <c r="G3558" t="s">
        <v>18</v>
      </c>
      <c r="H3558" t="s">
        <v>463</v>
      </c>
      <c r="I3558" s="2">
        <v>201.584</v>
      </c>
      <c r="J3558">
        <v>2</v>
      </c>
      <c r="K3558" s="2">
        <v>13.438599999999999</v>
      </c>
      <c r="L3558" s="3">
        <f>(Table1[[#This Row],[Profit]]/Table1[[#This Row],[Sales]])*100</f>
        <v>6.6665013096277477</v>
      </c>
    </row>
    <row r="3559" spans="1:12" x14ac:dyDescent="0.3">
      <c r="A3559" t="s">
        <v>3515</v>
      </c>
      <c r="B3559" s="1">
        <v>43790</v>
      </c>
      <c r="C3559" t="s">
        <v>1330</v>
      </c>
      <c r="D3559" t="s">
        <v>1331</v>
      </c>
      <c r="E3559" t="s">
        <v>14</v>
      </c>
      <c r="F3559" t="s">
        <v>29</v>
      </c>
      <c r="G3559" t="s">
        <v>24</v>
      </c>
      <c r="H3559" t="s">
        <v>1519</v>
      </c>
      <c r="I3559" s="2">
        <v>38.432000000000002</v>
      </c>
      <c r="J3559">
        <v>1</v>
      </c>
      <c r="K3559" s="2">
        <v>13.4512</v>
      </c>
      <c r="L3559" s="3">
        <f>(Table1[[#This Row],[Profit]]/Table1[[#This Row],[Sales]])*100</f>
        <v>35</v>
      </c>
    </row>
    <row r="3560" spans="1:12" x14ac:dyDescent="0.3">
      <c r="A3560" t="s">
        <v>2753</v>
      </c>
      <c r="B3560" s="1">
        <v>43723</v>
      </c>
      <c r="C3560" t="s">
        <v>2754</v>
      </c>
      <c r="D3560" t="s">
        <v>2755</v>
      </c>
      <c r="E3560" t="s">
        <v>14</v>
      </c>
      <c r="F3560" t="s">
        <v>23</v>
      </c>
      <c r="G3560" t="s">
        <v>24</v>
      </c>
      <c r="H3560" t="s">
        <v>2756</v>
      </c>
      <c r="I3560" s="2">
        <v>35.4</v>
      </c>
      <c r="J3560">
        <v>5</v>
      </c>
      <c r="K3560" s="2">
        <v>13.452</v>
      </c>
      <c r="L3560" s="3">
        <f>(Table1[[#This Row],[Profit]]/Table1[[#This Row],[Sales]])*100</f>
        <v>38</v>
      </c>
    </row>
    <row r="3561" spans="1:12" x14ac:dyDescent="0.3">
      <c r="A3561" t="s">
        <v>2929</v>
      </c>
      <c r="B3561" s="1">
        <v>43734</v>
      </c>
      <c r="C3561" t="s">
        <v>2930</v>
      </c>
      <c r="D3561" t="s">
        <v>2931</v>
      </c>
      <c r="E3561" t="s">
        <v>14</v>
      </c>
      <c r="F3561" t="s">
        <v>23</v>
      </c>
      <c r="G3561" t="s">
        <v>24</v>
      </c>
      <c r="H3561" t="s">
        <v>2756</v>
      </c>
      <c r="I3561" s="2">
        <v>35.4</v>
      </c>
      <c r="J3561">
        <v>5</v>
      </c>
      <c r="K3561" s="2">
        <v>13.452</v>
      </c>
      <c r="L3561" s="3">
        <f>(Table1[[#This Row],[Profit]]/Table1[[#This Row],[Sales]])*100</f>
        <v>38</v>
      </c>
    </row>
    <row r="3562" spans="1:12" x14ac:dyDescent="0.3">
      <c r="A3562" t="s">
        <v>5449</v>
      </c>
      <c r="B3562" s="1">
        <v>44093</v>
      </c>
      <c r="C3562" t="s">
        <v>592</v>
      </c>
      <c r="D3562" t="s">
        <v>593</v>
      </c>
      <c r="E3562" t="s">
        <v>14</v>
      </c>
      <c r="F3562" t="s">
        <v>41</v>
      </c>
      <c r="G3562" t="s">
        <v>24</v>
      </c>
      <c r="H3562" t="s">
        <v>2756</v>
      </c>
      <c r="I3562" s="2">
        <v>158.4</v>
      </c>
      <c r="J3562">
        <v>5</v>
      </c>
      <c r="K3562" s="2">
        <v>13.452</v>
      </c>
      <c r="L3562" s="3">
        <f>(Table1[[#This Row],[Profit]]/Table1[[#This Row],[Sales]])*100</f>
        <v>8.4924242424242422</v>
      </c>
    </row>
    <row r="3563" spans="1:12" x14ac:dyDescent="0.3">
      <c r="A3563" t="s">
        <v>2929</v>
      </c>
      <c r="B3563" s="1">
        <v>43734</v>
      </c>
      <c r="C3563" t="s">
        <v>2930</v>
      </c>
      <c r="D3563" t="s">
        <v>2931</v>
      </c>
      <c r="E3563" t="s">
        <v>14</v>
      </c>
      <c r="F3563" t="s">
        <v>23</v>
      </c>
      <c r="G3563" t="s">
        <v>24</v>
      </c>
      <c r="H3563" t="s">
        <v>1538</v>
      </c>
      <c r="I3563" s="2">
        <v>29.9</v>
      </c>
      <c r="J3563">
        <v>5</v>
      </c>
      <c r="K3563" s="2">
        <v>13.455</v>
      </c>
      <c r="L3563" s="3">
        <f>(Table1[[#This Row],[Profit]]/Table1[[#This Row],[Sales]])*100</f>
        <v>45</v>
      </c>
    </row>
    <row r="3564" spans="1:12" x14ac:dyDescent="0.3">
      <c r="A3564" t="s">
        <v>4115</v>
      </c>
      <c r="B3564" s="1">
        <v>43867</v>
      </c>
      <c r="C3564" t="s">
        <v>1879</v>
      </c>
      <c r="D3564" t="s">
        <v>1880</v>
      </c>
      <c r="E3564" t="s">
        <v>14</v>
      </c>
      <c r="F3564" t="s">
        <v>23</v>
      </c>
      <c r="G3564" t="s">
        <v>24</v>
      </c>
      <c r="H3564" t="s">
        <v>3054</v>
      </c>
      <c r="I3564" s="2">
        <v>135.9</v>
      </c>
      <c r="J3564">
        <v>5</v>
      </c>
      <c r="K3564" s="2">
        <v>13.455</v>
      </c>
      <c r="L3564" s="3">
        <f>(Table1[[#This Row],[Profit]]/Table1[[#This Row],[Sales]])*100</f>
        <v>9.9006622516556284</v>
      </c>
    </row>
    <row r="3565" spans="1:12" x14ac:dyDescent="0.3">
      <c r="A3565" t="s">
        <v>5576</v>
      </c>
      <c r="B3565" s="1">
        <v>44109</v>
      </c>
      <c r="C3565" t="s">
        <v>3714</v>
      </c>
      <c r="D3565" t="s">
        <v>3715</v>
      </c>
      <c r="E3565" t="s">
        <v>14</v>
      </c>
      <c r="F3565" t="s">
        <v>23</v>
      </c>
      <c r="G3565" t="s">
        <v>24</v>
      </c>
      <c r="H3565" t="s">
        <v>3025</v>
      </c>
      <c r="I3565" s="2">
        <v>133.91999999999999</v>
      </c>
      <c r="J3565">
        <v>5</v>
      </c>
      <c r="K3565" s="2">
        <v>13.473000000000001</v>
      </c>
      <c r="L3565" s="3">
        <f>(Table1[[#This Row],[Profit]]/Table1[[#This Row],[Sales]])*100</f>
        <v>10.060483870967744</v>
      </c>
    </row>
    <row r="3566" spans="1:12" x14ac:dyDescent="0.3">
      <c r="A3566" t="s">
        <v>601</v>
      </c>
      <c r="B3566" s="1">
        <v>43536</v>
      </c>
      <c r="C3566" t="s">
        <v>602</v>
      </c>
      <c r="D3566" t="s">
        <v>603</v>
      </c>
      <c r="E3566" t="s">
        <v>14</v>
      </c>
      <c r="F3566" t="s">
        <v>15</v>
      </c>
      <c r="G3566" t="s">
        <v>24</v>
      </c>
      <c r="H3566" t="s">
        <v>242</v>
      </c>
      <c r="I3566" s="2">
        <v>29.34</v>
      </c>
      <c r="J3566">
        <v>3</v>
      </c>
      <c r="K3566" s="2">
        <v>13.4964</v>
      </c>
      <c r="L3566" s="3">
        <f>(Table1[[#This Row],[Profit]]/Table1[[#This Row],[Sales]])*100</f>
        <v>46</v>
      </c>
    </row>
    <row r="3567" spans="1:12" x14ac:dyDescent="0.3">
      <c r="A3567" t="s">
        <v>6141</v>
      </c>
      <c r="B3567" s="1">
        <v>44174</v>
      </c>
      <c r="C3567" t="s">
        <v>1183</v>
      </c>
      <c r="D3567" t="s">
        <v>1184</v>
      </c>
      <c r="E3567" t="s">
        <v>14</v>
      </c>
      <c r="F3567" t="s">
        <v>41</v>
      </c>
      <c r="G3567" t="s">
        <v>24</v>
      </c>
      <c r="H3567" t="s">
        <v>71</v>
      </c>
      <c r="I3567" s="2">
        <v>137.36000000000001</v>
      </c>
      <c r="J3567">
        <v>2</v>
      </c>
      <c r="K3567" s="2">
        <v>13.505599999999999</v>
      </c>
      <c r="L3567" s="3">
        <f>(Table1[[#This Row],[Profit]]/Table1[[#This Row],[Sales]])*100</f>
        <v>9.8322655794991256</v>
      </c>
    </row>
    <row r="3568" spans="1:12" x14ac:dyDescent="0.3">
      <c r="A3568" t="s">
        <v>4488</v>
      </c>
      <c r="B3568" s="1">
        <v>43938</v>
      </c>
      <c r="C3568" t="s">
        <v>558</v>
      </c>
      <c r="D3568" t="s">
        <v>559</v>
      </c>
      <c r="E3568" t="s">
        <v>14</v>
      </c>
      <c r="F3568" t="s">
        <v>23</v>
      </c>
      <c r="G3568" t="s">
        <v>24</v>
      </c>
      <c r="H3568" t="s">
        <v>2347</v>
      </c>
      <c r="I3568" s="2">
        <v>130.13999999999999</v>
      </c>
      <c r="J3568">
        <v>3</v>
      </c>
      <c r="K3568" s="2">
        <v>13.507199999999999</v>
      </c>
      <c r="L3568" s="3">
        <f>(Table1[[#This Row],[Profit]]/Table1[[#This Row],[Sales]])*100</f>
        <v>10.378976486860305</v>
      </c>
    </row>
    <row r="3569" spans="1:12" x14ac:dyDescent="0.3">
      <c r="A3569" t="s">
        <v>5577</v>
      </c>
      <c r="B3569" s="1">
        <v>44109</v>
      </c>
      <c r="C3569" t="s">
        <v>1007</v>
      </c>
      <c r="D3569" t="s">
        <v>1008</v>
      </c>
      <c r="E3569" t="s">
        <v>14</v>
      </c>
      <c r="F3569" t="s">
        <v>23</v>
      </c>
      <c r="G3569" t="s">
        <v>18</v>
      </c>
      <c r="H3569" t="s">
        <v>51</v>
      </c>
      <c r="I3569" s="2">
        <v>164.82400000000001</v>
      </c>
      <c r="J3569">
        <v>2</v>
      </c>
      <c r="K3569" s="2">
        <v>13.5626</v>
      </c>
      <c r="L3569" s="3">
        <f>(Table1[[#This Row],[Profit]]/Table1[[#This Row],[Sales]])*100</f>
        <v>8.2285346794156187</v>
      </c>
    </row>
    <row r="3570" spans="1:12" x14ac:dyDescent="0.3">
      <c r="A3570" t="s">
        <v>26</v>
      </c>
      <c r="B3570" s="1">
        <v>43468</v>
      </c>
      <c r="C3570" t="s">
        <v>27</v>
      </c>
      <c r="D3570" t="s">
        <v>28</v>
      </c>
      <c r="E3570" t="s">
        <v>14</v>
      </c>
      <c r="F3570" t="s">
        <v>29</v>
      </c>
      <c r="G3570" t="s">
        <v>18</v>
      </c>
      <c r="H3570" t="s">
        <v>32</v>
      </c>
      <c r="I3570" s="2">
        <v>180.96</v>
      </c>
      <c r="J3570">
        <v>5</v>
      </c>
      <c r="K3570" s="2">
        <v>13.571999999999999</v>
      </c>
      <c r="L3570" s="3">
        <f>(Table1[[#This Row],[Profit]]/Table1[[#This Row],[Sales]])*100</f>
        <v>7.5</v>
      </c>
    </row>
    <row r="3571" spans="1:12" x14ac:dyDescent="0.3">
      <c r="A3571" t="s">
        <v>3060</v>
      </c>
      <c r="B3571" s="1">
        <v>43748</v>
      </c>
      <c r="C3571" t="s">
        <v>719</v>
      </c>
      <c r="D3571" t="s">
        <v>720</v>
      </c>
      <c r="E3571" t="s">
        <v>14</v>
      </c>
      <c r="F3571" t="s">
        <v>23</v>
      </c>
      <c r="G3571" t="s">
        <v>16</v>
      </c>
      <c r="H3571" t="s">
        <v>1788</v>
      </c>
      <c r="I3571" s="2">
        <v>120.78400000000001</v>
      </c>
      <c r="J3571">
        <v>1</v>
      </c>
      <c r="K3571" s="2">
        <v>13.588200000000001</v>
      </c>
      <c r="L3571" s="3">
        <f>(Table1[[#This Row],[Profit]]/Table1[[#This Row],[Sales]])*100</f>
        <v>11.25</v>
      </c>
    </row>
    <row r="3572" spans="1:12" x14ac:dyDescent="0.3">
      <c r="A3572" t="s">
        <v>6177</v>
      </c>
      <c r="B3572" s="1">
        <v>44176</v>
      </c>
      <c r="C3572" t="s">
        <v>1782</v>
      </c>
      <c r="D3572" t="s">
        <v>1783</v>
      </c>
      <c r="E3572" t="s">
        <v>14</v>
      </c>
      <c r="F3572" t="s">
        <v>15</v>
      </c>
      <c r="G3572" t="s">
        <v>18</v>
      </c>
      <c r="H3572" t="s">
        <v>4507</v>
      </c>
      <c r="I3572" s="2">
        <v>430.98</v>
      </c>
      <c r="J3572">
        <v>2</v>
      </c>
      <c r="K3572" s="2">
        <v>13.5932</v>
      </c>
      <c r="L3572" s="3">
        <f>(Table1[[#This Row],[Profit]]/Table1[[#This Row],[Sales]])*100</f>
        <v>3.1540210682630283</v>
      </c>
    </row>
    <row r="3573" spans="1:12" x14ac:dyDescent="0.3">
      <c r="A3573" t="s">
        <v>4279</v>
      </c>
      <c r="B3573" s="1">
        <v>43907</v>
      </c>
      <c r="C3573" t="s">
        <v>4280</v>
      </c>
      <c r="D3573" t="s">
        <v>4281</v>
      </c>
      <c r="E3573" t="s">
        <v>14</v>
      </c>
      <c r="F3573" t="s">
        <v>15</v>
      </c>
      <c r="G3573" t="s">
        <v>18</v>
      </c>
      <c r="H3573" t="s">
        <v>580</v>
      </c>
      <c r="I3573" s="2">
        <v>134.6</v>
      </c>
      <c r="J3573">
        <v>8</v>
      </c>
      <c r="K3573" s="2">
        <v>13.603999999999999</v>
      </c>
      <c r="L3573" s="3">
        <f>(Table1[[#This Row],[Profit]]/Table1[[#This Row],[Sales]])*100</f>
        <v>10.106983655274888</v>
      </c>
    </row>
    <row r="3574" spans="1:12" x14ac:dyDescent="0.3">
      <c r="A3574" t="s">
        <v>6132</v>
      </c>
      <c r="B3574" s="1">
        <v>44173</v>
      </c>
      <c r="C3574" t="s">
        <v>5720</v>
      </c>
      <c r="D3574" t="s">
        <v>5721</v>
      </c>
      <c r="E3574" t="s">
        <v>14</v>
      </c>
      <c r="F3574" t="s">
        <v>23</v>
      </c>
      <c r="G3574" t="s">
        <v>24</v>
      </c>
      <c r="H3574" t="s">
        <v>2130</v>
      </c>
      <c r="I3574" s="2">
        <v>123.35</v>
      </c>
      <c r="J3574">
        <v>9</v>
      </c>
      <c r="K3574" s="2">
        <v>13.608000000000001</v>
      </c>
      <c r="L3574" s="3">
        <f>(Table1[[#This Row],[Profit]]/Table1[[#This Row],[Sales]])*100</f>
        <v>11.032022699635185</v>
      </c>
    </row>
    <row r="3575" spans="1:12" x14ac:dyDescent="0.3">
      <c r="A3575" t="s">
        <v>6277</v>
      </c>
      <c r="B3575" s="1">
        <v>44190</v>
      </c>
      <c r="C3575" t="s">
        <v>2785</v>
      </c>
      <c r="D3575" t="s">
        <v>2786</v>
      </c>
      <c r="E3575" t="s">
        <v>14</v>
      </c>
      <c r="F3575" t="s">
        <v>15</v>
      </c>
      <c r="G3575" t="s">
        <v>18</v>
      </c>
      <c r="H3575" t="s">
        <v>6278</v>
      </c>
      <c r="I3575" s="2">
        <v>379.8</v>
      </c>
      <c r="J3575">
        <v>3</v>
      </c>
      <c r="K3575" s="2">
        <v>13.673999999999999</v>
      </c>
      <c r="L3575" s="3">
        <f>(Table1[[#This Row],[Profit]]/Table1[[#This Row],[Sales]])*100</f>
        <v>3.6003159557661926</v>
      </c>
    </row>
    <row r="3576" spans="1:12" x14ac:dyDescent="0.3">
      <c r="A3576" t="s">
        <v>3719</v>
      </c>
      <c r="B3576" s="1">
        <v>43805</v>
      </c>
      <c r="C3576" t="s">
        <v>380</v>
      </c>
      <c r="D3576" t="s">
        <v>381</v>
      </c>
      <c r="E3576" t="s">
        <v>14</v>
      </c>
      <c r="F3576" t="s">
        <v>23</v>
      </c>
      <c r="G3576" t="s">
        <v>18</v>
      </c>
      <c r="H3576" t="s">
        <v>3721</v>
      </c>
      <c r="I3576" s="2">
        <v>156.792</v>
      </c>
      <c r="J3576">
        <v>1</v>
      </c>
      <c r="K3576" s="2">
        <v>13.7193</v>
      </c>
      <c r="L3576" s="3">
        <f>(Table1[[#This Row],[Profit]]/Table1[[#This Row],[Sales]])*100</f>
        <v>8.75</v>
      </c>
    </row>
    <row r="3577" spans="1:12" x14ac:dyDescent="0.3">
      <c r="A3577" t="s">
        <v>980</v>
      </c>
      <c r="B3577" s="1">
        <v>43567</v>
      </c>
      <c r="C3577" t="s">
        <v>981</v>
      </c>
      <c r="D3577" t="s">
        <v>982</v>
      </c>
      <c r="E3577" t="s">
        <v>14</v>
      </c>
      <c r="F3577" t="s">
        <v>23</v>
      </c>
      <c r="G3577" t="s">
        <v>24</v>
      </c>
      <c r="H3577" t="s">
        <v>984</v>
      </c>
      <c r="I3577" s="2">
        <v>36.624000000000002</v>
      </c>
      <c r="J3577">
        <v>3</v>
      </c>
      <c r="K3577" s="2">
        <v>13.734</v>
      </c>
      <c r="L3577" s="3">
        <f>(Table1[[#This Row],[Profit]]/Table1[[#This Row],[Sales]])*100</f>
        <v>37.5</v>
      </c>
    </row>
    <row r="3578" spans="1:12" x14ac:dyDescent="0.3">
      <c r="A3578" t="s">
        <v>1674</v>
      </c>
      <c r="B3578" s="1">
        <v>43625</v>
      </c>
      <c r="C3578" t="s">
        <v>774</v>
      </c>
      <c r="D3578" t="s">
        <v>775</v>
      </c>
      <c r="E3578" t="s">
        <v>14</v>
      </c>
      <c r="F3578" t="s">
        <v>23</v>
      </c>
      <c r="G3578" t="s">
        <v>16</v>
      </c>
      <c r="H3578" t="s">
        <v>1675</v>
      </c>
      <c r="I3578" s="2">
        <v>122.352</v>
      </c>
      <c r="J3578">
        <v>3</v>
      </c>
      <c r="K3578" s="2">
        <v>13.7646</v>
      </c>
      <c r="L3578" s="3">
        <f>(Table1[[#This Row],[Profit]]/Table1[[#This Row],[Sales]])*100</f>
        <v>11.249999999999998</v>
      </c>
    </row>
    <row r="3579" spans="1:12" x14ac:dyDescent="0.3">
      <c r="A3579" t="s">
        <v>4687</v>
      </c>
      <c r="B3579" s="1">
        <v>43970</v>
      </c>
      <c r="C3579" t="s">
        <v>1239</v>
      </c>
      <c r="D3579" t="s">
        <v>1240</v>
      </c>
      <c r="E3579" t="s">
        <v>14</v>
      </c>
      <c r="F3579" t="s">
        <v>29</v>
      </c>
      <c r="G3579" t="s">
        <v>24</v>
      </c>
      <c r="H3579" t="s">
        <v>4688</v>
      </c>
      <c r="I3579" s="2">
        <v>145.01599999999999</v>
      </c>
      <c r="J3579">
        <v>6</v>
      </c>
      <c r="K3579" s="2">
        <v>13.780799999999999</v>
      </c>
      <c r="L3579" s="3">
        <f>(Table1[[#This Row],[Profit]]/Table1[[#This Row],[Sales]])*100</f>
        <v>9.5029513984663758</v>
      </c>
    </row>
    <row r="3580" spans="1:12" x14ac:dyDescent="0.3">
      <c r="A3580" t="s">
        <v>3196</v>
      </c>
      <c r="B3580" s="1">
        <v>43766</v>
      </c>
      <c r="C3580" t="s">
        <v>356</v>
      </c>
      <c r="D3580" t="s">
        <v>357</v>
      </c>
      <c r="E3580" t="s">
        <v>14</v>
      </c>
      <c r="F3580" t="s">
        <v>41</v>
      </c>
      <c r="G3580" t="s">
        <v>16</v>
      </c>
      <c r="H3580" t="s">
        <v>86</v>
      </c>
      <c r="I3580" s="2">
        <v>47.951999999999998</v>
      </c>
      <c r="J3580">
        <v>3</v>
      </c>
      <c r="K3580" s="2">
        <v>13.786199999999999</v>
      </c>
      <c r="L3580" s="3">
        <f>(Table1[[#This Row],[Profit]]/Table1[[#This Row],[Sales]])*100</f>
        <v>28.749999999999996</v>
      </c>
    </row>
    <row r="3581" spans="1:12" x14ac:dyDescent="0.3">
      <c r="A3581" t="s">
        <v>2085</v>
      </c>
      <c r="B3581" s="1">
        <v>43663</v>
      </c>
      <c r="C3581" t="s">
        <v>1589</v>
      </c>
      <c r="D3581" t="s">
        <v>1590</v>
      </c>
      <c r="E3581" t="s">
        <v>14</v>
      </c>
      <c r="F3581" t="s">
        <v>15</v>
      </c>
      <c r="G3581" t="s">
        <v>24</v>
      </c>
      <c r="H3581" t="s">
        <v>2086</v>
      </c>
      <c r="I3581" s="2">
        <v>45.96</v>
      </c>
      <c r="J3581">
        <v>2</v>
      </c>
      <c r="K3581" s="2">
        <v>13.788</v>
      </c>
      <c r="L3581" s="3">
        <f>(Table1[[#This Row],[Profit]]/Table1[[#This Row],[Sales]])*100</f>
        <v>30</v>
      </c>
    </row>
    <row r="3582" spans="1:12" x14ac:dyDescent="0.3">
      <c r="A3582" t="s">
        <v>2236</v>
      </c>
      <c r="B3582" s="1">
        <v>43678</v>
      </c>
      <c r="C3582" t="s">
        <v>2237</v>
      </c>
      <c r="D3582" t="s">
        <v>2238</v>
      </c>
      <c r="E3582" t="s">
        <v>14</v>
      </c>
      <c r="F3582" t="s">
        <v>23</v>
      </c>
      <c r="G3582" t="s">
        <v>24</v>
      </c>
      <c r="H3582" t="s">
        <v>2086</v>
      </c>
      <c r="I3582" s="2">
        <v>45.96</v>
      </c>
      <c r="J3582">
        <v>2</v>
      </c>
      <c r="K3582" s="2">
        <v>13.788</v>
      </c>
      <c r="L3582" s="3">
        <f>(Table1[[#This Row],[Profit]]/Table1[[#This Row],[Sales]])*100</f>
        <v>30</v>
      </c>
    </row>
    <row r="3583" spans="1:12" x14ac:dyDescent="0.3">
      <c r="A3583" t="s">
        <v>5814</v>
      </c>
      <c r="B3583" s="1">
        <v>44142</v>
      </c>
      <c r="C3583" t="s">
        <v>2307</v>
      </c>
      <c r="D3583" t="s">
        <v>2308</v>
      </c>
      <c r="E3583" t="s">
        <v>14</v>
      </c>
      <c r="F3583" t="s">
        <v>23</v>
      </c>
      <c r="G3583" t="s">
        <v>18</v>
      </c>
      <c r="H3583" t="s">
        <v>818</v>
      </c>
      <c r="I3583" s="2">
        <v>176.97</v>
      </c>
      <c r="J3583">
        <v>3</v>
      </c>
      <c r="K3583" s="2">
        <v>13.793100000000001</v>
      </c>
      <c r="L3583" s="3">
        <f>(Table1[[#This Row],[Profit]]/Table1[[#This Row],[Sales]])*100</f>
        <v>7.7940328869299886</v>
      </c>
    </row>
    <row r="3584" spans="1:12" x14ac:dyDescent="0.3">
      <c r="A3584" t="s">
        <v>1086</v>
      </c>
      <c r="B3584" s="1">
        <v>43574</v>
      </c>
      <c r="C3584" t="s">
        <v>1087</v>
      </c>
      <c r="D3584" t="s">
        <v>1088</v>
      </c>
      <c r="E3584" t="s">
        <v>14</v>
      </c>
      <c r="F3584" t="s">
        <v>15</v>
      </c>
      <c r="G3584" t="s">
        <v>24</v>
      </c>
      <c r="H3584" t="s">
        <v>1091</v>
      </c>
      <c r="I3584" s="2">
        <v>459.88</v>
      </c>
      <c r="J3584">
        <v>4</v>
      </c>
      <c r="K3584" s="2">
        <v>13.7964</v>
      </c>
      <c r="L3584" s="3">
        <f>(Table1[[#This Row],[Profit]]/Table1[[#This Row],[Sales]])*100</f>
        <v>3.0000000000000004</v>
      </c>
    </row>
    <row r="3585" spans="1:12" x14ac:dyDescent="0.3">
      <c r="A3585" t="s">
        <v>3467</v>
      </c>
      <c r="B3585" s="1">
        <v>43788</v>
      </c>
      <c r="C3585" t="s">
        <v>128</v>
      </c>
      <c r="D3585" t="s">
        <v>129</v>
      </c>
      <c r="E3585" t="s">
        <v>14</v>
      </c>
      <c r="F3585" t="s">
        <v>29</v>
      </c>
      <c r="G3585" t="s">
        <v>24</v>
      </c>
      <c r="H3585" t="s">
        <v>3468</v>
      </c>
      <c r="I3585" s="2">
        <v>40.968000000000004</v>
      </c>
      <c r="J3585">
        <v>3</v>
      </c>
      <c r="K3585" s="2">
        <v>13.826700000000001</v>
      </c>
      <c r="L3585" s="3">
        <f>(Table1[[#This Row],[Profit]]/Table1[[#This Row],[Sales]])*100</f>
        <v>33.75</v>
      </c>
    </row>
    <row r="3586" spans="1:12" x14ac:dyDescent="0.3">
      <c r="A3586" t="s">
        <v>1051</v>
      </c>
      <c r="B3586" s="1">
        <v>43572</v>
      </c>
      <c r="C3586" t="s">
        <v>1052</v>
      </c>
      <c r="D3586" t="s">
        <v>1053</v>
      </c>
      <c r="E3586" t="s">
        <v>14</v>
      </c>
      <c r="F3586" t="s">
        <v>41</v>
      </c>
      <c r="G3586" t="s">
        <v>16</v>
      </c>
      <c r="H3586" t="s">
        <v>1054</v>
      </c>
      <c r="I3586" s="2">
        <v>79.12</v>
      </c>
      <c r="J3586">
        <v>5</v>
      </c>
      <c r="K3586" s="2">
        <v>13.846</v>
      </c>
      <c r="L3586" s="3">
        <f>(Table1[[#This Row],[Profit]]/Table1[[#This Row],[Sales]])*100</f>
        <v>17.5</v>
      </c>
    </row>
    <row r="3587" spans="1:12" x14ac:dyDescent="0.3">
      <c r="A3587" t="s">
        <v>6066</v>
      </c>
      <c r="B3587" s="1">
        <v>44166</v>
      </c>
      <c r="C3587" t="s">
        <v>2255</v>
      </c>
      <c r="D3587" t="s">
        <v>2256</v>
      </c>
      <c r="E3587" t="s">
        <v>14</v>
      </c>
      <c r="F3587" t="s">
        <v>15</v>
      </c>
      <c r="G3587" t="s">
        <v>16</v>
      </c>
      <c r="H3587" t="s">
        <v>1054</v>
      </c>
      <c r="I3587" s="2">
        <v>182.12</v>
      </c>
      <c r="J3587">
        <v>5</v>
      </c>
      <c r="K3587" s="2">
        <v>13.846</v>
      </c>
      <c r="L3587" s="3">
        <f>(Table1[[#This Row],[Profit]]/Table1[[#This Row],[Sales]])*100</f>
        <v>7.6026795519437735</v>
      </c>
    </row>
    <row r="3588" spans="1:12" x14ac:dyDescent="0.3">
      <c r="A3588" t="s">
        <v>1514</v>
      </c>
      <c r="B3588" s="1">
        <v>43611</v>
      </c>
      <c r="C3588" t="s">
        <v>811</v>
      </c>
      <c r="D3588" t="s">
        <v>812</v>
      </c>
      <c r="E3588" t="s">
        <v>14</v>
      </c>
      <c r="F3588" t="s">
        <v>41</v>
      </c>
      <c r="G3588" t="s">
        <v>24</v>
      </c>
      <c r="H3588" t="s">
        <v>1515</v>
      </c>
      <c r="I3588" s="2">
        <v>184.70400000000001</v>
      </c>
      <c r="J3588">
        <v>6</v>
      </c>
      <c r="K3588" s="2">
        <v>13.8528</v>
      </c>
      <c r="L3588" s="3">
        <f>(Table1[[#This Row],[Profit]]/Table1[[#This Row],[Sales]])*100</f>
        <v>7.5</v>
      </c>
    </row>
    <row r="3589" spans="1:12" x14ac:dyDescent="0.3">
      <c r="A3589" t="s">
        <v>875</v>
      </c>
      <c r="B3589" s="1">
        <v>43560</v>
      </c>
      <c r="C3589" t="s">
        <v>876</v>
      </c>
      <c r="D3589" t="s">
        <v>877</v>
      </c>
      <c r="E3589" t="s">
        <v>14</v>
      </c>
      <c r="F3589" t="s">
        <v>29</v>
      </c>
      <c r="G3589" t="s">
        <v>24</v>
      </c>
      <c r="H3589" t="s">
        <v>878</v>
      </c>
      <c r="I3589" s="2">
        <v>158.36799999999999</v>
      </c>
      <c r="J3589">
        <v>7</v>
      </c>
      <c r="K3589" s="2">
        <v>13.857200000000001</v>
      </c>
      <c r="L3589" s="3">
        <f>(Table1[[#This Row],[Profit]]/Table1[[#This Row],[Sales]])*100</f>
        <v>8.75</v>
      </c>
    </row>
    <row r="3590" spans="1:12" x14ac:dyDescent="0.3">
      <c r="A3590" t="s">
        <v>5319</v>
      </c>
      <c r="B3590" s="1">
        <v>44082</v>
      </c>
      <c r="C3590" t="s">
        <v>3109</v>
      </c>
      <c r="D3590" t="s">
        <v>3110</v>
      </c>
      <c r="E3590" t="s">
        <v>14</v>
      </c>
      <c r="F3590" t="s">
        <v>41</v>
      </c>
      <c r="G3590" t="s">
        <v>18</v>
      </c>
      <c r="H3590" t="s">
        <v>3891</v>
      </c>
      <c r="I3590" s="2">
        <v>168.376</v>
      </c>
      <c r="J3590">
        <v>3</v>
      </c>
      <c r="K3590" s="2">
        <v>13.857900000000001</v>
      </c>
      <c r="L3590" s="3">
        <f>(Table1[[#This Row],[Profit]]/Table1[[#This Row],[Sales]])*100</f>
        <v>8.2303297382049703</v>
      </c>
    </row>
    <row r="3591" spans="1:12" x14ac:dyDescent="0.3">
      <c r="A3591" t="s">
        <v>2693</v>
      </c>
      <c r="B3591" s="1">
        <v>43718</v>
      </c>
      <c r="C3591" t="s">
        <v>569</v>
      </c>
      <c r="D3591" t="s">
        <v>570</v>
      </c>
      <c r="E3591" t="s">
        <v>14</v>
      </c>
      <c r="F3591" t="s">
        <v>23</v>
      </c>
      <c r="G3591" t="s">
        <v>24</v>
      </c>
      <c r="H3591" t="s">
        <v>979</v>
      </c>
      <c r="I3591" s="2">
        <v>39.624000000000002</v>
      </c>
      <c r="J3591">
        <v>3</v>
      </c>
      <c r="K3591" s="2">
        <v>13.868399999999999</v>
      </c>
      <c r="L3591" s="3">
        <f>(Table1[[#This Row],[Profit]]/Table1[[#This Row],[Sales]])*100</f>
        <v>35</v>
      </c>
    </row>
    <row r="3592" spans="1:12" x14ac:dyDescent="0.3">
      <c r="A3592" t="s">
        <v>5662</v>
      </c>
      <c r="B3592" s="1">
        <v>44123</v>
      </c>
      <c r="C3592" t="s">
        <v>2108</v>
      </c>
      <c r="D3592" t="s">
        <v>2109</v>
      </c>
      <c r="E3592" t="s">
        <v>14</v>
      </c>
      <c r="F3592" t="s">
        <v>23</v>
      </c>
      <c r="G3592" t="s">
        <v>24</v>
      </c>
      <c r="H3592" t="s">
        <v>979</v>
      </c>
      <c r="I3592" s="2">
        <v>146.624</v>
      </c>
      <c r="J3592">
        <v>3</v>
      </c>
      <c r="K3592" s="2">
        <v>13.868399999999999</v>
      </c>
      <c r="L3592" s="3">
        <f>(Table1[[#This Row],[Profit]]/Table1[[#This Row],[Sales]])*100</f>
        <v>9.4584788302051503</v>
      </c>
    </row>
    <row r="3593" spans="1:12" x14ac:dyDescent="0.3">
      <c r="A3593" t="s">
        <v>1707</v>
      </c>
      <c r="B3593" s="1">
        <v>43628</v>
      </c>
      <c r="C3593" t="s">
        <v>210</v>
      </c>
      <c r="D3593" t="s">
        <v>211</v>
      </c>
      <c r="E3593" t="s">
        <v>14</v>
      </c>
      <c r="F3593" t="s">
        <v>15</v>
      </c>
      <c r="G3593" t="s">
        <v>24</v>
      </c>
      <c r="H3593" t="s">
        <v>1709</v>
      </c>
      <c r="I3593" s="2">
        <v>30.84</v>
      </c>
      <c r="J3593">
        <v>4</v>
      </c>
      <c r="K3593" s="2">
        <v>13.878</v>
      </c>
      <c r="L3593" s="3">
        <f>(Table1[[#This Row],[Profit]]/Table1[[#This Row],[Sales]])*100</f>
        <v>45</v>
      </c>
    </row>
    <row r="3594" spans="1:12" x14ac:dyDescent="0.3">
      <c r="A3594" t="s">
        <v>1602</v>
      </c>
      <c r="B3594" s="1">
        <v>43618</v>
      </c>
      <c r="C3594" t="s">
        <v>633</v>
      </c>
      <c r="D3594" t="s">
        <v>634</v>
      </c>
      <c r="E3594" t="s">
        <v>14</v>
      </c>
      <c r="F3594" t="s">
        <v>23</v>
      </c>
      <c r="G3594" t="s">
        <v>24</v>
      </c>
      <c r="H3594" t="s">
        <v>1603</v>
      </c>
      <c r="I3594" s="2">
        <v>30.18</v>
      </c>
      <c r="J3594">
        <v>3</v>
      </c>
      <c r="K3594" s="2">
        <v>13.8828</v>
      </c>
      <c r="L3594" s="3">
        <f>(Table1[[#This Row],[Profit]]/Table1[[#This Row],[Sales]])*100</f>
        <v>46</v>
      </c>
    </row>
    <row r="3595" spans="1:12" x14ac:dyDescent="0.3">
      <c r="A3595" t="s">
        <v>2929</v>
      </c>
      <c r="B3595" s="1">
        <v>43734</v>
      </c>
      <c r="C3595" t="s">
        <v>2930</v>
      </c>
      <c r="D3595" t="s">
        <v>2931</v>
      </c>
      <c r="E3595" t="s">
        <v>14</v>
      </c>
      <c r="F3595" t="s">
        <v>23</v>
      </c>
      <c r="G3595" t="s">
        <v>24</v>
      </c>
      <c r="H3595" t="s">
        <v>2932</v>
      </c>
      <c r="I3595" s="2">
        <v>51.45</v>
      </c>
      <c r="J3595">
        <v>3</v>
      </c>
      <c r="K3595" s="2">
        <v>13.891500000000001</v>
      </c>
      <c r="L3595" s="3">
        <f>(Table1[[#This Row],[Profit]]/Table1[[#This Row],[Sales]])*100</f>
        <v>27</v>
      </c>
    </row>
    <row r="3596" spans="1:12" x14ac:dyDescent="0.3">
      <c r="A3596" t="s">
        <v>4052</v>
      </c>
      <c r="B3596" s="1">
        <v>43852</v>
      </c>
      <c r="C3596" t="s">
        <v>4053</v>
      </c>
      <c r="D3596" t="s">
        <v>4054</v>
      </c>
      <c r="E3596" t="s">
        <v>14</v>
      </c>
      <c r="F3596" t="s">
        <v>23</v>
      </c>
      <c r="G3596" t="s">
        <v>24</v>
      </c>
      <c r="H3596" t="s">
        <v>2932</v>
      </c>
      <c r="I3596" s="2">
        <v>162.44999999999999</v>
      </c>
      <c r="J3596">
        <v>3</v>
      </c>
      <c r="K3596" s="2">
        <v>13.891500000000001</v>
      </c>
      <c r="L3596" s="3">
        <f>(Table1[[#This Row],[Profit]]/Table1[[#This Row],[Sales]])*100</f>
        <v>8.5512465373961231</v>
      </c>
    </row>
    <row r="3597" spans="1:12" x14ac:dyDescent="0.3">
      <c r="A3597" t="s">
        <v>2662</v>
      </c>
      <c r="B3597" s="1">
        <v>43716</v>
      </c>
      <c r="C3597" t="s">
        <v>1476</v>
      </c>
      <c r="D3597" t="s">
        <v>1477</v>
      </c>
      <c r="E3597" t="s">
        <v>14</v>
      </c>
      <c r="F3597" t="s">
        <v>15</v>
      </c>
      <c r="G3597" t="s">
        <v>16</v>
      </c>
      <c r="H3597" t="s">
        <v>2663</v>
      </c>
      <c r="I3597" s="2">
        <v>173.94</v>
      </c>
      <c r="J3597">
        <v>3</v>
      </c>
      <c r="K3597" s="2">
        <v>13.9152</v>
      </c>
      <c r="L3597" s="3">
        <f>(Table1[[#This Row],[Profit]]/Table1[[#This Row],[Sales]])*100</f>
        <v>8</v>
      </c>
    </row>
    <row r="3598" spans="1:12" x14ac:dyDescent="0.3">
      <c r="A3598" t="s">
        <v>636</v>
      </c>
      <c r="B3598" s="1">
        <v>43537</v>
      </c>
      <c r="C3598" t="s">
        <v>637</v>
      </c>
      <c r="D3598" t="s">
        <v>638</v>
      </c>
      <c r="E3598" t="s">
        <v>14</v>
      </c>
      <c r="F3598" t="s">
        <v>15</v>
      </c>
      <c r="G3598" t="s">
        <v>24</v>
      </c>
      <c r="H3598" t="s">
        <v>392</v>
      </c>
      <c r="I3598" s="2">
        <v>41.24</v>
      </c>
      <c r="J3598">
        <v>5</v>
      </c>
      <c r="K3598" s="2">
        <v>13.9185</v>
      </c>
      <c r="L3598" s="3">
        <f>(Table1[[#This Row],[Profit]]/Table1[[#This Row],[Sales]])*100</f>
        <v>33.75</v>
      </c>
    </row>
    <row r="3599" spans="1:12" x14ac:dyDescent="0.3">
      <c r="A3599" t="s">
        <v>2470</v>
      </c>
      <c r="B3599" s="1">
        <v>43704</v>
      </c>
      <c r="C3599" t="s">
        <v>1769</v>
      </c>
      <c r="D3599" t="s">
        <v>1770</v>
      </c>
      <c r="E3599" t="s">
        <v>14</v>
      </c>
      <c r="F3599" t="s">
        <v>15</v>
      </c>
      <c r="G3599" t="s">
        <v>24</v>
      </c>
      <c r="H3599" t="s">
        <v>397</v>
      </c>
      <c r="I3599" s="2">
        <v>29</v>
      </c>
      <c r="J3599">
        <v>5</v>
      </c>
      <c r="K3599" s="2">
        <v>13.92</v>
      </c>
      <c r="L3599" s="3">
        <f>(Table1[[#This Row],[Profit]]/Table1[[#This Row],[Sales]])*100</f>
        <v>48</v>
      </c>
    </row>
    <row r="3600" spans="1:12" x14ac:dyDescent="0.3">
      <c r="A3600" t="s">
        <v>5956</v>
      </c>
      <c r="B3600" s="1">
        <v>44154</v>
      </c>
      <c r="C3600" t="s">
        <v>3406</v>
      </c>
      <c r="D3600" t="s">
        <v>3407</v>
      </c>
      <c r="E3600" t="s">
        <v>14</v>
      </c>
      <c r="F3600" t="s">
        <v>15</v>
      </c>
      <c r="G3600" t="s">
        <v>24</v>
      </c>
      <c r="H3600" t="s">
        <v>2111</v>
      </c>
      <c r="I3600" s="2">
        <v>158.28</v>
      </c>
      <c r="J3600">
        <v>6</v>
      </c>
      <c r="K3600" s="2">
        <v>13.932</v>
      </c>
      <c r="L3600" s="3">
        <f>(Table1[[#This Row],[Profit]]/Table1[[#This Row],[Sales]])*100</f>
        <v>8.8021228203184219</v>
      </c>
    </row>
    <row r="3601" spans="1:12" x14ac:dyDescent="0.3">
      <c r="A3601" t="s">
        <v>1576</v>
      </c>
      <c r="B3601" s="1">
        <v>43615</v>
      </c>
      <c r="C3601" t="s">
        <v>1577</v>
      </c>
      <c r="D3601" t="s">
        <v>1578</v>
      </c>
      <c r="E3601" t="s">
        <v>14</v>
      </c>
      <c r="F3601" t="s">
        <v>29</v>
      </c>
      <c r="G3601" t="s">
        <v>24</v>
      </c>
      <c r="H3601" t="s">
        <v>1580</v>
      </c>
      <c r="I3601" s="2">
        <v>49.76</v>
      </c>
      <c r="J3601">
        <v>4</v>
      </c>
      <c r="K3601" s="2">
        <v>13.9328</v>
      </c>
      <c r="L3601" s="3">
        <f>(Table1[[#This Row],[Profit]]/Table1[[#This Row],[Sales]])*100</f>
        <v>28.000000000000004</v>
      </c>
    </row>
    <row r="3602" spans="1:12" x14ac:dyDescent="0.3">
      <c r="A3602" t="s">
        <v>3774</v>
      </c>
      <c r="B3602" s="1">
        <v>43810</v>
      </c>
      <c r="C3602" t="s">
        <v>118</v>
      </c>
      <c r="D3602" t="s">
        <v>119</v>
      </c>
      <c r="E3602" t="s">
        <v>14</v>
      </c>
      <c r="F3602" t="s">
        <v>23</v>
      </c>
      <c r="G3602" t="s">
        <v>24</v>
      </c>
      <c r="H3602" t="s">
        <v>1722</v>
      </c>
      <c r="I3602" s="2">
        <v>30.98</v>
      </c>
      <c r="J3602">
        <v>1</v>
      </c>
      <c r="K3602" s="2">
        <v>13.941000000000001</v>
      </c>
      <c r="L3602" s="3">
        <f>(Table1[[#This Row],[Profit]]/Table1[[#This Row],[Sales]])*100</f>
        <v>45</v>
      </c>
    </row>
    <row r="3603" spans="1:12" x14ac:dyDescent="0.3">
      <c r="A3603" t="s">
        <v>5210</v>
      </c>
      <c r="B3603" s="1">
        <v>44069</v>
      </c>
      <c r="C3603" t="s">
        <v>2842</v>
      </c>
      <c r="D3603" t="s">
        <v>2843</v>
      </c>
      <c r="E3603" t="s">
        <v>14</v>
      </c>
      <c r="F3603" t="s">
        <v>29</v>
      </c>
      <c r="G3603" t="s">
        <v>24</v>
      </c>
      <c r="H3603" t="s">
        <v>4282</v>
      </c>
      <c r="I3603" s="2">
        <v>143.72</v>
      </c>
      <c r="J3603">
        <v>4</v>
      </c>
      <c r="K3603" s="2">
        <v>13.9672</v>
      </c>
      <c r="L3603" s="3">
        <f>(Table1[[#This Row],[Profit]]/Table1[[#This Row],[Sales]])*100</f>
        <v>9.7183412190370166</v>
      </c>
    </row>
    <row r="3604" spans="1:12" x14ac:dyDescent="0.3">
      <c r="A3604" t="s">
        <v>3010</v>
      </c>
      <c r="B3604" s="1">
        <v>43742</v>
      </c>
      <c r="C3604" t="s">
        <v>3011</v>
      </c>
      <c r="D3604" t="s">
        <v>3012</v>
      </c>
      <c r="E3604" t="s">
        <v>14</v>
      </c>
      <c r="F3604" t="s">
        <v>15</v>
      </c>
      <c r="G3604" t="s">
        <v>24</v>
      </c>
      <c r="H3604" t="s">
        <v>2833</v>
      </c>
      <c r="I3604" s="2">
        <v>30.4</v>
      </c>
      <c r="J3604">
        <v>1</v>
      </c>
      <c r="K3604" s="2">
        <v>13.984</v>
      </c>
      <c r="L3604" s="3">
        <f>(Table1[[#This Row],[Profit]]/Table1[[#This Row],[Sales]])*100</f>
        <v>46</v>
      </c>
    </row>
    <row r="3605" spans="1:12" x14ac:dyDescent="0.3">
      <c r="A3605" t="s">
        <v>455</v>
      </c>
      <c r="B3605" s="1">
        <v>43525</v>
      </c>
      <c r="C3605" t="s">
        <v>456</v>
      </c>
      <c r="D3605" t="s">
        <v>457</v>
      </c>
      <c r="E3605" t="s">
        <v>14</v>
      </c>
      <c r="F3605" t="s">
        <v>23</v>
      </c>
      <c r="G3605" t="s">
        <v>18</v>
      </c>
      <c r="H3605" t="s">
        <v>458</v>
      </c>
      <c r="I3605" s="2">
        <v>159.98400000000001</v>
      </c>
      <c r="J3605">
        <v>2</v>
      </c>
      <c r="K3605" s="2">
        <v>13.9986</v>
      </c>
      <c r="L3605" s="3">
        <f>(Table1[[#This Row],[Profit]]/Table1[[#This Row],[Sales]])*100</f>
        <v>8.75</v>
      </c>
    </row>
    <row r="3606" spans="1:12" x14ac:dyDescent="0.3">
      <c r="A3606" t="s">
        <v>1934</v>
      </c>
      <c r="B3606" s="1">
        <v>43647</v>
      </c>
      <c r="C3606" t="s">
        <v>1935</v>
      </c>
      <c r="D3606" t="s">
        <v>1936</v>
      </c>
      <c r="E3606" t="s">
        <v>14</v>
      </c>
      <c r="F3606" t="s">
        <v>15</v>
      </c>
      <c r="G3606" t="s">
        <v>24</v>
      </c>
      <c r="H3606" t="s">
        <v>1937</v>
      </c>
      <c r="I3606" s="2">
        <v>30.53</v>
      </c>
      <c r="J3606">
        <v>1</v>
      </c>
      <c r="K3606" s="2">
        <v>14.043799999999999</v>
      </c>
      <c r="L3606" s="3">
        <f>(Table1[[#This Row],[Profit]]/Table1[[#This Row],[Sales]])*100</f>
        <v>46</v>
      </c>
    </row>
    <row r="3607" spans="1:12" x14ac:dyDescent="0.3">
      <c r="A3607" t="s">
        <v>6086</v>
      </c>
      <c r="B3607" s="1">
        <v>44168</v>
      </c>
      <c r="C3607" t="s">
        <v>443</v>
      </c>
      <c r="D3607" t="s">
        <v>444</v>
      </c>
      <c r="E3607" t="s">
        <v>14</v>
      </c>
      <c r="F3607" t="s">
        <v>23</v>
      </c>
      <c r="G3607" t="s">
        <v>18</v>
      </c>
      <c r="H3607" t="s">
        <v>2448</v>
      </c>
      <c r="I3607" s="2">
        <v>150.33600000000001</v>
      </c>
      <c r="J3607">
        <v>8</v>
      </c>
      <c r="K3607" s="2">
        <v>14.071199999999999</v>
      </c>
      <c r="L3607" s="3">
        <f>(Table1[[#This Row],[Profit]]/Table1[[#This Row],[Sales]])*100</f>
        <v>9.3598339719029369</v>
      </c>
    </row>
    <row r="3608" spans="1:12" x14ac:dyDescent="0.3">
      <c r="A3608" t="s">
        <v>5049</v>
      </c>
      <c r="B3608" s="1">
        <v>44034</v>
      </c>
      <c r="C3608" t="s">
        <v>3649</v>
      </c>
      <c r="D3608" t="s">
        <v>3650</v>
      </c>
      <c r="E3608" t="s">
        <v>14</v>
      </c>
      <c r="F3608" t="s">
        <v>15</v>
      </c>
      <c r="G3608" t="s">
        <v>18</v>
      </c>
      <c r="H3608" t="s">
        <v>4953</v>
      </c>
      <c r="I3608" s="2">
        <v>117.97</v>
      </c>
      <c r="J3608">
        <v>3</v>
      </c>
      <c r="K3608" s="2">
        <v>14.085900000000001</v>
      </c>
      <c r="L3608" s="3">
        <f>(Table1[[#This Row],[Profit]]/Table1[[#This Row],[Sales]])*100</f>
        <v>11.940239043824702</v>
      </c>
    </row>
    <row r="3609" spans="1:12" x14ac:dyDescent="0.3">
      <c r="A3609" t="s">
        <v>1781</v>
      </c>
      <c r="B3609" s="1">
        <v>43633</v>
      </c>
      <c r="C3609" t="s">
        <v>1782</v>
      </c>
      <c r="D3609" t="s">
        <v>1783</v>
      </c>
      <c r="E3609" t="s">
        <v>14</v>
      </c>
      <c r="F3609" t="s">
        <v>23</v>
      </c>
      <c r="G3609" t="s">
        <v>16</v>
      </c>
      <c r="H3609" t="s">
        <v>1747</v>
      </c>
      <c r="I3609" s="2">
        <v>239.666</v>
      </c>
      <c r="J3609">
        <v>2</v>
      </c>
      <c r="K3609" s="2">
        <v>14.098000000000001</v>
      </c>
      <c r="L3609" s="3">
        <f>(Table1[[#This Row],[Profit]]/Table1[[#This Row],[Sales]])*100</f>
        <v>5.882352941176471</v>
      </c>
    </row>
    <row r="3610" spans="1:12" x14ac:dyDescent="0.3">
      <c r="A3610" t="s">
        <v>5270</v>
      </c>
      <c r="B3610" s="1">
        <v>44077</v>
      </c>
      <c r="C3610" t="s">
        <v>1436</v>
      </c>
      <c r="D3610" t="s">
        <v>1437</v>
      </c>
      <c r="E3610" t="s">
        <v>14</v>
      </c>
      <c r="F3610" t="s">
        <v>23</v>
      </c>
      <c r="G3610" t="s">
        <v>16</v>
      </c>
      <c r="H3610" t="s">
        <v>1747</v>
      </c>
      <c r="I3610" s="2">
        <v>274.666</v>
      </c>
      <c r="J3610">
        <v>2</v>
      </c>
      <c r="K3610" s="2">
        <v>14.098000000000001</v>
      </c>
      <c r="L3610" s="3">
        <f>(Table1[[#This Row],[Profit]]/Table1[[#This Row],[Sales]])*100</f>
        <v>5.1327794484938067</v>
      </c>
    </row>
    <row r="3611" spans="1:12" x14ac:dyDescent="0.3">
      <c r="A3611" t="s">
        <v>5264</v>
      </c>
      <c r="B3611" s="1">
        <v>44077</v>
      </c>
      <c r="C3611" t="s">
        <v>5265</v>
      </c>
      <c r="D3611" t="s">
        <v>5266</v>
      </c>
      <c r="E3611" t="s">
        <v>14</v>
      </c>
      <c r="F3611" t="s">
        <v>15</v>
      </c>
      <c r="G3611" t="s">
        <v>16</v>
      </c>
      <c r="H3611" t="s">
        <v>2194</v>
      </c>
      <c r="I3611" s="2">
        <v>105.801</v>
      </c>
      <c r="J3611">
        <v>1</v>
      </c>
      <c r="K3611" s="2">
        <v>14.124599999999999</v>
      </c>
      <c r="L3611" s="3">
        <f>(Table1[[#This Row],[Profit]]/Table1[[#This Row],[Sales]])*100</f>
        <v>13.350157370913319</v>
      </c>
    </row>
    <row r="3612" spans="1:12" x14ac:dyDescent="0.3">
      <c r="A3612" t="s">
        <v>662</v>
      </c>
      <c r="B3612" s="1">
        <v>43538</v>
      </c>
      <c r="C3612" t="s">
        <v>550</v>
      </c>
      <c r="D3612" t="s">
        <v>551</v>
      </c>
      <c r="E3612" t="s">
        <v>14</v>
      </c>
      <c r="F3612" t="s">
        <v>23</v>
      </c>
      <c r="G3612" t="s">
        <v>24</v>
      </c>
      <c r="H3612" t="s">
        <v>587</v>
      </c>
      <c r="I3612" s="2">
        <v>41.904000000000003</v>
      </c>
      <c r="J3612">
        <v>6</v>
      </c>
      <c r="K3612" s="2">
        <v>14.1426</v>
      </c>
      <c r="L3612" s="3">
        <f>(Table1[[#This Row],[Profit]]/Table1[[#This Row],[Sales]])*100</f>
        <v>33.75</v>
      </c>
    </row>
    <row r="3613" spans="1:12" x14ac:dyDescent="0.3">
      <c r="A3613" t="s">
        <v>1276</v>
      </c>
      <c r="B3613" s="1">
        <v>43591</v>
      </c>
      <c r="C3613" t="s">
        <v>1277</v>
      </c>
      <c r="D3613" t="s">
        <v>1278</v>
      </c>
      <c r="E3613" t="s">
        <v>14</v>
      </c>
      <c r="F3613" t="s">
        <v>23</v>
      </c>
      <c r="G3613" t="s">
        <v>16</v>
      </c>
      <c r="H3613" t="s">
        <v>1279</v>
      </c>
      <c r="I3613" s="2">
        <v>41.6</v>
      </c>
      <c r="J3613">
        <v>4</v>
      </c>
      <c r="K3613" s="2">
        <v>14.144</v>
      </c>
      <c r="L3613" s="3">
        <f>(Table1[[#This Row],[Profit]]/Table1[[#This Row],[Sales]])*100</f>
        <v>34</v>
      </c>
    </row>
    <row r="3614" spans="1:12" x14ac:dyDescent="0.3">
      <c r="A3614" t="s">
        <v>5759</v>
      </c>
      <c r="B3614" s="1">
        <v>44138</v>
      </c>
      <c r="C3614" t="s">
        <v>5760</v>
      </c>
      <c r="D3614" t="s">
        <v>5761</v>
      </c>
      <c r="E3614" t="s">
        <v>14</v>
      </c>
      <c r="F3614" t="s">
        <v>29</v>
      </c>
      <c r="G3614" t="s">
        <v>24</v>
      </c>
      <c r="H3614" t="s">
        <v>2007</v>
      </c>
      <c r="I3614" s="2">
        <v>177.4</v>
      </c>
      <c r="J3614">
        <v>5</v>
      </c>
      <c r="K3614" s="2">
        <v>14.148</v>
      </c>
      <c r="L3614" s="3">
        <f>(Table1[[#This Row],[Profit]]/Table1[[#This Row],[Sales]])*100</f>
        <v>7.9751972942502816</v>
      </c>
    </row>
    <row r="3615" spans="1:12" x14ac:dyDescent="0.3">
      <c r="A3615" t="s">
        <v>2561</v>
      </c>
      <c r="B3615" s="1">
        <v>43711</v>
      </c>
      <c r="C3615" t="s">
        <v>1766</v>
      </c>
      <c r="D3615" t="s">
        <v>1767</v>
      </c>
      <c r="E3615" t="s">
        <v>14</v>
      </c>
      <c r="F3615" t="s">
        <v>29</v>
      </c>
      <c r="G3615" t="s">
        <v>24</v>
      </c>
      <c r="H3615" t="s">
        <v>2562</v>
      </c>
      <c r="I3615" s="2">
        <v>54.5</v>
      </c>
      <c r="J3615">
        <v>5</v>
      </c>
      <c r="K3615" s="2">
        <v>14.17</v>
      </c>
      <c r="L3615" s="3">
        <f>(Table1[[#This Row],[Profit]]/Table1[[#This Row],[Sales]])*100</f>
        <v>26</v>
      </c>
    </row>
    <row r="3616" spans="1:12" x14ac:dyDescent="0.3">
      <c r="A3616" t="s">
        <v>2675</v>
      </c>
      <c r="B3616" s="1">
        <v>43716</v>
      </c>
      <c r="C3616" t="s">
        <v>2327</v>
      </c>
      <c r="D3616" t="s">
        <v>2328</v>
      </c>
      <c r="E3616" t="s">
        <v>14</v>
      </c>
      <c r="F3616" t="s">
        <v>23</v>
      </c>
      <c r="G3616" t="s">
        <v>24</v>
      </c>
      <c r="H3616" t="s">
        <v>2469</v>
      </c>
      <c r="I3616" s="2">
        <v>30.87</v>
      </c>
      <c r="J3616">
        <v>7</v>
      </c>
      <c r="K3616" s="2">
        <v>14.200200000000001</v>
      </c>
      <c r="L3616" s="3">
        <f>(Table1[[#This Row],[Profit]]/Table1[[#This Row],[Sales]])*100</f>
        <v>46</v>
      </c>
    </row>
    <row r="3617" spans="1:12" x14ac:dyDescent="0.3">
      <c r="A3617" t="s">
        <v>4448</v>
      </c>
      <c r="B3617" s="1">
        <v>43932</v>
      </c>
      <c r="C3617" t="s">
        <v>1408</v>
      </c>
      <c r="D3617" t="s">
        <v>1409</v>
      </c>
      <c r="E3617" t="s">
        <v>14</v>
      </c>
      <c r="F3617" t="s">
        <v>23</v>
      </c>
      <c r="G3617" t="s">
        <v>24</v>
      </c>
      <c r="H3617" t="s">
        <v>1017</v>
      </c>
      <c r="I3617" s="2">
        <v>145.86000000000001</v>
      </c>
      <c r="J3617">
        <v>7</v>
      </c>
      <c r="K3617" s="2">
        <v>14.2324</v>
      </c>
      <c r="L3617" s="3">
        <f>(Table1[[#This Row],[Profit]]/Table1[[#This Row],[Sales]])*100</f>
        <v>9.757575757575756</v>
      </c>
    </row>
    <row r="3618" spans="1:12" x14ac:dyDescent="0.3">
      <c r="A3618" t="s">
        <v>5932</v>
      </c>
      <c r="B3618" s="1">
        <v>44152</v>
      </c>
      <c r="C3618" t="s">
        <v>2456</v>
      </c>
      <c r="D3618" t="s">
        <v>2457</v>
      </c>
      <c r="E3618" t="s">
        <v>14</v>
      </c>
      <c r="F3618" t="s">
        <v>15</v>
      </c>
      <c r="G3618" t="s">
        <v>24</v>
      </c>
      <c r="H3618" t="s">
        <v>2996</v>
      </c>
      <c r="I3618" s="2">
        <v>171.94</v>
      </c>
      <c r="J3618">
        <v>3</v>
      </c>
      <c r="K3618" s="2">
        <v>14.263199999999999</v>
      </c>
      <c r="L3618" s="3">
        <f>(Table1[[#This Row],[Profit]]/Table1[[#This Row],[Sales]])*100</f>
        <v>8.2954519018262189</v>
      </c>
    </row>
    <row r="3619" spans="1:12" x14ac:dyDescent="0.3">
      <c r="A3619" t="s">
        <v>3102</v>
      </c>
      <c r="B3619" s="1">
        <v>43753</v>
      </c>
      <c r="C3619" t="s">
        <v>967</v>
      </c>
      <c r="D3619" t="s">
        <v>968</v>
      </c>
      <c r="E3619" t="s">
        <v>14</v>
      </c>
      <c r="F3619" t="s">
        <v>41</v>
      </c>
      <c r="G3619" t="s">
        <v>24</v>
      </c>
      <c r="H3619" t="s">
        <v>3103</v>
      </c>
      <c r="I3619" s="2">
        <v>43.26</v>
      </c>
      <c r="J3619">
        <v>3</v>
      </c>
      <c r="K3619" s="2">
        <v>14.2758</v>
      </c>
      <c r="L3619" s="3">
        <f>(Table1[[#This Row],[Profit]]/Table1[[#This Row],[Sales]])*100</f>
        <v>33</v>
      </c>
    </row>
    <row r="3620" spans="1:12" x14ac:dyDescent="0.3">
      <c r="A3620" t="s">
        <v>3242</v>
      </c>
      <c r="B3620" s="1">
        <v>43772</v>
      </c>
      <c r="C3620" t="s">
        <v>2456</v>
      </c>
      <c r="D3620" t="s">
        <v>2457</v>
      </c>
      <c r="E3620" t="s">
        <v>14</v>
      </c>
      <c r="F3620" t="s">
        <v>23</v>
      </c>
      <c r="G3620" t="s">
        <v>24</v>
      </c>
      <c r="H3620" t="s">
        <v>2046</v>
      </c>
      <c r="I3620" s="2">
        <v>43.32</v>
      </c>
      <c r="J3620">
        <v>2</v>
      </c>
      <c r="K3620" s="2">
        <v>14.2956</v>
      </c>
      <c r="L3620" s="3">
        <f>(Table1[[#This Row],[Profit]]/Table1[[#This Row],[Sales]])*100</f>
        <v>33</v>
      </c>
    </row>
    <row r="3621" spans="1:12" x14ac:dyDescent="0.3">
      <c r="A3621" t="s">
        <v>4986</v>
      </c>
      <c r="B3621" s="1">
        <v>44021</v>
      </c>
      <c r="C3621" t="s">
        <v>4073</v>
      </c>
      <c r="D3621" t="s">
        <v>4074</v>
      </c>
      <c r="E3621" t="s">
        <v>14</v>
      </c>
      <c r="F3621" t="s">
        <v>29</v>
      </c>
      <c r="G3621" t="s">
        <v>24</v>
      </c>
      <c r="H3621" t="s">
        <v>25</v>
      </c>
      <c r="I3621" s="2">
        <v>278.92</v>
      </c>
      <c r="J3621">
        <v>5</v>
      </c>
      <c r="K3621" s="2">
        <v>14.307499999999999</v>
      </c>
      <c r="L3621" s="3">
        <f>(Table1[[#This Row],[Profit]]/Table1[[#This Row],[Sales]])*100</f>
        <v>5.1296070557866047</v>
      </c>
    </row>
    <row r="3622" spans="1:12" x14ac:dyDescent="0.3">
      <c r="A3622" t="s">
        <v>4019</v>
      </c>
      <c r="B3622" s="1">
        <v>43845</v>
      </c>
      <c r="C3622" t="s">
        <v>216</v>
      </c>
      <c r="D3622" t="s">
        <v>217</v>
      </c>
      <c r="E3622" t="s">
        <v>14</v>
      </c>
      <c r="F3622" t="s">
        <v>29</v>
      </c>
      <c r="G3622" t="s">
        <v>18</v>
      </c>
      <c r="H3622" t="s">
        <v>136</v>
      </c>
      <c r="I3622" s="2">
        <v>160.98400000000001</v>
      </c>
      <c r="J3622">
        <v>2</v>
      </c>
      <c r="K3622" s="2">
        <v>14.395200000000001</v>
      </c>
      <c r="L3622" s="3">
        <f>(Table1[[#This Row],[Profit]]/Table1[[#This Row],[Sales]])*100</f>
        <v>8.9420066590468625</v>
      </c>
    </row>
    <row r="3623" spans="1:12" x14ac:dyDescent="0.3">
      <c r="A3623" t="s">
        <v>5416</v>
      </c>
      <c r="B3623" s="1">
        <v>44090</v>
      </c>
      <c r="C3623" t="s">
        <v>1208</v>
      </c>
      <c r="D3623" t="s">
        <v>1209</v>
      </c>
      <c r="E3623" t="s">
        <v>14</v>
      </c>
      <c r="F3623" t="s">
        <v>15</v>
      </c>
      <c r="G3623" t="s">
        <v>18</v>
      </c>
      <c r="H3623" t="s">
        <v>136</v>
      </c>
      <c r="I3623" s="2">
        <v>125.98399999999999</v>
      </c>
      <c r="J3623">
        <v>2</v>
      </c>
      <c r="K3623" s="2">
        <v>14.395200000000001</v>
      </c>
      <c r="L3623" s="3">
        <f>(Table1[[#This Row],[Profit]]/Table1[[#This Row],[Sales]])*100</f>
        <v>11.426212852425707</v>
      </c>
    </row>
    <row r="3624" spans="1:12" x14ac:dyDescent="0.3">
      <c r="A3624" t="s">
        <v>936</v>
      </c>
      <c r="B3624" s="1">
        <v>43563</v>
      </c>
      <c r="C3624" t="s">
        <v>937</v>
      </c>
      <c r="D3624" t="s">
        <v>938</v>
      </c>
      <c r="E3624" t="s">
        <v>14</v>
      </c>
      <c r="F3624" t="s">
        <v>41</v>
      </c>
      <c r="G3624" t="s">
        <v>24</v>
      </c>
      <c r="H3624" t="s">
        <v>939</v>
      </c>
      <c r="I3624" s="2">
        <v>30</v>
      </c>
      <c r="J3624">
        <v>6</v>
      </c>
      <c r="K3624" s="2">
        <v>14.4</v>
      </c>
      <c r="L3624" s="3">
        <f>(Table1[[#This Row],[Profit]]/Table1[[#This Row],[Sales]])*100</f>
        <v>48.000000000000007</v>
      </c>
    </row>
    <row r="3625" spans="1:12" x14ac:dyDescent="0.3">
      <c r="A3625" t="s">
        <v>3252</v>
      </c>
      <c r="B3625" s="1">
        <v>43772</v>
      </c>
      <c r="C3625" t="s">
        <v>592</v>
      </c>
      <c r="D3625" t="s">
        <v>593</v>
      </c>
      <c r="E3625" t="s">
        <v>14</v>
      </c>
      <c r="F3625" t="s">
        <v>15</v>
      </c>
      <c r="G3625" t="s">
        <v>18</v>
      </c>
      <c r="H3625" t="s">
        <v>3170</v>
      </c>
      <c r="I3625" s="2">
        <v>72</v>
      </c>
      <c r="J3625">
        <v>1</v>
      </c>
      <c r="K3625" s="2">
        <v>14.4</v>
      </c>
      <c r="L3625" s="3">
        <f>(Table1[[#This Row],[Profit]]/Table1[[#This Row],[Sales]])*100</f>
        <v>20</v>
      </c>
    </row>
    <row r="3626" spans="1:12" x14ac:dyDescent="0.3">
      <c r="A3626" t="s">
        <v>5729</v>
      </c>
      <c r="B3626" s="1">
        <v>44134</v>
      </c>
      <c r="C3626" t="s">
        <v>341</v>
      </c>
      <c r="D3626" t="s">
        <v>342</v>
      </c>
      <c r="E3626" t="s">
        <v>14</v>
      </c>
      <c r="F3626" t="s">
        <v>41</v>
      </c>
      <c r="G3626" t="s">
        <v>24</v>
      </c>
      <c r="H3626" t="s">
        <v>2715</v>
      </c>
      <c r="I3626" s="2">
        <v>146</v>
      </c>
      <c r="J3626">
        <v>8</v>
      </c>
      <c r="K3626" s="2">
        <v>14.4</v>
      </c>
      <c r="L3626" s="3">
        <f>(Table1[[#This Row],[Profit]]/Table1[[#This Row],[Sales]])*100</f>
        <v>9.8630136986301373</v>
      </c>
    </row>
    <row r="3627" spans="1:12" x14ac:dyDescent="0.3">
      <c r="A3627" t="s">
        <v>1313</v>
      </c>
      <c r="B3627" s="1">
        <v>43594</v>
      </c>
      <c r="C3627" t="s">
        <v>1314</v>
      </c>
      <c r="D3627" t="s">
        <v>1315</v>
      </c>
      <c r="E3627" t="s">
        <v>14</v>
      </c>
      <c r="F3627" t="s">
        <v>23</v>
      </c>
      <c r="G3627" t="s">
        <v>24</v>
      </c>
      <c r="H3627" t="s">
        <v>1316</v>
      </c>
      <c r="I3627" s="2">
        <v>32.04</v>
      </c>
      <c r="J3627">
        <v>4</v>
      </c>
      <c r="K3627" s="2">
        <v>14.417999999999999</v>
      </c>
      <c r="L3627" s="3">
        <f>(Table1[[#This Row],[Profit]]/Table1[[#This Row],[Sales]])*100</f>
        <v>45</v>
      </c>
    </row>
    <row r="3628" spans="1:12" x14ac:dyDescent="0.3">
      <c r="A3628" t="s">
        <v>3020</v>
      </c>
      <c r="B3628" s="1">
        <v>43744</v>
      </c>
      <c r="C3628" t="s">
        <v>3021</v>
      </c>
      <c r="D3628" t="s">
        <v>3022</v>
      </c>
      <c r="E3628" t="s">
        <v>14</v>
      </c>
      <c r="F3628" t="s">
        <v>29</v>
      </c>
      <c r="G3628" t="s">
        <v>24</v>
      </c>
      <c r="H3628" t="s">
        <v>2793</v>
      </c>
      <c r="I3628" s="2">
        <v>28.85</v>
      </c>
      <c r="J3628">
        <v>5</v>
      </c>
      <c r="K3628" s="2">
        <v>14.425000000000001</v>
      </c>
      <c r="L3628" s="3">
        <f>(Table1[[#This Row],[Profit]]/Table1[[#This Row],[Sales]])*100</f>
        <v>50</v>
      </c>
    </row>
    <row r="3629" spans="1:12" x14ac:dyDescent="0.3">
      <c r="A3629" t="s">
        <v>3097</v>
      </c>
      <c r="B3629" s="1">
        <v>43753</v>
      </c>
      <c r="C3629" t="s">
        <v>3098</v>
      </c>
      <c r="D3629" t="s">
        <v>3099</v>
      </c>
      <c r="E3629" t="s">
        <v>14</v>
      </c>
      <c r="F3629" t="s">
        <v>29</v>
      </c>
      <c r="G3629" t="s">
        <v>24</v>
      </c>
      <c r="H3629" t="s">
        <v>301</v>
      </c>
      <c r="I3629" s="2">
        <v>29.46</v>
      </c>
      <c r="J3629">
        <v>6</v>
      </c>
      <c r="K3629" s="2">
        <v>14.4354</v>
      </c>
      <c r="L3629" s="3">
        <f>(Table1[[#This Row],[Profit]]/Table1[[#This Row],[Sales]])*100</f>
        <v>49</v>
      </c>
    </row>
    <row r="3630" spans="1:12" x14ac:dyDescent="0.3">
      <c r="A3630" t="s">
        <v>5848</v>
      </c>
      <c r="B3630" s="1">
        <v>44146</v>
      </c>
      <c r="C3630" t="s">
        <v>4180</v>
      </c>
      <c r="D3630" t="s">
        <v>4181</v>
      </c>
      <c r="E3630" t="s">
        <v>14</v>
      </c>
      <c r="F3630" t="s">
        <v>41</v>
      </c>
      <c r="G3630" t="s">
        <v>16</v>
      </c>
      <c r="H3630" t="s">
        <v>382</v>
      </c>
      <c r="I3630" s="2">
        <v>109.92</v>
      </c>
      <c r="J3630">
        <v>5</v>
      </c>
      <c r="K3630" s="2">
        <v>14.4495</v>
      </c>
      <c r="L3630" s="3">
        <f>(Table1[[#This Row],[Profit]]/Table1[[#This Row],[Sales]])*100</f>
        <v>13.14546943231441</v>
      </c>
    </row>
    <row r="3631" spans="1:12" x14ac:dyDescent="0.3">
      <c r="A3631" t="s">
        <v>5025</v>
      </c>
      <c r="B3631" s="1">
        <v>44029</v>
      </c>
      <c r="C3631" t="s">
        <v>124</v>
      </c>
      <c r="D3631" t="s">
        <v>125</v>
      </c>
      <c r="E3631" t="s">
        <v>14</v>
      </c>
      <c r="F3631" t="s">
        <v>15</v>
      </c>
      <c r="G3631" t="s">
        <v>16</v>
      </c>
      <c r="H3631" t="s">
        <v>1271</v>
      </c>
      <c r="I3631" s="2">
        <v>128.08000000000001</v>
      </c>
      <c r="J3631">
        <v>4</v>
      </c>
      <c r="K3631" s="2">
        <v>14.4596</v>
      </c>
      <c r="L3631" s="3">
        <f>(Table1[[#This Row],[Profit]]/Table1[[#This Row],[Sales]])*100</f>
        <v>11.289506558400998</v>
      </c>
    </row>
    <row r="3632" spans="1:12" x14ac:dyDescent="0.3">
      <c r="A3632" t="s">
        <v>2515</v>
      </c>
      <c r="B3632" s="1">
        <v>43709</v>
      </c>
      <c r="C3632" t="s">
        <v>2516</v>
      </c>
      <c r="D3632" t="s">
        <v>2517</v>
      </c>
      <c r="E3632" t="s">
        <v>14</v>
      </c>
      <c r="F3632" t="s">
        <v>29</v>
      </c>
      <c r="G3632" t="s">
        <v>24</v>
      </c>
      <c r="H3632" t="s">
        <v>805</v>
      </c>
      <c r="I3632" s="2">
        <v>29.52</v>
      </c>
      <c r="J3632">
        <v>4</v>
      </c>
      <c r="K3632" s="2">
        <v>14.4648</v>
      </c>
      <c r="L3632" s="3">
        <f>(Table1[[#This Row],[Profit]]/Table1[[#This Row],[Sales]])*100</f>
        <v>49</v>
      </c>
    </row>
    <row r="3633" spans="1:12" x14ac:dyDescent="0.3">
      <c r="A3633" t="s">
        <v>1950</v>
      </c>
      <c r="B3633" s="1">
        <v>43648</v>
      </c>
      <c r="C3633" t="s">
        <v>361</v>
      </c>
      <c r="D3633" t="s">
        <v>362</v>
      </c>
      <c r="E3633" t="s">
        <v>14</v>
      </c>
      <c r="F3633" t="s">
        <v>29</v>
      </c>
      <c r="G3633" t="s">
        <v>24</v>
      </c>
      <c r="H3633" t="s">
        <v>1951</v>
      </c>
      <c r="I3633" s="2">
        <v>41.472000000000001</v>
      </c>
      <c r="J3633">
        <v>8</v>
      </c>
      <c r="K3633" s="2">
        <v>14.5152</v>
      </c>
      <c r="L3633" s="3">
        <f>(Table1[[#This Row],[Profit]]/Table1[[#This Row],[Sales]])*100</f>
        <v>35</v>
      </c>
    </row>
    <row r="3634" spans="1:12" x14ac:dyDescent="0.3">
      <c r="A3634" t="s">
        <v>4613</v>
      </c>
      <c r="B3634" s="1">
        <v>43959</v>
      </c>
      <c r="C3634" t="s">
        <v>524</v>
      </c>
      <c r="D3634" t="s">
        <v>525</v>
      </c>
      <c r="E3634" t="s">
        <v>14</v>
      </c>
      <c r="F3634" t="s">
        <v>29</v>
      </c>
      <c r="G3634" t="s">
        <v>24</v>
      </c>
      <c r="H3634" t="s">
        <v>2384</v>
      </c>
      <c r="I3634" s="2">
        <v>163.47200000000001</v>
      </c>
      <c r="J3634">
        <v>8</v>
      </c>
      <c r="K3634" s="2">
        <v>14.5152</v>
      </c>
      <c r="L3634" s="3">
        <f>(Table1[[#This Row],[Profit]]/Table1[[#This Row],[Sales]])*100</f>
        <v>8.8793187824214534</v>
      </c>
    </row>
    <row r="3635" spans="1:12" x14ac:dyDescent="0.3">
      <c r="A3635" t="s">
        <v>5933</v>
      </c>
      <c r="B3635" s="1">
        <v>44153</v>
      </c>
      <c r="C3635" t="s">
        <v>1750</v>
      </c>
      <c r="D3635" t="s">
        <v>1751</v>
      </c>
      <c r="E3635" t="s">
        <v>14</v>
      </c>
      <c r="F3635" t="s">
        <v>41</v>
      </c>
      <c r="G3635" t="s">
        <v>24</v>
      </c>
      <c r="H3635" t="s">
        <v>5939</v>
      </c>
      <c r="I3635" s="2">
        <v>143.47200000000001</v>
      </c>
      <c r="J3635">
        <v>8</v>
      </c>
      <c r="K3635" s="2">
        <v>14.5152</v>
      </c>
      <c r="L3635" s="3">
        <f>(Table1[[#This Row],[Profit]]/Table1[[#This Row],[Sales]])*100</f>
        <v>10.117096018735362</v>
      </c>
    </row>
    <row r="3636" spans="1:12" x14ac:dyDescent="0.3">
      <c r="A3636" t="s">
        <v>4092</v>
      </c>
      <c r="B3636" s="1">
        <v>43860</v>
      </c>
      <c r="C3636" t="s">
        <v>401</v>
      </c>
      <c r="D3636" t="s">
        <v>402</v>
      </c>
      <c r="E3636" t="s">
        <v>14</v>
      </c>
      <c r="F3636" t="s">
        <v>29</v>
      </c>
      <c r="G3636" t="s">
        <v>16</v>
      </c>
      <c r="H3636" t="s">
        <v>929</v>
      </c>
      <c r="I3636" s="2">
        <v>140.58000000000001</v>
      </c>
      <c r="J3636">
        <v>7</v>
      </c>
      <c r="K3636" s="2">
        <v>14.5236</v>
      </c>
      <c r="L3636" s="3">
        <f>(Table1[[#This Row],[Profit]]/Table1[[#This Row],[Sales]])*100</f>
        <v>10.331199317114809</v>
      </c>
    </row>
    <row r="3637" spans="1:12" x14ac:dyDescent="0.3">
      <c r="A3637" t="s">
        <v>1550</v>
      </c>
      <c r="B3637" s="1">
        <v>43614</v>
      </c>
      <c r="C3637" t="s">
        <v>824</v>
      </c>
      <c r="D3637" t="s">
        <v>825</v>
      </c>
      <c r="E3637" t="s">
        <v>14</v>
      </c>
      <c r="F3637" t="s">
        <v>41</v>
      </c>
      <c r="G3637" t="s">
        <v>16</v>
      </c>
      <c r="H3637" t="s">
        <v>1552</v>
      </c>
      <c r="I3637" s="2">
        <v>44.76</v>
      </c>
      <c r="J3637">
        <v>3</v>
      </c>
      <c r="K3637" s="2">
        <v>14.547000000000001</v>
      </c>
      <c r="L3637" s="3">
        <f>(Table1[[#This Row],[Profit]]/Table1[[#This Row],[Sales]])*100</f>
        <v>32.5</v>
      </c>
    </row>
    <row r="3638" spans="1:12" x14ac:dyDescent="0.3">
      <c r="A3638" t="s">
        <v>4335</v>
      </c>
      <c r="B3638" s="1">
        <v>43915</v>
      </c>
      <c r="C3638" t="s">
        <v>2750</v>
      </c>
      <c r="D3638" t="s">
        <v>2751</v>
      </c>
      <c r="E3638" t="s">
        <v>14</v>
      </c>
      <c r="F3638" t="s">
        <v>29</v>
      </c>
      <c r="G3638" t="s">
        <v>16</v>
      </c>
      <c r="H3638" t="s">
        <v>1595</v>
      </c>
      <c r="I3638" s="2">
        <v>140.99</v>
      </c>
      <c r="J3638">
        <v>1</v>
      </c>
      <c r="K3638" s="2">
        <v>14.558400000000001</v>
      </c>
      <c r="L3638" s="3">
        <f>(Table1[[#This Row],[Profit]]/Table1[[#This Row],[Sales]])*100</f>
        <v>10.325838711965387</v>
      </c>
    </row>
    <row r="3639" spans="1:12" x14ac:dyDescent="0.3">
      <c r="A3639" t="s">
        <v>5476</v>
      </c>
      <c r="B3639" s="1">
        <v>44096</v>
      </c>
      <c r="C3639" t="s">
        <v>5477</v>
      </c>
      <c r="D3639" t="s">
        <v>5478</v>
      </c>
      <c r="E3639" t="s">
        <v>14</v>
      </c>
      <c r="F3639" t="s">
        <v>15</v>
      </c>
      <c r="G3639" t="s">
        <v>24</v>
      </c>
      <c r="H3639" t="s">
        <v>2840</v>
      </c>
      <c r="I3639" s="2">
        <v>113.176</v>
      </c>
      <c r="J3639">
        <v>3</v>
      </c>
      <c r="K3639" s="2">
        <v>14.563800000000001</v>
      </c>
      <c r="L3639" s="3">
        <f>(Table1[[#This Row],[Profit]]/Table1[[#This Row],[Sales]])*100</f>
        <v>12.868275959567399</v>
      </c>
    </row>
    <row r="3640" spans="1:12" x14ac:dyDescent="0.3">
      <c r="A3640" t="s">
        <v>2731</v>
      </c>
      <c r="B3640" s="1">
        <v>43720</v>
      </c>
      <c r="C3640" t="s">
        <v>2069</v>
      </c>
      <c r="D3640" t="s">
        <v>2070</v>
      </c>
      <c r="E3640" t="s">
        <v>14</v>
      </c>
      <c r="F3640" t="s">
        <v>15</v>
      </c>
      <c r="G3640" t="s">
        <v>16</v>
      </c>
      <c r="H3640" t="s">
        <v>2732</v>
      </c>
      <c r="I3640" s="2">
        <v>40.479999999999997</v>
      </c>
      <c r="J3640">
        <v>2</v>
      </c>
      <c r="K3640" s="2">
        <v>14.572800000000001</v>
      </c>
      <c r="L3640" s="3">
        <f>(Table1[[#This Row],[Profit]]/Table1[[#This Row],[Sales]])*100</f>
        <v>36.000000000000007</v>
      </c>
    </row>
    <row r="3641" spans="1:12" x14ac:dyDescent="0.3">
      <c r="A3641" t="s">
        <v>3604</v>
      </c>
      <c r="B3641" s="1">
        <v>43796</v>
      </c>
      <c r="C3641" t="s">
        <v>950</v>
      </c>
      <c r="D3641" t="s">
        <v>951</v>
      </c>
      <c r="E3641" t="s">
        <v>14</v>
      </c>
      <c r="F3641" t="s">
        <v>41</v>
      </c>
      <c r="G3641" t="s">
        <v>18</v>
      </c>
      <c r="H3641" t="s">
        <v>2741</v>
      </c>
      <c r="I3641" s="2">
        <v>116.76</v>
      </c>
      <c r="J3641">
        <v>1</v>
      </c>
      <c r="K3641" s="2">
        <v>14.595000000000001</v>
      </c>
      <c r="L3641" s="3">
        <f>(Table1[[#This Row],[Profit]]/Table1[[#This Row],[Sales]])*100</f>
        <v>12.5</v>
      </c>
    </row>
    <row r="3642" spans="1:12" x14ac:dyDescent="0.3">
      <c r="A3642" t="s">
        <v>5348</v>
      </c>
      <c r="B3642" s="1">
        <v>44084</v>
      </c>
      <c r="C3642" t="s">
        <v>1559</v>
      </c>
      <c r="D3642" t="s">
        <v>1560</v>
      </c>
      <c r="E3642" t="s">
        <v>14</v>
      </c>
      <c r="F3642" t="s">
        <v>29</v>
      </c>
      <c r="G3642" t="s">
        <v>24</v>
      </c>
      <c r="H3642" t="s">
        <v>4130</v>
      </c>
      <c r="I3642" s="2">
        <v>147.99</v>
      </c>
      <c r="J3642">
        <v>3</v>
      </c>
      <c r="K3642" s="2">
        <v>14.6157</v>
      </c>
      <c r="L3642" s="3">
        <f>(Table1[[#This Row],[Profit]]/Table1[[#This Row],[Sales]])*100</f>
        <v>9.8761402797486308</v>
      </c>
    </row>
    <row r="3643" spans="1:12" x14ac:dyDescent="0.3">
      <c r="A3643" t="s">
        <v>2927</v>
      </c>
      <c r="B3643" s="1">
        <v>43734</v>
      </c>
      <c r="C3643" t="s">
        <v>1371</v>
      </c>
      <c r="D3643" t="s">
        <v>1372</v>
      </c>
      <c r="E3643" t="s">
        <v>14</v>
      </c>
      <c r="F3643" t="s">
        <v>23</v>
      </c>
      <c r="G3643" t="s">
        <v>24</v>
      </c>
      <c r="H3643" t="s">
        <v>1414</v>
      </c>
      <c r="I3643" s="2">
        <v>29.9</v>
      </c>
      <c r="J3643">
        <v>5</v>
      </c>
      <c r="K3643" s="2">
        <v>14.651</v>
      </c>
      <c r="L3643" s="3">
        <f>(Table1[[#This Row],[Profit]]/Table1[[#This Row],[Sales]])*100</f>
        <v>49</v>
      </c>
    </row>
    <row r="3644" spans="1:12" x14ac:dyDescent="0.3">
      <c r="A3644" t="s">
        <v>5774</v>
      </c>
      <c r="B3644" s="1">
        <v>44139</v>
      </c>
      <c r="C3644" t="s">
        <v>5775</v>
      </c>
      <c r="D3644" t="s">
        <v>5776</v>
      </c>
      <c r="E3644" t="s">
        <v>14</v>
      </c>
      <c r="F3644" t="s">
        <v>41</v>
      </c>
      <c r="G3644" t="s">
        <v>24</v>
      </c>
      <c r="H3644" t="s">
        <v>2518</v>
      </c>
      <c r="I3644" s="2">
        <v>198.44</v>
      </c>
      <c r="J3644">
        <v>2</v>
      </c>
      <c r="K3644" s="2">
        <v>14.651</v>
      </c>
      <c r="L3644" s="3">
        <f>(Table1[[#This Row],[Profit]]/Table1[[#This Row],[Sales]])*100</f>
        <v>7.3830880870792175</v>
      </c>
    </row>
    <row r="3645" spans="1:12" x14ac:dyDescent="0.3">
      <c r="A3645" t="s">
        <v>2675</v>
      </c>
      <c r="B3645" s="1">
        <v>43716</v>
      </c>
      <c r="C3645" t="s">
        <v>2327</v>
      </c>
      <c r="D3645" t="s">
        <v>2328</v>
      </c>
      <c r="E3645" t="s">
        <v>14</v>
      </c>
      <c r="F3645" t="s">
        <v>23</v>
      </c>
      <c r="G3645" t="s">
        <v>16</v>
      </c>
      <c r="H3645" t="s">
        <v>1974</v>
      </c>
      <c r="I3645" s="2">
        <v>43.13</v>
      </c>
      <c r="J3645">
        <v>1</v>
      </c>
      <c r="K3645" s="2">
        <v>14.664199999999999</v>
      </c>
      <c r="L3645" s="3">
        <f>(Table1[[#This Row],[Profit]]/Table1[[#This Row],[Sales]])*100</f>
        <v>34</v>
      </c>
    </row>
    <row r="3646" spans="1:12" x14ac:dyDescent="0.3">
      <c r="A3646" t="s">
        <v>379</v>
      </c>
      <c r="B3646" s="1">
        <v>43515</v>
      </c>
      <c r="C3646" t="s">
        <v>380</v>
      </c>
      <c r="D3646" t="s">
        <v>381</v>
      </c>
      <c r="E3646" t="s">
        <v>14</v>
      </c>
      <c r="F3646" t="s">
        <v>15</v>
      </c>
      <c r="G3646" t="s">
        <v>16</v>
      </c>
      <c r="H3646" t="s">
        <v>382</v>
      </c>
      <c r="I3646" s="2">
        <v>44.46</v>
      </c>
      <c r="J3646">
        <v>2</v>
      </c>
      <c r="K3646" s="2">
        <v>14.671799999999999</v>
      </c>
      <c r="L3646" s="3">
        <f>(Table1[[#This Row],[Profit]]/Table1[[#This Row],[Sales]])*100</f>
        <v>32.999999999999993</v>
      </c>
    </row>
    <row r="3647" spans="1:12" x14ac:dyDescent="0.3">
      <c r="A3647" t="s">
        <v>248</v>
      </c>
      <c r="B3647" s="1">
        <v>43497</v>
      </c>
      <c r="C3647" t="s">
        <v>249</v>
      </c>
      <c r="D3647" t="s">
        <v>250</v>
      </c>
      <c r="E3647" t="s">
        <v>14</v>
      </c>
      <c r="F3647" t="s">
        <v>41</v>
      </c>
      <c r="G3647" t="s">
        <v>24</v>
      </c>
      <c r="H3647" t="s">
        <v>251</v>
      </c>
      <c r="I3647" s="2">
        <v>56.45</v>
      </c>
      <c r="J3647">
        <v>5</v>
      </c>
      <c r="K3647" s="2">
        <v>14.677</v>
      </c>
      <c r="L3647" s="3">
        <f>(Table1[[#This Row],[Profit]]/Table1[[#This Row],[Sales]])*100</f>
        <v>25.999999999999996</v>
      </c>
    </row>
    <row r="3648" spans="1:12" x14ac:dyDescent="0.3">
      <c r="A3648" t="s">
        <v>5333</v>
      </c>
      <c r="B3648" s="1">
        <v>44083</v>
      </c>
      <c r="C3648" t="s">
        <v>3451</v>
      </c>
      <c r="D3648" t="s">
        <v>3452</v>
      </c>
      <c r="E3648" t="s">
        <v>14</v>
      </c>
      <c r="F3648" t="s">
        <v>41</v>
      </c>
      <c r="G3648" t="s">
        <v>24</v>
      </c>
      <c r="H3648" t="s">
        <v>251</v>
      </c>
      <c r="I3648" s="2">
        <v>101.45</v>
      </c>
      <c r="J3648">
        <v>5</v>
      </c>
      <c r="K3648" s="2">
        <v>14.677</v>
      </c>
      <c r="L3648" s="3">
        <f>(Table1[[#This Row],[Profit]]/Table1[[#This Row],[Sales]])*100</f>
        <v>14.467225234105468</v>
      </c>
    </row>
    <row r="3649" spans="1:12" x14ac:dyDescent="0.3">
      <c r="A3649" t="s">
        <v>3082</v>
      </c>
      <c r="B3649" s="1">
        <v>43752</v>
      </c>
      <c r="C3649" t="s">
        <v>3083</v>
      </c>
      <c r="D3649" t="s">
        <v>3084</v>
      </c>
      <c r="E3649" t="s">
        <v>14</v>
      </c>
      <c r="F3649" t="s">
        <v>41</v>
      </c>
      <c r="G3649" t="s">
        <v>24</v>
      </c>
      <c r="H3649" t="s">
        <v>3087</v>
      </c>
      <c r="I3649" s="2">
        <v>39.152000000000001</v>
      </c>
      <c r="J3649">
        <v>1</v>
      </c>
      <c r="K3649" s="2">
        <v>14.682</v>
      </c>
      <c r="L3649" s="3">
        <f>(Table1[[#This Row],[Profit]]/Table1[[#This Row],[Sales]])*100</f>
        <v>37.5</v>
      </c>
    </row>
    <row r="3650" spans="1:12" x14ac:dyDescent="0.3">
      <c r="A3650" t="s">
        <v>6020</v>
      </c>
      <c r="B3650" s="1">
        <v>44161</v>
      </c>
      <c r="C3650" t="s">
        <v>4994</v>
      </c>
      <c r="D3650" t="s">
        <v>4995</v>
      </c>
      <c r="E3650" t="s">
        <v>14</v>
      </c>
      <c r="F3650" t="s">
        <v>15</v>
      </c>
      <c r="G3650" t="s">
        <v>24</v>
      </c>
      <c r="H3650" t="s">
        <v>4426</v>
      </c>
      <c r="I3650" s="2">
        <v>142.72999999999999</v>
      </c>
      <c r="J3650">
        <v>7</v>
      </c>
      <c r="K3650" s="2">
        <v>14.682499999999999</v>
      </c>
      <c r="L3650" s="3">
        <f>(Table1[[#This Row],[Profit]]/Table1[[#This Row],[Sales]])*100</f>
        <v>10.286905345757724</v>
      </c>
    </row>
    <row r="3651" spans="1:12" x14ac:dyDescent="0.3">
      <c r="A3651" t="s">
        <v>752</v>
      </c>
      <c r="B3651" s="1">
        <v>43546</v>
      </c>
      <c r="C3651" t="s">
        <v>160</v>
      </c>
      <c r="D3651" t="s">
        <v>161</v>
      </c>
      <c r="E3651" t="s">
        <v>14</v>
      </c>
      <c r="F3651" t="s">
        <v>23</v>
      </c>
      <c r="G3651" t="s">
        <v>16</v>
      </c>
      <c r="H3651" t="s">
        <v>364</v>
      </c>
      <c r="I3651" s="2">
        <v>167.88800000000001</v>
      </c>
      <c r="J3651">
        <v>7</v>
      </c>
      <c r="K3651" s="2">
        <v>14.690200000000001</v>
      </c>
      <c r="L3651" s="3">
        <f>(Table1[[#This Row],[Profit]]/Table1[[#This Row],[Sales]])*100</f>
        <v>8.75</v>
      </c>
    </row>
    <row r="3652" spans="1:12" x14ac:dyDescent="0.3">
      <c r="A3652" t="s">
        <v>4717</v>
      </c>
      <c r="B3652" s="1">
        <v>43978</v>
      </c>
      <c r="C3652" t="s">
        <v>2167</v>
      </c>
      <c r="D3652" t="s">
        <v>2168</v>
      </c>
      <c r="E3652" t="s">
        <v>14</v>
      </c>
      <c r="F3652" t="s">
        <v>23</v>
      </c>
      <c r="G3652" t="s">
        <v>16</v>
      </c>
      <c r="H3652" t="s">
        <v>2883</v>
      </c>
      <c r="I3652" s="2">
        <v>138</v>
      </c>
      <c r="J3652">
        <v>4</v>
      </c>
      <c r="K3652" s="2">
        <v>14.7</v>
      </c>
      <c r="L3652" s="3">
        <f>(Table1[[#This Row],[Profit]]/Table1[[#This Row],[Sales]])*100</f>
        <v>10.652173913043478</v>
      </c>
    </row>
    <row r="3653" spans="1:12" x14ac:dyDescent="0.3">
      <c r="A3653" t="s">
        <v>5692</v>
      </c>
      <c r="B3653" s="1">
        <v>44127</v>
      </c>
      <c r="C3653" t="s">
        <v>1883</v>
      </c>
      <c r="D3653" t="s">
        <v>1884</v>
      </c>
      <c r="E3653" t="s">
        <v>14</v>
      </c>
      <c r="F3653" t="s">
        <v>15</v>
      </c>
      <c r="G3653" t="s">
        <v>16</v>
      </c>
      <c r="H3653" t="s">
        <v>2883</v>
      </c>
      <c r="I3653" s="2">
        <v>136</v>
      </c>
      <c r="J3653">
        <v>4</v>
      </c>
      <c r="K3653" s="2">
        <v>14.7</v>
      </c>
      <c r="L3653" s="3">
        <f>(Table1[[#This Row],[Profit]]/Table1[[#This Row],[Sales]])*100</f>
        <v>10.808823529411764</v>
      </c>
    </row>
    <row r="3654" spans="1:12" x14ac:dyDescent="0.3">
      <c r="A3654" t="s">
        <v>5661</v>
      </c>
      <c r="B3654" s="1">
        <v>44123</v>
      </c>
      <c r="C3654" t="s">
        <v>3051</v>
      </c>
      <c r="D3654" t="s">
        <v>3052</v>
      </c>
      <c r="E3654" t="s">
        <v>14</v>
      </c>
      <c r="F3654" t="s">
        <v>15</v>
      </c>
      <c r="G3654" t="s">
        <v>16</v>
      </c>
      <c r="H3654" t="s">
        <v>635</v>
      </c>
      <c r="I3654" s="2">
        <v>157.56</v>
      </c>
      <c r="J3654">
        <v>4</v>
      </c>
      <c r="K3654" s="2">
        <v>14.7056</v>
      </c>
      <c r="L3654" s="3">
        <f>(Table1[[#This Row],[Profit]]/Table1[[#This Row],[Sales]])*100</f>
        <v>9.3333333333333339</v>
      </c>
    </row>
    <row r="3655" spans="1:12" x14ac:dyDescent="0.3">
      <c r="A3655" t="s">
        <v>6248</v>
      </c>
      <c r="B3655" s="1">
        <v>44188</v>
      </c>
      <c r="C3655" t="s">
        <v>6249</v>
      </c>
      <c r="D3655" t="s">
        <v>6250</v>
      </c>
      <c r="E3655" t="s">
        <v>14</v>
      </c>
      <c r="F3655" t="s">
        <v>41</v>
      </c>
      <c r="G3655" t="s">
        <v>24</v>
      </c>
      <c r="H3655" t="s">
        <v>772</v>
      </c>
      <c r="I3655" s="2">
        <v>749.96</v>
      </c>
      <c r="J3655">
        <v>4</v>
      </c>
      <c r="K3655" s="2">
        <v>14.718400000000001</v>
      </c>
      <c r="L3655" s="3">
        <f>(Table1[[#This Row],[Profit]]/Table1[[#This Row],[Sales]])*100</f>
        <v>1.9625580030934984</v>
      </c>
    </row>
    <row r="3656" spans="1:12" x14ac:dyDescent="0.3">
      <c r="A3656" t="s">
        <v>3879</v>
      </c>
      <c r="B3656" s="1">
        <v>43822</v>
      </c>
      <c r="C3656" t="s">
        <v>75</v>
      </c>
      <c r="D3656" t="s">
        <v>76</v>
      </c>
      <c r="E3656" t="s">
        <v>14</v>
      </c>
      <c r="F3656" t="s">
        <v>29</v>
      </c>
      <c r="G3656" t="s">
        <v>24</v>
      </c>
      <c r="H3656" t="s">
        <v>1985</v>
      </c>
      <c r="I3656" s="2">
        <v>45.36</v>
      </c>
      <c r="J3656">
        <v>9</v>
      </c>
      <c r="K3656" s="2">
        <v>14.742000000000001</v>
      </c>
      <c r="L3656" s="3">
        <f>(Table1[[#This Row],[Profit]]/Table1[[#This Row],[Sales]])*100</f>
        <v>32.5</v>
      </c>
    </row>
    <row r="3657" spans="1:12" x14ac:dyDescent="0.3">
      <c r="A3657" t="s">
        <v>4016</v>
      </c>
      <c r="B3657" s="1">
        <v>43844</v>
      </c>
      <c r="C3657" t="s">
        <v>3002</v>
      </c>
      <c r="D3657" t="s">
        <v>3003</v>
      </c>
      <c r="E3657" t="s">
        <v>14</v>
      </c>
      <c r="F3657" t="s">
        <v>23</v>
      </c>
      <c r="G3657" t="s">
        <v>24</v>
      </c>
      <c r="H3657" t="s">
        <v>1841</v>
      </c>
      <c r="I3657" s="2">
        <v>217.624</v>
      </c>
      <c r="J3657">
        <v>9</v>
      </c>
      <c r="K3657" s="2">
        <v>14.7546</v>
      </c>
      <c r="L3657" s="3">
        <f>(Table1[[#This Row],[Profit]]/Table1[[#This Row],[Sales]])*100</f>
        <v>6.7798588390986296</v>
      </c>
    </row>
    <row r="3658" spans="1:12" x14ac:dyDescent="0.3">
      <c r="A3658" t="s">
        <v>4192</v>
      </c>
      <c r="B3658" s="1">
        <v>43892</v>
      </c>
      <c r="C3658" t="s">
        <v>1554</v>
      </c>
      <c r="D3658" t="s">
        <v>1555</v>
      </c>
      <c r="E3658" t="s">
        <v>14</v>
      </c>
      <c r="F3658" t="s">
        <v>23</v>
      </c>
      <c r="G3658" t="s">
        <v>18</v>
      </c>
      <c r="H3658" t="s">
        <v>4193</v>
      </c>
      <c r="I3658" s="2">
        <v>214.77600000000001</v>
      </c>
      <c r="J3658">
        <v>3</v>
      </c>
      <c r="K3658" s="2">
        <v>14.7582</v>
      </c>
      <c r="L3658" s="3">
        <f>(Table1[[#This Row],[Profit]]/Table1[[#This Row],[Sales]])*100</f>
        <v>6.8714381495139119</v>
      </c>
    </row>
    <row r="3659" spans="1:12" x14ac:dyDescent="0.3">
      <c r="A3659" t="s">
        <v>6188</v>
      </c>
      <c r="B3659" s="1">
        <v>44180</v>
      </c>
      <c r="C3659" t="s">
        <v>2201</v>
      </c>
      <c r="D3659" t="s">
        <v>2202</v>
      </c>
      <c r="E3659" t="s">
        <v>14</v>
      </c>
      <c r="F3659" t="s">
        <v>23</v>
      </c>
      <c r="G3659" t="s">
        <v>18</v>
      </c>
      <c r="H3659" t="s">
        <v>4193</v>
      </c>
      <c r="I3659" s="2">
        <v>1425.7760000000001</v>
      </c>
      <c r="J3659">
        <v>3</v>
      </c>
      <c r="K3659" s="2">
        <v>14.7582</v>
      </c>
      <c r="L3659" s="3">
        <f>(Table1[[#This Row],[Profit]]/Table1[[#This Row],[Sales]])*100</f>
        <v>1.035099482667684</v>
      </c>
    </row>
    <row r="3660" spans="1:12" x14ac:dyDescent="0.3">
      <c r="A3660" t="s">
        <v>4749</v>
      </c>
      <c r="B3660" s="1">
        <v>43983</v>
      </c>
      <c r="C3660" t="s">
        <v>2359</v>
      </c>
      <c r="D3660" t="s">
        <v>2360</v>
      </c>
      <c r="E3660" t="s">
        <v>14</v>
      </c>
      <c r="F3660" t="s">
        <v>29</v>
      </c>
      <c r="G3660" t="s">
        <v>18</v>
      </c>
      <c r="H3660" t="s">
        <v>51</v>
      </c>
      <c r="I3660" s="2">
        <v>143.88999999999999</v>
      </c>
      <c r="J3660">
        <v>1</v>
      </c>
      <c r="K3660" s="2">
        <v>14.7593</v>
      </c>
      <c r="L3660" s="3">
        <f>(Table1[[#This Row],[Profit]]/Table1[[#This Row],[Sales]])*100</f>
        <v>10.257349364097575</v>
      </c>
    </row>
    <row r="3661" spans="1:12" x14ac:dyDescent="0.3">
      <c r="A3661" t="s">
        <v>5978</v>
      </c>
      <c r="B3661" s="1">
        <v>44156</v>
      </c>
      <c r="C3661" t="s">
        <v>1239</v>
      </c>
      <c r="D3661" t="s">
        <v>1240</v>
      </c>
      <c r="E3661" t="s">
        <v>14</v>
      </c>
      <c r="F3661" t="s">
        <v>23</v>
      </c>
      <c r="G3661" t="s">
        <v>24</v>
      </c>
      <c r="H3661" t="s">
        <v>3201</v>
      </c>
      <c r="I3661" s="2">
        <v>129.73599999999999</v>
      </c>
      <c r="J3661">
        <v>2</v>
      </c>
      <c r="K3661" s="2">
        <v>14.7668</v>
      </c>
      <c r="L3661" s="3">
        <f>(Table1[[#This Row],[Profit]]/Table1[[#This Row],[Sales]])*100</f>
        <v>11.382191527409509</v>
      </c>
    </row>
    <row r="3662" spans="1:12" x14ac:dyDescent="0.3">
      <c r="A3662" t="s">
        <v>2920</v>
      </c>
      <c r="B3662" s="1">
        <v>43733</v>
      </c>
      <c r="C3662" t="s">
        <v>431</v>
      </c>
      <c r="D3662" t="s">
        <v>432</v>
      </c>
      <c r="E3662" t="s">
        <v>14</v>
      </c>
      <c r="F3662" t="s">
        <v>23</v>
      </c>
      <c r="G3662" t="s">
        <v>24</v>
      </c>
      <c r="H3662" t="s">
        <v>1282</v>
      </c>
      <c r="I3662" s="2">
        <v>29.6</v>
      </c>
      <c r="J3662">
        <v>2</v>
      </c>
      <c r="K3662" s="2">
        <v>14.8</v>
      </c>
      <c r="L3662" s="3">
        <f>(Table1[[#This Row],[Profit]]/Table1[[#This Row],[Sales]])*100</f>
        <v>50</v>
      </c>
    </row>
    <row r="3663" spans="1:12" x14ac:dyDescent="0.3">
      <c r="A3663" t="s">
        <v>4797</v>
      </c>
      <c r="B3663" s="1">
        <v>43992</v>
      </c>
      <c r="C3663" t="s">
        <v>2295</v>
      </c>
      <c r="D3663" t="s">
        <v>2296</v>
      </c>
      <c r="E3663" t="s">
        <v>14</v>
      </c>
      <c r="F3663" t="s">
        <v>23</v>
      </c>
      <c r="G3663" t="s">
        <v>24</v>
      </c>
      <c r="H3663" t="s">
        <v>1282</v>
      </c>
      <c r="I3663" s="2">
        <v>111.6</v>
      </c>
      <c r="J3663">
        <v>2</v>
      </c>
      <c r="K3663" s="2">
        <v>14.8</v>
      </c>
      <c r="L3663" s="3">
        <f>(Table1[[#This Row],[Profit]]/Table1[[#This Row],[Sales]])*100</f>
        <v>13.261648745519713</v>
      </c>
    </row>
    <row r="3664" spans="1:12" x14ac:dyDescent="0.3">
      <c r="A3664" t="s">
        <v>3879</v>
      </c>
      <c r="B3664" s="1">
        <v>43822</v>
      </c>
      <c r="C3664" t="s">
        <v>75</v>
      </c>
      <c r="D3664" t="s">
        <v>76</v>
      </c>
      <c r="E3664" t="s">
        <v>14</v>
      </c>
      <c r="F3664" t="s">
        <v>29</v>
      </c>
      <c r="G3664" t="s">
        <v>18</v>
      </c>
      <c r="H3664" t="s">
        <v>3881</v>
      </c>
      <c r="I3664" s="2">
        <v>131.88</v>
      </c>
      <c r="J3664">
        <v>3</v>
      </c>
      <c r="K3664" s="2">
        <v>14.836499999999999</v>
      </c>
      <c r="L3664" s="3">
        <f>(Table1[[#This Row],[Profit]]/Table1[[#This Row],[Sales]])*100</f>
        <v>11.25</v>
      </c>
    </row>
    <row r="3665" spans="1:12" x14ac:dyDescent="0.3">
      <c r="A3665" t="s">
        <v>2445</v>
      </c>
      <c r="B3665" s="1">
        <v>43703</v>
      </c>
      <c r="C3665" t="s">
        <v>2446</v>
      </c>
      <c r="D3665" t="s">
        <v>2447</v>
      </c>
      <c r="E3665" t="s">
        <v>14</v>
      </c>
      <c r="F3665" t="s">
        <v>29</v>
      </c>
      <c r="G3665" t="s">
        <v>18</v>
      </c>
      <c r="H3665" t="s">
        <v>2448</v>
      </c>
      <c r="I3665" s="2">
        <v>47.97</v>
      </c>
      <c r="J3665">
        <v>3</v>
      </c>
      <c r="K3665" s="2">
        <v>14.870699999999999</v>
      </c>
      <c r="L3665" s="3">
        <f>(Table1[[#This Row],[Profit]]/Table1[[#This Row],[Sales]])*100</f>
        <v>31</v>
      </c>
    </row>
    <row r="3666" spans="1:12" x14ac:dyDescent="0.3">
      <c r="A3666" t="s">
        <v>2002</v>
      </c>
      <c r="B3666" s="1">
        <v>43655</v>
      </c>
      <c r="C3666" t="s">
        <v>197</v>
      </c>
      <c r="D3666" t="s">
        <v>198</v>
      </c>
      <c r="E3666" t="s">
        <v>14</v>
      </c>
      <c r="F3666" t="s">
        <v>15</v>
      </c>
      <c r="G3666" t="s">
        <v>16</v>
      </c>
      <c r="H3666" t="s">
        <v>307</v>
      </c>
      <c r="I3666" s="2">
        <v>165.28</v>
      </c>
      <c r="J3666">
        <v>4</v>
      </c>
      <c r="K3666" s="2">
        <v>14.8752</v>
      </c>
      <c r="L3666" s="3">
        <f>(Table1[[#This Row],[Profit]]/Table1[[#This Row],[Sales]])*100</f>
        <v>9</v>
      </c>
    </row>
    <row r="3667" spans="1:12" x14ac:dyDescent="0.3">
      <c r="A3667" t="s">
        <v>1418</v>
      </c>
      <c r="B3667" s="1">
        <v>43604</v>
      </c>
      <c r="C3667" t="s">
        <v>1419</v>
      </c>
      <c r="D3667" t="s">
        <v>1420</v>
      </c>
      <c r="E3667" t="s">
        <v>14</v>
      </c>
      <c r="F3667" t="s">
        <v>15</v>
      </c>
      <c r="G3667" t="s">
        <v>24</v>
      </c>
      <c r="H3667" t="s">
        <v>1423</v>
      </c>
      <c r="I3667" s="2">
        <v>47.744</v>
      </c>
      <c r="J3667">
        <v>4</v>
      </c>
      <c r="K3667" s="2">
        <v>14.92</v>
      </c>
      <c r="L3667" s="3">
        <f>(Table1[[#This Row],[Profit]]/Table1[[#This Row],[Sales]])*100</f>
        <v>31.25</v>
      </c>
    </row>
    <row r="3668" spans="1:12" x14ac:dyDescent="0.3">
      <c r="A3668" t="s">
        <v>604</v>
      </c>
      <c r="B3668" s="1">
        <v>43536</v>
      </c>
      <c r="C3668" t="s">
        <v>605</v>
      </c>
      <c r="D3668" t="s">
        <v>606</v>
      </c>
      <c r="E3668" t="s">
        <v>14</v>
      </c>
      <c r="F3668" t="s">
        <v>23</v>
      </c>
      <c r="G3668" t="s">
        <v>24</v>
      </c>
      <c r="H3668" t="s">
        <v>609</v>
      </c>
      <c r="I3668" s="2">
        <v>30.56</v>
      </c>
      <c r="J3668">
        <v>4</v>
      </c>
      <c r="K3668" s="2">
        <v>14.974399999999999</v>
      </c>
      <c r="L3668" s="3">
        <f>(Table1[[#This Row],[Profit]]/Table1[[#This Row],[Sales]])*100</f>
        <v>49</v>
      </c>
    </row>
    <row r="3669" spans="1:12" x14ac:dyDescent="0.3">
      <c r="A3669" t="s">
        <v>4559</v>
      </c>
      <c r="B3669" s="1">
        <v>43951</v>
      </c>
      <c r="C3669" t="s">
        <v>2435</v>
      </c>
      <c r="D3669" t="s">
        <v>2436</v>
      </c>
      <c r="E3669" t="s">
        <v>14</v>
      </c>
      <c r="F3669" t="s">
        <v>23</v>
      </c>
      <c r="G3669" t="s">
        <v>24</v>
      </c>
      <c r="H3669" t="s">
        <v>3651</v>
      </c>
      <c r="I3669" s="2">
        <v>94.56</v>
      </c>
      <c r="J3669">
        <v>4</v>
      </c>
      <c r="K3669" s="2">
        <v>14.974399999999999</v>
      </c>
      <c r="L3669" s="3">
        <f>(Table1[[#This Row],[Profit]]/Table1[[#This Row],[Sales]])*100</f>
        <v>15.83587140439932</v>
      </c>
    </row>
    <row r="3670" spans="1:12" x14ac:dyDescent="0.3">
      <c r="A3670" t="s">
        <v>799</v>
      </c>
      <c r="B3670" s="1">
        <v>43553</v>
      </c>
      <c r="C3670" t="s">
        <v>800</v>
      </c>
      <c r="D3670" t="s">
        <v>801</v>
      </c>
      <c r="E3670" t="s">
        <v>14</v>
      </c>
      <c r="F3670" t="s">
        <v>15</v>
      </c>
      <c r="G3670" t="s">
        <v>24</v>
      </c>
      <c r="H3670" t="s">
        <v>805</v>
      </c>
      <c r="I3670" s="2">
        <v>41.328000000000003</v>
      </c>
      <c r="J3670">
        <v>7</v>
      </c>
      <c r="K3670" s="2">
        <v>14.981400000000001</v>
      </c>
      <c r="L3670" s="3">
        <f>(Table1[[#This Row],[Profit]]/Table1[[#This Row],[Sales]])*100</f>
        <v>36.25</v>
      </c>
    </row>
    <row r="3671" spans="1:12" x14ac:dyDescent="0.3">
      <c r="A3671" t="s">
        <v>3370</v>
      </c>
      <c r="B3671" s="1">
        <v>43780</v>
      </c>
      <c r="C3671" t="s">
        <v>569</v>
      </c>
      <c r="D3671" t="s">
        <v>570</v>
      </c>
      <c r="E3671" t="s">
        <v>14</v>
      </c>
      <c r="F3671" t="s">
        <v>15</v>
      </c>
      <c r="G3671" t="s">
        <v>18</v>
      </c>
      <c r="H3671" t="s">
        <v>3371</v>
      </c>
      <c r="I3671" s="2">
        <v>59.97</v>
      </c>
      <c r="J3671">
        <v>3</v>
      </c>
      <c r="K3671" s="2">
        <v>14.9925</v>
      </c>
      <c r="L3671" s="3">
        <f>(Table1[[#This Row],[Profit]]/Table1[[#This Row],[Sales]])*100</f>
        <v>25</v>
      </c>
    </row>
    <row r="3672" spans="1:12" x14ac:dyDescent="0.3">
      <c r="A3672" t="s">
        <v>3593</v>
      </c>
      <c r="B3672" s="1">
        <v>43795</v>
      </c>
      <c r="C3672" t="s">
        <v>3098</v>
      </c>
      <c r="D3672" t="s">
        <v>3099</v>
      </c>
      <c r="E3672" t="s">
        <v>14</v>
      </c>
      <c r="F3672" t="s">
        <v>15</v>
      </c>
      <c r="G3672" t="s">
        <v>18</v>
      </c>
      <c r="H3672" t="s">
        <v>3371</v>
      </c>
      <c r="I3672" s="2">
        <v>59.97</v>
      </c>
      <c r="J3672">
        <v>3</v>
      </c>
      <c r="K3672" s="2">
        <v>14.9925</v>
      </c>
      <c r="L3672" s="3">
        <f>(Table1[[#This Row],[Profit]]/Table1[[#This Row],[Sales]])*100</f>
        <v>25</v>
      </c>
    </row>
    <row r="3673" spans="1:12" x14ac:dyDescent="0.3">
      <c r="A3673" t="s">
        <v>4870</v>
      </c>
      <c r="B3673" s="1">
        <v>44002</v>
      </c>
      <c r="C3673" t="s">
        <v>3175</v>
      </c>
      <c r="D3673" t="s">
        <v>3176</v>
      </c>
      <c r="E3673" t="s">
        <v>14</v>
      </c>
      <c r="F3673" t="s">
        <v>15</v>
      </c>
      <c r="G3673" t="s">
        <v>18</v>
      </c>
      <c r="H3673" t="s">
        <v>4075</v>
      </c>
      <c r="I3673" s="2">
        <v>163.95</v>
      </c>
      <c r="J3673">
        <v>5</v>
      </c>
      <c r="K3673" s="2">
        <v>14.994999999999999</v>
      </c>
      <c r="L3673" s="3">
        <f>(Table1[[#This Row],[Profit]]/Table1[[#This Row],[Sales]])*100</f>
        <v>9.1460811222933831</v>
      </c>
    </row>
    <row r="3674" spans="1:12" x14ac:dyDescent="0.3">
      <c r="A3674" t="s">
        <v>4804</v>
      </c>
      <c r="B3674" s="1">
        <v>43992</v>
      </c>
      <c r="C3674" t="s">
        <v>3654</v>
      </c>
      <c r="D3674" t="s">
        <v>3655</v>
      </c>
      <c r="E3674" t="s">
        <v>14</v>
      </c>
      <c r="F3674" t="s">
        <v>15</v>
      </c>
      <c r="G3674" t="s">
        <v>24</v>
      </c>
      <c r="H3674" t="s">
        <v>2890</v>
      </c>
      <c r="I3674" s="2">
        <v>152.03200000000001</v>
      </c>
      <c r="J3674">
        <v>6</v>
      </c>
      <c r="K3674" s="2">
        <v>15.012</v>
      </c>
      <c r="L3674" s="3">
        <f>(Table1[[#This Row],[Profit]]/Table1[[#This Row],[Sales]])*100</f>
        <v>9.8742370027362654</v>
      </c>
    </row>
    <row r="3675" spans="1:12" x14ac:dyDescent="0.3">
      <c r="A3675" t="s">
        <v>1418</v>
      </c>
      <c r="B3675" s="1">
        <v>43604</v>
      </c>
      <c r="C3675" t="s">
        <v>1419</v>
      </c>
      <c r="D3675" t="s">
        <v>1420</v>
      </c>
      <c r="E3675" t="s">
        <v>14</v>
      </c>
      <c r="F3675" t="s">
        <v>15</v>
      </c>
      <c r="G3675" t="s">
        <v>16</v>
      </c>
      <c r="H3675" t="s">
        <v>277</v>
      </c>
      <c r="I3675" s="2">
        <v>35.92</v>
      </c>
      <c r="J3675">
        <v>4</v>
      </c>
      <c r="K3675" s="2">
        <v>15.086399999999999</v>
      </c>
      <c r="L3675" s="3">
        <f>(Table1[[#This Row],[Profit]]/Table1[[#This Row],[Sales]])*100</f>
        <v>42</v>
      </c>
    </row>
    <row r="3676" spans="1:12" x14ac:dyDescent="0.3">
      <c r="A3676" t="s">
        <v>196</v>
      </c>
      <c r="B3676" s="1">
        <v>43490</v>
      </c>
      <c r="C3676" t="s">
        <v>197</v>
      </c>
      <c r="D3676" t="s">
        <v>198</v>
      </c>
      <c r="E3676" t="s">
        <v>14</v>
      </c>
      <c r="F3676" t="s">
        <v>15</v>
      </c>
      <c r="G3676" t="s">
        <v>24</v>
      </c>
      <c r="H3676" t="s">
        <v>199</v>
      </c>
      <c r="I3676" s="2">
        <v>43.12</v>
      </c>
      <c r="J3676">
        <v>5</v>
      </c>
      <c r="K3676" s="2">
        <v>15.092000000000001</v>
      </c>
      <c r="L3676" s="3">
        <f>(Table1[[#This Row],[Profit]]/Table1[[#This Row],[Sales]])*100</f>
        <v>35</v>
      </c>
    </row>
    <row r="3677" spans="1:12" x14ac:dyDescent="0.3">
      <c r="A3677" t="s">
        <v>3917</v>
      </c>
      <c r="B3677" s="1">
        <v>43825</v>
      </c>
      <c r="C3677" t="s">
        <v>599</v>
      </c>
      <c r="D3677" t="s">
        <v>600</v>
      </c>
      <c r="E3677" t="s">
        <v>14</v>
      </c>
      <c r="F3677" t="s">
        <v>23</v>
      </c>
      <c r="G3677" t="s">
        <v>24</v>
      </c>
      <c r="H3677" t="s">
        <v>3922</v>
      </c>
      <c r="I3677" s="2">
        <v>53.97</v>
      </c>
      <c r="J3677">
        <v>3</v>
      </c>
      <c r="K3677" s="2">
        <v>15.111599999999999</v>
      </c>
      <c r="L3677" s="3">
        <f>(Table1[[#This Row],[Profit]]/Table1[[#This Row],[Sales]])*100</f>
        <v>27.999999999999996</v>
      </c>
    </row>
    <row r="3678" spans="1:12" x14ac:dyDescent="0.3">
      <c r="A3678" t="s">
        <v>5287</v>
      </c>
      <c r="B3678" s="1">
        <v>44078</v>
      </c>
      <c r="C3678" t="s">
        <v>5265</v>
      </c>
      <c r="D3678" t="s">
        <v>5266</v>
      </c>
      <c r="E3678" t="s">
        <v>14</v>
      </c>
      <c r="F3678" t="s">
        <v>23</v>
      </c>
      <c r="G3678" t="s">
        <v>18</v>
      </c>
      <c r="H3678" t="s">
        <v>2120</v>
      </c>
      <c r="I3678" s="2">
        <v>123.176</v>
      </c>
      <c r="J3678">
        <v>3</v>
      </c>
      <c r="K3678" s="2">
        <v>15.111599999999999</v>
      </c>
      <c r="L3678" s="3">
        <f>(Table1[[#This Row],[Profit]]/Table1[[#This Row],[Sales]])*100</f>
        <v>12.26829901928947</v>
      </c>
    </row>
    <row r="3679" spans="1:12" x14ac:dyDescent="0.3">
      <c r="A3679" t="s">
        <v>2314</v>
      </c>
      <c r="B3679" s="1">
        <v>43690</v>
      </c>
      <c r="C3679" t="s">
        <v>2315</v>
      </c>
      <c r="D3679" t="s">
        <v>2316</v>
      </c>
      <c r="E3679" t="s">
        <v>14</v>
      </c>
      <c r="F3679" t="s">
        <v>41</v>
      </c>
      <c r="G3679" t="s">
        <v>18</v>
      </c>
      <c r="H3679" t="s">
        <v>2317</v>
      </c>
      <c r="I3679" s="2">
        <v>71.98</v>
      </c>
      <c r="J3679">
        <v>2</v>
      </c>
      <c r="K3679" s="2">
        <v>15.1158</v>
      </c>
      <c r="L3679" s="3">
        <f>(Table1[[#This Row],[Profit]]/Table1[[#This Row],[Sales]])*100</f>
        <v>21</v>
      </c>
    </row>
    <row r="3680" spans="1:12" x14ac:dyDescent="0.3">
      <c r="A3680" t="s">
        <v>5212</v>
      </c>
      <c r="B3680" s="1">
        <v>44069</v>
      </c>
      <c r="C3680" t="s">
        <v>2197</v>
      </c>
      <c r="D3680" t="s">
        <v>2198</v>
      </c>
      <c r="E3680" t="s">
        <v>14</v>
      </c>
      <c r="F3680" t="s">
        <v>41</v>
      </c>
      <c r="G3680" t="s">
        <v>18</v>
      </c>
      <c r="H3680" t="s">
        <v>2317</v>
      </c>
      <c r="I3680" s="2">
        <v>149.97999999999999</v>
      </c>
      <c r="J3680">
        <v>2</v>
      </c>
      <c r="K3680" s="2">
        <v>15.1158</v>
      </c>
      <c r="L3680" s="3">
        <f>(Table1[[#This Row],[Profit]]/Table1[[#This Row],[Sales]])*100</f>
        <v>10.078543805840781</v>
      </c>
    </row>
    <row r="3681" spans="1:12" x14ac:dyDescent="0.3">
      <c r="A3681" t="s">
        <v>5452</v>
      </c>
      <c r="B3681" s="1">
        <v>44095</v>
      </c>
      <c r="C3681" t="s">
        <v>5453</v>
      </c>
      <c r="D3681" t="s">
        <v>5454</v>
      </c>
      <c r="E3681" t="s">
        <v>14</v>
      </c>
      <c r="F3681" t="s">
        <v>23</v>
      </c>
      <c r="G3681" t="s">
        <v>18</v>
      </c>
      <c r="H3681" t="s">
        <v>2317</v>
      </c>
      <c r="I3681" s="2">
        <v>172.98</v>
      </c>
      <c r="J3681">
        <v>2</v>
      </c>
      <c r="K3681" s="2">
        <v>15.1158</v>
      </c>
      <c r="L3681" s="3">
        <f>(Table1[[#This Row],[Profit]]/Table1[[#This Row],[Sales]])*100</f>
        <v>8.7384668747832137</v>
      </c>
    </row>
    <row r="3682" spans="1:12" x14ac:dyDescent="0.3">
      <c r="A3682" t="s">
        <v>5834</v>
      </c>
      <c r="B3682" s="1">
        <v>44145</v>
      </c>
      <c r="C3682" t="s">
        <v>5835</v>
      </c>
      <c r="D3682" t="s">
        <v>5836</v>
      </c>
      <c r="E3682" t="s">
        <v>14</v>
      </c>
      <c r="F3682" t="s">
        <v>23</v>
      </c>
      <c r="G3682" t="s">
        <v>18</v>
      </c>
      <c r="H3682" t="s">
        <v>3190</v>
      </c>
      <c r="I3682" s="2">
        <v>216.584</v>
      </c>
      <c r="J3682">
        <v>2</v>
      </c>
      <c r="K3682" s="2">
        <v>15.1188</v>
      </c>
      <c r="L3682" s="3">
        <f>(Table1[[#This Row],[Profit]]/Table1[[#This Row],[Sales]])*100</f>
        <v>6.9805710486462527</v>
      </c>
    </row>
    <row r="3683" spans="1:12" x14ac:dyDescent="0.3">
      <c r="A3683" t="s">
        <v>5655</v>
      </c>
      <c r="B3683" s="1">
        <v>44123</v>
      </c>
      <c r="C3683" t="s">
        <v>5656</v>
      </c>
      <c r="D3683" t="s">
        <v>5657</v>
      </c>
      <c r="E3683" t="s">
        <v>14</v>
      </c>
      <c r="F3683" t="s">
        <v>23</v>
      </c>
      <c r="G3683" t="s">
        <v>24</v>
      </c>
      <c r="H3683" t="s">
        <v>499</v>
      </c>
      <c r="I3683" s="2">
        <v>133.5</v>
      </c>
      <c r="J3683">
        <v>10</v>
      </c>
      <c r="K3683" s="2">
        <v>15.12</v>
      </c>
      <c r="L3683" s="3">
        <f>(Table1[[#This Row],[Profit]]/Table1[[#This Row],[Sales]])*100</f>
        <v>11.325842696629213</v>
      </c>
    </row>
    <row r="3684" spans="1:12" x14ac:dyDescent="0.3">
      <c r="A3684" t="s">
        <v>5022</v>
      </c>
      <c r="B3684" s="1">
        <v>44028</v>
      </c>
      <c r="C3684" t="s">
        <v>2367</v>
      </c>
      <c r="D3684" t="s">
        <v>2368</v>
      </c>
      <c r="E3684" t="s">
        <v>14</v>
      </c>
      <c r="F3684" t="s">
        <v>41</v>
      </c>
      <c r="G3684" t="s">
        <v>16</v>
      </c>
      <c r="H3684" t="s">
        <v>2913</v>
      </c>
      <c r="I3684" s="2">
        <v>279.35199999999998</v>
      </c>
      <c r="J3684">
        <v>3</v>
      </c>
      <c r="K3684" s="2">
        <v>15.147</v>
      </c>
      <c r="L3684" s="3">
        <f>(Table1[[#This Row],[Profit]]/Table1[[#This Row],[Sales]])*100</f>
        <v>5.4221913571408118</v>
      </c>
    </row>
    <row r="3685" spans="1:12" x14ac:dyDescent="0.3">
      <c r="A3685" t="s">
        <v>5050</v>
      </c>
      <c r="B3685" s="1">
        <v>44035</v>
      </c>
      <c r="C3685" t="s">
        <v>299</v>
      </c>
      <c r="D3685" t="s">
        <v>300</v>
      </c>
      <c r="E3685" t="s">
        <v>14</v>
      </c>
      <c r="F3685" t="s">
        <v>29</v>
      </c>
      <c r="G3685" t="s">
        <v>24</v>
      </c>
      <c r="H3685" t="s">
        <v>3235</v>
      </c>
      <c r="I3685" s="2">
        <v>168.536</v>
      </c>
      <c r="J3685">
        <v>4</v>
      </c>
      <c r="K3685" s="2">
        <v>15.192</v>
      </c>
      <c r="L3685" s="3">
        <f>(Table1[[#This Row],[Profit]]/Table1[[#This Row],[Sales]])*100</f>
        <v>9.0140978781981289</v>
      </c>
    </row>
    <row r="3686" spans="1:12" x14ac:dyDescent="0.3">
      <c r="A3686" t="s">
        <v>2656</v>
      </c>
      <c r="B3686" s="1">
        <v>43714</v>
      </c>
      <c r="C3686" t="s">
        <v>888</v>
      </c>
      <c r="D3686" t="s">
        <v>889</v>
      </c>
      <c r="E3686" t="s">
        <v>14</v>
      </c>
      <c r="F3686" t="s">
        <v>29</v>
      </c>
      <c r="G3686" t="s">
        <v>24</v>
      </c>
      <c r="H3686" t="s">
        <v>2184</v>
      </c>
      <c r="I3686" s="2">
        <v>41.92</v>
      </c>
      <c r="J3686">
        <v>4</v>
      </c>
      <c r="K3686" s="2">
        <v>15.196</v>
      </c>
      <c r="L3686" s="3">
        <f>(Table1[[#This Row],[Profit]]/Table1[[#This Row],[Sales]])*100</f>
        <v>36.25</v>
      </c>
    </row>
    <row r="3687" spans="1:12" x14ac:dyDescent="0.3">
      <c r="A3687" t="s">
        <v>1812</v>
      </c>
      <c r="B3687" s="1">
        <v>43636</v>
      </c>
      <c r="C3687" t="s">
        <v>1813</v>
      </c>
      <c r="D3687" t="s">
        <v>1814</v>
      </c>
      <c r="E3687" t="s">
        <v>14</v>
      </c>
      <c r="F3687" t="s">
        <v>15</v>
      </c>
      <c r="G3687" t="s">
        <v>24</v>
      </c>
      <c r="H3687" t="s">
        <v>1815</v>
      </c>
      <c r="I3687" s="2">
        <v>45.055999999999997</v>
      </c>
      <c r="J3687">
        <v>8</v>
      </c>
      <c r="K3687" s="2">
        <v>15.2064</v>
      </c>
      <c r="L3687" s="3">
        <f>(Table1[[#This Row],[Profit]]/Table1[[#This Row],[Sales]])*100</f>
        <v>33.75</v>
      </c>
    </row>
    <row r="3688" spans="1:12" x14ac:dyDescent="0.3">
      <c r="A3688" t="s">
        <v>417</v>
      </c>
      <c r="B3688" s="1">
        <v>43518</v>
      </c>
      <c r="C3688" t="s">
        <v>418</v>
      </c>
      <c r="D3688" t="s">
        <v>419</v>
      </c>
      <c r="E3688" t="s">
        <v>14</v>
      </c>
      <c r="F3688" t="s">
        <v>23</v>
      </c>
      <c r="G3688" t="s">
        <v>18</v>
      </c>
      <c r="H3688" t="s">
        <v>421</v>
      </c>
      <c r="I3688" s="2">
        <v>36.24</v>
      </c>
      <c r="J3688">
        <v>1</v>
      </c>
      <c r="K3688" s="2">
        <v>15.220800000000001</v>
      </c>
      <c r="L3688" s="3">
        <f>(Table1[[#This Row],[Profit]]/Table1[[#This Row],[Sales]])*100</f>
        <v>42</v>
      </c>
    </row>
    <row r="3689" spans="1:12" x14ac:dyDescent="0.3">
      <c r="A3689" t="s">
        <v>2972</v>
      </c>
      <c r="B3689" s="1">
        <v>43737</v>
      </c>
      <c r="C3689" t="s">
        <v>2973</v>
      </c>
      <c r="D3689" t="s">
        <v>2974</v>
      </c>
      <c r="E3689" t="s">
        <v>14</v>
      </c>
      <c r="F3689" t="s">
        <v>23</v>
      </c>
      <c r="G3689" t="s">
        <v>18</v>
      </c>
      <c r="H3689" t="s">
        <v>421</v>
      </c>
      <c r="I3689" s="2">
        <v>36.24</v>
      </c>
      <c r="J3689">
        <v>1</v>
      </c>
      <c r="K3689" s="2">
        <v>15.220800000000001</v>
      </c>
      <c r="L3689" s="3">
        <f>(Table1[[#This Row],[Profit]]/Table1[[#This Row],[Sales]])*100</f>
        <v>42</v>
      </c>
    </row>
    <row r="3690" spans="1:12" x14ac:dyDescent="0.3">
      <c r="A3690" t="s">
        <v>5504</v>
      </c>
      <c r="B3690" s="1">
        <v>44098</v>
      </c>
      <c r="C3690" t="s">
        <v>2104</v>
      </c>
      <c r="D3690" t="s">
        <v>2105</v>
      </c>
      <c r="E3690" t="s">
        <v>14</v>
      </c>
      <c r="F3690" t="s">
        <v>23</v>
      </c>
      <c r="G3690" t="s">
        <v>24</v>
      </c>
      <c r="H3690" t="s">
        <v>2324</v>
      </c>
      <c r="I3690" s="2">
        <v>150.08000000000001</v>
      </c>
      <c r="J3690">
        <v>6</v>
      </c>
      <c r="K3690" s="2">
        <v>15.229200000000001</v>
      </c>
      <c r="L3690" s="3">
        <f>(Table1[[#This Row],[Profit]]/Table1[[#This Row],[Sales]])*100</f>
        <v>10.147388059701493</v>
      </c>
    </row>
    <row r="3691" spans="1:12" x14ac:dyDescent="0.3">
      <c r="A3691" t="s">
        <v>615</v>
      </c>
      <c r="B3691" s="1">
        <v>43537</v>
      </c>
      <c r="C3691" t="s">
        <v>616</v>
      </c>
      <c r="D3691" t="s">
        <v>617</v>
      </c>
      <c r="E3691" t="s">
        <v>14</v>
      </c>
      <c r="F3691" t="s">
        <v>23</v>
      </c>
      <c r="G3691" t="s">
        <v>18</v>
      </c>
      <c r="H3691" t="s">
        <v>619</v>
      </c>
      <c r="I3691" s="2">
        <v>203.184</v>
      </c>
      <c r="J3691">
        <v>2</v>
      </c>
      <c r="K3691" s="2">
        <v>15.238799999999999</v>
      </c>
      <c r="L3691" s="3">
        <f>(Table1[[#This Row],[Profit]]/Table1[[#This Row],[Sales]])*100</f>
        <v>7.5</v>
      </c>
    </row>
    <row r="3692" spans="1:12" x14ac:dyDescent="0.3">
      <c r="A3692" t="s">
        <v>1275</v>
      </c>
      <c r="B3692" s="1">
        <v>43591</v>
      </c>
      <c r="C3692" t="s">
        <v>1267</v>
      </c>
      <c r="D3692" t="s">
        <v>1268</v>
      </c>
      <c r="E3692" t="s">
        <v>14</v>
      </c>
      <c r="F3692" t="s">
        <v>29</v>
      </c>
      <c r="G3692" t="s">
        <v>24</v>
      </c>
      <c r="H3692" t="s">
        <v>416</v>
      </c>
      <c r="I3692" s="2">
        <v>54.48</v>
      </c>
      <c r="J3692">
        <v>1</v>
      </c>
      <c r="K3692" s="2">
        <v>15.2544</v>
      </c>
      <c r="L3692" s="3">
        <f>(Table1[[#This Row],[Profit]]/Table1[[#This Row],[Sales]])*100</f>
        <v>28.000000000000004</v>
      </c>
    </row>
    <row r="3693" spans="1:12" x14ac:dyDescent="0.3">
      <c r="A3693" t="s">
        <v>5088</v>
      </c>
      <c r="B3693" s="1">
        <v>44043</v>
      </c>
      <c r="C3693" t="s">
        <v>3795</v>
      </c>
      <c r="D3693" t="s">
        <v>3796</v>
      </c>
      <c r="E3693" t="s">
        <v>14</v>
      </c>
      <c r="F3693" t="s">
        <v>23</v>
      </c>
      <c r="G3693" t="s">
        <v>24</v>
      </c>
      <c r="H3693" t="s">
        <v>878</v>
      </c>
      <c r="I3693" s="2">
        <v>156.56</v>
      </c>
      <c r="J3693">
        <v>2</v>
      </c>
      <c r="K3693" s="2">
        <v>15.2712</v>
      </c>
      <c r="L3693" s="3">
        <f>(Table1[[#This Row],[Profit]]/Table1[[#This Row],[Sales]])*100</f>
        <v>9.7542156361778236</v>
      </c>
    </row>
    <row r="3694" spans="1:12" x14ac:dyDescent="0.3">
      <c r="A3694" t="s">
        <v>5976</v>
      </c>
      <c r="B3694" s="1">
        <v>44156</v>
      </c>
      <c r="C3694" t="s">
        <v>1243</v>
      </c>
      <c r="D3694" t="s">
        <v>1244</v>
      </c>
      <c r="E3694" t="s">
        <v>14</v>
      </c>
      <c r="F3694" t="s">
        <v>23</v>
      </c>
      <c r="G3694" t="s">
        <v>24</v>
      </c>
      <c r="H3694" t="s">
        <v>878</v>
      </c>
      <c r="I3694" s="2">
        <v>160.56</v>
      </c>
      <c r="J3694">
        <v>2</v>
      </c>
      <c r="K3694" s="2">
        <v>15.2712</v>
      </c>
      <c r="L3694" s="3">
        <f>(Table1[[#This Row],[Profit]]/Table1[[#This Row],[Sales]])*100</f>
        <v>9.5112107623318387</v>
      </c>
    </row>
    <row r="3695" spans="1:12" x14ac:dyDescent="0.3">
      <c r="A3695" t="s">
        <v>3562</v>
      </c>
      <c r="B3695" s="1">
        <v>43793</v>
      </c>
      <c r="C3695" t="s">
        <v>1149</v>
      </c>
      <c r="D3695" t="s">
        <v>1150</v>
      </c>
      <c r="E3695" t="s">
        <v>14</v>
      </c>
      <c r="F3695" t="s">
        <v>15</v>
      </c>
      <c r="G3695" t="s">
        <v>24</v>
      </c>
      <c r="H3695" t="s">
        <v>3563</v>
      </c>
      <c r="I3695" s="2">
        <v>40.752000000000002</v>
      </c>
      <c r="J3695">
        <v>3</v>
      </c>
      <c r="K3695" s="2">
        <v>15.282</v>
      </c>
      <c r="L3695" s="3">
        <f>(Table1[[#This Row],[Profit]]/Table1[[#This Row],[Sales]])*100</f>
        <v>37.5</v>
      </c>
    </row>
    <row r="3696" spans="1:12" x14ac:dyDescent="0.3">
      <c r="A3696" t="s">
        <v>5627</v>
      </c>
      <c r="B3696" s="1">
        <v>44118</v>
      </c>
      <c r="C3696" t="s">
        <v>3378</v>
      </c>
      <c r="D3696" t="s">
        <v>3379</v>
      </c>
      <c r="E3696" t="s">
        <v>14</v>
      </c>
      <c r="F3696" t="s">
        <v>23</v>
      </c>
      <c r="G3696" t="s">
        <v>18</v>
      </c>
      <c r="H3696" t="s">
        <v>4296</v>
      </c>
      <c r="I3696" s="2">
        <v>154.36000000000001</v>
      </c>
      <c r="J3696">
        <v>4</v>
      </c>
      <c r="K3696" s="2">
        <v>15.2988</v>
      </c>
      <c r="L3696" s="3">
        <f>(Table1[[#This Row],[Profit]]/Table1[[#This Row],[Sales]])*100</f>
        <v>9.9111168696553502</v>
      </c>
    </row>
    <row r="3697" spans="1:12" x14ac:dyDescent="0.3">
      <c r="A3697" t="s">
        <v>6016</v>
      </c>
      <c r="B3697" s="1">
        <v>44160</v>
      </c>
      <c r="C3697" t="s">
        <v>942</v>
      </c>
      <c r="D3697" t="s">
        <v>943</v>
      </c>
      <c r="E3697" t="s">
        <v>14</v>
      </c>
      <c r="F3697" t="s">
        <v>23</v>
      </c>
      <c r="G3697" t="s">
        <v>24</v>
      </c>
      <c r="H3697" t="s">
        <v>1084</v>
      </c>
      <c r="I3697" s="2">
        <v>170.08</v>
      </c>
      <c r="J3697">
        <v>6</v>
      </c>
      <c r="K3697" s="2">
        <v>15.336</v>
      </c>
      <c r="L3697" s="3">
        <f>(Table1[[#This Row],[Profit]]/Table1[[#This Row],[Sales]])*100</f>
        <v>9.0169332079021629</v>
      </c>
    </row>
    <row r="3698" spans="1:12" x14ac:dyDescent="0.3">
      <c r="A3698" t="s">
        <v>3719</v>
      </c>
      <c r="B3698" s="1">
        <v>43805</v>
      </c>
      <c r="C3698" t="s">
        <v>380</v>
      </c>
      <c r="D3698" t="s">
        <v>381</v>
      </c>
      <c r="E3698" t="s">
        <v>14</v>
      </c>
      <c r="F3698" t="s">
        <v>23</v>
      </c>
      <c r="G3698" t="s">
        <v>24</v>
      </c>
      <c r="H3698" t="s">
        <v>3304</v>
      </c>
      <c r="I3698" s="2">
        <v>47.207999999999998</v>
      </c>
      <c r="J3698">
        <v>7</v>
      </c>
      <c r="K3698" s="2">
        <v>15.342599999999999</v>
      </c>
      <c r="L3698" s="3">
        <f>(Table1[[#This Row],[Profit]]/Table1[[#This Row],[Sales]])*100</f>
        <v>32.5</v>
      </c>
    </row>
    <row r="3699" spans="1:12" x14ac:dyDescent="0.3">
      <c r="A3699" t="s">
        <v>2241</v>
      </c>
      <c r="B3699" s="1">
        <v>43679</v>
      </c>
      <c r="C3699" t="s">
        <v>1976</v>
      </c>
      <c r="D3699" t="s">
        <v>1977</v>
      </c>
      <c r="E3699" t="s">
        <v>14</v>
      </c>
      <c r="F3699" t="s">
        <v>23</v>
      </c>
      <c r="G3699" t="s">
        <v>16</v>
      </c>
      <c r="H3699" t="s">
        <v>2242</v>
      </c>
      <c r="I3699" s="2">
        <v>136.464</v>
      </c>
      <c r="J3699">
        <v>2</v>
      </c>
      <c r="K3699" s="2">
        <v>15.3522</v>
      </c>
      <c r="L3699" s="3">
        <f>(Table1[[#This Row],[Profit]]/Table1[[#This Row],[Sales]])*100</f>
        <v>11.25</v>
      </c>
    </row>
    <row r="3700" spans="1:12" x14ac:dyDescent="0.3">
      <c r="A3700" t="s">
        <v>1086</v>
      </c>
      <c r="B3700" s="1">
        <v>43574</v>
      </c>
      <c r="C3700" t="s">
        <v>1087</v>
      </c>
      <c r="D3700" t="s">
        <v>1088</v>
      </c>
      <c r="E3700" t="s">
        <v>14</v>
      </c>
      <c r="F3700" t="s">
        <v>15</v>
      </c>
      <c r="G3700" t="s">
        <v>24</v>
      </c>
      <c r="H3700" t="s">
        <v>1094</v>
      </c>
      <c r="I3700" s="2">
        <v>54.9</v>
      </c>
      <c r="J3700">
        <v>5</v>
      </c>
      <c r="K3700" s="2">
        <v>15.372</v>
      </c>
      <c r="L3700" s="3">
        <f>(Table1[[#This Row],[Profit]]/Table1[[#This Row],[Sales]])*100</f>
        <v>28.000000000000004</v>
      </c>
    </row>
    <row r="3701" spans="1:12" x14ac:dyDescent="0.3">
      <c r="A3701" t="s">
        <v>1543</v>
      </c>
      <c r="B3701" s="1">
        <v>43613</v>
      </c>
      <c r="C3701" t="s">
        <v>633</v>
      </c>
      <c r="D3701" t="s">
        <v>634</v>
      </c>
      <c r="E3701" t="s">
        <v>14</v>
      </c>
      <c r="F3701" t="s">
        <v>15</v>
      </c>
      <c r="G3701" t="s">
        <v>24</v>
      </c>
      <c r="H3701" t="s">
        <v>1094</v>
      </c>
      <c r="I3701" s="2">
        <v>54.9</v>
      </c>
      <c r="J3701">
        <v>5</v>
      </c>
      <c r="K3701" s="2">
        <v>15.372</v>
      </c>
      <c r="L3701" s="3">
        <f>(Table1[[#This Row],[Profit]]/Table1[[#This Row],[Sales]])*100</f>
        <v>28.000000000000004</v>
      </c>
    </row>
    <row r="3702" spans="1:12" x14ac:dyDescent="0.3">
      <c r="A3702" t="s">
        <v>4521</v>
      </c>
      <c r="B3702" s="1">
        <v>43944</v>
      </c>
      <c r="C3702" t="s">
        <v>143</v>
      </c>
      <c r="D3702" t="s">
        <v>144</v>
      </c>
      <c r="E3702" t="s">
        <v>14</v>
      </c>
      <c r="F3702" t="s">
        <v>15</v>
      </c>
      <c r="G3702" t="s">
        <v>24</v>
      </c>
      <c r="H3702" t="s">
        <v>1094</v>
      </c>
      <c r="I3702" s="2">
        <v>150.9</v>
      </c>
      <c r="J3702">
        <v>5</v>
      </c>
      <c r="K3702" s="2">
        <v>15.372</v>
      </c>
      <c r="L3702" s="3">
        <f>(Table1[[#This Row],[Profit]]/Table1[[#This Row],[Sales]])*100</f>
        <v>10.186878727634193</v>
      </c>
    </row>
    <row r="3703" spans="1:12" x14ac:dyDescent="0.3">
      <c r="A3703" t="s">
        <v>3602</v>
      </c>
      <c r="B3703" s="1">
        <v>43796</v>
      </c>
      <c r="C3703" t="s">
        <v>509</v>
      </c>
      <c r="D3703" t="s">
        <v>510</v>
      </c>
      <c r="E3703" t="s">
        <v>14</v>
      </c>
      <c r="F3703" t="s">
        <v>29</v>
      </c>
      <c r="G3703" t="s">
        <v>18</v>
      </c>
      <c r="H3703" t="s">
        <v>547</v>
      </c>
      <c r="I3703" s="2">
        <v>34.950000000000003</v>
      </c>
      <c r="J3703">
        <v>5</v>
      </c>
      <c r="K3703" s="2">
        <v>15.378</v>
      </c>
      <c r="L3703" s="3">
        <f>(Table1[[#This Row],[Profit]]/Table1[[#This Row],[Sales]])*100</f>
        <v>43.999999999999993</v>
      </c>
    </row>
    <row r="3704" spans="1:12" x14ac:dyDescent="0.3">
      <c r="A3704" t="s">
        <v>5469</v>
      </c>
      <c r="B3704" s="1">
        <v>44096</v>
      </c>
      <c r="C3704" t="s">
        <v>3041</v>
      </c>
      <c r="D3704" t="s">
        <v>3042</v>
      </c>
      <c r="E3704" t="s">
        <v>14</v>
      </c>
      <c r="F3704" t="s">
        <v>41</v>
      </c>
      <c r="G3704" t="s">
        <v>18</v>
      </c>
      <c r="H3704" t="s">
        <v>547</v>
      </c>
      <c r="I3704" s="2">
        <v>131.94999999999999</v>
      </c>
      <c r="J3704">
        <v>5</v>
      </c>
      <c r="K3704" s="2">
        <v>15.378</v>
      </c>
      <c r="L3704" s="3">
        <f>(Table1[[#This Row],[Profit]]/Table1[[#This Row],[Sales]])*100</f>
        <v>11.654414550966276</v>
      </c>
    </row>
    <row r="3705" spans="1:12" x14ac:dyDescent="0.3">
      <c r="A3705" t="s">
        <v>6154</v>
      </c>
      <c r="B3705" s="1">
        <v>44175</v>
      </c>
      <c r="C3705" t="s">
        <v>118</v>
      </c>
      <c r="D3705" t="s">
        <v>119</v>
      </c>
      <c r="E3705" t="s">
        <v>14</v>
      </c>
      <c r="F3705" t="s">
        <v>15</v>
      </c>
      <c r="G3705" t="s">
        <v>16</v>
      </c>
      <c r="H3705" t="s">
        <v>158</v>
      </c>
      <c r="I3705" s="2">
        <v>384.92</v>
      </c>
      <c r="J3705">
        <v>5</v>
      </c>
      <c r="K3705" s="2">
        <v>15.385999999999999</v>
      </c>
      <c r="L3705" s="3">
        <f>(Table1[[#This Row],[Profit]]/Table1[[#This Row],[Sales]])*100</f>
        <v>3.9971942221760361</v>
      </c>
    </row>
    <row r="3706" spans="1:12" x14ac:dyDescent="0.3">
      <c r="A3706" t="s">
        <v>6148</v>
      </c>
      <c r="B3706" s="1">
        <v>44174</v>
      </c>
      <c r="C3706" t="s">
        <v>950</v>
      </c>
      <c r="D3706" t="s">
        <v>951</v>
      </c>
      <c r="E3706" t="s">
        <v>14</v>
      </c>
      <c r="F3706" t="s">
        <v>29</v>
      </c>
      <c r="G3706" t="s">
        <v>24</v>
      </c>
      <c r="H3706" t="s">
        <v>1529</v>
      </c>
      <c r="I3706" s="2">
        <v>139.44999999999999</v>
      </c>
      <c r="J3706">
        <v>5</v>
      </c>
      <c r="K3706" s="2">
        <v>15.387</v>
      </c>
      <c r="L3706" s="3">
        <f>(Table1[[#This Row],[Profit]]/Table1[[#This Row],[Sales]])*100</f>
        <v>11.034062387952673</v>
      </c>
    </row>
    <row r="3707" spans="1:12" x14ac:dyDescent="0.3">
      <c r="A3707" t="s">
        <v>2154</v>
      </c>
      <c r="B3707" s="1">
        <v>43669</v>
      </c>
      <c r="C3707" t="s">
        <v>1631</v>
      </c>
      <c r="D3707" t="s">
        <v>1632</v>
      </c>
      <c r="E3707" t="s">
        <v>14</v>
      </c>
      <c r="F3707" t="s">
        <v>29</v>
      </c>
      <c r="G3707" t="s">
        <v>24</v>
      </c>
      <c r="H3707" t="s">
        <v>827</v>
      </c>
      <c r="I3707" s="2">
        <v>175.92</v>
      </c>
      <c r="J3707">
        <v>5</v>
      </c>
      <c r="K3707" s="2">
        <v>15.393000000000001</v>
      </c>
      <c r="L3707" s="3">
        <f>(Table1[[#This Row],[Profit]]/Table1[[#This Row],[Sales]])*100</f>
        <v>8.75</v>
      </c>
    </row>
    <row r="3708" spans="1:12" x14ac:dyDescent="0.3">
      <c r="A3708" t="s">
        <v>2676</v>
      </c>
      <c r="B3708" s="1">
        <v>43716</v>
      </c>
      <c r="C3708" t="s">
        <v>1656</v>
      </c>
      <c r="D3708" t="s">
        <v>1657</v>
      </c>
      <c r="E3708" t="s">
        <v>14</v>
      </c>
      <c r="F3708" t="s">
        <v>23</v>
      </c>
      <c r="G3708" t="s">
        <v>24</v>
      </c>
      <c r="H3708" t="s">
        <v>1800</v>
      </c>
      <c r="I3708" s="2">
        <v>34.24</v>
      </c>
      <c r="J3708">
        <v>8</v>
      </c>
      <c r="K3708" s="2">
        <v>15.407999999999999</v>
      </c>
      <c r="L3708" s="3">
        <f>(Table1[[#This Row],[Profit]]/Table1[[#This Row],[Sales]])*100</f>
        <v>44.999999999999993</v>
      </c>
    </row>
    <row r="3709" spans="1:12" x14ac:dyDescent="0.3">
      <c r="A3709" t="s">
        <v>4626</v>
      </c>
      <c r="B3709" s="1">
        <v>43963</v>
      </c>
      <c r="C3709" t="s">
        <v>3788</v>
      </c>
      <c r="D3709" t="s">
        <v>3789</v>
      </c>
      <c r="E3709" t="s">
        <v>14</v>
      </c>
      <c r="F3709" t="s">
        <v>15</v>
      </c>
      <c r="G3709" t="s">
        <v>16</v>
      </c>
      <c r="H3709" t="s">
        <v>180</v>
      </c>
      <c r="I3709" s="2">
        <v>131.85</v>
      </c>
      <c r="J3709">
        <v>5</v>
      </c>
      <c r="K3709" s="2">
        <v>15.426</v>
      </c>
      <c r="L3709" s="3">
        <f>(Table1[[#This Row],[Profit]]/Table1[[#This Row],[Sales]])*100</f>
        <v>11.699658703071673</v>
      </c>
    </row>
    <row r="3710" spans="1:12" x14ac:dyDescent="0.3">
      <c r="A3710" t="s">
        <v>4264</v>
      </c>
      <c r="B3710" s="1">
        <v>43903</v>
      </c>
      <c r="C3710" t="s">
        <v>2937</v>
      </c>
      <c r="D3710" t="s">
        <v>2938</v>
      </c>
      <c r="E3710" t="s">
        <v>14</v>
      </c>
      <c r="F3710" t="s">
        <v>15</v>
      </c>
      <c r="G3710" t="s">
        <v>24</v>
      </c>
      <c r="H3710" t="s">
        <v>644</v>
      </c>
      <c r="I3710" s="2">
        <v>139.88</v>
      </c>
      <c r="J3710">
        <v>2</v>
      </c>
      <c r="K3710" s="2">
        <v>15.44</v>
      </c>
      <c r="L3710" s="3">
        <f>(Table1[[#This Row],[Profit]]/Table1[[#This Row],[Sales]])*100</f>
        <v>11.03803259937089</v>
      </c>
    </row>
    <row r="3711" spans="1:12" x14ac:dyDescent="0.3">
      <c r="A3711" t="s">
        <v>6129</v>
      </c>
      <c r="B3711" s="1">
        <v>44173</v>
      </c>
      <c r="C3711" t="s">
        <v>3116</v>
      </c>
      <c r="D3711" t="s">
        <v>3117</v>
      </c>
      <c r="E3711" t="s">
        <v>14</v>
      </c>
      <c r="F3711" t="s">
        <v>23</v>
      </c>
      <c r="G3711" t="s">
        <v>16</v>
      </c>
      <c r="H3711" t="s">
        <v>6134</v>
      </c>
      <c r="I3711" s="2">
        <v>157.9</v>
      </c>
      <c r="J3711">
        <v>2</v>
      </c>
      <c r="K3711" s="2">
        <v>15.468</v>
      </c>
      <c r="L3711" s="3">
        <f>(Table1[[#This Row],[Profit]]/Table1[[#This Row],[Sales]])*100</f>
        <v>9.7960734642178604</v>
      </c>
    </row>
    <row r="3712" spans="1:12" x14ac:dyDescent="0.3">
      <c r="A3712" t="s">
        <v>823</v>
      </c>
      <c r="B3712" s="1">
        <v>43556</v>
      </c>
      <c r="C3712" t="s">
        <v>824</v>
      </c>
      <c r="D3712" t="s">
        <v>825</v>
      </c>
      <c r="E3712" t="s">
        <v>14</v>
      </c>
      <c r="F3712" t="s">
        <v>15</v>
      </c>
      <c r="G3712" t="s">
        <v>24</v>
      </c>
      <c r="H3712" t="s">
        <v>204</v>
      </c>
      <c r="I3712" s="2">
        <v>59.52</v>
      </c>
      <c r="J3712">
        <v>3</v>
      </c>
      <c r="K3712" s="2">
        <v>15.475199999999999</v>
      </c>
      <c r="L3712" s="3">
        <f>(Table1[[#This Row],[Profit]]/Table1[[#This Row],[Sales]])*100</f>
        <v>25.999999999999996</v>
      </c>
    </row>
    <row r="3713" spans="1:12" x14ac:dyDescent="0.3">
      <c r="A3713" t="s">
        <v>4188</v>
      </c>
      <c r="B3713" s="1">
        <v>43892</v>
      </c>
      <c r="C3713" t="s">
        <v>4189</v>
      </c>
      <c r="D3713" t="s">
        <v>4190</v>
      </c>
      <c r="E3713" t="s">
        <v>14</v>
      </c>
      <c r="F3713" t="s">
        <v>15</v>
      </c>
      <c r="G3713" t="s">
        <v>24</v>
      </c>
      <c r="H3713" t="s">
        <v>445</v>
      </c>
      <c r="I3713" s="2">
        <v>134.52000000000001</v>
      </c>
      <c r="J3713">
        <v>3</v>
      </c>
      <c r="K3713" s="2">
        <v>15.475199999999999</v>
      </c>
      <c r="L3713" s="3">
        <f>(Table1[[#This Row],[Profit]]/Table1[[#This Row],[Sales]])*100</f>
        <v>11.50401427297056</v>
      </c>
    </row>
    <row r="3714" spans="1:12" x14ac:dyDescent="0.3">
      <c r="A3714" t="s">
        <v>4570</v>
      </c>
      <c r="B3714" s="1">
        <v>43953</v>
      </c>
      <c r="C3714" t="s">
        <v>2397</v>
      </c>
      <c r="D3714" t="s">
        <v>2398</v>
      </c>
      <c r="E3714" t="s">
        <v>14</v>
      </c>
      <c r="F3714" t="s">
        <v>23</v>
      </c>
      <c r="G3714" t="s">
        <v>24</v>
      </c>
      <c r="H3714" t="s">
        <v>445</v>
      </c>
      <c r="I3714" s="2">
        <v>146.52000000000001</v>
      </c>
      <c r="J3714">
        <v>3</v>
      </c>
      <c r="K3714" s="2">
        <v>15.475199999999999</v>
      </c>
      <c r="L3714" s="3">
        <f>(Table1[[#This Row],[Profit]]/Table1[[#This Row],[Sales]])*100</f>
        <v>10.56183456183456</v>
      </c>
    </row>
    <row r="3715" spans="1:12" x14ac:dyDescent="0.3">
      <c r="A3715" t="s">
        <v>5143</v>
      </c>
      <c r="B3715" s="1">
        <v>44056</v>
      </c>
      <c r="C3715" t="s">
        <v>2390</v>
      </c>
      <c r="D3715" t="s">
        <v>2391</v>
      </c>
      <c r="E3715" t="s">
        <v>14</v>
      </c>
      <c r="F3715" t="s">
        <v>23</v>
      </c>
      <c r="G3715" t="s">
        <v>24</v>
      </c>
      <c r="H3715" t="s">
        <v>204</v>
      </c>
      <c r="I3715" s="2">
        <v>108.52</v>
      </c>
      <c r="J3715">
        <v>3</v>
      </c>
      <c r="K3715" s="2">
        <v>15.475199999999999</v>
      </c>
      <c r="L3715" s="3">
        <f>(Table1[[#This Row],[Profit]]/Table1[[#This Row],[Sales]])*100</f>
        <v>14.260228529303355</v>
      </c>
    </row>
    <row r="3716" spans="1:12" x14ac:dyDescent="0.3">
      <c r="A3716" t="s">
        <v>1266</v>
      </c>
      <c r="B3716" s="1">
        <v>43591</v>
      </c>
      <c r="C3716" t="s">
        <v>1267</v>
      </c>
      <c r="D3716" t="s">
        <v>1268</v>
      </c>
      <c r="E3716" t="s">
        <v>14</v>
      </c>
      <c r="F3716" t="s">
        <v>15</v>
      </c>
      <c r="G3716" t="s">
        <v>24</v>
      </c>
      <c r="H3716" t="s">
        <v>1270</v>
      </c>
      <c r="I3716" s="2">
        <v>49.567999999999998</v>
      </c>
      <c r="J3716">
        <v>2</v>
      </c>
      <c r="K3716" s="2">
        <v>15.49</v>
      </c>
      <c r="L3716" s="3">
        <f>(Table1[[#This Row],[Profit]]/Table1[[#This Row],[Sales]])*100</f>
        <v>31.25</v>
      </c>
    </row>
    <row r="3717" spans="1:12" x14ac:dyDescent="0.3">
      <c r="A3717" t="s">
        <v>5203</v>
      </c>
      <c r="B3717" s="1">
        <v>44066</v>
      </c>
      <c r="C3717" t="s">
        <v>2500</v>
      </c>
      <c r="D3717" t="s">
        <v>2501</v>
      </c>
      <c r="E3717" t="s">
        <v>14</v>
      </c>
      <c r="F3717" t="s">
        <v>41</v>
      </c>
      <c r="G3717" t="s">
        <v>24</v>
      </c>
      <c r="H3717" t="s">
        <v>1722</v>
      </c>
      <c r="I3717" s="2">
        <v>179.56800000000001</v>
      </c>
      <c r="J3717">
        <v>2</v>
      </c>
      <c r="K3717" s="2">
        <v>15.49</v>
      </c>
      <c r="L3717" s="3">
        <f>(Table1[[#This Row],[Profit]]/Table1[[#This Row],[Sales]])*100</f>
        <v>8.6262585761382873</v>
      </c>
    </row>
    <row r="3718" spans="1:12" x14ac:dyDescent="0.3">
      <c r="A3718" t="s">
        <v>5322</v>
      </c>
      <c r="B3718" s="1">
        <v>44082</v>
      </c>
      <c r="C3718" t="s">
        <v>1976</v>
      </c>
      <c r="D3718" t="s">
        <v>1977</v>
      </c>
      <c r="E3718" t="s">
        <v>14</v>
      </c>
      <c r="F3718" t="s">
        <v>29</v>
      </c>
      <c r="G3718" t="s">
        <v>24</v>
      </c>
      <c r="H3718" t="s">
        <v>4141</v>
      </c>
      <c r="I3718" s="2">
        <v>120.92</v>
      </c>
      <c r="J3718">
        <v>5</v>
      </c>
      <c r="K3718" s="2">
        <v>15.497999999999999</v>
      </c>
      <c r="L3718" s="3">
        <f>(Table1[[#This Row],[Profit]]/Table1[[#This Row],[Sales]])*100</f>
        <v>12.816738339397949</v>
      </c>
    </row>
    <row r="3719" spans="1:12" x14ac:dyDescent="0.3">
      <c r="A3719" t="s">
        <v>465</v>
      </c>
      <c r="B3719" s="1">
        <v>43527</v>
      </c>
      <c r="C3719" t="s">
        <v>466</v>
      </c>
      <c r="D3719" t="s">
        <v>467</v>
      </c>
      <c r="E3719" t="s">
        <v>14</v>
      </c>
      <c r="F3719" t="s">
        <v>29</v>
      </c>
      <c r="G3719" t="s">
        <v>24</v>
      </c>
      <c r="H3719" t="s">
        <v>468</v>
      </c>
      <c r="I3719" s="2">
        <v>42.783999999999999</v>
      </c>
      <c r="J3719">
        <v>7</v>
      </c>
      <c r="K3719" s="2">
        <v>15.5092</v>
      </c>
      <c r="L3719" s="3">
        <f>(Table1[[#This Row],[Profit]]/Table1[[#This Row],[Sales]])*100</f>
        <v>36.25</v>
      </c>
    </row>
    <row r="3720" spans="1:12" x14ac:dyDescent="0.3">
      <c r="A3720" t="s">
        <v>6139</v>
      </c>
      <c r="B3720" s="1">
        <v>44174</v>
      </c>
      <c r="C3720" t="s">
        <v>774</v>
      </c>
      <c r="D3720" t="s">
        <v>775</v>
      </c>
      <c r="E3720" t="s">
        <v>14</v>
      </c>
      <c r="F3720" t="s">
        <v>29</v>
      </c>
      <c r="G3720" t="s">
        <v>24</v>
      </c>
      <c r="H3720" t="s">
        <v>3304</v>
      </c>
      <c r="I3720" s="2">
        <v>149.72</v>
      </c>
      <c r="J3720">
        <v>4</v>
      </c>
      <c r="K3720" s="2">
        <v>15.511200000000001</v>
      </c>
      <c r="L3720" s="3">
        <f>(Table1[[#This Row],[Profit]]/Table1[[#This Row],[Sales]])*100</f>
        <v>10.360138925995191</v>
      </c>
    </row>
    <row r="3721" spans="1:12" x14ac:dyDescent="0.3">
      <c r="A3721" t="s">
        <v>3989</v>
      </c>
      <c r="B3721" s="1">
        <v>43836</v>
      </c>
      <c r="C3721" t="s">
        <v>1488</v>
      </c>
      <c r="D3721" t="s">
        <v>1489</v>
      </c>
      <c r="E3721" t="s">
        <v>14</v>
      </c>
      <c r="F3721" t="s">
        <v>41</v>
      </c>
      <c r="G3721" t="s">
        <v>24</v>
      </c>
      <c r="H3721" t="s">
        <v>1434</v>
      </c>
      <c r="I3721" s="2">
        <v>147.74</v>
      </c>
      <c r="J3721">
        <v>7</v>
      </c>
      <c r="K3721" s="2">
        <v>15.5204</v>
      </c>
      <c r="L3721" s="3">
        <f>(Table1[[#This Row],[Profit]]/Table1[[#This Row],[Sales]])*100</f>
        <v>10.505211858670638</v>
      </c>
    </row>
    <row r="3722" spans="1:12" x14ac:dyDescent="0.3">
      <c r="A3722" t="s">
        <v>2041</v>
      </c>
      <c r="B3722" s="1">
        <v>43660</v>
      </c>
      <c r="C3722" t="s">
        <v>2042</v>
      </c>
      <c r="D3722" t="s">
        <v>2043</v>
      </c>
      <c r="E3722" t="s">
        <v>14</v>
      </c>
      <c r="F3722" t="s">
        <v>41</v>
      </c>
      <c r="G3722" t="s">
        <v>16</v>
      </c>
      <c r="H3722" t="s">
        <v>804</v>
      </c>
      <c r="I3722" s="2">
        <v>51.75</v>
      </c>
      <c r="J3722">
        <v>1</v>
      </c>
      <c r="K3722" s="2">
        <v>15.525</v>
      </c>
      <c r="L3722" s="3">
        <f>(Table1[[#This Row],[Profit]]/Table1[[#This Row],[Sales]])*100</f>
        <v>30</v>
      </c>
    </row>
    <row r="3723" spans="1:12" x14ac:dyDescent="0.3">
      <c r="A3723" t="s">
        <v>4588</v>
      </c>
      <c r="B3723" s="1">
        <v>43956</v>
      </c>
      <c r="C3723" t="s">
        <v>4457</v>
      </c>
      <c r="D3723" t="s">
        <v>4458</v>
      </c>
      <c r="E3723" t="s">
        <v>14</v>
      </c>
      <c r="F3723" t="s">
        <v>41</v>
      </c>
      <c r="G3723" t="s">
        <v>24</v>
      </c>
      <c r="H3723" t="s">
        <v>631</v>
      </c>
      <c r="I3723" s="2">
        <v>150.5</v>
      </c>
      <c r="J3723">
        <v>3</v>
      </c>
      <c r="K3723" s="2">
        <v>15.525</v>
      </c>
      <c r="L3723" s="3">
        <f>(Table1[[#This Row],[Profit]]/Table1[[#This Row],[Sales]])*100</f>
        <v>10.3156146179402</v>
      </c>
    </row>
    <row r="3724" spans="1:12" x14ac:dyDescent="0.3">
      <c r="A3724" t="s">
        <v>5119</v>
      </c>
      <c r="B3724" s="1">
        <v>44050</v>
      </c>
      <c r="C3724" t="s">
        <v>908</v>
      </c>
      <c r="D3724" t="s">
        <v>909</v>
      </c>
      <c r="E3724" t="s">
        <v>14</v>
      </c>
      <c r="F3724" t="s">
        <v>23</v>
      </c>
      <c r="G3724" t="s">
        <v>16</v>
      </c>
      <c r="H3724" t="s">
        <v>804</v>
      </c>
      <c r="I3724" s="2">
        <v>100.75</v>
      </c>
      <c r="J3724">
        <v>1</v>
      </c>
      <c r="K3724" s="2">
        <v>15.525</v>
      </c>
      <c r="L3724" s="3">
        <f>(Table1[[#This Row],[Profit]]/Table1[[#This Row],[Sales]])*100</f>
        <v>15.409429280397022</v>
      </c>
    </row>
    <row r="3725" spans="1:12" x14ac:dyDescent="0.3">
      <c r="A3725" t="s">
        <v>5523</v>
      </c>
      <c r="B3725" s="1">
        <v>44103</v>
      </c>
      <c r="C3725" t="s">
        <v>356</v>
      </c>
      <c r="D3725" t="s">
        <v>357</v>
      </c>
      <c r="E3725" t="s">
        <v>14</v>
      </c>
      <c r="F3725" t="s">
        <v>23</v>
      </c>
      <c r="G3725" t="s">
        <v>16</v>
      </c>
      <c r="H3725" t="s">
        <v>804</v>
      </c>
      <c r="I3725" s="2">
        <v>101.75</v>
      </c>
      <c r="J3725">
        <v>1</v>
      </c>
      <c r="K3725" s="2">
        <v>15.525</v>
      </c>
      <c r="L3725" s="3">
        <f>(Table1[[#This Row],[Profit]]/Table1[[#This Row],[Sales]])*100</f>
        <v>15.257985257985258</v>
      </c>
    </row>
    <row r="3726" spans="1:12" x14ac:dyDescent="0.3">
      <c r="A3726" t="s">
        <v>6164</v>
      </c>
      <c r="B3726" s="1">
        <v>44175</v>
      </c>
      <c r="C3726" t="s">
        <v>2220</v>
      </c>
      <c r="D3726" t="s">
        <v>2221</v>
      </c>
      <c r="E3726" t="s">
        <v>14</v>
      </c>
      <c r="F3726" t="s">
        <v>29</v>
      </c>
      <c r="G3726" t="s">
        <v>24</v>
      </c>
      <c r="H3726" t="s">
        <v>631</v>
      </c>
      <c r="I3726" s="2">
        <v>301.5</v>
      </c>
      <c r="J3726">
        <v>3</v>
      </c>
      <c r="K3726" s="2">
        <v>15.525</v>
      </c>
      <c r="L3726" s="3">
        <f>(Table1[[#This Row],[Profit]]/Table1[[#This Row],[Sales]])*100</f>
        <v>5.1492537313432845</v>
      </c>
    </row>
    <row r="3727" spans="1:12" x14ac:dyDescent="0.3">
      <c r="A3727" t="s">
        <v>5464</v>
      </c>
      <c r="B3727" s="1">
        <v>44096</v>
      </c>
      <c r="C3727" t="s">
        <v>1465</v>
      </c>
      <c r="D3727" t="s">
        <v>1466</v>
      </c>
      <c r="E3727" t="s">
        <v>14</v>
      </c>
      <c r="F3727" t="s">
        <v>29</v>
      </c>
      <c r="G3727" t="s">
        <v>24</v>
      </c>
      <c r="H3727" t="s">
        <v>3617</v>
      </c>
      <c r="I3727" s="2">
        <v>130.04</v>
      </c>
      <c r="J3727">
        <v>8</v>
      </c>
      <c r="K3727" s="2">
        <v>15.5288</v>
      </c>
      <c r="L3727" s="3">
        <f>(Table1[[#This Row],[Profit]]/Table1[[#This Row],[Sales]])*100</f>
        <v>11.941556444171026</v>
      </c>
    </row>
    <row r="3728" spans="1:12" x14ac:dyDescent="0.3">
      <c r="A3728" t="s">
        <v>5938</v>
      </c>
      <c r="B3728" s="1">
        <v>44153</v>
      </c>
      <c r="C3728" t="s">
        <v>1145</v>
      </c>
      <c r="D3728" t="s">
        <v>1146</v>
      </c>
      <c r="E3728" t="s">
        <v>14</v>
      </c>
      <c r="F3728" t="s">
        <v>41</v>
      </c>
      <c r="G3728" t="s">
        <v>24</v>
      </c>
      <c r="H3728" t="s">
        <v>464</v>
      </c>
      <c r="I3728" s="2">
        <v>159.38399999999999</v>
      </c>
      <c r="J3728">
        <v>1</v>
      </c>
      <c r="K3728" s="2">
        <v>15.5344</v>
      </c>
      <c r="L3728" s="3">
        <f>(Table1[[#This Row],[Profit]]/Table1[[#This Row],[Sales]])*100</f>
        <v>9.7465241178537365</v>
      </c>
    </row>
    <row r="3729" spans="1:12" x14ac:dyDescent="0.3">
      <c r="A3729" t="s">
        <v>1659</v>
      </c>
      <c r="B3729" s="1">
        <v>43623</v>
      </c>
      <c r="C3729" t="s">
        <v>341</v>
      </c>
      <c r="D3729" t="s">
        <v>342</v>
      </c>
      <c r="E3729" t="s">
        <v>14</v>
      </c>
      <c r="F3729" t="s">
        <v>15</v>
      </c>
      <c r="G3729" t="s">
        <v>24</v>
      </c>
      <c r="H3729" t="s">
        <v>1159</v>
      </c>
      <c r="I3729" s="2">
        <v>32.4</v>
      </c>
      <c r="J3729">
        <v>5</v>
      </c>
      <c r="K3729" s="2">
        <v>15.552</v>
      </c>
      <c r="L3729" s="3">
        <f>(Table1[[#This Row],[Profit]]/Table1[[#This Row],[Sales]])*100</f>
        <v>48</v>
      </c>
    </row>
    <row r="3730" spans="1:12" x14ac:dyDescent="0.3">
      <c r="A3730" t="s">
        <v>1680</v>
      </c>
      <c r="B3730" s="1">
        <v>43626</v>
      </c>
      <c r="C3730" t="s">
        <v>1681</v>
      </c>
      <c r="D3730" t="s">
        <v>1682</v>
      </c>
      <c r="E3730" t="s">
        <v>14</v>
      </c>
      <c r="F3730" t="s">
        <v>23</v>
      </c>
      <c r="G3730" t="s">
        <v>24</v>
      </c>
      <c r="H3730" t="s">
        <v>1159</v>
      </c>
      <c r="I3730" s="2">
        <v>32.4</v>
      </c>
      <c r="J3730">
        <v>5</v>
      </c>
      <c r="K3730" s="2">
        <v>15.552</v>
      </c>
      <c r="L3730" s="3">
        <f>(Table1[[#This Row],[Profit]]/Table1[[#This Row],[Sales]])*100</f>
        <v>48</v>
      </c>
    </row>
    <row r="3731" spans="1:12" x14ac:dyDescent="0.3">
      <c r="A3731" t="s">
        <v>1768</v>
      </c>
      <c r="B3731" s="1">
        <v>43633</v>
      </c>
      <c r="C3731" t="s">
        <v>1769</v>
      </c>
      <c r="D3731" t="s">
        <v>1770</v>
      </c>
      <c r="E3731" t="s">
        <v>14</v>
      </c>
      <c r="F3731" t="s">
        <v>15</v>
      </c>
      <c r="G3731" t="s">
        <v>24</v>
      </c>
      <c r="H3731" t="s">
        <v>1771</v>
      </c>
      <c r="I3731" s="2">
        <v>32.4</v>
      </c>
      <c r="J3731">
        <v>5</v>
      </c>
      <c r="K3731" s="2">
        <v>15.552</v>
      </c>
      <c r="L3731" s="3">
        <f>(Table1[[#This Row],[Profit]]/Table1[[#This Row],[Sales]])*100</f>
        <v>48</v>
      </c>
    </row>
    <row r="3732" spans="1:12" x14ac:dyDescent="0.3">
      <c r="A3732" t="s">
        <v>2135</v>
      </c>
      <c r="B3732" s="1">
        <v>43668</v>
      </c>
      <c r="C3732" t="s">
        <v>2078</v>
      </c>
      <c r="D3732" t="s">
        <v>2079</v>
      </c>
      <c r="E3732" t="s">
        <v>14</v>
      </c>
      <c r="F3732" t="s">
        <v>29</v>
      </c>
      <c r="G3732" t="s">
        <v>24</v>
      </c>
      <c r="H3732" t="s">
        <v>2138</v>
      </c>
      <c r="I3732" s="2">
        <v>32.4</v>
      </c>
      <c r="J3732">
        <v>5</v>
      </c>
      <c r="K3732" s="2">
        <v>15.552</v>
      </c>
      <c r="L3732" s="3">
        <f>(Table1[[#This Row],[Profit]]/Table1[[#This Row],[Sales]])*100</f>
        <v>48</v>
      </c>
    </row>
    <row r="3733" spans="1:12" x14ac:dyDescent="0.3">
      <c r="A3733" t="s">
        <v>2294</v>
      </c>
      <c r="B3733" s="1">
        <v>43688</v>
      </c>
      <c r="C3733" t="s">
        <v>2295</v>
      </c>
      <c r="D3733" t="s">
        <v>2296</v>
      </c>
      <c r="E3733" t="s">
        <v>14</v>
      </c>
      <c r="F3733" t="s">
        <v>29</v>
      </c>
      <c r="G3733" t="s">
        <v>24</v>
      </c>
      <c r="H3733" t="s">
        <v>1811</v>
      </c>
      <c r="I3733" s="2">
        <v>32.4</v>
      </c>
      <c r="J3733">
        <v>5</v>
      </c>
      <c r="K3733" s="2">
        <v>15.552</v>
      </c>
      <c r="L3733" s="3">
        <f>(Table1[[#This Row],[Profit]]/Table1[[#This Row],[Sales]])*100</f>
        <v>48</v>
      </c>
    </row>
    <row r="3734" spans="1:12" x14ac:dyDescent="0.3">
      <c r="A3734" t="s">
        <v>2354</v>
      </c>
      <c r="B3734" s="1">
        <v>43693</v>
      </c>
      <c r="C3734" t="s">
        <v>2355</v>
      </c>
      <c r="D3734" t="s">
        <v>2356</v>
      </c>
      <c r="E3734" t="s">
        <v>14</v>
      </c>
      <c r="F3734" t="s">
        <v>23</v>
      </c>
      <c r="G3734" t="s">
        <v>24</v>
      </c>
      <c r="H3734" t="s">
        <v>918</v>
      </c>
      <c r="I3734" s="2">
        <v>32.4</v>
      </c>
      <c r="J3734">
        <v>5</v>
      </c>
      <c r="K3734" s="2">
        <v>15.552</v>
      </c>
      <c r="L3734" s="3">
        <f>(Table1[[#This Row],[Profit]]/Table1[[#This Row],[Sales]])*100</f>
        <v>48</v>
      </c>
    </row>
    <row r="3735" spans="1:12" x14ac:dyDescent="0.3">
      <c r="A3735" t="s">
        <v>3191</v>
      </c>
      <c r="B3735" s="1">
        <v>43766</v>
      </c>
      <c r="C3735" t="s">
        <v>197</v>
      </c>
      <c r="D3735" t="s">
        <v>198</v>
      </c>
      <c r="E3735" t="s">
        <v>14</v>
      </c>
      <c r="F3735" t="s">
        <v>15</v>
      </c>
      <c r="G3735" t="s">
        <v>24</v>
      </c>
      <c r="H3735" t="s">
        <v>3192</v>
      </c>
      <c r="I3735" s="2">
        <v>32.4</v>
      </c>
      <c r="J3735">
        <v>5</v>
      </c>
      <c r="K3735" s="2">
        <v>15.552</v>
      </c>
      <c r="L3735" s="3">
        <f>(Table1[[#This Row],[Profit]]/Table1[[#This Row],[Sales]])*100</f>
        <v>48</v>
      </c>
    </row>
    <row r="3736" spans="1:12" x14ac:dyDescent="0.3">
      <c r="A3736" t="s">
        <v>3331</v>
      </c>
      <c r="B3736" s="1">
        <v>43779</v>
      </c>
      <c r="C3736" t="s">
        <v>133</v>
      </c>
      <c r="D3736" t="s">
        <v>134</v>
      </c>
      <c r="E3736" t="s">
        <v>14</v>
      </c>
      <c r="F3736" t="s">
        <v>23</v>
      </c>
      <c r="G3736" t="s">
        <v>24</v>
      </c>
      <c r="H3736" t="s">
        <v>3332</v>
      </c>
      <c r="I3736" s="2">
        <v>32.4</v>
      </c>
      <c r="J3736">
        <v>5</v>
      </c>
      <c r="K3736" s="2">
        <v>15.552</v>
      </c>
      <c r="L3736" s="3">
        <f>(Table1[[#This Row],[Profit]]/Table1[[#This Row],[Sales]])*100</f>
        <v>48</v>
      </c>
    </row>
    <row r="3737" spans="1:12" x14ac:dyDescent="0.3">
      <c r="A3737" t="s">
        <v>3520</v>
      </c>
      <c r="B3737" s="1">
        <v>43790</v>
      </c>
      <c r="C3737" t="s">
        <v>1368</v>
      </c>
      <c r="D3737" t="s">
        <v>1369</v>
      </c>
      <c r="E3737" t="s">
        <v>14</v>
      </c>
      <c r="F3737" t="s">
        <v>23</v>
      </c>
      <c r="G3737" t="s">
        <v>24</v>
      </c>
      <c r="H3737" t="s">
        <v>1296</v>
      </c>
      <c r="I3737" s="2">
        <v>32.4</v>
      </c>
      <c r="J3737">
        <v>5</v>
      </c>
      <c r="K3737" s="2">
        <v>15.552</v>
      </c>
      <c r="L3737" s="3">
        <f>(Table1[[#This Row],[Profit]]/Table1[[#This Row],[Sales]])*100</f>
        <v>48</v>
      </c>
    </row>
    <row r="3738" spans="1:12" x14ac:dyDescent="0.3">
      <c r="A3738" t="s">
        <v>4006</v>
      </c>
      <c r="B3738" s="1">
        <v>43843</v>
      </c>
      <c r="C3738" t="s">
        <v>811</v>
      </c>
      <c r="D3738" t="s">
        <v>812</v>
      </c>
      <c r="E3738" t="s">
        <v>14</v>
      </c>
      <c r="F3738" t="s">
        <v>29</v>
      </c>
      <c r="G3738" t="s">
        <v>24</v>
      </c>
      <c r="H3738" t="s">
        <v>1362</v>
      </c>
      <c r="I3738" s="2">
        <v>121.4</v>
      </c>
      <c r="J3738">
        <v>5</v>
      </c>
      <c r="K3738" s="2">
        <v>15.552</v>
      </c>
      <c r="L3738" s="3">
        <f>(Table1[[#This Row],[Profit]]/Table1[[#This Row],[Sales]])*100</f>
        <v>12.810543657331136</v>
      </c>
    </row>
    <row r="3739" spans="1:12" x14ac:dyDescent="0.3">
      <c r="A3739" t="s">
        <v>4580</v>
      </c>
      <c r="B3739" s="1">
        <v>43955</v>
      </c>
      <c r="C3739" t="s">
        <v>3673</v>
      </c>
      <c r="D3739" t="s">
        <v>3674</v>
      </c>
      <c r="E3739" t="s">
        <v>14</v>
      </c>
      <c r="F3739" t="s">
        <v>41</v>
      </c>
      <c r="G3739" t="s">
        <v>24</v>
      </c>
      <c r="H3739" t="s">
        <v>1362</v>
      </c>
      <c r="I3739" s="2">
        <v>130.4</v>
      </c>
      <c r="J3739">
        <v>5</v>
      </c>
      <c r="K3739" s="2">
        <v>15.552</v>
      </c>
      <c r="L3739" s="3">
        <f>(Table1[[#This Row],[Profit]]/Table1[[#This Row],[Sales]])*100</f>
        <v>11.92638036809816</v>
      </c>
    </row>
    <row r="3740" spans="1:12" x14ac:dyDescent="0.3">
      <c r="A3740" t="s">
        <v>4872</v>
      </c>
      <c r="B3740" s="1">
        <v>44002</v>
      </c>
      <c r="C3740" t="s">
        <v>148</v>
      </c>
      <c r="D3740" t="s">
        <v>149</v>
      </c>
      <c r="E3740" t="s">
        <v>14</v>
      </c>
      <c r="F3740" t="s">
        <v>41</v>
      </c>
      <c r="G3740" t="s">
        <v>24</v>
      </c>
      <c r="H3740" t="s">
        <v>1647</v>
      </c>
      <c r="I3740" s="2">
        <v>129.4</v>
      </c>
      <c r="J3740">
        <v>5</v>
      </c>
      <c r="K3740" s="2">
        <v>15.552</v>
      </c>
      <c r="L3740" s="3">
        <f>(Table1[[#This Row],[Profit]]/Table1[[#This Row],[Sales]])*100</f>
        <v>12.018547140649149</v>
      </c>
    </row>
    <row r="3741" spans="1:12" x14ac:dyDescent="0.3">
      <c r="A3741" t="s">
        <v>5024</v>
      </c>
      <c r="B3741" s="1">
        <v>44029</v>
      </c>
      <c r="C3741" t="s">
        <v>49</v>
      </c>
      <c r="D3741" t="s">
        <v>50</v>
      </c>
      <c r="E3741" t="s">
        <v>14</v>
      </c>
      <c r="F3741" t="s">
        <v>23</v>
      </c>
      <c r="G3741" t="s">
        <v>24</v>
      </c>
      <c r="H3741" t="s">
        <v>3772</v>
      </c>
      <c r="I3741" s="2">
        <v>106.4</v>
      </c>
      <c r="J3741">
        <v>5</v>
      </c>
      <c r="K3741" s="2">
        <v>15.552</v>
      </c>
      <c r="L3741" s="3">
        <f>(Table1[[#This Row],[Profit]]/Table1[[#This Row],[Sales]])*100</f>
        <v>14.616541353383457</v>
      </c>
    </row>
    <row r="3742" spans="1:12" x14ac:dyDescent="0.3">
      <c r="A3742" t="s">
        <v>5448</v>
      </c>
      <c r="B3742" s="1">
        <v>44093</v>
      </c>
      <c r="C3742" t="s">
        <v>1048</v>
      </c>
      <c r="D3742" t="s">
        <v>1049</v>
      </c>
      <c r="E3742" t="s">
        <v>14</v>
      </c>
      <c r="F3742" t="s">
        <v>15</v>
      </c>
      <c r="G3742" t="s">
        <v>24</v>
      </c>
      <c r="H3742" t="s">
        <v>1575</v>
      </c>
      <c r="I3742" s="2">
        <v>128.4</v>
      </c>
      <c r="J3742">
        <v>5</v>
      </c>
      <c r="K3742" s="2">
        <v>15.552</v>
      </c>
      <c r="L3742" s="3">
        <f>(Table1[[#This Row],[Profit]]/Table1[[#This Row],[Sales]])*100</f>
        <v>12.11214953271028</v>
      </c>
    </row>
    <row r="3743" spans="1:12" x14ac:dyDescent="0.3">
      <c r="A3743" t="s">
        <v>6209</v>
      </c>
      <c r="B3743" s="1">
        <v>44183</v>
      </c>
      <c r="C3743" t="s">
        <v>3064</v>
      </c>
      <c r="D3743" t="s">
        <v>3065</v>
      </c>
      <c r="E3743" t="s">
        <v>14</v>
      </c>
      <c r="F3743" t="s">
        <v>23</v>
      </c>
      <c r="G3743" t="s">
        <v>24</v>
      </c>
      <c r="H3743" t="s">
        <v>2001</v>
      </c>
      <c r="I3743" s="2">
        <v>723.4</v>
      </c>
      <c r="J3743">
        <v>5</v>
      </c>
      <c r="K3743" s="2">
        <v>15.552</v>
      </c>
      <c r="L3743" s="3">
        <f>(Table1[[#This Row],[Profit]]/Table1[[#This Row],[Sales]])*100</f>
        <v>2.1498479402820019</v>
      </c>
    </row>
    <row r="3744" spans="1:12" x14ac:dyDescent="0.3">
      <c r="A3744" t="s">
        <v>3513</v>
      </c>
      <c r="B3744" s="1">
        <v>43790</v>
      </c>
      <c r="C3744" t="s">
        <v>1631</v>
      </c>
      <c r="D3744" t="s">
        <v>1632</v>
      </c>
      <c r="E3744" t="s">
        <v>14</v>
      </c>
      <c r="F3744" t="s">
        <v>15</v>
      </c>
      <c r="G3744" t="s">
        <v>16</v>
      </c>
      <c r="H3744" t="s">
        <v>1230</v>
      </c>
      <c r="I3744" s="2">
        <v>77.951999999999998</v>
      </c>
      <c r="J3744">
        <v>3</v>
      </c>
      <c r="K3744" s="2">
        <v>15.590400000000001</v>
      </c>
      <c r="L3744" s="3">
        <f>(Table1[[#This Row],[Profit]]/Table1[[#This Row],[Sales]])*100</f>
        <v>20</v>
      </c>
    </row>
    <row r="3745" spans="1:12" x14ac:dyDescent="0.3">
      <c r="A3745" t="s">
        <v>5718</v>
      </c>
      <c r="B3745" s="1">
        <v>44132</v>
      </c>
      <c r="C3745" t="s">
        <v>800</v>
      </c>
      <c r="D3745" t="s">
        <v>801</v>
      </c>
      <c r="E3745" t="s">
        <v>14</v>
      </c>
      <c r="F3745" t="s">
        <v>41</v>
      </c>
      <c r="G3745" t="s">
        <v>16</v>
      </c>
      <c r="H3745" t="s">
        <v>1230</v>
      </c>
      <c r="I3745" s="2">
        <v>177.952</v>
      </c>
      <c r="J3745">
        <v>3</v>
      </c>
      <c r="K3745" s="2">
        <v>15.590400000000001</v>
      </c>
      <c r="L3745" s="3">
        <f>(Table1[[#This Row],[Profit]]/Table1[[#This Row],[Sales]])*100</f>
        <v>8.7610142060780447</v>
      </c>
    </row>
    <row r="3746" spans="1:12" x14ac:dyDescent="0.3">
      <c r="A3746" t="s">
        <v>3861</v>
      </c>
      <c r="B3746" s="1">
        <v>43819</v>
      </c>
      <c r="C3746" t="s">
        <v>3862</v>
      </c>
      <c r="D3746" t="s">
        <v>3863</v>
      </c>
      <c r="E3746" t="s">
        <v>14</v>
      </c>
      <c r="F3746" t="s">
        <v>29</v>
      </c>
      <c r="G3746" t="s">
        <v>24</v>
      </c>
      <c r="H3746" t="s">
        <v>3864</v>
      </c>
      <c r="I3746" s="2">
        <v>33.9</v>
      </c>
      <c r="J3746">
        <v>5</v>
      </c>
      <c r="K3746" s="2">
        <v>15.593999999999999</v>
      </c>
      <c r="L3746" s="3">
        <f>(Table1[[#This Row],[Profit]]/Table1[[#This Row],[Sales]])*100</f>
        <v>46</v>
      </c>
    </row>
    <row r="3747" spans="1:12" x14ac:dyDescent="0.3">
      <c r="A3747" t="s">
        <v>3923</v>
      </c>
      <c r="B3747" s="1">
        <v>43825</v>
      </c>
      <c r="C3747" t="s">
        <v>164</v>
      </c>
      <c r="D3747" t="s">
        <v>165</v>
      </c>
      <c r="E3747" t="s">
        <v>14</v>
      </c>
      <c r="F3747" t="s">
        <v>23</v>
      </c>
      <c r="G3747" t="s">
        <v>24</v>
      </c>
      <c r="H3747" t="s">
        <v>3864</v>
      </c>
      <c r="I3747" s="2">
        <v>33.9</v>
      </c>
      <c r="J3747">
        <v>5</v>
      </c>
      <c r="K3747" s="2">
        <v>15.593999999999999</v>
      </c>
      <c r="L3747" s="3">
        <f>(Table1[[#This Row],[Profit]]/Table1[[#This Row],[Sales]])*100</f>
        <v>46</v>
      </c>
    </row>
    <row r="3748" spans="1:12" x14ac:dyDescent="0.3">
      <c r="A3748" t="s">
        <v>5773</v>
      </c>
      <c r="B3748" s="1">
        <v>44139</v>
      </c>
      <c r="C3748" t="s">
        <v>309</v>
      </c>
      <c r="D3748" t="s">
        <v>310</v>
      </c>
      <c r="E3748" t="s">
        <v>14</v>
      </c>
      <c r="F3748" t="s">
        <v>41</v>
      </c>
      <c r="G3748" t="s">
        <v>18</v>
      </c>
      <c r="H3748" t="s">
        <v>5455</v>
      </c>
      <c r="I3748" s="2">
        <v>111.976</v>
      </c>
      <c r="J3748">
        <v>3</v>
      </c>
      <c r="K3748" s="2">
        <v>15.5961</v>
      </c>
      <c r="L3748" s="3">
        <f>(Table1[[#This Row],[Profit]]/Table1[[#This Row],[Sales]])*100</f>
        <v>13.92807387297278</v>
      </c>
    </row>
    <row r="3749" spans="1:12" x14ac:dyDescent="0.3">
      <c r="A3749" t="s">
        <v>5076</v>
      </c>
      <c r="B3749" s="1">
        <v>44041</v>
      </c>
      <c r="C3749" t="s">
        <v>75</v>
      </c>
      <c r="D3749" t="s">
        <v>76</v>
      </c>
      <c r="E3749" t="s">
        <v>14</v>
      </c>
      <c r="F3749" t="s">
        <v>29</v>
      </c>
      <c r="G3749" t="s">
        <v>18</v>
      </c>
      <c r="H3749" t="s">
        <v>2556</v>
      </c>
      <c r="I3749" s="2">
        <v>151.792</v>
      </c>
      <c r="J3749">
        <v>1</v>
      </c>
      <c r="K3749" s="2">
        <v>15.599</v>
      </c>
      <c r="L3749" s="3">
        <f>(Table1[[#This Row],[Profit]]/Table1[[#This Row],[Sales]])*100</f>
        <v>10.27656266469906</v>
      </c>
    </row>
    <row r="3750" spans="1:12" x14ac:dyDescent="0.3">
      <c r="A3750" t="s">
        <v>4112</v>
      </c>
      <c r="B3750" s="1">
        <v>43867</v>
      </c>
      <c r="C3750" t="s">
        <v>664</v>
      </c>
      <c r="D3750" t="s">
        <v>665</v>
      </c>
      <c r="E3750" t="s">
        <v>14</v>
      </c>
      <c r="F3750" t="s">
        <v>15</v>
      </c>
      <c r="G3750" t="s">
        <v>24</v>
      </c>
      <c r="H3750" t="s">
        <v>1410</v>
      </c>
      <c r="I3750" s="2">
        <v>134.24</v>
      </c>
      <c r="J3750">
        <v>4</v>
      </c>
      <c r="K3750" s="2">
        <v>15.606</v>
      </c>
      <c r="L3750" s="3">
        <f>(Table1[[#This Row],[Profit]]/Table1[[#This Row],[Sales]])*100</f>
        <v>11.62544696066746</v>
      </c>
    </row>
    <row r="3751" spans="1:12" x14ac:dyDescent="0.3">
      <c r="A3751" t="s">
        <v>959</v>
      </c>
      <c r="B3751" s="1">
        <v>43565</v>
      </c>
      <c r="C3751" t="s">
        <v>960</v>
      </c>
      <c r="D3751" t="s">
        <v>961</v>
      </c>
      <c r="E3751" t="s">
        <v>14</v>
      </c>
      <c r="F3751" t="s">
        <v>23</v>
      </c>
      <c r="G3751" t="s">
        <v>24</v>
      </c>
      <c r="H3751" t="s">
        <v>965</v>
      </c>
      <c r="I3751" s="2">
        <v>48.031999999999996</v>
      </c>
      <c r="J3751">
        <v>4</v>
      </c>
      <c r="K3751" s="2">
        <v>15.6104</v>
      </c>
      <c r="L3751" s="3">
        <f>(Table1[[#This Row],[Profit]]/Table1[[#This Row],[Sales]])*100</f>
        <v>32.5</v>
      </c>
    </row>
    <row r="3752" spans="1:12" x14ac:dyDescent="0.3">
      <c r="A3752" t="s">
        <v>4182</v>
      </c>
      <c r="B3752" s="1">
        <v>43887</v>
      </c>
      <c r="C3752" t="s">
        <v>706</v>
      </c>
      <c r="D3752" t="s">
        <v>707</v>
      </c>
      <c r="E3752" t="s">
        <v>14</v>
      </c>
      <c r="F3752" t="s">
        <v>23</v>
      </c>
      <c r="G3752" t="s">
        <v>16</v>
      </c>
      <c r="H3752" t="s">
        <v>201</v>
      </c>
      <c r="I3752" s="2">
        <v>106.96</v>
      </c>
      <c r="J3752">
        <v>2</v>
      </c>
      <c r="K3752" s="2">
        <v>15.6332</v>
      </c>
      <c r="L3752" s="3">
        <f>(Table1[[#This Row],[Profit]]/Table1[[#This Row],[Sales]])*100</f>
        <v>14.61593118922962</v>
      </c>
    </row>
    <row r="3753" spans="1:12" x14ac:dyDescent="0.3">
      <c r="A3753" t="s">
        <v>4661</v>
      </c>
      <c r="B3753" s="1">
        <v>43969</v>
      </c>
      <c r="C3753" t="s">
        <v>192</v>
      </c>
      <c r="D3753" t="s">
        <v>193</v>
      </c>
      <c r="E3753" t="s">
        <v>14</v>
      </c>
      <c r="F3753" t="s">
        <v>41</v>
      </c>
      <c r="G3753" t="s">
        <v>18</v>
      </c>
      <c r="H3753" t="s">
        <v>4659</v>
      </c>
      <c r="I3753" s="2">
        <v>129.75</v>
      </c>
      <c r="J3753">
        <v>5</v>
      </c>
      <c r="K3753" s="2">
        <v>15.637499999999999</v>
      </c>
      <c r="L3753" s="3">
        <f>(Table1[[#This Row],[Profit]]/Table1[[#This Row],[Sales]])*100</f>
        <v>12.052023121387283</v>
      </c>
    </row>
    <row r="3754" spans="1:12" x14ac:dyDescent="0.3">
      <c r="A3754" t="s">
        <v>4661</v>
      </c>
      <c r="B3754" s="1">
        <v>43969</v>
      </c>
      <c r="C3754" t="s">
        <v>192</v>
      </c>
      <c r="D3754" t="s">
        <v>193</v>
      </c>
      <c r="E3754" t="s">
        <v>14</v>
      </c>
      <c r="F3754" t="s">
        <v>41</v>
      </c>
      <c r="G3754" t="s">
        <v>18</v>
      </c>
      <c r="H3754" t="s">
        <v>2289</v>
      </c>
      <c r="I3754" s="2">
        <v>149.97999999999999</v>
      </c>
      <c r="J3754">
        <v>2</v>
      </c>
      <c r="K3754" s="2">
        <v>15.6744</v>
      </c>
      <c r="L3754" s="3">
        <f>(Table1[[#This Row],[Profit]]/Table1[[#This Row],[Sales]])*100</f>
        <v>10.45099346579544</v>
      </c>
    </row>
    <row r="3755" spans="1:12" x14ac:dyDescent="0.3">
      <c r="A3755" t="s">
        <v>187</v>
      </c>
      <c r="B3755" s="1">
        <v>43489</v>
      </c>
      <c r="C3755" t="s">
        <v>188</v>
      </c>
      <c r="D3755" t="s">
        <v>189</v>
      </c>
      <c r="E3755" t="s">
        <v>14</v>
      </c>
      <c r="F3755" t="s">
        <v>41</v>
      </c>
      <c r="G3755" t="s">
        <v>24</v>
      </c>
      <c r="H3755" t="s">
        <v>190</v>
      </c>
      <c r="I3755" s="2">
        <v>31.36</v>
      </c>
      <c r="J3755">
        <v>4</v>
      </c>
      <c r="K3755" s="2">
        <v>15.68</v>
      </c>
      <c r="L3755" s="3">
        <f>(Table1[[#This Row],[Profit]]/Table1[[#This Row],[Sales]])*100</f>
        <v>50</v>
      </c>
    </row>
    <row r="3756" spans="1:12" x14ac:dyDescent="0.3">
      <c r="A3756" t="s">
        <v>3749</v>
      </c>
      <c r="B3756" s="1">
        <v>43808</v>
      </c>
      <c r="C3756" t="s">
        <v>84</v>
      </c>
      <c r="D3756" t="s">
        <v>85</v>
      </c>
      <c r="E3756" t="s">
        <v>14</v>
      </c>
      <c r="F3756" t="s">
        <v>29</v>
      </c>
      <c r="G3756" t="s">
        <v>24</v>
      </c>
      <c r="H3756" t="s">
        <v>2421</v>
      </c>
      <c r="I3756" s="2">
        <v>60.34</v>
      </c>
      <c r="J3756">
        <v>7</v>
      </c>
      <c r="K3756" s="2">
        <v>15.6884</v>
      </c>
      <c r="L3756" s="3">
        <f>(Table1[[#This Row],[Profit]]/Table1[[#This Row],[Sales]])*100</f>
        <v>25.999999999999996</v>
      </c>
    </row>
    <row r="3757" spans="1:12" x14ac:dyDescent="0.3">
      <c r="A3757" t="s">
        <v>6140</v>
      </c>
      <c r="B3757" s="1">
        <v>44174</v>
      </c>
      <c r="C3757" t="s">
        <v>847</v>
      </c>
      <c r="D3757" t="s">
        <v>848</v>
      </c>
      <c r="E3757" t="s">
        <v>14</v>
      </c>
      <c r="F3757" t="s">
        <v>23</v>
      </c>
      <c r="G3757" t="s">
        <v>16</v>
      </c>
      <c r="H3757" t="s">
        <v>4808</v>
      </c>
      <c r="I3757" s="2">
        <v>164.25700000000001</v>
      </c>
      <c r="J3757">
        <v>3</v>
      </c>
      <c r="K3757" s="2">
        <v>15.697800000000001</v>
      </c>
      <c r="L3757" s="3">
        <f>(Table1[[#This Row],[Profit]]/Table1[[#This Row],[Sales]])*100</f>
        <v>9.5568529803904863</v>
      </c>
    </row>
    <row r="3758" spans="1:12" x14ac:dyDescent="0.3">
      <c r="A3758" t="s">
        <v>2266</v>
      </c>
      <c r="B3758" s="1">
        <v>43683</v>
      </c>
      <c r="C3758" t="s">
        <v>2267</v>
      </c>
      <c r="D3758" t="s">
        <v>2268</v>
      </c>
      <c r="E3758" t="s">
        <v>14</v>
      </c>
      <c r="F3758" t="s">
        <v>15</v>
      </c>
      <c r="G3758" t="s">
        <v>24</v>
      </c>
      <c r="H3758" t="s">
        <v>911</v>
      </c>
      <c r="I3758" s="2">
        <v>38.340000000000003</v>
      </c>
      <c r="J3758">
        <v>9</v>
      </c>
      <c r="K3758" s="2">
        <v>15.7194</v>
      </c>
      <c r="L3758" s="3">
        <f>(Table1[[#This Row],[Profit]]/Table1[[#This Row],[Sales]])*100</f>
        <v>41</v>
      </c>
    </row>
    <row r="3759" spans="1:12" x14ac:dyDescent="0.3">
      <c r="A3759" t="s">
        <v>1630</v>
      </c>
      <c r="B3759" s="1">
        <v>43621</v>
      </c>
      <c r="C3759" t="s">
        <v>1631</v>
      </c>
      <c r="D3759" t="s">
        <v>1632</v>
      </c>
      <c r="E3759" t="s">
        <v>14</v>
      </c>
      <c r="F3759" t="s">
        <v>23</v>
      </c>
      <c r="G3759" t="s">
        <v>24</v>
      </c>
      <c r="H3759" t="s">
        <v>1633</v>
      </c>
      <c r="I3759" s="2">
        <v>58.24</v>
      </c>
      <c r="J3759">
        <v>4</v>
      </c>
      <c r="K3759" s="2">
        <v>15.7248</v>
      </c>
      <c r="L3759" s="3">
        <f>(Table1[[#This Row],[Profit]]/Table1[[#This Row],[Sales]])*100</f>
        <v>27</v>
      </c>
    </row>
    <row r="3760" spans="1:12" x14ac:dyDescent="0.3">
      <c r="A3760" t="s">
        <v>4425</v>
      </c>
      <c r="B3760" s="1">
        <v>43929</v>
      </c>
      <c r="C3760" t="s">
        <v>1794</v>
      </c>
      <c r="D3760" t="s">
        <v>1795</v>
      </c>
      <c r="E3760" t="s">
        <v>14</v>
      </c>
      <c r="F3760" t="s">
        <v>41</v>
      </c>
      <c r="G3760" t="s">
        <v>16</v>
      </c>
      <c r="H3760" t="s">
        <v>2683</v>
      </c>
      <c r="I3760" s="2">
        <v>126.28</v>
      </c>
      <c r="J3760">
        <v>6</v>
      </c>
      <c r="K3760" s="2">
        <v>15.7584</v>
      </c>
      <c r="L3760" s="3">
        <f>(Table1[[#This Row],[Profit]]/Table1[[#This Row],[Sales]])*100</f>
        <v>12.478935698447893</v>
      </c>
    </row>
    <row r="3761" spans="1:12" x14ac:dyDescent="0.3">
      <c r="A3761" t="s">
        <v>5163</v>
      </c>
      <c r="B3761" s="1">
        <v>44061</v>
      </c>
      <c r="C3761" t="s">
        <v>4138</v>
      </c>
      <c r="D3761" t="s">
        <v>4139</v>
      </c>
      <c r="E3761" t="s">
        <v>14</v>
      </c>
      <c r="F3761" t="s">
        <v>15</v>
      </c>
      <c r="G3761" t="s">
        <v>16</v>
      </c>
      <c r="H3761" t="s">
        <v>5176</v>
      </c>
      <c r="I3761" s="2">
        <v>134.47999999999999</v>
      </c>
      <c r="J3761">
        <v>2</v>
      </c>
      <c r="K3761" s="2">
        <v>15.7872</v>
      </c>
      <c r="L3761" s="3">
        <f>(Table1[[#This Row],[Profit]]/Table1[[#This Row],[Sales]])*100</f>
        <v>11.739440809042238</v>
      </c>
    </row>
    <row r="3762" spans="1:12" x14ac:dyDescent="0.3">
      <c r="A3762" t="s">
        <v>3242</v>
      </c>
      <c r="B3762" s="1">
        <v>43772</v>
      </c>
      <c r="C3762" t="s">
        <v>2456</v>
      </c>
      <c r="D3762" t="s">
        <v>2457</v>
      </c>
      <c r="E3762" t="s">
        <v>14</v>
      </c>
      <c r="F3762" t="s">
        <v>23</v>
      </c>
      <c r="G3762" t="s">
        <v>24</v>
      </c>
      <c r="H3762" t="s">
        <v>3106</v>
      </c>
      <c r="I3762" s="2">
        <v>43.584000000000003</v>
      </c>
      <c r="J3762">
        <v>12</v>
      </c>
      <c r="K3762" s="2">
        <v>15.799200000000001</v>
      </c>
      <c r="L3762" s="3">
        <f>(Table1[[#This Row],[Profit]]/Table1[[#This Row],[Sales]])*100</f>
        <v>36.25</v>
      </c>
    </row>
    <row r="3763" spans="1:12" x14ac:dyDescent="0.3">
      <c r="A3763" t="s">
        <v>2829</v>
      </c>
      <c r="B3763" s="1">
        <v>43728</v>
      </c>
      <c r="C3763" t="s">
        <v>2830</v>
      </c>
      <c r="D3763" t="s">
        <v>2831</v>
      </c>
      <c r="E3763" t="s">
        <v>14</v>
      </c>
      <c r="F3763" t="s">
        <v>23</v>
      </c>
      <c r="G3763" t="s">
        <v>24</v>
      </c>
      <c r="H3763" t="s">
        <v>2833</v>
      </c>
      <c r="I3763" s="2">
        <v>48.64</v>
      </c>
      <c r="J3763">
        <v>2</v>
      </c>
      <c r="K3763" s="2">
        <v>15.808</v>
      </c>
      <c r="L3763" s="3">
        <f>(Table1[[#This Row],[Profit]]/Table1[[#This Row],[Sales]])*100</f>
        <v>32.5</v>
      </c>
    </row>
    <row r="3764" spans="1:12" x14ac:dyDescent="0.3">
      <c r="A3764" t="s">
        <v>2747</v>
      </c>
      <c r="B3764" s="1">
        <v>43723</v>
      </c>
      <c r="C3764" t="s">
        <v>1179</v>
      </c>
      <c r="D3764" t="s">
        <v>1180</v>
      </c>
      <c r="E3764" t="s">
        <v>14</v>
      </c>
      <c r="F3764" t="s">
        <v>23</v>
      </c>
      <c r="G3764" t="s">
        <v>24</v>
      </c>
      <c r="H3764" t="s">
        <v>2748</v>
      </c>
      <c r="I3764" s="2">
        <v>48.664000000000001</v>
      </c>
      <c r="J3764">
        <v>7</v>
      </c>
      <c r="K3764" s="2">
        <v>15.815799999999999</v>
      </c>
      <c r="L3764" s="3">
        <f>(Table1[[#This Row],[Profit]]/Table1[[#This Row],[Sales]])*100</f>
        <v>32.499999999999993</v>
      </c>
    </row>
    <row r="3765" spans="1:12" x14ac:dyDescent="0.3">
      <c r="A3765" t="s">
        <v>907</v>
      </c>
      <c r="B3765" s="1">
        <v>43563</v>
      </c>
      <c r="C3765" t="s">
        <v>908</v>
      </c>
      <c r="D3765" t="s">
        <v>909</v>
      </c>
      <c r="E3765" t="s">
        <v>14</v>
      </c>
      <c r="F3765" t="s">
        <v>15</v>
      </c>
      <c r="G3765" t="s">
        <v>24</v>
      </c>
      <c r="H3765" t="s">
        <v>912</v>
      </c>
      <c r="I3765" s="2">
        <v>34.4</v>
      </c>
      <c r="J3765">
        <v>5</v>
      </c>
      <c r="K3765" s="2">
        <v>15.824</v>
      </c>
      <c r="L3765" s="3">
        <f>(Table1[[#This Row],[Profit]]/Table1[[#This Row],[Sales]])*100</f>
        <v>46</v>
      </c>
    </row>
    <row r="3766" spans="1:12" x14ac:dyDescent="0.3">
      <c r="A3766" t="s">
        <v>4570</v>
      </c>
      <c r="B3766" s="1">
        <v>43953</v>
      </c>
      <c r="C3766" t="s">
        <v>2397</v>
      </c>
      <c r="D3766" t="s">
        <v>2398</v>
      </c>
      <c r="E3766" t="s">
        <v>14</v>
      </c>
      <c r="F3766" t="s">
        <v>23</v>
      </c>
      <c r="G3766" t="s">
        <v>24</v>
      </c>
      <c r="H3766" t="s">
        <v>912</v>
      </c>
      <c r="I3766" s="2">
        <v>142.4</v>
      </c>
      <c r="J3766">
        <v>5</v>
      </c>
      <c r="K3766" s="2">
        <v>15.824</v>
      </c>
      <c r="L3766" s="3">
        <f>(Table1[[#This Row],[Profit]]/Table1[[#This Row],[Sales]])*100</f>
        <v>11.112359550561797</v>
      </c>
    </row>
    <row r="3767" spans="1:12" x14ac:dyDescent="0.3">
      <c r="A3767" t="s">
        <v>3793</v>
      </c>
      <c r="B3767" s="1">
        <v>43811</v>
      </c>
      <c r="C3767" t="s">
        <v>1061</v>
      </c>
      <c r="D3767" t="s">
        <v>1062</v>
      </c>
      <c r="E3767" t="s">
        <v>14</v>
      </c>
      <c r="F3767" t="s">
        <v>23</v>
      </c>
      <c r="G3767" t="s">
        <v>24</v>
      </c>
      <c r="H3767" t="s">
        <v>833</v>
      </c>
      <c r="I3767" s="2">
        <v>56.52</v>
      </c>
      <c r="J3767">
        <v>3</v>
      </c>
      <c r="K3767" s="2">
        <v>15.8256</v>
      </c>
      <c r="L3767" s="3">
        <f>(Table1[[#This Row],[Profit]]/Table1[[#This Row],[Sales]])*100</f>
        <v>27.999999999999996</v>
      </c>
    </row>
    <row r="3768" spans="1:12" x14ac:dyDescent="0.3">
      <c r="A3768" t="s">
        <v>4003</v>
      </c>
      <c r="B3768" s="1">
        <v>43842</v>
      </c>
      <c r="C3768" t="s">
        <v>4004</v>
      </c>
      <c r="D3768" t="s">
        <v>4005</v>
      </c>
      <c r="E3768" t="s">
        <v>14</v>
      </c>
      <c r="F3768" t="s">
        <v>15</v>
      </c>
      <c r="G3768" t="s">
        <v>16</v>
      </c>
      <c r="H3768" t="s">
        <v>1187</v>
      </c>
      <c r="I3768" s="2">
        <v>164.68</v>
      </c>
      <c r="J3768">
        <v>2</v>
      </c>
      <c r="K3768" s="2">
        <v>15.8256</v>
      </c>
      <c r="L3768" s="3">
        <f>(Table1[[#This Row],[Profit]]/Table1[[#This Row],[Sales]])*100</f>
        <v>9.6099101287345157</v>
      </c>
    </row>
    <row r="3769" spans="1:12" x14ac:dyDescent="0.3">
      <c r="A3769" t="s">
        <v>4336</v>
      </c>
      <c r="B3769" s="1">
        <v>43915</v>
      </c>
      <c r="C3769" t="s">
        <v>2574</v>
      </c>
      <c r="D3769" t="s">
        <v>2575</v>
      </c>
      <c r="E3769" t="s">
        <v>14</v>
      </c>
      <c r="F3769" t="s">
        <v>23</v>
      </c>
      <c r="G3769" t="s">
        <v>18</v>
      </c>
      <c r="H3769" t="s">
        <v>809</v>
      </c>
      <c r="I3769" s="2">
        <v>234.16800000000001</v>
      </c>
      <c r="J3769">
        <v>4</v>
      </c>
      <c r="K3769" s="2">
        <v>15.8376</v>
      </c>
      <c r="L3769" s="3">
        <f>(Table1[[#This Row],[Profit]]/Table1[[#This Row],[Sales]])*100</f>
        <v>6.7633493901814088</v>
      </c>
    </row>
    <row r="3770" spans="1:12" x14ac:dyDescent="0.3">
      <c r="A3770" t="s">
        <v>168</v>
      </c>
      <c r="B3770" s="1">
        <v>43487</v>
      </c>
      <c r="C3770" t="s">
        <v>169</v>
      </c>
      <c r="D3770" t="s">
        <v>170</v>
      </c>
      <c r="E3770" t="s">
        <v>14</v>
      </c>
      <c r="F3770" t="s">
        <v>15</v>
      </c>
      <c r="G3770" t="s">
        <v>18</v>
      </c>
      <c r="H3770" t="s">
        <v>172</v>
      </c>
      <c r="I3770" s="2">
        <v>55.176000000000002</v>
      </c>
      <c r="J3770">
        <v>3</v>
      </c>
      <c r="K3770" s="2">
        <v>15.863099999999999</v>
      </c>
      <c r="L3770" s="3">
        <f>(Table1[[#This Row],[Profit]]/Table1[[#This Row],[Sales]])*100</f>
        <v>28.749999999999996</v>
      </c>
    </row>
    <row r="3771" spans="1:12" x14ac:dyDescent="0.3">
      <c r="A3771" t="s">
        <v>3449</v>
      </c>
      <c r="B3771" s="1">
        <v>43787</v>
      </c>
      <c r="C3771" t="s">
        <v>1371</v>
      </c>
      <c r="D3771" t="s">
        <v>1372</v>
      </c>
      <c r="E3771" t="s">
        <v>14</v>
      </c>
      <c r="F3771" t="s">
        <v>29</v>
      </c>
      <c r="G3771" t="s">
        <v>24</v>
      </c>
      <c r="H3771" t="s">
        <v>1830</v>
      </c>
      <c r="I3771" s="2">
        <v>48.847999999999999</v>
      </c>
      <c r="J3771">
        <v>2</v>
      </c>
      <c r="K3771" s="2">
        <v>15.8756</v>
      </c>
      <c r="L3771" s="3">
        <f>(Table1[[#This Row],[Profit]]/Table1[[#This Row],[Sales]])*100</f>
        <v>32.5</v>
      </c>
    </row>
    <row r="3772" spans="1:12" x14ac:dyDescent="0.3">
      <c r="A3772" t="s">
        <v>4756</v>
      </c>
      <c r="B3772" s="1">
        <v>43984</v>
      </c>
      <c r="C3772" t="s">
        <v>1391</v>
      </c>
      <c r="D3772" t="s">
        <v>1392</v>
      </c>
      <c r="E3772" t="s">
        <v>14</v>
      </c>
      <c r="F3772" t="s">
        <v>23</v>
      </c>
      <c r="G3772" t="s">
        <v>24</v>
      </c>
      <c r="H3772" t="s">
        <v>1345</v>
      </c>
      <c r="I3772" s="2">
        <v>146.91999999999999</v>
      </c>
      <c r="J3772">
        <v>5</v>
      </c>
      <c r="K3772" s="2">
        <v>15.920999999999999</v>
      </c>
      <c r="L3772" s="3">
        <f>(Table1[[#This Row],[Profit]]/Table1[[#This Row],[Sales]])*100</f>
        <v>10.836509665123877</v>
      </c>
    </row>
    <row r="3773" spans="1:12" x14ac:dyDescent="0.3">
      <c r="A3773" t="s">
        <v>794</v>
      </c>
      <c r="B3773" s="1">
        <v>43553</v>
      </c>
      <c r="C3773" t="s">
        <v>795</v>
      </c>
      <c r="D3773" t="s">
        <v>796</v>
      </c>
      <c r="E3773" t="s">
        <v>14</v>
      </c>
      <c r="F3773" t="s">
        <v>29</v>
      </c>
      <c r="G3773" t="s">
        <v>24</v>
      </c>
      <c r="H3773" t="s">
        <v>797</v>
      </c>
      <c r="I3773" s="2">
        <v>45.527999999999999</v>
      </c>
      <c r="J3773">
        <v>3</v>
      </c>
      <c r="K3773" s="2">
        <v>15.934799999999999</v>
      </c>
      <c r="L3773" s="3">
        <f>(Table1[[#This Row],[Profit]]/Table1[[#This Row],[Sales]])*100</f>
        <v>35</v>
      </c>
    </row>
    <row r="3774" spans="1:12" x14ac:dyDescent="0.3">
      <c r="A3774" t="s">
        <v>5670</v>
      </c>
      <c r="B3774" s="1">
        <v>44124</v>
      </c>
      <c r="C3774" t="s">
        <v>2370</v>
      </c>
      <c r="D3774" t="s">
        <v>2371</v>
      </c>
      <c r="E3774" t="s">
        <v>14</v>
      </c>
      <c r="F3774" t="s">
        <v>15</v>
      </c>
      <c r="G3774" t="s">
        <v>24</v>
      </c>
      <c r="H3774" t="s">
        <v>2963</v>
      </c>
      <c r="I3774" s="2">
        <v>138.52799999999999</v>
      </c>
      <c r="J3774">
        <v>3</v>
      </c>
      <c r="K3774" s="2">
        <v>15.934799999999999</v>
      </c>
      <c r="L3774" s="3">
        <f>(Table1[[#This Row],[Profit]]/Table1[[#This Row],[Sales]])*100</f>
        <v>11.502945252945253</v>
      </c>
    </row>
    <row r="3775" spans="1:12" x14ac:dyDescent="0.3">
      <c r="A3775" t="s">
        <v>3471</v>
      </c>
      <c r="B3775" s="1">
        <v>43788</v>
      </c>
      <c r="C3775" t="s">
        <v>2989</v>
      </c>
      <c r="D3775" t="s">
        <v>2990</v>
      </c>
      <c r="E3775" t="s">
        <v>14</v>
      </c>
      <c r="F3775" t="s">
        <v>29</v>
      </c>
      <c r="G3775" t="s">
        <v>24</v>
      </c>
      <c r="H3775" t="s">
        <v>3472</v>
      </c>
      <c r="I3775" s="2">
        <v>54.96</v>
      </c>
      <c r="J3775">
        <v>3</v>
      </c>
      <c r="K3775" s="2">
        <v>15.9384</v>
      </c>
      <c r="L3775" s="3">
        <f>(Table1[[#This Row],[Profit]]/Table1[[#This Row],[Sales]])*100</f>
        <v>28.999999999999996</v>
      </c>
    </row>
    <row r="3776" spans="1:12" x14ac:dyDescent="0.3">
      <c r="A3776" t="s">
        <v>3119</v>
      </c>
      <c r="B3776" s="1">
        <v>43758</v>
      </c>
      <c r="C3776" t="s">
        <v>2930</v>
      </c>
      <c r="D3776" t="s">
        <v>2931</v>
      </c>
      <c r="E3776" t="s">
        <v>14</v>
      </c>
      <c r="F3776" t="s">
        <v>29</v>
      </c>
      <c r="G3776" t="s">
        <v>24</v>
      </c>
      <c r="H3776" t="s">
        <v>3120</v>
      </c>
      <c r="I3776" s="2">
        <v>51.015999999999998</v>
      </c>
      <c r="J3776">
        <v>7</v>
      </c>
      <c r="K3776" s="2">
        <v>15.942500000000001</v>
      </c>
      <c r="L3776" s="3">
        <f>(Table1[[#This Row],[Profit]]/Table1[[#This Row],[Sales]])*100</f>
        <v>31.25</v>
      </c>
    </row>
    <row r="3777" spans="1:12" x14ac:dyDescent="0.3">
      <c r="A3777" t="s">
        <v>686</v>
      </c>
      <c r="B3777" s="1">
        <v>43541</v>
      </c>
      <c r="C3777" t="s">
        <v>687</v>
      </c>
      <c r="D3777" t="s">
        <v>688</v>
      </c>
      <c r="E3777" t="s">
        <v>14</v>
      </c>
      <c r="F3777" t="s">
        <v>15</v>
      </c>
      <c r="G3777" t="s">
        <v>24</v>
      </c>
      <c r="H3777" t="s">
        <v>690</v>
      </c>
      <c r="I3777" s="2">
        <v>32.54</v>
      </c>
      <c r="J3777">
        <v>2</v>
      </c>
      <c r="K3777" s="2">
        <v>15.944599999999999</v>
      </c>
      <c r="L3777" s="3">
        <f>(Table1[[#This Row],[Profit]]/Table1[[#This Row],[Sales]])*100</f>
        <v>49</v>
      </c>
    </row>
    <row r="3778" spans="1:12" x14ac:dyDescent="0.3">
      <c r="A3778" t="s">
        <v>783</v>
      </c>
      <c r="B3778" s="1">
        <v>43551</v>
      </c>
      <c r="C3778" t="s">
        <v>784</v>
      </c>
      <c r="D3778" t="s">
        <v>785</v>
      </c>
      <c r="E3778" t="s">
        <v>14</v>
      </c>
      <c r="F3778" t="s">
        <v>41</v>
      </c>
      <c r="G3778" t="s">
        <v>24</v>
      </c>
      <c r="H3778" t="s">
        <v>690</v>
      </c>
      <c r="I3778" s="2">
        <v>32.54</v>
      </c>
      <c r="J3778">
        <v>2</v>
      </c>
      <c r="K3778" s="2">
        <v>15.944599999999999</v>
      </c>
      <c r="L3778" s="3">
        <f>(Table1[[#This Row],[Profit]]/Table1[[#This Row],[Sales]])*100</f>
        <v>49</v>
      </c>
    </row>
    <row r="3779" spans="1:12" x14ac:dyDescent="0.3">
      <c r="A3779" t="s">
        <v>1202</v>
      </c>
      <c r="B3779" s="1">
        <v>43587</v>
      </c>
      <c r="C3779" t="s">
        <v>1203</v>
      </c>
      <c r="D3779" t="s">
        <v>1204</v>
      </c>
      <c r="E3779" t="s">
        <v>14</v>
      </c>
      <c r="F3779" t="s">
        <v>15</v>
      </c>
      <c r="G3779" t="s">
        <v>24</v>
      </c>
      <c r="H3779" t="s">
        <v>1111</v>
      </c>
      <c r="I3779" s="2">
        <v>45.576000000000001</v>
      </c>
      <c r="J3779">
        <v>3</v>
      </c>
      <c r="K3779" s="2">
        <v>15.951599999999999</v>
      </c>
      <c r="L3779" s="3">
        <f>(Table1[[#This Row],[Profit]]/Table1[[#This Row],[Sales]])*100</f>
        <v>35</v>
      </c>
    </row>
    <row r="3780" spans="1:12" x14ac:dyDescent="0.3">
      <c r="A3780" t="s">
        <v>4749</v>
      </c>
      <c r="B3780" s="1">
        <v>43983</v>
      </c>
      <c r="C3780" t="s">
        <v>2359</v>
      </c>
      <c r="D3780" t="s">
        <v>2360</v>
      </c>
      <c r="E3780" t="s">
        <v>14</v>
      </c>
      <c r="F3780" t="s">
        <v>29</v>
      </c>
      <c r="G3780" t="s">
        <v>18</v>
      </c>
      <c r="H3780" t="s">
        <v>4239</v>
      </c>
      <c r="I3780" s="2">
        <v>118.97</v>
      </c>
      <c r="J3780">
        <v>3</v>
      </c>
      <c r="K3780" s="2">
        <v>15.9543</v>
      </c>
      <c r="L3780" s="3">
        <f>(Table1[[#This Row],[Profit]]/Table1[[#This Row],[Sales]])*100</f>
        <v>13.410355551819785</v>
      </c>
    </row>
    <row r="3781" spans="1:12" x14ac:dyDescent="0.3">
      <c r="A3781" t="s">
        <v>1634</v>
      </c>
      <c r="B3781" s="1">
        <v>43621</v>
      </c>
      <c r="C3781" t="s">
        <v>1635</v>
      </c>
      <c r="D3781" t="s">
        <v>1636</v>
      </c>
      <c r="E3781" t="s">
        <v>14</v>
      </c>
      <c r="F3781" t="s">
        <v>23</v>
      </c>
      <c r="G3781" t="s">
        <v>24</v>
      </c>
      <c r="H3781" t="s">
        <v>1637</v>
      </c>
      <c r="I3781" s="2">
        <v>61.38</v>
      </c>
      <c r="J3781">
        <v>6</v>
      </c>
      <c r="K3781" s="2">
        <v>15.9588</v>
      </c>
      <c r="L3781" s="3">
        <f>(Table1[[#This Row],[Profit]]/Table1[[#This Row],[Sales]])*100</f>
        <v>26</v>
      </c>
    </row>
    <row r="3782" spans="1:12" x14ac:dyDescent="0.3">
      <c r="A3782" t="s">
        <v>5895</v>
      </c>
      <c r="B3782" s="1">
        <v>44149</v>
      </c>
      <c r="C3782" t="s">
        <v>602</v>
      </c>
      <c r="D3782" t="s">
        <v>603</v>
      </c>
      <c r="E3782" t="s">
        <v>14</v>
      </c>
      <c r="F3782" t="s">
        <v>15</v>
      </c>
      <c r="G3782" t="s">
        <v>18</v>
      </c>
      <c r="H3782" t="s">
        <v>1611</v>
      </c>
      <c r="I3782" s="2">
        <v>154.94</v>
      </c>
      <c r="J3782">
        <v>10</v>
      </c>
      <c r="K3782" s="2">
        <v>15.992000000000001</v>
      </c>
      <c r="L3782" s="3">
        <f>(Table1[[#This Row],[Profit]]/Table1[[#This Row],[Sales]])*100</f>
        <v>10.321414741190139</v>
      </c>
    </row>
    <row r="3783" spans="1:12" x14ac:dyDescent="0.3">
      <c r="A3783" t="s">
        <v>2503</v>
      </c>
      <c r="B3783" s="1">
        <v>43707</v>
      </c>
      <c r="C3783" t="s">
        <v>2504</v>
      </c>
      <c r="D3783" t="s">
        <v>2505</v>
      </c>
      <c r="E3783" t="s">
        <v>14</v>
      </c>
      <c r="F3783" t="s">
        <v>23</v>
      </c>
      <c r="G3783" t="s">
        <v>16</v>
      </c>
      <c r="H3783" t="s">
        <v>484</v>
      </c>
      <c r="I3783" s="2">
        <v>47.04</v>
      </c>
      <c r="J3783">
        <v>4</v>
      </c>
      <c r="K3783" s="2">
        <v>15.993600000000001</v>
      </c>
      <c r="L3783" s="3">
        <f>(Table1[[#This Row],[Profit]]/Table1[[#This Row],[Sales]])*100</f>
        <v>34</v>
      </c>
    </row>
    <row r="3784" spans="1:12" x14ac:dyDescent="0.3">
      <c r="A3784" t="s">
        <v>4116</v>
      </c>
      <c r="B3784" s="1">
        <v>43870</v>
      </c>
      <c r="C3784" t="s">
        <v>2485</v>
      </c>
      <c r="D3784" t="s">
        <v>2486</v>
      </c>
      <c r="E3784" t="s">
        <v>14</v>
      </c>
      <c r="F3784" t="s">
        <v>29</v>
      </c>
      <c r="G3784" t="s">
        <v>18</v>
      </c>
      <c r="H3784" t="s">
        <v>1693</v>
      </c>
      <c r="I3784" s="2">
        <v>2154.9839999999999</v>
      </c>
      <c r="J3784">
        <v>2</v>
      </c>
      <c r="K3784" s="2">
        <v>15.997999999999999</v>
      </c>
      <c r="L3784" s="3">
        <f>(Table1[[#This Row],[Profit]]/Table1[[#This Row],[Sales]])*100</f>
        <v>0.74237210113856988</v>
      </c>
    </row>
    <row r="3785" spans="1:12" x14ac:dyDescent="0.3">
      <c r="A3785" t="s">
        <v>3896</v>
      </c>
      <c r="B3785" s="1">
        <v>43823</v>
      </c>
      <c r="C3785" t="s">
        <v>401</v>
      </c>
      <c r="D3785" t="s">
        <v>402</v>
      </c>
      <c r="E3785" t="s">
        <v>14</v>
      </c>
      <c r="F3785" t="s">
        <v>23</v>
      </c>
      <c r="G3785" t="s">
        <v>24</v>
      </c>
      <c r="H3785" t="s">
        <v>1295</v>
      </c>
      <c r="I3785" s="2">
        <v>33.4</v>
      </c>
      <c r="J3785">
        <v>5</v>
      </c>
      <c r="K3785" s="2">
        <v>16.032</v>
      </c>
      <c r="L3785" s="3">
        <f>(Table1[[#This Row],[Profit]]/Table1[[#This Row],[Sales]])*100</f>
        <v>48.000000000000007</v>
      </c>
    </row>
    <row r="3786" spans="1:12" x14ac:dyDescent="0.3">
      <c r="A3786" t="s">
        <v>2860</v>
      </c>
      <c r="B3786" s="1">
        <v>43730</v>
      </c>
      <c r="C3786" t="s">
        <v>698</v>
      </c>
      <c r="D3786" t="s">
        <v>699</v>
      </c>
      <c r="E3786" t="s">
        <v>14</v>
      </c>
      <c r="F3786" t="s">
        <v>29</v>
      </c>
      <c r="G3786" t="s">
        <v>24</v>
      </c>
      <c r="H3786" t="s">
        <v>2861</v>
      </c>
      <c r="I3786" s="2">
        <v>35.880000000000003</v>
      </c>
      <c r="J3786">
        <v>6</v>
      </c>
      <c r="K3786" s="2">
        <v>16.146000000000001</v>
      </c>
      <c r="L3786" s="3">
        <f>(Table1[[#This Row],[Profit]]/Table1[[#This Row],[Sales]])*100</f>
        <v>45</v>
      </c>
    </row>
    <row r="3787" spans="1:12" x14ac:dyDescent="0.3">
      <c r="A3787" t="s">
        <v>5515</v>
      </c>
      <c r="B3787" s="1">
        <v>44100</v>
      </c>
      <c r="C3787" t="s">
        <v>2066</v>
      </c>
      <c r="D3787" t="s">
        <v>2067</v>
      </c>
      <c r="E3787" t="s">
        <v>14</v>
      </c>
      <c r="F3787" t="s">
        <v>23</v>
      </c>
      <c r="G3787" t="s">
        <v>24</v>
      </c>
      <c r="H3787" t="s">
        <v>2861</v>
      </c>
      <c r="I3787" s="2">
        <v>117.88</v>
      </c>
      <c r="J3787">
        <v>6</v>
      </c>
      <c r="K3787" s="2">
        <v>16.146000000000001</v>
      </c>
      <c r="L3787" s="3">
        <f>(Table1[[#This Row],[Profit]]/Table1[[#This Row],[Sales]])*100</f>
        <v>13.696979979640314</v>
      </c>
    </row>
    <row r="3788" spans="1:12" x14ac:dyDescent="0.3">
      <c r="A3788" t="s">
        <v>3719</v>
      </c>
      <c r="B3788" s="1">
        <v>43805</v>
      </c>
      <c r="C3788" t="s">
        <v>380</v>
      </c>
      <c r="D3788" t="s">
        <v>381</v>
      </c>
      <c r="E3788" t="s">
        <v>14</v>
      </c>
      <c r="F3788" t="s">
        <v>23</v>
      </c>
      <c r="G3788" t="s">
        <v>24</v>
      </c>
      <c r="H3788" t="s">
        <v>3722</v>
      </c>
      <c r="I3788" s="2">
        <v>35.89</v>
      </c>
      <c r="J3788">
        <v>1</v>
      </c>
      <c r="K3788" s="2">
        <v>16.150500000000001</v>
      </c>
      <c r="L3788" s="3">
        <f>(Table1[[#This Row],[Profit]]/Table1[[#This Row],[Sales]])*100</f>
        <v>45</v>
      </c>
    </row>
    <row r="3789" spans="1:12" x14ac:dyDescent="0.3">
      <c r="A3789" t="s">
        <v>5671</v>
      </c>
      <c r="B3789" s="1">
        <v>44125</v>
      </c>
      <c r="C3789" t="s">
        <v>3109</v>
      </c>
      <c r="D3789" t="s">
        <v>3110</v>
      </c>
      <c r="E3789" t="s">
        <v>14</v>
      </c>
      <c r="F3789" t="s">
        <v>15</v>
      </c>
      <c r="G3789" t="s">
        <v>24</v>
      </c>
      <c r="H3789" t="s">
        <v>1958</v>
      </c>
      <c r="I3789" s="2">
        <v>190.56800000000001</v>
      </c>
      <c r="J3789">
        <v>2</v>
      </c>
      <c r="K3789" s="2">
        <v>16.1568</v>
      </c>
      <c r="L3789" s="3">
        <f>(Table1[[#This Row],[Profit]]/Table1[[#This Row],[Sales]])*100</f>
        <v>8.4782334914571162</v>
      </c>
    </row>
    <row r="3790" spans="1:12" x14ac:dyDescent="0.3">
      <c r="A3790" t="s">
        <v>4092</v>
      </c>
      <c r="B3790" s="1">
        <v>43860</v>
      </c>
      <c r="C3790" t="s">
        <v>401</v>
      </c>
      <c r="D3790" t="s">
        <v>402</v>
      </c>
      <c r="E3790" t="s">
        <v>14</v>
      </c>
      <c r="F3790" t="s">
        <v>29</v>
      </c>
      <c r="G3790" t="s">
        <v>24</v>
      </c>
      <c r="H3790" t="s">
        <v>1382</v>
      </c>
      <c r="I3790" s="2">
        <v>162.35</v>
      </c>
      <c r="J3790">
        <v>5</v>
      </c>
      <c r="K3790" s="2">
        <v>16.175000000000001</v>
      </c>
      <c r="L3790" s="3">
        <f>(Table1[[#This Row],[Profit]]/Table1[[#This Row],[Sales]])*100</f>
        <v>9.9630428087465361</v>
      </c>
    </row>
    <row r="3791" spans="1:12" x14ac:dyDescent="0.3">
      <c r="A3791" t="s">
        <v>4643</v>
      </c>
      <c r="B3791" s="1">
        <v>43965</v>
      </c>
      <c r="C3791" t="s">
        <v>380</v>
      </c>
      <c r="D3791" t="s">
        <v>381</v>
      </c>
      <c r="E3791" t="s">
        <v>14</v>
      </c>
      <c r="F3791" t="s">
        <v>29</v>
      </c>
      <c r="G3791" t="s">
        <v>24</v>
      </c>
      <c r="H3791" t="s">
        <v>4650</v>
      </c>
      <c r="I3791" s="2">
        <v>152.952</v>
      </c>
      <c r="J3791">
        <v>3</v>
      </c>
      <c r="K3791" s="2">
        <v>16.183800000000002</v>
      </c>
      <c r="L3791" s="3">
        <f>(Table1[[#This Row],[Profit]]/Table1[[#This Row],[Sales]])*100</f>
        <v>10.580966577749884</v>
      </c>
    </row>
    <row r="3792" spans="1:12" x14ac:dyDescent="0.3">
      <c r="A3792" t="s">
        <v>5718</v>
      </c>
      <c r="B3792" s="1">
        <v>44132</v>
      </c>
      <c r="C3792" t="s">
        <v>800</v>
      </c>
      <c r="D3792" t="s">
        <v>801</v>
      </c>
      <c r="E3792" t="s">
        <v>14</v>
      </c>
      <c r="F3792" t="s">
        <v>41</v>
      </c>
      <c r="G3792" t="s">
        <v>24</v>
      </c>
      <c r="H3792" t="s">
        <v>4650</v>
      </c>
      <c r="I3792" s="2">
        <v>146.952</v>
      </c>
      <c r="J3792">
        <v>3</v>
      </c>
      <c r="K3792" s="2">
        <v>16.183800000000002</v>
      </c>
      <c r="L3792" s="3">
        <f>(Table1[[#This Row],[Profit]]/Table1[[#This Row],[Sales]])*100</f>
        <v>11.01298383145517</v>
      </c>
    </row>
    <row r="3793" spans="1:12" x14ac:dyDescent="0.3">
      <c r="A3793" t="s">
        <v>5796</v>
      </c>
      <c r="B3793" s="1">
        <v>44141</v>
      </c>
      <c r="C3793" t="s">
        <v>2973</v>
      </c>
      <c r="D3793" t="s">
        <v>2974</v>
      </c>
      <c r="E3793" t="s">
        <v>14</v>
      </c>
      <c r="F3793" t="s">
        <v>15</v>
      </c>
      <c r="G3793" t="s">
        <v>24</v>
      </c>
      <c r="H3793" t="s">
        <v>1645</v>
      </c>
      <c r="I3793" s="2">
        <v>129.952</v>
      </c>
      <c r="J3793">
        <v>3</v>
      </c>
      <c r="K3793" s="2">
        <v>16.183800000000002</v>
      </c>
      <c r="L3793" s="3">
        <f>(Table1[[#This Row],[Profit]]/Table1[[#This Row],[Sales]])*100</f>
        <v>12.453675203151935</v>
      </c>
    </row>
    <row r="3794" spans="1:12" x14ac:dyDescent="0.3">
      <c r="A3794" t="s">
        <v>6053</v>
      </c>
      <c r="B3794" s="1">
        <v>44166</v>
      </c>
      <c r="C3794" t="s">
        <v>2616</v>
      </c>
      <c r="D3794" t="s">
        <v>2617</v>
      </c>
      <c r="E3794" t="s">
        <v>14</v>
      </c>
      <c r="F3794" t="s">
        <v>29</v>
      </c>
      <c r="G3794" t="s">
        <v>24</v>
      </c>
      <c r="H3794" t="s">
        <v>1046</v>
      </c>
      <c r="I3794" s="2">
        <v>117.29</v>
      </c>
      <c r="J3794">
        <v>9</v>
      </c>
      <c r="K3794" s="2">
        <v>16.209900000000001</v>
      </c>
      <c r="L3794" s="3">
        <f>(Table1[[#This Row],[Profit]]/Table1[[#This Row],[Sales]])*100</f>
        <v>13.820359791968626</v>
      </c>
    </row>
    <row r="3795" spans="1:12" x14ac:dyDescent="0.3">
      <c r="A3795" t="s">
        <v>5717</v>
      </c>
      <c r="B3795" s="1">
        <v>44131</v>
      </c>
      <c r="C3795" t="s">
        <v>616</v>
      </c>
      <c r="D3795" t="s">
        <v>617</v>
      </c>
      <c r="E3795" t="s">
        <v>14</v>
      </c>
      <c r="F3795" t="s">
        <v>23</v>
      </c>
      <c r="G3795" t="s">
        <v>24</v>
      </c>
      <c r="H3795" t="s">
        <v>105</v>
      </c>
      <c r="I3795" s="2">
        <v>122.78400000000001</v>
      </c>
      <c r="J3795">
        <v>1</v>
      </c>
      <c r="K3795" s="2">
        <v>16.234200000000001</v>
      </c>
      <c r="L3795" s="3">
        <f>(Table1[[#This Row],[Profit]]/Table1[[#This Row],[Sales]])*100</f>
        <v>13.221755277560595</v>
      </c>
    </row>
    <row r="3796" spans="1:12" x14ac:dyDescent="0.3">
      <c r="A3796" t="s">
        <v>3277</v>
      </c>
      <c r="B3796" s="1">
        <v>43774</v>
      </c>
      <c r="C3796" t="s">
        <v>3278</v>
      </c>
      <c r="D3796" t="s">
        <v>3279</v>
      </c>
      <c r="E3796" t="s">
        <v>14</v>
      </c>
      <c r="F3796" t="s">
        <v>29</v>
      </c>
      <c r="G3796" t="s">
        <v>24</v>
      </c>
      <c r="H3796" t="s">
        <v>2581</v>
      </c>
      <c r="I3796" s="2">
        <v>39.68</v>
      </c>
      <c r="J3796">
        <v>2</v>
      </c>
      <c r="K3796" s="2">
        <v>16.268799999999999</v>
      </c>
      <c r="L3796" s="3">
        <f>(Table1[[#This Row],[Profit]]/Table1[[#This Row],[Sales]])*100</f>
        <v>41</v>
      </c>
    </row>
    <row r="3797" spans="1:12" x14ac:dyDescent="0.3">
      <c r="A3797" t="s">
        <v>6242</v>
      </c>
      <c r="B3797" s="1">
        <v>44187</v>
      </c>
      <c r="C3797" t="s">
        <v>1153</v>
      </c>
      <c r="D3797" t="s">
        <v>1154</v>
      </c>
      <c r="E3797" t="s">
        <v>14</v>
      </c>
      <c r="F3797" t="s">
        <v>41</v>
      </c>
      <c r="G3797" t="s">
        <v>24</v>
      </c>
      <c r="H3797" t="s">
        <v>2148</v>
      </c>
      <c r="I3797" s="2">
        <v>338.24</v>
      </c>
      <c r="J3797">
        <v>5</v>
      </c>
      <c r="K3797" s="2">
        <v>16.291</v>
      </c>
      <c r="L3797" s="3">
        <f>(Table1[[#This Row],[Profit]]/Table1[[#This Row],[Sales]])*100</f>
        <v>4.816402554399243</v>
      </c>
    </row>
    <row r="3798" spans="1:12" x14ac:dyDescent="0.3">
      <c r="A3798" t="s">
        <v>6188</v>
      </c>
      <c r="B3798" s="1">
        <v>44180</v>
      </c>
      <c r="C3798" t="s">
        <v>2201</v>
      </c>
      <c r="D3798" t="s">
        <v>2202</v>
      </c>
      <c r="E3798" t="s">
        <v>14</v>
      </c>
      <c r="F3798" t="s">
        <v>23</v>
      </c>
      <c r="G3798" t="s">
        <v>24</v>
      </c>
      <c r="H3798" t="s">
        <v>3983</v>
      </c>
      <c r="I3798" s="2">
        <v>329.32</v>
      </c>
      <c r="J3798">
        <v>4</v>
      </c>
      <c r="K3798" s="2">
        <v>16.295999999999999</v>
      </c>
      <c r="L3798" s="3">
        <f>(Table1[[#This Row],[Profit]]/Table1[[#This Row],[Sales]])*100</f>
        <v>4.9483784768614116</v>
      </c>
    </row>
    <row r="3799" spans="1:12" x14ac:dyDescent="0.3">
      <c r="A3799" t="s">
        <v>1468</v>
      </c>
      <c r="B3799" s="1">
        <v>43608</v>
      </c>
      <c r="C3799" t="s">
        <v>1469</v>
      </c>
      <c r="D3799" t="s">
        <v>1470</v>
      </c>
      <c r="E3799" t="s">
        <v>14</v>
      </c>
      <c r="F3799" t="s">
        <v>23</v>
      </c>
      <c r="G3799" t="s">
        <v>16</v>
      </c>
      <c r="H3799" t="s">
        <v>736</v>
      </c>
      <c r="I3799" s="2">
        <v>37.049999999999997</v>
      </c>
      <c r="J3799">
        <v>3</v>
      </c>
      <c r="K3799" s="2">
        <v>16.302</v>
      </c>
      <c r="L3799" s="3">
        <f>(Table1[[#This Row],[Profit]]/Table1[[#This Row],[Sales]])*100</f>
        <v>44</v>
      </c>
    </row>
    <row r="3800" spans="1:12" x14ac:dyDescent="0.3">
      <c r="A3800" t="s">
        <v>4162</v>
      </c>
      <c r="B3800" s="1">
        <v>43881</v>
      </c>
      <c r="C3800" t="s">
        <v>2186</v>
      </c>
      <c r="D3800" t="s">
        <v>2187</v>
      </c>
      <c r="E3800" t="s">
        <v>14</v>
      </c>
      <c r="F3800" t="s">
        <v>23</v>
      </c>
      <c r="G3800" t="s">
        <v>16</v>
      </c>
      <c r="H3800" t="s">
        <v>1221</v>
      </c>
      <c r="I3800" s="2">
        <v>118.70399999999999</v>
      </c>
      <c r="J3800">
        <v>2</v>
      </c>
      <c r="K3800" s="2">
        <v>16.3172</v>
      </c>
      <c r="L3800" s="3">
        <f>(Table1[[#This Row],[Profit]]/Table1[[#This Row],[Sales]])*100</f>
        <v>13.74612481466505</v>
      </c>
    </row>
    <row r="3801" spans="1:12" x14ac:dyDescent="0.3">
      <c r="A3801" t="s">
        <v>5523</v>
      </c>
      <c r="B3801" s="1">
        <v>44103</v>
      </c>
      <c r="C3801" t="s">
        <v>356</v>
      </c>
      <c r="D3801" t="s">
        <v>357</v>
      </c>
      <c r="E3801" t="s">
        <v>14</v>
      </c>
      <c r="F3801" t="s">
        <v>23</v>
      </c>
      <c r="G3801" t="s">
        <v>24</v>
      </c>
      <c r="H3801" t="s">
        <v>1932</v>
      </c>
      <c r="I3801" s="2">
        <v>149.672</v>
      </c>
      <c r="J3801">
        <v>2</v>
      </c>
      <c r="K3801" s="2">
        <v>16.3352</v>
      </c>
      <c r="L3801" s="3">
        <f>(Table1[[#This Row],[Profit]]/Table1[[#This Row],[Sales]])*100</f>
        <v>10.913998610294511</v>
      </c>
    </row>
    <row r="3802" spans="1:12" x14ac:dyDescent="0.3">
      <c r="A3802" t="s">
        <v>6206</v>
      </c>
      <c r="B3802" s="1">
        <v>44183</v>
      </c>
      <c r="C3802" t="s">
        <v>2872</v>
      </c>
      <c r="D3802" t="s">
        <v>2873</v>
      </c>
      <c r="E3802" t="s">
        <v>14</v>
      </c>
      <c r="F3802" t="s">
        <v>23</v>
      </c>
      <c r="G3802" t="s">
        <v>24</v>
      </c>
      <c r="H3802" t="s">
        <v>1932</v>
      </c>
      <c r="I3802" s="2">
        <v>455.67200000000003</v>
      </c>
      <c r="J3802">
        <v>2</v>
      </c>
      <c r="K3802" s="2">
        <v>16.3352</v>
      </c>
      <c r="L3802" s="3">
        <f>(Table1[[#This Row],[Profit]]/Table1[[#This Row],[Sales]])*100</f>
        <v>3.5848592847486787</v>
      </c>
    </row>
    <row r="3803" spans="1:12" x14ac:dyDescent="0.3">
      <c r="A3803" t="s">
        <v>1768</v>
      </c>
      <c r="B3803" s="1">
        <v>43633</v>
      </c>
      <c r="C3803" t="s">
        <v>1769</v>
      </c>
      <c r="D3803" t="s">
        <v>1770</v>
      </c>
      <c r="E3803" t="s">
        <v>14</v>
      </c>
      <c r="F3803" t="s">
        <v>15</v>
      </c>
      <c r="G3803" t="s">
        <v>24</v>
      </c>
      <c r="H3803" t="s">
        <v>67</v>
      </c>
      <c r="I3803" s="2">
        <v>48.48</v>
      </c>
      <c r="J3803">
        <v>4</v>
      </c>
      <c r="K3803" s="2">
        <v>16.361999999999998</v>
      </c>
      <c r="L3803" s="3">
        <f>(Table1[[#This Row],[Profit]]/Table1[[#This Row],[Sales]])*100</f>
        <v>33.75</v>
      </c>
    </row>
    <row r="3804" spans="1:12" x14ac:dyDescent="0.3">
      <c r="A3804" t="s">
        <v>655</v>
      </c>
      <c r="B3804" s="1">
        <v>43538</v>
      </c>
      <c r="C3804" t="s">
        <v>336</v>
      </c>
      <c r="D3804" t="s">
        <v>337</v>
      </c>
      <c r="E3804" t="s">
        <v>14</v>
      </c>
      <c r="F3804" t="s">
        <v>29</v>
      </c>
      <c r="G3804" t="s">
        <v>24</v>
      </c>
      <c r="H3804" t="s">
        <v>657</v>
      </c>
      <c r="I3804" s="2">
        <v>145.54400000000001</v>
      </c>
      <c r="J3804">
        <v>7</v>
      </c>
      <c r="K3804" s="2">
        <v>16.373699999999999</v>
      </c>
      <c r="L3804" s="3">
        <f>(Table1[[#This Row],[Profit]]/Table1[[#This Row],[Sales]])*100</f>
        <v>11.249999999999998</v>
      </c>
    </row>
    <row r="3805" spans="1:12" x14ac:dyDescent="0.3">
      <c r="A3805" t="s">
        <v>4099</v>
      </c>
      <c r="B3805" s="1">
        <v>43863</v>
      </c>
      <c r="C3805" t="s">
        <v>1183</v>
      </c>
      <c r="D3805" t="s">
        <v>1184</v>
      </c>
      <c r="E3805" t="s">
        <v>14</v>
      </c>
      <c r="F3805" t="s">
        <v>23</v>
      </c>
      <c r="G3805" t="s">
        <v>24</v>
      </c>
      <c r="H3805" t="s">
        <v>3768</v>
      </c>
      <c r="I3805" s="2">
        <v>291.8</v>
      </c>
      <c r="J3805">
        <v>4</v>
      </c>
      <c r="K3805" s="2">
        <v>16.38</v>
      </c>
      <c r="L3805" s="3">
        <f>(Table1[[#This Row],[Profit]]/Table1[[#This Row],[Sales]])*100</f>
        <v>5.6134338588074018</v>
      </c>
    </row>
    <row r="3806" spans="1:12" x14ac:dyDescent="0.3">
      <c r="A3806" t="s">
        <v>5077</v>
      </c>
      <c r="B3806" s="1">
        <v>44041</v>
      </c>
      <c r="C3806" t="s">
        <v>1903</v>
      </c>
      <c r="D3806" t="s">
        <v>1904</v>
      </c>
      <c r="E3806" t="s">
        <v>14</v>
      </c>
      <c r="F3806" t="s">
        <v>29</v>
      </c>
      <c r="G3806" t="s">
        <v>24</v>
      </c>
      <c r="H3806" t="s">
        <v>2840</v>
      </c>
      <c r="I3806" s="2">
        <v>114.48</v>
      </c>
      <c r="J3806">
        <v>2</v>
      </c>
      <c r="K3806" s="2">
        <v>16.405200000000001</v>
      </c>
      <c r="L3806" s="3">
        <f>(Table1[[#This Row],[Profit]]/Table1[[#This Row],[Sales]])*100</f>
        <v>14.330188679245284</v>
      </c>
    </row>
    <row r="3807" spans="1:12" x14ac:dyDescent="0.3">
      <c r="A3807" t="s">
        <v>3256</v>
      </c>
      <c r="B3807" s="1">
        <v>43773</v>
      </c>
      <c r="C3807" t="s">
        <v>3257</v>
      </c>
      <c r="D3807" t="s">
        <v>3258</v>
      </c>
      <c r="E3807" t="s">
        <v>14</v>
      </c>
      <c r="F3807" t="s">
        <v>23</v>
      </c>
      <c r="G3807" t="s">
        <v>16</v>
      </c>
      <c r="H3807" t="s">
        <v>654</v>
      </c>
      <c r="I3807" s="2">
        <v>38.29</v>
      </c>
      <c r="J3807">
        <v>7</v>
      </c>
      <c r="K3807" s="2">
        <v>16.464700000000001</v>
      </c>
      <c r="L3807" s="3">
        <f>(Table1[[#This Row],[Profit]]/Table1[[#This Row],[Sales]])*100</f>
        <v>43.000000000000007</v>
      </c>
    </row>
    <row r="3808" spans="1:12" x14ac:dyDescent="0.3">
      <c r="A3808" t="s">
        <v>5600</v>
      </c>
      <c r="B3808" s="1">
        <v>44113</v>
      </c>
      <c r="C3808" t="s">
        <v>2456</v>
      </c>
      <c r="D3808" t="s">
        <v>2457</v>
      </c>
      <c r="E3808" t="s">
        <v>14</v>
      </c>
      <c r="F3808" t="s">
        <v>23</v>
      </c>
      <c r="G3808" t="s">
        <v>24</v>
      </c>
      <c r="H3808" t="s">
        <v>1815</v>
      </c>
      <c r="I3808" s="2">
        <v>136.19999999999999</v>
      </c>
      <c r="J3808">
        <v>5</v>
      </c>
      <c r="K3808" s="2">
        <v>16.544</v>
      </c>
      <c r="L3808" s="3">
        <f>(Table1[[#This Row],[Profit]]/Table1[[#This Row],[Sales]])*100</f>
        <v>12.146842878120411</v>
      </c>
    </row>
    <row r="3809" spans="1:12" x14ac:dyDescent="0.3">
      <c r="A3809" t="s">
        <v>4222</v>
      </c>
      <c r="B3809" s="1">
        <v>43896</v>
      </c>
      <c r="C3809" t="s">
        <v>4223</v>
      </c>
      <c r="D3809" t="s">
        <v>4224</v>
      </c>
      <c r="E3809" t="s">
        <v>14</v>
      </c>
      <c r="F3809" t="s">
        <v>15</v>
      </c>
      <c r="G3809" t="s">
        <v>16</v>
      </c>
      <c r="H3809" t="s">
        <v>4227</v>
      </c>
      <c r="I3809" s="2">
        <v>153.97</v>
      </c>
      <c r="J3809">
        <v>3</v>
      </c>
      <c r="K3809" s="2">
        <v>16.553100000000001</v>
      </c>
      <c r="L3809" s="3">
        <f>(Table1[[#This Row],[Profit]]/Table1[[#This Row],[Sales]])*100</f>
        <v>10.750860557251412</v>
      </c>
    </row>
    <row r="3810" spans="1:12" x14ac:dyDescent="0.3">
      <c r="A3810" t="s">
        <v>5349</v>
      </c>
      <c r="B3810" s="1">
        <v>44084</v>
      </c>
      <c r="C3810" t="s">
        <v>1444</v>
      </c>
      <c r="D3810" t="s">
        <v>1445</v>
      </c>
      <c r="E3810" t="s">
        <v>14</v>
      </c>
      <c r="F3810" t="s">
        <v>29</v>
      </c>
      <c r="G3810" t="s">
        <v>18</v>
      </c>
      <c r="H3810" t="s">
        <v>171</v>
      </c>
      <c r="I3810" s="2">
        <v>183.16800000000001</v>
      </c>
      <c r="J3810">
        <v>4</v>
      </c>
      <c r="K3810" s="2">
        <v>16.5564</v>
      </c>
      <c r="L3810" s="3">
        <f>(Table1[[#This Row],[Profit]]/Table1[[#This Row],[Sales]])*100</f>
        <v>9.0389150943396217</v>
      </c>
    </row>
    <row r="3811" spans="1:12" x14ac:dyDescent="0.3">
      <c r="A3811" t="s">
        <v>2988</v>
      </c>
      <c r="B3811" s="1">
        <v>43740</v>
      </c>
      <c r="C3811" t="s">
        <v>2989</v>
      </c>
      <c r="D3811" t="s">
        <v>2990</v>
      </c>
      <c r="E3811" t="s">
        <v>14</v>
      </c>
      <c r="F3811" t="s">
        <v>15</v>
      </c>
      <c r="G3811" t="s">
        <v>24</v>
      </c>
      <c r="H3811" t="s">
        <v>2991</v>
      </c>
      <c r="I3811" s="2">
        <v>61.44</v>
      </c>
      <c r="J3811">
        <v>3</v>
      </c>
      <c r="K3811" s="2">
        <v>16.588799999999999</v>
      </c>
      <c r="L3811" s="3">
        <f>(Table1[[#This Row],[Profit]]/Table1[[#This Row],[Sales]])*100</f>
        <v>27</v>
      </c>
    </row>
    <row r="3812" spans="1:12" x14ac:dyDescent="0.3">
      <c r="A3812" t="s">
        <v>4812</v>
      </c>
      <c r="B3812" s="1">
        <v>43993</v>
      </c>
      <c r="C3812" t="s">
        <v>857</v>
      </c>
      <c r="D3812" t="s">
        <v>858</v>
      </c>
      <c r="E3812" t="s">
        <v>14</v>
      </c>
      <c r="F3812" t="s">
        <v>23</v>
      </c>
      <c r="G3812" t="s">
        <v>24</v>
      </c>
      <c r="H3812" t="s">
        <v>2991</v>
      </c>
      <c r="I3812" s="2">
        <v>161.44</v>
      </c>
      <c r="J3812">
        <v>3</v>
      </c>
      <c r="K3812" s="2">
        <v>16.588799999999999</v>
      </c>
      <c r="L3812" s="3">
        <f>(Table1[[#This Row],[Profit]]/Table1[[#This Row],[Sales]])*100</f>
        <v>10.275520317145688</v>
      </c>
    </row>
    <row r="3813" spans="1:12" x14ac:dyDescent="0.3">
      <c r="A3813" t="s">
        <v>6114</v>
      </c>
      <c r="B3813" s="1">
        <v>44170</v>
      </c>
      <c r="C3813" t="s">
        <v>1179</v>
      </c>
      <c r="D3813" t="s">
        <v>1180</v>
      </c>
      <c r="E3813" t="s">
        <v>14</v>
      </c>
      <c r="F3813" t="s">
        <v>29</v>
      </c>
      <c r="G3813" t="s">
        <v>24</v>
      </c>
      <c r="H3813" t="s">
        <v>2991</v>
      </c>
      <c r="I3813" s="2">
        <v>165.44</v>
      </c>
      <c r="J3813">
        <v>3</v>
      </c>
      <c r="K3813" s="2">
        <v>16.588799999999999</v>
      </c>
      <c r="L3813" s="3">
        <f>(Table1[[#This Row],[Profit]]/Table1[[#This Row],[Sales]])*100</f>
        <v>10.027079303675048</v>
      </c>
    </row>
    <row r="3814" spans="1:12" x14ac:dyDescent="0.3">
      <c r="A3814" t="s">
        <v>5215</v>
      </c>
      <c r="B3814" s="1">
        <v>44070</v>
      </c>
      <c r="C3814" t="s">
        <v>4983</v>
      </c>
      <c r="D3814" t="s">
        <v>4984</v>
      </c>
      <c r="E3814" t="s">
        <v>14</v>
      </c>
      <c r="F3814" t="s">
        <v>15</v>
      </c>
      <c r="G3814" t="s">
        <v>24</v>
      </c>
      <c r="H3814" t="s">
        <v>4334</v>
      </c>
      <c r="I3814" s="2">
        <v>170.84</v>
      </c>
      <c r="J3814">
        <v>8</v>
      </c>
      <c r="K3814" s="2">
        <v>16.598400000000002</v>
      </c>
      <c r="L3814" s="3">
        <f>(Table1[[#This Row],[Profit]]/Table1[[#This Row],[Sales]])*100</f>
        <v>9.7157574338562416</v>
      </c>
    </row>
    <row r="3815" spans="1:12" x14ac:dyDescent="0.3">
      <c r="A3815" t="s">
        <v>2582</v>
      </c>
      <c r="B3815" s="1">
        <v>43712</v>
      </c>
      <c r="C3815" t="s">
        <v>1962</v>
      </c>
      <c r="D3815" t="s">
        <v>1963</v>
      </c>
      <c r="E3815" t="s">
        <v>14</v>
      </c>
      <c r="F3815" t="s">
        <v>41</v>
      </c>
      <c r="G3815" t="s">
        <v>16</v>
      </c>
      <c r="H3815" t="s">
        <v>540</v>
      </c>
      <c r="I3815" s="2">
        <v>42.6</v>
      </c>
      <c r="J3815">
        <v>3</v>
      </c>
      <c r="K3815" s="2">
        <v>16.614000000000001</v>
      </c>
      <c r="L3815" s="3">
        <f>(Table1[[#This Row],[Profit]]/Table1[[#This Row],[Sales]])*100</f>
        <v>39</v>
      </c>
    </row>
    <row r="3816" spans="1:12" x14ac:dyDescent="0.3">
      <c r="A3816" t="s">
        <v>5965</v>
      </c>
      <c r="B3816" s="1">
        <v>44155</v>
      </c>
      <c r="C3816" t="s">
        <v>3385</v>
      </c>
      <c r="D3816" t="s">
        <v>3386</v>
      </c>
      <c r="E3816" t="s">
        <v>14</v>
      </c>
      <c r="F3816" t="s">
        <v>23</v>
      </c>
      <c r="G3816" t="s">
        <v>16</v>
      </c>
      <c r="H3816" t="s">
        <v>540</v>
      </c>
      <c r="I3816" s="2">
        <v>125.6</v>
      </c>
      <c r="J3816">
        <v>3</v>
      </c>
      <c r="K3816" s="2">
        <v>16.614000000000001</v>
      </c>
      <c r="L3816" s="3">
        <f>(Table1[[#This Row],[Profit]]/Table1[[#This Row],[Sales]])*100</f>
        <v>13.227707006369426</v>
      </c>
    </row>
    <row r="3817" spans="1:12" x14ac:dyDescent="0.3">
      <c r="A3817" t="s">
        <v>3068</v>
      </c>
      <c r="B3817" s="1">
        <v>43751</v>
      </c>
      <c r="C3817" t="s">
        <v>1785</v>
      </c>
      <c r="D3817" t="s">
        <v>1786</v>
      </c>
      <c r="E3817" t="s">
        <v>14</v>
      </c>
      <c r="F3817" t="s">
        <v>23</v>
      </c>
      <c r="G3817" t="s">
        <v>24</v>
      </c>
      <c r="H3817" t="s">
        <v>388</v>
      </c>
      <c r="I3817" s="2">
        <v>35.44</v>
      </c>
      <c r="J3817">
        <v>1</v>
      </c>
      <c r="K3817" s="2">
        <v>16.6568</v>
      </c>
      <c r="L3817" s="3">
        <f>(Table1[[#This Row],[Profit]]/Table1[[#This Row],[Sales]])*100</f>
        <v>47</v>
      </c>
    </row>
    <row r="3818" spans="1:12" x14ac:dyDescent="0.3">
      <c r="A3818" t="s">
        <v>6218</v>
      </c>
      <c r="B3818" s="1">
        <v>44185</v>
      </c>
      <c r="C3818" t="s">
        <v>6219</v>
      </c>
      <c r="D3818" t="s">
        <v>6220</v>
      </c>
      <c r="E3818" t="s">
        <v>14</v>
      </c>
      <c r="F3818" t="s">
        <v>15</v>
      </c>
      <c r="G3818" t="s">
        <v>24</v>
      </c>
      <c r="H3818" t="s">
        <v>813</v>
      </c>
      <c r="I3818" s="2">
        <v>293.02</v>
      </c>
      <c r="J3818">
        <v>3</v>
      </c>
      <c r="K3818" s="2">
        <v>16.669799999999999</v>
      </c>
      <c r="L3818" s="3">
        <f>(Table1[[#This Row],[Profit]]/Table1[[#This Row],[Sales]])*100</f>
        <v>5.6889632107023411</v>
      </c>
    </row>
    <row r="3819" spans="1:12" x14ac:dyDescent="0.3">
      <c r="A3819" t="s">
        <v>4817</v>
      </c>
      <c r="B3819" s="1">
        <v>43994</v>
      </c>
      <c r="C3819" t="s">
        <v>4118</v>
      </c>
      <c r="D3819" t="s">
        <v>4119</v>
      </c>
      <c r="E3819" t="s">
        <v>14</v>
      </c>
      <c r="F3819" t="s">
        <v>15</v>
      </c>
      <c r="G3819" t="s">
        <v>24</v>
      </c>
      <c r="H3819" t="s">
        <v>4822</v>
      </c>
      <c r="I3819" s="2">
        <v>161.13999999999999</v>
      </c>
      <c r="J3819">
        <v>3</v>
      </c>
      <c r="K3819" s="2">
        <v>16.676400000000001</v>
      </c>
      <c r="L3819" s="3">
        <f>(Table1[[#This Row],[Profit]]/Table1[[#This Row],[Sales]])*100</f>
        <v>10.349013280377314</v>
      </c>
    </row>
    <row r="3820" spans="1:12" x14ac:dyDescent="0.3">
      <c r="A3820" t="s">
        <v>5587</v>
      </c>
      <c r="B3820" s="1">
        <v>44111</v>
      </c>
      <c r="C3820" t="s">
        <v>108</v>
      </c>
      <c r="D3820" t="s">
        <v>109</v>
      </c>
      <c r="E3820" t="s">
        <v>14</v>
      </c>
      <c r="F3820" t="s">
        <v>41</v>
      </c>
      <c r="G3820" t="s">
        <v>18</v>
      </c>
      <c r="H3820" t="s">
        <v>4164</v>
      </c>
      <c r="I3820" s="2">
        <v>235.38399999999999</v>
      </c>
      <c r="J3820">
        <v>2</v>
      </c>
      <c r="K3820" s="2">
        <v>16.678799999999999</v>
      </c>
      <c r="L3820" s="3">
        <f>(Table1[[#This Row],[Profit]]/Table1[[#This Row],[Sales]])*100</f>
        <v>7.0857832308058324</v>
      </c>
    </row>
    <row r="3821" spans="1:12" x14ac:dyDescent="0.3">
      <c r="A3821" t="s">
        <v>5988</v>
      </c>
      <c r="B3821" s="1">
        <v>44158</v>
      </c>
      <c r="C3821" t="s">
        <v>3986</v>
      </c>
      <c r="D3821" t="s">
        <v>3987</v>
      </c>
      <c r="E3821" t="s">
        <v>14</v>
      </c>
      <c r="F3821" t="s">
        <v>29</v>
      </c>
      <c r="G3821" t="s">
        <v>18</v>
      </c>
      <c r="H3821" t="s">
        <v>4164</v>
      </c>
      <c r="I3821" s="2">
        <v>235.38399999999999</v>
      </c>
      <c r="J3821">
        <v>2</v>
      </c>
      <c r="K3821" s="2">
        <v>16.678799999999999</v>
      </c>
      <c r="L3821" s="3">
        <f>(Table1[[#This Row],[Profit]]/Table1[[#This Row],[Sales]])*100</f>
        <v>7.0857832308058324</v>
      </c>
    </row>
    <row r="3822" spans="1:12" x14ac:dyDescent="0.3">
      <c r="A3822" t="s">
        <v>3630</v>
      </c>
      <c r="B3822" s="1">
        <v>43799</v>
      </c>
      <c r="C3822" t="s">
        <v>3631</v>
      </c>
      <c r="D3822" t="s">
        <v>3632</v>
      </c>
      <c r="E3822" t="s">
        <v>14</v>
      </c>
      <c r="F3822" t="s">
        <v>29</v>
      </c>
      <c r="G3822" t="s">
        <v>24</v>
      </c>
      <c r="H3822" t="s">
        <v>2890</v>
      </c>
      <c r="I3822" s="2">
        <v>33.36</v>
      </c>
      <c r="J3822">
        <v>4</v>
      </c>
      <c r="K3822" s="2">
        <v>16.68</v>
      </c>
      <c r="L3822" s="3">
        <f>(Table1[[#This Row],[Profit]]/Table1[[#This Row],[Sales]])*100</f>
        <v>50</v>
      </c>
    </row>
    <row r="3823" spans="1:12" x14ac:dyDescent="0.3">
      <c r="A3823" t="s">
        <v>1834</v>
      </c>
      <c r="B3823" s="1">
        <v>43639</v>
      </c>
      <c r="C3823" t="s">
        <v>1835</v>
      </c>
      <c r="D3823" t="s">
        <v>1836</v>
      </c>
      <c r="E3823" t="s">
        <v>14</v>
      </c>
      <c r="F3823" t="s">
        <v>15</v>
      </c>
      <c r="G3823" t="s">
        <v>24</v>
      </c>
      <c r="H3823" t="s">
        <v>1837</v>
      </c>
      <c r="I3823" s="2">
        <v>835.17</v>
      </c>
      <c r="J3823">
        <v>7</v>
      </c>
      <c r="K3823" s="2">
        <v>16.703399999999998</v>
      </c>
      <c r="L3823" s="3">
        <f>(Table1[[#This Row],[Profit]]/Table1[[#This Row],[Sales]])*100</f>
        <v>2</v>
      </c>
    </row>
    <row r="3824" spans="1:12" x14ac:dyDescent="0.3">
      <c r="A3824" t="s">
        <v>4894</v>
      </c>
      <c r="B3824" s="1">
        <v>44007</v>
      </c>
      <c r="C3824" t="s">
        <v>352</v>
      </c>
      <c r="D3824" t="s">
        <v>353</v>
      </c>
      <c r="E3824" t="s">
        <v>14</v>
      </c>
      <c r="F3824" t="s">
        <v>29</v>
      </c>
      <c r="G3824" t="s">
        <v>18</v>
      </c>
      <c r="H3824" t="s">
        <v>2599</v>
      </c>
      <c r="I3824" s="2">
        <v>179.48</v>
      </c>
      <c r="J3824">
        <v>2</v>
      </c>
      <c r="K3824" s="2">
        <v>16.704000000000001</v>
      </c>
      <c r="L3824" s="3">
        <f>(Table1[[#This Row],[Profit]]/Table1[[#This Row],[Sales]])*100</f>
        <v>9.306886561176734</v>
      </c>
    </row>
    <row r="3825" spans="1:12" x14ac:dyDescent="0.3">
      <c r="A3825" t="s">
        <v>5731</v>
      </c>
      <c r="B3825" s="1">
        <v>44134</v>
      </c>
      <c r="C3825" t="s">
        <v>2985</v>
      </c>
      <c r="D3825" t="s">
        <v>2986</v>
      </c>
      <c r="E3825" t="s">
        <v>14</v>
      </c>
      <c r="F3825" t="s">
        <v>23</v>
      </c>
      <c r="G3825" t="s">
        <v>18</v>
      </c>
      <c r="H3825" t="s">
        <v>2599</v>
      </c>
      <c r="I3825" s="2">
        <v>194.48</v>
      </c>
      <c r="J3825">
        <v>2</v>
      </c>
      <c r="K3825" s="2">
        <v>16.704000000000001</v>
      </c>
      <c r="L3825" s="3">
        <f>(Table1[[#This Row],[Profit]]/Table1[[#This Row],[Sales]])*100</f>
        <v>8.5890580008227086</v>
      </c>
    </row>
    <row r="3826" spans="1:12" x14ac:dyDescent="0.3">
      <c r="A3826" t="s">
        <v>2867</v>
      </c>
      <c r="B3826" s="1">
        <v>43730</v>
      </c>
      <c r="C3826" t="s">
        <v>2720</v>
      </c>
      <c r="D3826" t="s">
        <v>2721</v>
      </c>
      <c r="E3826" t="s">
        <v>14</v>
      </c>
      <c r="F3826" t="s">
        <v>29</v>
      </c>
      <c r="G3826" t="s">
        <v>24</v>
      </c>
      <c r="H3826" t="s">
        <v>2580</v>
      </c>
      <c r="I3826" s="2">
        <v>35.56</v>
      </c>
      <c r="J3826">
        <v>7</v>
      </c>
      <c r="K3826" s="2">
        <v>16.713200000000001</v>
      </c>
      <c r="L3826" s="3">
        <f>(Table1[[#This Row],[Profit]]/Table1[[#This Row],[Sales]])*100</f>
        <v>47</v>
      </c>
    </row>
    <row r="3827" spans="1:12" x14ac:dyDescent="0.3">
      <c r="A3827" t="s">
        <v>4381</v>
      </c>
      <c r="B3827" s="1">
        <v>43920</v>
      </c>
      <c r="C3827" t="s">
        <v>795</v>
      </c>
      <c r="D3827" t="s">
        <v>796</v>
      </c>
      <c r="E3827" t="s">
        <v>14</v>
      </c>
      <c r="F3827" t="s">
        <v>41</v>
      </c>
      <c r="G3827" t="s">
        <v>24</v>
      </c>
      <c r="H3827" t="s">
        <v>4382</v>
      </c>
      <c r="I3827" s="2">
        <v>154.76</v>
      </c>
      <c r="J3827">
        <v>1</v>
      </c>
      <c r="K3827" s="2">
        <v>16.732800000000001</v>
      </c>
      <c r="L3827" s="3">
        <f>(Table1[[#This Row],[Profit]]/Table1[[#This Row],[Sales]])*100</f>
        <v>10.81209614887568</v>
      </c>
    </row>
    <row r="3828" spans="1:12" x14ac:dyDescent="0.3">
      <c r="A3828" t="s">
        <v>5740</v>
      </c>
      <c r="B3828" s="1">
        <v>44137</v>
      </c>
      <c r="C3828" t="s">
        <v>837</v>
      </c>
      <c r="D3828" t="s">
        <v>838</v>
      </c>
      <c r="E3828" t="s">
        <v>14</v>
      </c>
      <c r="F3828" t="s">
        <v>41</v>
      </c>
      <c r="G3828" t="s">
        <v>24</v>
      </c>
      <c r="H3828" t="s">
        <v>1205</v>
      </c>
      <c r="I3828" s="2">
        <v>104.92</v>
      </c>
      <c r="J3828">
        <v>4</v>
      </c>
      <c r="K3828" s="2">
        <v>16.7776</v>
      </c>
      <c r="L3828" s="3">
        <f>(Table1[[#This Row],[Profit]]/Table1[[#This Row],[Sales]])*100</f>
        <v>15.990850171559282</v>
      </c>
    </row>
    <row r="3829" spans="1:12" x14ac:dyDescent="0.3">
      <c r="A3829" t="s">
        <v>3260</v>
      </c>
      <c r="B3829" s="1">
        <v>43773</v>
      </c>
      <c r="C3829" t="s">
        <v>3002</v>
      </c>
      <c r="D3829" t="s">
        <v>3003</v>
      </c>
      <c r="E3829" t="s">
        <v>14</v>
      </c>
      <c r="F3829" t="s">
        <v>23</v>
      </c>
      <c r="G3829" t="s">
        <v>24</v>
      </c>
      <c r="H3829" t="s">
        <v>2475</v>
      </c>
      <c r="I3829" s="2">
        <v>47.951999999999998</v>
      </c>
      <c r="J3829">
        <v>3</v>
      </c>
      <c r="K3829" s="2">
        <v>16.783200000000001</v>
      </c>
      <c r="L3829" s="3">
        <f>(Table1[[#This Row],[Profit]]/Table1[[#This Row],[Sales]])*100</f>
        <v>35</v>
      </c>
    </row>
    <row r="3830" spans="1:12" x14ac:dyDescent="0.3">
      <c r="A3830" t="s">
        <v>3624</v>
      </c>
      <c r="B3830" s="1">
        <v>43798</v>
      </c>
      <c r="C3830" t="s">
        <v>3625</v>
      </c>
      <c r="D3830" t="s">
        <v>3626</v>
      </c>
      <c r="E3830" t="s">
        <v>14</v>
      </c>
      <c r="F3830" t="s">
        <v>29</v>
      </c>
      <c r="G3830" t="s">
        <v>18</v>
      </c>
      <c r="H3830" t="s">
        <v>3627</v>
      </c>
      <c r="I3830" s="2">
        <v>58.415999999999997</v>
      </c>
      <c r="J3830">
        <v>2</v>
      </c>
      <c r="K3830" s="2">
        <v>16.794599999999999</v>
      </c>
      <c r="L3830" s="3">
        <f>(Table1[[#This Row],[Profit]]/Table1[[#This Row],[Sales]])*100</f>
        <v>28.749999999999996</v>
      </c>
    </row>
    <row r="3831" spans="1:12" x14ac:dyDescent="0.3">
      <c r="A3831" t="s">
        <v>4121</v>
      </c>
      <c r="B3831" s="1">
        <v>43871</v>
      </c>
      <c r="C3831" t="s">
        <v>3714</v>
      </c>
      <c r="D3831" t="s">
        <v>3715</v>
      </c>
      <c r="E3831" t="s">
        <v>14</v>
      </c>
      <c r="F3831" t="s">
        <v>23</v>
      </c>
      <c r="G3831" t="s">
        <v>16</v>
      </c>
      <c r="H3831" t="s">
        <v>292</v>
      </c>
      <c r="I3831" s="2">
        <v>226.983</v>
      </c>
      <c r="J3831">
        <v>2</v>
      </c>
      <c r="K3831" s="2">
        <v>16.7986</v>
      </c>
      <c r="L3831" s="3">
        <f>(Table1[[#This Row],[Profit]]/Table1[[#This Row],[Sales]])*100</f>
        <v>7.4008185635047559</v>
      </c>
    </row>
    <row r="3832" spans="1:12" x14ac:dyDescent="0.3">
      <c r="A3832" t="s">
        <v>5198</v>
      </c>
      <c r="B3832" s="1">
        <v>44064</v>
      </c>
      <c r="C3832" t="s">
        <v>380</v>
      </c>
      <c r="D3832" t="s">
        <v>381</v>
      </c>
      <c r="E3832" t="s">
        <v>14</v>
      </c>
      <c r="F3832" t="s">
        <v>29</v>
      </c>
      <c r="G3832" t="s">
        <v>24</v>
      </c>
      <c r="H3832" t="s">
        <v>939</v>
      </c>
      <c r="I3832" s="2">
        <v>156</v>
      </c>
      <c r="J3832">
        <v>7</v>
      </c>
      <c r="K3832" s="2">
        <v>16.8</v>
      </c>
      <c r="L3832" s="3">
        <f>(Table1[[#This Row],[Profit]]/Table1[[#This Row],[Sales]])*100</f>
        <v>10.76923076923077</v>
      </c>
    </row>
    <row r="3833" spans="1:12" x14ac:dyDescent="0.3">
      <c r="A3833" t="s">
        <v>5523</v>
      </c>
      <c r="B3833" s="1">
        <v>44103</v>
      </c>
      <c r="C3833" t="s">
        <v>356</v>
      </c>
      <c r="D3833" t="s">
        <v>357</v>
      </c>
      <c r="E3833" t="s">
        <v>14</v>
      </c>
      <c r="F3833" t="s">
        <v>23</v>
      </c>
      <c r="G3833" t="s">
        <v>24</v>
      </c>
      <c r="H3833" t="s">
        <v>939</v>
      </c>
      <c r="I3833" s="2">
        <v>149</v>
      </c>
      <c r="J3833">
        <v>7</v>
      </c>
      <c r="K3833" s="2">
        <v>16.8</v>
      </c>
      <c r="L3833" s="3">
        <f>(Table1[[#This Row],[Profit]]/Table1[[#This Row],[Sales]])*100</f>
        <v>11.275167785234899</v>
      </c>
    </row>
    <row r="3834" spans="1:12" x14ac:dyDescent="0.3">
      <c r="A3834" t="s">
        <v>3350</v>
      </c>
      <c r="B3834" s="1">
        <v>43779</v>
      </c>
      <c r="C3834" t="s">
        <v>1456</v>
      </c>
      <c r="D3834" t="s">
        <v>1457</v>
      </c>
      <c r="E3834" t="s">
        <v>14</v>
      </c>
      <c r="F3834" t="s">
        <v>15</v>
      </c>
      <c r="G3834" t="s">
        <v>24</v>
      </c>
      <c r="H3834" t="s">
        <v>3351</v>
      </c>
      <c r="I3834" s="2">
        <v>49.847999999999999</v>
      </c>
      <c r="J3834">
        <v>3</v>
      </c>
      <c r="K3834" s="2">
        <v>16.823699999999999</v>
      </c>
      <c r="L3834" s="3">
        <f>(Table1[[#This Row],[Profit]]/Table1[[#This Row],[Sales]])*100</f>
        <v>33.75</v>
      </c>
    </row>
    <row r="3835" spans="1:12" x14ac:dyDescent="0.3">
      <c r="A3835" t="s">
        <v>2993</v>
      </c>
      <c r="B3835" s="1">
        <v>43740</v>
      </c>
      <c r="C3835" t="s">
        <v>2994</v>
      </c>
      <c r="D3835" t="s">
        <v>2995</v>
      </c>
      <c r="E3835" t="s">
        <v>14</v>
      </c>
      <c r="F3835" t="s">
        <v>29</v>
      </c>
      <c r="G3835" t="s">
        <v>24</v>
      </c>
      <c r="H3835" t="s">
        <v>944</v>
      </c>
      <c r="I3835" s="2">
        <v>34.369999999999997</v>
      </c>
      <c r="J3835">
        <v>7</v>
      </c>
      <c r="K3835" s="2">
        <v>16.8413</v>
      </c>
      <c r="L3835" s="3">
        <f>(Table1[[#This Row],[Profit]]/Table1[[#This Row],[Sales]])*100</f>
        <v>49.000000000000007</v>
      </c>
    </row>
    <row r="3836" spans="1:12" x14ac:dyDescent="0.3">
      <c r="A3836" t="s">
        <v>4175</v>
      </c>
      <c r="B3836" s="1">
        <v>43884</v>
      </c>
      <c r="C3836" t="s">
        <v>602</v>
      </c>
      <c r="D3836" t="s">
        <v>603</v>
      </c>
      <c r="E3836" t="s">
        <v>14</v>
      </c>
      <c r="F3836" t="s">
        <v>23</v>
      </c>
      <c r="G3836" t="s">
        <v>24</v>
      </c>
      <c r="H3836" t="s">
        <v>1886</v>
      </c>
      <c r="I3836" s="2">
        <v>128.44</v>
      </c>
      <c r="J3836">
        <v>6</v>
      </c>
      <c r="K3836" s="2">
        <v>16.847999999999999</v>
      </c>
      <c r="L3836" s="3">
        <f>(Table1[[#This Row],[Profit]]/Table1[[#This Row],[Sales]])*100</f>
        <v>13.117408906882591</v>
      </c>
    </row>
    <row r="3837" spans="1:12" x14ac:dyDescent="0.3">
      <c r="A3837" t="s">
        <v>4623</v>
      </c>
      <c r="B3837" s="1">
        <v>43962</v>
      </c>
      <c r="C3837" t="s">
        <v>3385</v>
      </c>
      <c r="D3837" t="s">
        <v>3386</v>
      </c>
      <c r="E3837" t="s">
        <v>14</v>
      </c>
      <c r="F3837" t="s">
        <v>23</v>
      </c>
      <c r="G3837" t="s">
        <v>24</v>
      </c>
      <c r="H3837" t="s">
        <v>1886</v>
      </c>
      <c r="I3837" s="2">
        <v>113.44</v>
      </c>
      <c r="J3837">
        <v>6</v>
      </c>
      <c r="K3837" s="2">
        <v>16.847999999999999</v>
      </c>
      <c r="L3837" s="3">
        <f>(Table1[[#This Row],[Profit]]/Table1[[#This Row],[Sales]])*100</f>
        <v>14.851904090267981</v>
      </c>
    </row>
    <row r="3838" spans="1:12" x14ac:dyDescent="0.3">
      <c r="A3838" t="s">
        <v>3584</v>
      </c>
      <c r="B3838" s="1">
        <v>43795</v>
      </c>
      <c r="C3838" t="s">
        <v>2051</v>
      </c>
      <c r="D3838" t="s">
        <v>2052</v>
      </c>
      <c r="E3838" t="s">
        <v>14</v>
      </c>
      <c r="F3838" t="s">
        <v>41</v>
      </c>
      <c r="G3838" t="s">
        <v>24</v>
      </c>
      <c r="H3838" t="s">
        <v>3585</v>
      </c>
      <c r="I3838" s="2">
        <v>33.75</v>
      </c>
      <c r="J3838">
        <v>5</v>
      </c>
      <c r="K3838" s="2">
        <v>16.875</v>
      </c>
      <c r="L3838" s="3">
        <f>(Table1[[#This Row],[Profit]]/Table1[[#This Row],[Sales]])*100</f>
        <v>50</v>
      </c>
    </row>
    <row r="3839" spans="1:12" x14ac:dyDescent="0.3">
      <c r="A3839" t="s">
        <v>3450</v>
      </c>
      <c r="B3839" s="1">
        <v>43787</v>
      </c>
      <c r="C3839" t="s">
        <v>3451</v>
      </c>
      <c r="D3839" t="s">
        <v>3452</v>
      </c>
      <c r="E3839" t="s">
        <v>14</v>
      </c>
      <c r="F3839" t="s">
        <v>15</v>
      </c>
      <c r="G3839" t="s">
        <v>24</v>
      </c>
      <c r="H3839" t="s">
        <v>2046</v>
      </c>
      <c r="I3839" s="2">
        <v>103.968</v>
      </c>
      <c r="J3839">
        <v>6</v>
      </c>
      <c r="K3839" s="2">
        <v>16.8948</v>
      </c>
      <c r="L3839" s="3">
        <f>(Table1[[#This Row],[Profit]]/Table1[[#This Row],[Sales]])*100</f>
        <v>16.25</v>
      </c>
    </row>
    <row r="3840" spans="1:12" x14ac:dyDescent="0.3">
      <c r="A3840" t="s">
        <v>5329</v>
      </c>
      <c r="B3840" s="1">
        <v>44082</v>
      </c>
      <c r="C3840" t="s">
        <v>3301</v>
      </c>
      <c r="D3840" t="s">
        <v>3302</v>
      </c>
      <c r="E3840" t="s">
        <v>14</v>
      </c>
      <c r="F3840" t="s">
        <v>15</v>
      </c>
      <c r="G3840" t="s">
        <v>24</v>
      </c>
      <c r="H3840" t="s">
        <v>4371</v>
      </c>
      <c r="I3840" s="2">
        <v>165.12</v>
      </c>
      <c r="J3840">
        <v>4</v>
      </c>
      <c r="K3840" s="2">
        <v>16.9312</v>
      </c>
      <c r="L3840" s="3">
        <f>(Table1[[#This Row],[Profit]]/Table1[[#This Row],[Sales]])*100</f>
        <v>10.253875968992249</v>
      </c>
    </row>
    <row r="3841" spans="1:12" x14ac:dyDescent="0.3">
      <c r="A3841" t="s">
        <v>4228</v>
      </c>
      <c r="B3841" s="1">
        <v>43896</v>
      </c>
      <c r="C3841" t="s">
        <v>1456</v>
      </c>
      <c r="D3841" t="s">
        <v>1457</v>
      </c>
      <c r="E3841" t="s">
        <v>14</v>
      </c>
      <c r="F3841" t="s">
        <v>23</v>
      </c>
      <c r="G3841" t="s">
        <v>24</v>
      </c>
      <c r="H3841" t="s">
        <v>212</v>
      </c>
      <c r="I3841" s="2">
        <v>165.78</v>
      </c>
      <c r="J3841">
        <v>2</v>
      </c>
      <c r="K3841" s="2">
        <v>16.945</v>
      </c>
      <c r="L3841" s="3">
        <f>(Table1[[#This Row],[Profit]]/Table1[[#This Row],[Sales]])*100</f>
        <v>10.221377729521052</v>
      </c>
    </row>
    <row r="3842" spans="1:12" x14ac:dyDescent="0.3">
      <c r="A3842" t="s">
        <v>2418</v>
      </c>
      <c r="B3842" s="1">
        <v>43700</v>
      </c>
      <c r="C3842" t="s">
        <v>2419</v>
      </c>
      <c r="D3842" t="s">
        <v>2420</v>
      </c>
      <c r="E3842" t="s">
        <v>14</v>
      </c>
      <c r="F3842" t="s">
        <v>23</v>
      </c>
      <c r="G3842" t="s">
        <v>24</v>
      </c>
      <c r="H3842" t="s">
        <v>1720</v>
      </c>
      <c r="I3842" s="2">
        <v>34.68</v>
      </c>
      <c r="J3842">
        <v>6</v>
      </c>
      <c r="K3842" s="2">
        <v>16.993200000000002</v>
      </c>
      <c r="L3842" s="3">
        <f>(Table1[[#This Row],[Profit]]/Table1[[#This Row],[Sales]])*100</f>
        <v>49.000000000000007</v>
      </c>
    </row>
    <row r="3843" spans="1:12" x14ac:dyDescent="0.3">
      <c r="A3843" t="s">
        <v>5096</v>
      </c>
      <c r="B3843" s="1">
        <v>44044</v>
      </c>
      <c r="C3843" t="s">
        <v>4534</v>
      </c>
      <c r="D3843" t="s">
        <v>4535</v>
      </c>
      <c r="E3843" t="s">
        <v>14</v>
      </c>
      <c r="F3843" t="s">
        <v>41</v>
      </c>
      <c r="G3843" t="s">
        <v>18</v>
      </c>
      <c r="H3843" t="s">
        <v>2611</v>
      </c>
      <c r="I3843" s="2">
        <v>317.95999999999998</v>
      </c>
      <c r="J3843">
        <v>5</v>
      </c>
      <c r="K3843" s="2">
        <v>16.997499999999999</v>
      </c>
      <c r="L3843" s="3">
        <f>(Table1[[#This Row],[Profit]]/Table1[[#This Row],[Sales]])*100</f>
        <v>5.3457982136117748</v>
      </c>
    </row>
    <row r="3844" spans="1:12" x14ac:dyDescent="0.3">
      <c r="A3844" t="s">
        <v>1859</v>
      </c>
      <c r="B3844" s="1">
        <v>43641</v>
      </c>
      <c r="C3844" t="s">
        <v>903</v>
      </c>
      <c r="D3844" t="s">
        <v>904</v>
      </c>
      <c r="E3844" t="s">
        <v>14</v>
      </c>
      <c r="F3844" t="s">
        <v>23</v>
      </c>
      <c r="G3844" t="s">
        <v>24</v>
      </c>
      <c r="H3844" t="s">
        <v>156</v>
      </c>
      <c r="I3844" s="2">
        <v>60.81</v>
      </c>
      <c r="J3844">
        <v>3</v>
      </c>
      <c r="K3844" s="2">
        <v>17.026800000000001</v>
      </c>
      <c r="L3844" s="3">
        <f>(Table1[[#This Row],[Profit]]/Table1[[#This Row],[Sales]])*100</f>
        <v>28.000000000000004</v>
      </c>
    </row>
    <row r="3845" spans="1:12" x14ac:dyDescent="0.3">
      <c r="A3845" t="s">
        <v>2041</v>
      </c>
      <c r="B3845" s="1">
        <v>43660</v>
      </c>
      <c r="C3845" t="s">
        <v>2042</v>
      </c>
      <c r="D3845" t="s">
        <v>2043</v>
      </c>
      <c r="E3845" t="s">
        <v>14</v>
      </c>
      <c r="F3845" t="s">
        <v>41</v>
      </c>
      <c r="G3845" t="s">
        <v>24</v>
      </c>
      <c r="H3845" t="s">
        <v>2044</v>
      </c>
      <c r="I3845" s="2">
        <v>36.4</v>
      </c>
      <c r="J3845">
        <v>5</v>
      </c>
      <c r="K3845" s="2">
        <v>17.108000000000001</v>
      </c>
      <c r="L3845" s="3">
        <f>(Table1[[#This Row],[Profit]]/Table1[[#This Row],[Sales]])*100</f>
        <v>47</v>
      </c>
    </row>
    <row r="3846" spans="1:12" x14ac:dyDescent="0.3">
      <c r="A3846" t="s">
        <v>4839</v>
      </c>
      <c r="B3846" s="1">
        <v>43998</v>
      </c>
      <c r="C3846" t="s">
        <v>3041</v>
      </c>
      <c r="D3846" t="s">
        <v>3042</v>
      </c>
      <c r="E3846" t="s">
        <v>14</v>
      </c>
      <c r="F3846" t="s">
        <v>41</v>
      </c>
      <c r="G3846" t="s">
        <v>18</v>
      </c>
      <c r="H3846" t="s">
        <v>2778</v>
      </c>
      <c r="I3846" s="2">
        <v>153.99</v>
      </c>
      <c r="J3846">
        <v>1</v>
      </c>
      <c r="K3846" s="2">
        <v>17.157399999999999</v>
      </c>
      <c r="L3846" s="3">
        <f>(Table1[[#This Row],[Profit]]/Table1[[#This Row],[Sales]])*100</f>
        <v>11.141892330670821</v>
      </c>
    </row>
    <row r="3847" spans="1:12" x14ac:dyDescent="0.3">
      <c r="A3847" t="s">
        <v>5550</v>
      </c>
      <c r="B3847" s="1">
        <v>44106</v>
      </c>
      <c r="C3847" t="s">
        <v>509</v>
      </c>
      <c r="D3847" t="s">
        <v>510</v>
      </c>
      <c r="E3847" t="s">
        <v>14</v>
      </c>
      <c r="F3847" t="s">
        <v>15</v>
      </c>
      <c r="G3847" t="s">
        <v>18</v>
      </c>
      <c r="H3847" t="s">
        <v>5405</v>
      </c>
      <c r="I3847" s="2">
        <v>110.99</v>
      </c>
      <c r="J3847">
        <v>1</v>
      </c>
      <c r="K3847" s="2">
        <v>17.157399999999999</v>
      </c>
      <c r="L3847" s="3">
        <f>(Table1[[#This Row],[Profit]]/Table1[[#This Row],[Sales]])*100</f>
        <v>15.458509775655466</v>
      </c>
    </row>
    <row r="3848" spans="1:12" x14ac:dyDescent="0.3">
      <c r="A3848" t="s">
        <v>3347</v>
      </c>
      <c r="B3848" s="1">
        <v>43779</v>
      </c>
      <c r="C3848" t="s">
        <v>3348</v>
      </c>
      <c r="D3848" t="s">
        <v>3349</v>
      </c>
      <c r="E3848" t="s">
        <v>14</v>
      </c>
      <c r="F3848" t="s">
        <v>29</v>
      </c>
      <c r="G3848" t="s">
        <v>16</v>
      </c>
      <c r="H3848" t="s">
        <v>1552</v>
      </c>
      <c r="I3848" s="2">
        <v>37.299999999999997</v>
      </c>
      <c r="J3848">
        <v>2</v>
      </c>
      <c r="K3848" s="2">
        <v>17.158000000000001</v>
      </c>
      <c r="L3848" s="3">
        <f>(Table1[[#This Row],[Profit]]/Table1[[#This Row],[Sales]])*100</f>
        <v>46.000000000000007</v>
      </c>
    </row>
    <row r="3849" spans="1:12" x14ac:dyDescent="0.3">
      <c r="A3849" t="s">
        <v>2911</v>
      </c>
      <c r="B3849" s="1">
        <v>43733</v>
      </c>
      <c r="C3849" t="s">
        <v>1970</v>
      </c>
      <c r="D3849" t="s">
        <v>1971</v>
      </c>
      <c r="E3849" t="s">
        <v>14</v>
      </c>
      <c r="F3849" t="s">
        <v>29</v>
      </c>
      <c r="G3849" t="s">
        <v>16</v>
      </c>
      <c r="H3849" t="s">
        <v>1492</v>
      </c>
      <c r="I3849" s="2">
        <v>68.64</v>
      </c>
      <c r="J3849">
        <v>11</v>
      </c>
      <c r="K3849" s="2">
        <v>17.16</v>
      </c>
      <c r="L3849" s="3">
        <f>(Table1[[#This Row],[Profit]]/Table1[[#This Row],[Sales]])*100</f>
        <v>25</v>
      </c>
    </row>
    <row r="3850" spans="1:12" x14ac:dyDescent="0.3">
      <c r="A3850" t="s">
        <v>5348</v>
      </c>
      <c r="B3850" s="1">
        <v>44084</v>
      </c>
      <c r="C3850" t="s">
        <v>1559</v>
      </c>
      <c r="D3850" t="s">
        <v>1560</v>
      </c>
      <c r="E3850" t="s">
        <v>14</v>
      </c>
      <c r="F3850" t="s">
        <v>29</v>
      </c>
      <c r="G3850" t="s">
        <v>24</v>
      </c>
      <c r="H3850" t="s">
        <v>4574</v>
      </c>
      <c r="I3850" s="2">
        <v>300.29000000000002</v>
      </c>
      <c r="J3850">
        <v>3</v>
      </c>
      <c r="K3850" s="2">
        <v>17.177399999999999</v>
      </c>
      <c r="L3850" s="3">
        <f>(Table1[[#This Row],[Profit]]/Table1[[#This Row],[Sales]])*100</f>
        <v>5.7202704052749</v>
      </c>
    </row>
    <row r="3851" spans="1:12" x14ac:dyDescent="0.3">
      <c r="A3851" t="s">
        <v>4653</v>
      </c>
      <c r="B3851" s="1">
        <v>43966</v>
      </c>
      <c r="C3851" t="s">
        <v>981</v>
      </c>
      <c r="D3851" t="s">
        <v>982</v>
      </c>
      <c r="E3851" t="s">
        <v>14</v>
      </c>
      <c r="F3851" t="s">
        <v>23</v>
      </c>
      <c r="G3851" t="s">
        <v>16</v>
      </c>
      <c r="H3851" t="s">
        <v>86</v>
      </c>
      <c r="I3851" s="2">
        <v>141.96</v>
      </c>
      <c r="J3851">
        <v>2</v>
      </c>
      <c r="K3851" s="2">
        <v>17.1828</v>
      </c>
      <c r="L3851" s="3">
        <f>(Table1[[#This Row],[Profit]]/Table1[[#This Row],[Sales]])*100</f>
        <v>12.103972950126796</v>
      </c>
    </row>
    <row r="3852" spans="1:12" x14ac:dyDescent="0.3">
      <c r="A3852" t="s">
        <v>3382</v>
      </c>
      <c r="B3852" s="1">
        <v>43780</v>
      </c>
      <c r="C3852" t="s">
        <v>942</v>
      </c>
      <c r="D3852" t="s">
        <v>943</v>
      </c>
      <c r="E3852" t="s">
        <v>14</v>
      </c>
      <c r="F3852" t="s">
        <v>15</v>
      </c>
      <c r="G3852" t="s">
        <v>24</v>
      </c>
      <c r="H3852" t="s">
        <v>2460</v>
      </c>
      <c r="I3852" s="2">
        <v>55.008000000000003</v>
      </c>
      <c r="J3852">
        <v>3</v>
      </c>
      <c r="K3852" s="2">
        <v>17.190000000000001</v>
      </c>
      <c r="L3852" s="3">
        <f>(Table1[[#This Row],[Profit]]/Table1[[#This Row],[Sales]])*100</f>
        <v>31.25</v>
      </c>
    </row>
    <row r="3853" spans="1:12" x14ac:dyDescent="0.3">
      <c r="A3853" t="s">
        <v>5001</v>
      </c>
      <c r="B3853" s="1">
        <v>44023</v>
      </c>
      <c r="C3853" t="s">
        <v>4657</v>
      </c>
      <c r="D3853" t="s">
        <v>4658</v>
      </c>
      <c r="E3853" t="s">
        <v>14</v>
      </c>
      <c r="F3853" t="s">
        <v>15</v>
      </c>
      <c r="G3853" t="s">
        <v>18</v>
      </c>
      <c r="H3853" t="s">
        <v>3145</v>
      </c>
      <c r="I3853" s="2">
        <v>172.6</v>
      </c>
      <c r="J3853">
        <v>6</v>
      </c>
      <c r="K3853" s="2">
        <v>17.238</v>
      </c>
      <c r="L3853" s="3">
        <f>(Table1[[#This Row],[Profit]]/Table1[[#This Row],[Sales]])*100</f>
        <v>9.9872537659327918</v>
      </c>
    </row>
    <row r="3854" spans="1:12" x14ac:dyDescent="0.3">
      <c r="A3854" t="s">
        <v>4391</v>
      </c>
      <c r="B3854" s="1">
        <v>43921</v>
      </c>
      <c r="C3854" t="s">
        <v>1465</v>
      </c>
      <c r="D3854" t="s">
        <v>1466</v>
      </c>
      <c r="E3854" t="s">
        <v>14</v>
      </c>
      <c r="F3854" t="s">
        <v>41</v>
      </c>
      <c r="G3854" t="s">
        <v>24</v>
      </c>
      <c r="H3854" t="s">
        <v>721</v>
      </c>
      <c r="I3854" s="2">
        <v>118.54</v>
      </c>
      <c r="J3854">
        <v>1</v>
      </c>
      <c r="K3854" s="2">
        <v>17.27</v>
      </c>
      <c r="L3854" s="3">
        <f>(Table1[[#This Row],[Profit]]/Table1[[#This Row],[Sales]])*100</f>
        <v>14.568921882908722</v>
      </c>
    </row>
    <row r="3855" spans="1:12" x14ac:dyDescent="0.3">
      <c r="A3855" t="s">
        <v>1402</v>
      </c>
      <c r="B3855" s="1">
        <v>43602</v>
      </c>
      <c r="C3855" t="s">
        <v>1403</v>
      </c>
      <c r="D3855" t="s">
        <v>1404</v>
      </c>
      <c r="E3855" t="s">
        <v>14</v>
      </c>
      <c r="F3855" t="s">
        <v>15</v>
      </c>
      <c r="G3855" t="s">
        <v>16</v>
      </c>
      <c r="H3855" t="s">
        <v>1117</v>
      </c>
      <c r="I3855" s="2">
        <v>173.24</v>
      </c>
      <c r="J3855">
        <v>4</v>
      </c>
      <c r="K3855" s="2">
        <v>17.324000000000002</v>
      </c>
      <c r="L3855" s="3">
        <f>(Table1[[#This Row],[Profit]]/Table1[[#This Row],[Sales]])*100</f>
        <v>10</v>
      </c>
    </row>
    <row r="3856" spans="1:12" x14ac:dyDescent="0.3">
      <c r="A3856" t="s">
        <v>117</v>
      </c>
      <c r="B3856" s="1">
        <v>43480</v>
      </c>
      <c r="C3856" t="s">
        <v>118</v>
      </c>
      <c r="D3856" t="s">
        <v>119</v>
      </c>
      <c r="E3856" t="s">
        <v>14</v>
      </c>
      <c r="F3856" t="s">
        <v>15</v>
      </c>
      <c r="G3856" t="s">
        <v>24</v>
      </c>
      <c r="H3856" t="s">
        <v>122</v>
      </c>
      <c r="I3856" s="2">
        <v>49.536000000000001</v>
      </c>
      <c r="J3856">
        <v>3</v>
      </c>
      <c r="K3856" s="2">
        <v>17.337599999999998</v>
      </c>
      <c r="L3856" s="3">
        <f>(Table1[[#This Row],[Profit]]/Table1[[#This Row],[Sales]])*100</f>
        <v>35</v>
      </c>
    </row>
    <row r="3857" spans="1:12" x14ac:dyDescent="0.3">
      <c r="A3857" t="s">
        <v>3194</v>
      </c>
      <c r="B3857" s="1">
        <v>43766</v>
      </c>
      <c r="C3857" t="s">
        <v>1451</v>
      </c>
      <c r="D3857" t="s">
        <v>1452</v>
      </c>
      <c r="E3857" t="s">
        <v>14</v>
      </c>
      <c r="F3857" t="s">
        <v>23</v>
      </c>
      <c r="G3857" t="s">
        <v>24</v>
      </c>
      <c r="H3857" t="s">
        <v>122</v>
      </c>
      <c r="I3857" s="2">
        <v>49.536000000000001</v>
      </c>
      <c r="J3857">
        <v>3</v>
      </c>
      <c r="K3857" s="2">
        <v>17.337599999999998</v>
      </c>
      <c r="L3857" s="3">
        <f>(Table1[[#This Row],[Profit]]/Table1[[#This Row],[Sales]])*100</f>
        <v>35</v>
      </c>
    </row>
    <row r="3858" spans="1:12" x14ac:dyDescent="0.3">
      <c r="A3858" t="s">
        <v>2008</v>
      </c>
      <c r="B3858" s="1">
        <v>43656</v>
      </c>
      <c r="C3858" t="s">
        <v>1355</v>
      </c>
      <c r="D3858" t="s">
        <v>1356</v>
      </c>
      <c r="E3858" t="s">
        <v>14</v>
      </c>
      <c r="F3858" t="s">
        <v>29</v>
      </c>
      <c r="G3858" t="s">
        <v>24</v>
      </c>
      <c r="H3858" t="s">
        <v>2009</v>
      </c>
      <c r="I3858" s="2">
        <v>154.24</v>
      </c>
      <c r="J3858">
        <v>4</v>
      </c>
      <c r="K3858" s="2">
        <v>17.352</v>
      </c>
      <c r="L3858" s="3">
        <f>(Table1[[#This Row],[Profit]]/Table1[[#This Row],[Sales]])*100</f>
        <v>11.249999999999998</v>
      </c>
    </row>
    <row r="3859" spans="1:12" x14ac:dyDescent="0.3">
      <c r="A3859" t="s">
        <v>6248</v>
      </c>
      <c r="B3859" s="1">
        <v>44188</v>
      </c>
      <c r="C3859" t="s">
        <v>6249</v>
      </c>
      <c r="D3859" t="s">
        <v>6250</v>
      </c>
      <c r="E3859" t="s">
        <v>14</v>
      </c>
      <c r="F3859" t="s">
        <v>41</v>
      </c>
      <c r="G3859" t="s">
        <v>24</v>
      </c>
      <c r="H3859" t="s">
        <v>2056</v>
      </c>
      <c r="I3859" s="2">
        <v>294.04000000000002</v>
      </c>
      <c r="J3859">
        <v>4</v>
      </c>
      <c r="K3859" s="2">
        <v>17.371200000000002</v>
      </c>
      <c r="L3859" s="3">
        <f>(Table1[[#This Row],[Profit]]/Table1[[#This Row],[Sales]])*100</f>
        <v>5.9077676506597747</v>
      </c>
    </row>
    <row r="3860" spans="1:12" x14ac:dyDescent="0.3">
      <c r="A3860" t="s">
        <v>1500</v>
      </c>
      <c r="B3860" s="1">
        <v>43611</v>
      </c>
      <c r="C3860" t="s">
        <v>174</v>
      </c>
      <c r="D3860" t="s">
        <v>175</v>
      </c>
      <c r="E3860" t="s">
        <v>14</v>
      </c>
      <c r="F3860" t="s">
        <v>15</v>
      </c>
      <c r="G3860" t="s">
        <v>16</v>
      </c>
      <c r="H3860" t="s">
        <v>403</v>
      </c>
      <c r="I3860" s="2">
        <v>41.37</v>
      </c>
      <c r="J3860">
        <v>3</v>
      </c>
      <c r="K3860" s="2">
        <v>17.375399999999999</v>
      </c>
      <c r="L3860" s="3">
        <f>(Table1[[#This Row],[Profit]]/Table1[[#This Row],[Sales]])*100</f>
        <v>42</v>
      </c>
    </row>
    <row r="3861" spans="1:12" x14ac:dyDescent="0.3">
      <c r="A3861" t="s">
        <v>5772</v>
      </c>
      <c r="B3861" s="1">
        <v>44138</v>
      </c>
      <c r="C3861" t="s">
        <v>3203</v>
      </c>
      <c r="D3861" t="s">
        <v>3204</v>
      </c>
      <c r="E3861" t="s">
        <v>14</v>
      </c>
      <c r="F3861" t="s">
        <v>23</v>
      </c>
      <c r="G3861" t="s">
        <v>16</v>
      </c>
      <c r="H3861" t="s">
        <v>403</v>
      </c>
      <c r="I3861" s="2">
        <v>162.37</v>
      </c>
      <c r="J3861">
        <v>3</v>
      </c>
      <c r="K3861" s="2">
        <v>17.375399999999999</v>
      </c>
      <c r="L3861" s="3">
        <f>(Table1[[#This Row],[Profit]]/Table1[[#This Row],[Sales]])*100</f>
        <v>10.7011147379442</v>
      </c>
    </row>
    <row r="3862" spans="1:12" x14ac:dyDescent="0.3">
      <c r="A3862" t="s">
        <v>4322</v>
      </c>
      <c r="B3862" s="1">
        <v>43913</v>
      </c>
      <c r="C3862" t="s">
        <v>1686</v>
      </c>
      <c r="D3862" t="s">
        <v>1687</v>
      </c>
      <c r="E3862" t="s">
        <v>14</v>
      </c>
      <c r="F3862" t="s">
        <v>15</v>
      </c>
      <c r="G3862" t="s">
        <v>24</v>
      </c>
      <c r="H3862" t="s">
        <v>1112</v>
      </c>
      <c r="I3862" s="2">
        <v>366.58</v>
      </c>
      <c r="J3862">
        <v>3</v>
      </c>
      <c r="K3862" s="2">
        <v>17.379000000000001</v>
      </c>
      <c r="L3862" s="3">
        <f>(Table1[[#This Row],[Profit]]/Table1[[#This Row],[Sales]])*100</f>
        <v>4.7408478367614171</v>
      </c>
    </row>
    <row r="3863" spans="1:12" x14ac:dyDescent="0.3">
      <c r="A3863" t="s">
        <v>2077</v>
      </c>
      <c r="B3863" s="1">
        <v>43663</v>
      </c>
      <c r="C3863" t="s">
        <v>2078</v>
      </c>
      <c r="D3863" t="s">
        <v>2079</v>
      </c>
      <c r="E3863" t="s">
        <v>14</v>
      </c>
      <c r="F3863" t="s">
        <v>23</v>
      </c>
      <c r="G3863" t="s">
        <v>24</v>
      </c>
      <c r="H3863" t="s">
        <v>1413</v>
      </c>
      <c r="I3863" s="2">
        <v>69.52</v>
      </c>
      <c r="J3863">
        <v>2</v>
      </c>
      <c r="K3863" s="2">
        <v>17.38</v>
      </c>
      <c r="L3863" s="3">
        <f>(Table1[[#This Row],[Profit]]/Table1[[#This Row],[Sales]])*100</f>
        <v>25</v>
      </c>
    </row>
    <row r="3864" spans="1:12" x14ac:dyDescent="0.3">
      <c r="A3864" t="s">
        <v>2825</v>
      </c>
      <c r="B3864" s="1">
        <v>43727</v>
      </c>
      <c r="C3864" t="s">
        <v>602</v>
      </c>
      <c r="D3864" t="s">
        <v>603</v>
      </c>
      <c r="E3864" t="s">
        <v>14</v>
      </c>
      <c r="F3864" t="s">
        <v>15</v>
      </c>
      <c r="G3864" t="s">
        <v>24</v>
      </c>
      <c r="H3864" t="s">
        <v>1413</v>
      </c>
      <c r="I3864" s="2">
        <v>69.52</v>
      </c>
      <c r="J3864">
        <v>2</v>
      </c>
      <c r="K3864" s="2">
        <v>17.38</v>
      </c>
      <c r="L3864" s="3">
        <f>(Table1[[#This Row],[Profit]]/Table1[[#This Row],[Sales]])*100</f>
        <v>25</v>
      </c>
    </row>
    <row r="3865" spans="1:12" x14ac:dyDescent="0.3">
      <c r="A3865" t="s">
        <v>5609</v>
      </c>
      <c r="B3865" s="1">
        <v>44116</v>
      </c>
      <c r="C3865" t="s">
        <v>2100</v>
      </c>
      <c r="D3865" t="s">
        <v>2101</v>
      </c>
      <c r="E3865" t="s">
        <v>14</v>
      </c>
      <c r="F3865" t="s">
        <v>15</v>
      </c>
      <c r="G3865" t="s">
        <v>16</v>
      </c>
      <c r="H3865" t="s">
        <v>441</v>
      </c>
      <c r="I3865" s="2">
        <v>133.47999999999999</v>
      </c>
      <c r="J3865">
        <v>2</v>
      </c>
      <c r="K3865" s="2">
        <v>17.406400000000001</v>
      </c>
      <c r="L3865" s="3">
        <f>(Table1[[#This Row],[Profit]]/Table1[[#This Row],[Sales]])*100</f>
        <v>13.040455498951156</v>
      </c>
    </row>
    <row r="3866" spans="1:12" x14ac:dyDescent="0.3">
      <c r="A3866" t="s">
        <v>6210</v>
      </c>
      <c r="B3866" s="1">
        <v>44183</v>
      </c>
      <c r="C3866" t="s">
        <v>3465</v>
      </c>
      <c r="D3866" t="s">
        <v>3466</v>
      </c>
      <c r="E3866" t="s">
        <v>14</v>
      </c>
      <c r="F3866" t="s">
        <v>15</v>
      </c>
      <c r="G3866" t="s">
        <v>24</v>
      </c>
      <c r="H3866" t="s">
        <v>2987</v>
      </c>
      <c r="I3866" s="2">
        <v>394.82</v>
      </c>
      <c r="J3866">
        <v>6</v>
      </c>
      <c r="K3866" s="2">
        <v>17.469000000000001</v>
      </c>
      <c r="L3866" s="3">
        <f>(Table1[[#This Row],[Profit]]/Table1[[#This Row],[Sales]])*100</f>
        <v>4.4245478952434025</v>
      </c>
    </row>
    <row r="3867" spans="1:12" x14ac:dyDescent="0.3">
      <c r="A3867" t="s">
        <v>4797</v>
      </c>
      <c r="B3867" s="1">
        <v>43992</v>
      </c>
      <c r="C3867" t="s">
        <v>2295</v>
      </c>
      <c r="D3867" t="s">
        <v>2296</v>
      </c>
      <c r="E3867" t="s">
        <v>14</v>
      </c>
      <c r="F3867" t="s">
        <v>23</v>
      </c>
      <c r="G3867" t="s">
        <v>18</v>
      </c>
      <c r="H3867" t="s">
        <v>2102</v>
      </c>
      <c r="I3867" s="2">
        <v>318.95999999999998</v>
      </c>
      <c r="J3867">
        <v>5</v>
      </c>
      <c r="K3867" s="2">
        <v>17.497499999999999</v>
      </c>
      <c r="L3867" s="3">
        <f>(Table1[[#This Row],[Profit]]/Table1[[#This Row],[Sales]])*100</f>
        <v>5.4857975921745679</v>
      </c>
    </row>
    <row r="3868" spans="1:12" x14ac:dyDescent="0.3">
      <c r="A3868" t="s">
        <v>6114</v>
      </c>
      <c r="B3868" s="1">
        <v>44170</v>
      </c>
      <c r="C3868" t="s">
        <v>1179</v>
      </c>
      <c r="D3868" t="s">
        <v>1180</v>
      </c>
      <c r="E3868" t="s">
        <v>14</v>
      </c>
      <c r="F3868" t="s">
        <v>29</v>
      </c>
      <c r="G3868" t="s">
        <v>24</v>
      </c>
      <c r="H3868" t="s">
        <v>4187</v>
      </c>
      <c r="I3868" s="2">
        <v>116.9</v>
      </c>
      <c r="J3868">
        <v>5</v>
      </c>
      <c r="K3868" s="2">
        <v>17.504999999999999</v>
      </c>
      <c r="L3868" s="3">
        <f>(Table1[[#This Row],[Profit]]/Table1[[#This Row],[Sales]])*100</f>
        <v>14.974337040205302</v>
      </c>
    </row>
    <row r="3869" spans="1:12" x14ac:dyDescent="0.3">
      <c r="A3869" t="s">
        <v>427</v>
      </c>
      <c r="B3869" s="1">
        <v>43521</v>
      </c>
      <c r="C3869" t="s">
        <v>428</v>
      </c>
      <c r="D3869" t="s">
        <v>429</v>
      </c>
      <c r="E3869" t="s">
        <v>14</v>
      </c>
      <c r="F3869" t="s">
        <v>15</v>
      </c>
      <c r="G3869" t="s">
        <v>24</v>
      </c>
      <c r="H3869" t="s">
        <v>242</v>
      </c>
      <c r="I3869" s="2">
        <v>46.72</v>
      </c>
      <c r="J3869">
        <v>5</v>
      </c>
      <c r="K3869" s="2">
        <v>17.52</v>
      </c>
      <c r="L3869" s="3">
        <f>(Table1[[#This Row],[Profit]]/Table1[[#This Row],[Sales]])*100</f>
        <v>37.5</v>
      </c>
    </row>
    <row r="3870" spans="1:12" x14ac:dyDescent="0.3">
      <c r="A3870" t="s">
        <v>4013</v>
      </c>
      <c r="B3870" s="1">
        <v>43844</v>
      </c>
      <c r="C3870" t="s">
        <v>4014</v>
      </c>
      <c r="D3870" t="s">
        <v>4015</v>
      </c>
      <c r="E3870" t="s">
        <v>14</v>
      </c>
      <c r="F3870" t="s">
        <v>29</v>
      </c>
      <c r="G3870" t="s">
        <v>24</v>
      </c>
      <c r="H3870" t="s">
        <v>2655</v>
      </c>
      <c r="I3870" s="2">
        <v>185.4</v>
      </c>
      <c r="J3870">
        <v>5</v>
      </c>
      <c r="K3870" s="2">
        <v>17.524000000000001</v>
      </c>
      <c r="L3870" s="3">
        <f>(Table1[[#This Row],[Profit]]/Table1[[#This Row],[Sales]])*100</f>
        <v>9.4519956850053948</v>
      </c>
    </row>
    <row r="3871" spans="1:12" x14ac:dyDescent="0.3">
      <c r="A3871" t="s">
        <v>5462</v>
      </c>
      <c r="B3871" s="1">
        <v>44096</v>
      </c>
      <c r="C3871" t="s">
        <v>493</v>
      </c>
      <c r="D3871" t="s">
        <v>494</v>
      </c>
      <c r="E3871" t="s">
        <v>14</v>
      </c>
      <c r="F3871" t="s">
        <v>15</v>
      </c>
      <c r="G3871" t="s">
        <v>24</v>
      </c>
      <c r="H3871" t="s">
        <v>2655</v>
      </c>
      <c r="I3871" s="2">
        <v>109.4</v>
      </c>
      <c r="J3871">
        <v>5</v>
      </c>
      <c r="K3871" s="2">
        <v>17.524000000000001</v>
      </c>
      <c r="L3871" s="3">
        <f>(Table1[[#This Row],[Profit]]/Table1[[#This Row],[Sales]])*100</f>
        <v>16.018281535648995</v>
      </c>
    </row>
    <row r="3872" spans="1:12" x14ac:dyDescent="0.3">
      <c r="A3872" t="s">
        <v>2273</v>
      </c>
      <c r="B3872" s="1">
        <v>43685</v>
      </c>
      <c r="C3872" t="s">
        <v>376</v>
      </c>
      <c r="D3872" t="s">
        <v>377</v>
      </c>
      <c r="E3872" t="s">
        <v>14</v>
      </c>
      <c r="F3872" t="s">
        <v>29</v>
      </c>
      <c r="G3872" t="s">
        <v>24</v>
      </c>
      <c r="H3872" t="s">
        <v>760</v>
      </c>
      <c r="I3872" s="2">
        <v>53.951999999999998</v>
      </c>
      <c r="J3872">
        <v>3</v>
      </c>
      <c r="K3872" s="2">
        <v>17.534400000000002</v>
      </c>
      <c r="L3872" s="3">
        <f>(Table1[[#This Row],[Profit]]/Table1[[#This Row],[Sales]])*100</f>
        <v>32.500000000000007</v>
      </c>
    </row>
    <row r="3873" spans="1:12" x14ac:dyDescent="0.3">
      <c r="A3873" t="s">
        <v>1694</v>
      </c>
      <c r="B3873" s="1">
        <v>43627</v>
      </c>
      <c r="C3873" t="s">
        <v>261</v>
      </c>
      <c r="D3873" t="s">
        <v>262</v>
      </c>
      <c r="E3873" t="s">
        <v>14</v>
      </c>
      <c r="F3873" t="s">
        <v>23</v>
      </c>
      <c r="G3873" t="s">
        <v>24</v>
      </c>
      <c r="H3873" t="s">
        <v>1434</v>
      </c>
      <c r="I3873" s="2">
        <v>53.984000000000002</v>
      </c>
      <c r="J3873">
        <v>14</v>
      </c>
      <c r="K3873" s="2">
        <v>17.544799999999999</v>
      </c>
      <c r="L3873" s="3">
        <f>(Table1[[#This Row],[Profit]]/Table1[[#This Row],[Sales]])*100</f>
        <v>32.499999999999993</v>
      </c>
    </row>
    <row r="3874" spans="1:12" x14ac:dyDescent="0.3">
      <c r="A3874" t="s">
        <v>3140</v>
      </c>
      <c r="B3874" s="1">
        <v>43759</v>
      </c>
      <c r="C3874" t="s">
        <v>1488</v>
      </c>
      <c r="D3874" t="s">
        <v>1489</v>
      </c>
      <c r="E3874" t="s">
        <v>14</v>
      </c>
      <c r="F3874" t="s">
        <v>23</v>
      </c>
      <c r="G3874" t="s">
        <v>24</v>
      </c>
      <c r="H3874" t="s">
        <v>562</v>
      </c>
      <c r="I3874" s="2">
        <v>35.880000000000003</v>
      </c>
      <c r="J3874">
        <v>6</v>
      </c>
      <c r="K3874" s="2">
        <v>17.581199999999999</v>
      </c>
      <c r="L3874" s="3">
        <f>(Table1[[#This Row],[Profit]]/Table1[[#This Row],[Sales]])*100</f>
        <v>48.999999999999993</v>
      </c>
    </row>
    <row r="3875" spans="1:12" x14ac:dyDescent="0.3">
      <c r="A3875" t="s">
        <v>5764</v>
      </c>
      <c r="B3875" s="1">
        <v>44138</v>
      </c>
      <c r="C3875" t="s">
        <v>148</v>
      </c>
      <c r="D3875" t="s">
        <v>149</v>
      </c>
      <c r="E3875" t="s">
        <v>14</v>
      </c>
      <c r="F3875" t="s">
        <v>23</v>
      </c>
      <c r="G3875" t="s">
        <v>24</v>
      </c>
      <c r="H3875" t="s">
        <v>4834</v>
      </c>
      <c r="I3875" s="2">
        <v>118.88</v>
      </c>
      <c r="J3875">
        <v>6</v>
      </c>
      <c r="K3875" s="2">
        <v>17.581199999999999</v>
      </c>
      <c r="L3875" s="3">
        <f>(Table1[[#This Row],[Profit]]/Table1[[#This Row],[Sales]])*100</f>
        <v>14.789030955585464</v>
      </c>
    </row>
    <row r="3876" spans="1:12" x14ac:dyDescent="0.3">
      <c r="A3876" t="s">
        <v>5986</v>
      </c>
      <c r="B3876" s="1">
        <v>44158</v>
      </c>
      <c r="C3876" t="s">
        <v>800</v>
      </c>
      <c r="D3876" t="s">
        <v>801</v>
      </c>
      <c r="E3876" t="s">
        <v>14</v>
      </c>
      <c r="F3876" t="s">
        <v>41</v>
      </c>
      <c r="G3876" t="s">
        <v>18</v>
      </c>
      <c r="H3876" t="s">
        <v>5360</v>
      </c>
      <c r="I3876" s="2">
        <v>114.11199999999999</v>
      </c>
      <c r="J3876">
        <v>8</v>
      </c>
      <c r="K3876" s="2">
        <v>17.601600000000001</v>
      </c>
      <c r="L3876" s="3">
        <f>(Table1[[#This Row],[Profit]]/Table1[[#This Row],[Sales]])*100</f>
        <v>15.424845765563658</v>
      </c>
    </row>
    <row r="3877" spans="1:12" x14ac:dyDescent="0.3">
      <c r="A3877" t="s">
        <v>5042</v>
      </c>
      <c r="B3877" s="1">
        <v>44033</v>
      </c>
      <c r="C3877" t="s">
        <v>2953</v>
      </c>
      <c r="D3877" t="s">
        <v>2954</v>
      </c>
      <c r="E3877" t="s">
        <v>14</v>
      </c>
      <c r="F3877" t="s">
        <v>23</v>
      </c>
      <c r="G3877" t="s">
        <v>24</v>
      </c>
      <c r="H3877" t="s">
        <v>1909</v>
      </c>
      <c r="I3877" s="2">
        <v>115.352</v>
      </c>
      <c r="J3877">
        <v>3</v>
      </c>
      <c r="K3877" s="2">
        <v>17.623200000000001</v>
      </c>
      <c r="L3877" s="3">
        <f>(Table1[[#This Row],[Profit]]/Table1[[#This Row],[Sales]])*100</f>
        <v>15.277758513073028</v>
      </c>
    </row>
    <row r="3878" spans="1:12" x14ac:dyDescent="0.3">
      <c r="A3878" t="s">
        <v>6218</v>
      </c>
      <c r="B3878" s="1">
        <v>44185</v>
      </c>
      <c r="C3878" t="s">
        <v>6219</v>
      </c>
      <c r="D3878" t="s">
        <v>6220</v>
      </c>
      <c r="E3878" t="s">
        <v>14</v>
      </c>
      <c r="F3878" t="s">
        <v>15</v>
      </c>
      <c r="G3878" t="s">
        <v>24</v>
      </c>
      <c r="H3878" t="s">
        <v>1909</v>
      </c>
      <c r="I3878" s="2">
        <v>489.35199999999998</v>
      </c>
      <c r="J3878">
        <v>3</v>
      </c>
      <c r="K3878" s="2">
        <v>17.623200000000001</v>
      </c>
      <c r="L3878" s="3">
        <f>(Table1[[#This Row],[Profit]]/Table1[[#This Row],[Sales]])*100</f>
        <v>3.6013340090568757</v>
      </c>
    </row>
    <row r="3879" spans="1:12" x14ac:dyDescent="0.3">
      <c r="A3879" t="s">
        <v>4741</v>
      </c>
      <c r="B3879" s="1">
        <v>43981</v>
      </c>
      <c r="C3879" t="s">
        <v>493</v>
      </c>
      <c r="D3879" t="s">
        <v>494</v>
      </c>
      <c r="E3879" t="s">
        <v>14</v>
      </c>
      <c r="F3879" t="s">
        <v>23</v>
      </c>
      <c r="G3879" t="s">
        <v>18</v>
      </c>
      <c r="H3879" t="s">
        <v>4742</v>
      </c>
      <c r="I3879" s="2">
        <v>180.792</v>
      </c>
      <c r="J3879">
        <v>1</v>
      </c>
      <c r="K3879" s="2">
        <v>17.639099999999999</v>
      </c>
      <c r="L3879" s="3">
        <f>(Table1[[#This Row],[Profit]]/Table1[[#This Row],[Sales]])*100</f>
        <v>9.7565710872162477</v>
      </c>
    </row>
    <row r="3880" spans="1:12" x14ac:dyDescent="0.3">
      <c r="A3880" t="s">
        <v>2425</v>
      </c>
      <c r="B3880" s="1">
        <v>43700</v>
      </c>
      <c r="C3880" t="s">
        <v>2370</v>
      </c>
      <c r="D3880" t="s">
        <v>2371</v>
      </c>
      <c r="E3880" t="s">
        <v>14</v>
      </c>
      <c r="F3880" t="s">
        <v>29</v>
      </c>
      <c r="G3880" t="s">
        <v>24</v>
      </c>
      <c r="H3880" t="s">
        <v>2426</v>
      </c>
      <c r="I3880" s="2">
        <v>37.590000000000003</v>
      </c>
      <c r="J3880">
        <v>3</v>
      </c>
      <c r="K3880" s="2">
        <v>17.667300000000001</v>
      </c>
      <c r="L3880" s="3">
        <f>(Table1[[#This Row],[Profit]]/Table1[[#This Row],[Sales]])*100</f>
        <v>47</v>
      </c>
    </row>
    <row r="3881" spans="1:12" x14ac:dyDescent="0.3">
      <c r="A3881" t="s">
        <v>4623</v>
      </c>
      <c r="B3881" s="1">
        <v>43962</v>
      </c>
      <c r="C3881" t="s">
        <v>3385</v>
      </c>
      <c r="D3881" t="s">
        <v>3386</v>
      </c>
      <c r="E3881" t="s">
        <v>14</v>
      </c>
      <c r="F3881" t="s">
        <v>23</v>
      </c>
      <c r="G3881" t="s">
        <v>24</v>
      </c>
      <c r="H3881" t="s">
        <v>2629</v>
      </c>
      <c r="I3881" s="2">
        <v>129.59</v>
      </c>
      <c r="J3881">
        <v>3</v>
      </c>
      <c r="K3881" s="2">
        <v>17.667300000000001</v>
      </c>
      <c r="L3881" s="3">
        <f>(Table1[[#This Row],[Profit]]/Table1[[#This Row],[Sales]])*100</f>
        <v>13.633227872521028</v>
      </c>
    </row>
    <row r="3882" spans="1:12" x14ac:dyDescent="0.3">
      <c r="A3882" t="s">
        <v>4117</v>
      </c>
      <c r="B3882" s="1">
        <v>43870</v>
      </c>
      <c r="C3882" t="s">
        <v>4118</v>
      </c>
      <c r="D3882" t="s">
        <v>4119</v>
      </c>
      <c r="E3882" t="s">
        <v>14</v>
      </c>
      <c r="F3882" t="s">
        <v>23</v>
      </c>
      <c r="G3882" t="s">
        <v>24</v>
      </c>
      <c r="H3882" t="s">
        <v>2895</v>
      </c>
      <c r="I3882" s="2">
        <v>403.9</v>
      </c>
      <c r="J3882">
        <v>5</v>
      </c>
      <c r="K3882" s="2">
        <v>17.745000000000001</v>
      </c>
      <c r="L3882" s="3">
        <f>(Table1[[#This Row],[Profit]]/Table1[[#This Row],[Sales]])*100</f>
        <v>4.3934142114384755</v>
      </c>
    </row>
    <row r="3883" spans="1:12" x14ac:dyDescent="0.3">
      <c r="A3883" t="s">
        <v>5213</v>
      </c>
      <c r="B3883" s="1">
        <v>44070</v>
      </c>
      <c r="C3883" t="s">
        <v>754</v>
      </c>
      <c r="D3883" t="s">
        <v>755</v>
      </c>
      <c r="E3883" t="s">
        <v>14</v>
      </c>
      <c r="F3883" t="s">
        <v>23</v>
      </c>
      <c r="G3883" t="s">
        <v>24</v>
      </c>
      <c r="H3883" t="s">
        <v>2895</v>
      </c>
      <c r="I3883" s="2">
        <v>378.9</v>
      </c>
      <c r="J3883">
        <v>5</v>
      </c>
      <c r="K3883" s="2">
        <v>17.745000000000001</v>
      </c>
      <c r="L3883" s="3">
        <f>(Table1[[#This Row],[Profit]]/Table1[[#This Row],[Sales]])*100</f>
        <v>4.6832937450514649</v>
      </c>
    </row>
    <row r="3884" spans="1:12" x14ac:dyDescent="0.3">
      <c r="A3884" t="s">
        <v>5230</v>
      </c>
      <c r="B3884" s="1">
        <v>44072</v>
      </c>
      <c r="C3884" t="s">
        <v>811</v>
      </c>
      <c r="D3884" t="s">
        <v>812</v>
      </c>
      <c r="E3884" t="s">
        <v>14</v>
      </c>
      <c r="F3884" t="s">
        <v>29</v>
      </c>
      <c r="G3884" t="s">
        <v>24</v>
      </c>
      <c r="H3884" t="s">
        <v>4590</v>
      </c>
      <c r="I3884" s="2">
        <v>137.36000000000001</v>
      </c>
      <c r="J3884">
        <v>4</v>
      </c>
      <c r="K3884" s="2">
        <v>17.760000000000002</v>
      </c>
      <c r="L3884" s="3">
        <f>(Table1[[#This Row],[Profit]]/Table1[[#This Row],[Sales]])*100</f>
        <v>12.92952824694234</v>
      </c>
    </row>
    <row r="3885" spans="1:12" x14ac:dyDescent="0.3">
      <c r="A3885" t="s">
        <v>615</v>
      </c>
      <c r="B3885" s="1">
        <v>43537</v>
      </c>
      <c r="C3885" t="s">
        <v>616</v>
      </c>
      <c r="D3885" t="s">
        <v>617</v>
      </c>
      <c r="E3885" t="s">
        <v>14</v>
      </c>
      <c r="F3885" t="s">
        <v>23</v>
      </c>
      <c r="G3885" t="s">
        <v>24</v>
      </c>
      <c r="H3885" t="s">
        <v>618</v>
      </c>
      <c r="I3885" s="2">
        <v>157.91999999999999</v>
      </c>
      <c r="J3885">
        <v>5</v>
      </c>
      <c r="K3885" s="2">
        <v>17.765999999999998</v>
      </c>
      <c r="L3885" s="3">
        <f>(Table1[[#This Row],[Profit]]/Table1[[#This Row],[Sales]])*100</f>
        <v>11.25</v>
      </c>
    </row>
    <row r="3886" spans="1:12" x14ac:dyDescent="0.3">
      <c r="A3886" t="s">
        <v>209</v>
      </c>
      <c r="B3886" s="1">
        <v>43495</v>
      </c>
      <c r="C3886" t="s">
        <v>210</v>
      </c>
      <c r="D3886" t="s">
        <v>211</v>
      </c>
      <c r="E3886" t="s">
        <v>14</v>
      </c>
      <c r="F3886" t="s">
        <v>23</v>
      </c>
      <c r="G3886" t="s">
        <v>24</v>
      </c>
      <c r="H3886" t="s">
        <v>213</v>
      </c>
      <c r="I3886" s="2">
        <v>50.783999999999999</v>
      </c>
      <c r="J3886">
        <v>2</v>
      </c>
      <c r="K3886" s="2">
        <v>17.7744</v>
      </c>
      <c r="L3886" s="3">
        <f>(Table1[[#This Row],[Profit]]/Table1[[#This Row],[Sales]])*100</f>
        <v>35</v>
      </c>
    </row>
    <row r="3887" spans="1:12" x14ac:dyDescent="0.3">
      <c r="A3887" t="s">
        <v>5506</v>
      </c>
      <c r="B3887" s="1">
        <v>44098</v>
      </c>
      <c r="C3887" t="s">
        <v>103</v>
      </c>
      <c r="D3887" t="s">
        <v>104</v>
      </c>
      <c r="E3887" t="s">
        <v>14</v>
      </c>
      <c r="F3887" t="s">
        <v>41</v>
      </c>
      <c r="G3887" t="s">
        <v>24</v>
      </c>
      <c r="H3887" t="s">
        <v>2394</v>
      </c>
      <c r="I3887" s="2">
        <v>127.71</v>
      </c>
      <c r="J3887">
        <v>7</v>
      </c>
      <c r="K3887" s="2">
        <v>17.8066</v>
      </c>
      <c r="L3887" s="3">
        <f>(Table1[[#This Row],[Profit]]/Table1[[#This Row],[Sales]])*100</f>
        <v>13.942995849972595</v>
      </c>
    </row>
    <row r="3888" spans="1:12" x14ac:dyDescent="0.3">
      <c r="A3888" t="s">
        <v>3156</v>
      </c>
      <c r="B3888" s="1">
        <v>43761</v>
      </c>
      <c r="C3888" t="s">
        <v>1135</v>
      </c>
      <c r="D3888" t="s">
        <v>1136</v>
      </c>
      <c r="E3888" t="s">
        <v>14</v>
      </c>
      <c r="F3888" t="s">
        <v>29</v>
      </c>
      <c r="G3888" t="s">
        <v>24</v>
      </c>
      <c r="H3888" t="s">
        <v>3158</v>
      </c>
      <c r="I3888" s="2">
        <v>54.816000000000003</v>
      </c>
      <c r="J3888">
        <v>3</v>
      </c>
      <c r="K3888" s="2">
        <v>17.815200000000001</v>
      </c>
      <c r="L3888" s="3">
        <f>(Table1[[#This Row],[Profit]]/Table1[[#This Row],[Sales]])*100</f>
        <v>32.5</v>
      </c>
    </row>
    <row r="3889" spans="1:12" x14ac:dyDescent="0.3">
      <c r="A3889" t="s">
        <v>5091</v>
      </c>
      <c r="B3889" s="1">
        <v>44043</v>
      </c>
      <c r="C3889" t="s">
        <v>361</v>
      </c>
      <c r="D3889" t="s">
        <v>362</v>
      </c>
      <c r="E3889" t="s">
        <v>14</v>
      </c>
      <c r="F3889" t="s">
        <v>15</v>
      </c>
      <c r="G3889" t="s">
        <v>24</v>
      </c>
      <c r="H3889" t="s">
        <v>1541</v>
      </c>
      <c r="I3889" s="2">
        <v>166.816</v>
      </c>
      <c r="J3889">
        <v>3</v>
      </c>
      <c r="K3889" s="2">
        <v>17.815200000000001</v>
      </c>
      <c r="L3889" s="3">
        <f>(Table1[[#This Row],[Profit]]/Table1[[#This Row],[Sales]])*100</f>
        <v>10.679551122194514</v>
      </c>
    </row>
    <row r="3890" spans="1:12" x14ac:dyDescent="0.3">
      <c r="A3890" t="s">
        <v>4829</v>
      </c>
      <c r="B3890" s="1">
        <v>43997</v>
      </c>
      <c r="C3890" t="s">
        <v>2237</v>
      </c>
      <c r="D3890" t="s">
        <v>2238</v>
      </c>
      <c r="E3890" t="s">
        <v>14</v>
      </c>
      <c r="F3890" t="s">
        <v>41</v>
      </c>
      <c r="G3890" t="s">
        <v>24</v>
      </c>
      <c r="H3890" t="s">
        <v>1326</v>
      </c>
      <c r="I3890" s="2">
        <v>160.77600000000001</v>
      </c>
      <c r="J3890">
        <v>1</v>
      </c>
      <c r="K3890" s="2">
        <v>17.847000000000001</v>
      </c>
      <c r="L3890" s="3">
        <f>(Table1[[#This Row],[Profit]]/Table1[[#This Row],[Sales]])*100</f>
        <v>11.100537393640842</v>
      </c>
    </row>
    <row r="3891" spans="1:12" x14ac:dyDescent="0.3">
      <c r="A3891" t="s">
        <v>768</v>
      </c>
      <c r="B3891" s="1">
        <v>43549</v>
      </c>
      <c r="C3891" t="s">
        <v>769</v>
      </c>
      <c r="D3891" t="s">
        <v>770</v>
      </c>
      <c r="E3891" t="s">
        <v>14</v>
      </c>
      <c r="F3891" t="s">
        <v>15</v>
      </c>
      <c r="G3891" t="s">
        <v>24</v>
      </c>
      <c r="H3891" t="s">
        <v>72</v>
      </c>
      <c r="I3891" s="2">
        <v>59.52</v>
      </c>
      <c r="J3891">
        <v>3</v>
      </c>
      <c r="K3891" s="2">
        <v>17.856000000000002</v>
      </c>
      <c r="L3891" s="3">
        <f>(Table1[[#This Row],[Profit]]/Table1[[#This Row],[Sales]])*100</f>
        <v>30</v>
      </c>
    </row>
    <row r="3892" spans="1:12" x14ac:dyDescent="0.3">
      <c r="A3892" t="s">
        <v>3233</v>
      </c>
      <c r="B3892" s="1">
        <v>43770</v>
      </c>
      <c r="C3892" t="s">
        <v>2456</v>
      </c>
      <c r="D3892" t="s">
        <v>2457</v>
      </c>
      <c r="E3892" t="s">
        <v>14</v>
      </c>
      <c r="F3892" t="s">
        <v>29</v>
      </c>
      <c r="G3892" t="s">
        <v>18</v>
      </c>
      <c r="H3892" t="s">
        <v>3086</v>
      </c>
      <c r="I3892" s="2">
        <v>68.111999999999995</v>
      </c>
      <c r="J3892">
        <v>3</v>
      </c>
      <c r="K3892" s="2">
        <v>17.8794</v>
      </c>
      <c r="L3892" s="3">
        <f>(Table1[[#This Row],[Profit]]/Table1[[#This Row],[Sales]])*100</f>
        <v>26.25</v>
      </c>
    </row>
    <row r="3893" spans="1:12" x14ac:dyDescent="0.3">
      <c r="A3893" t="s">
        <v>3735</v>
      </c>
      <c r="B3893" s="1">
        <v>43807</v>
      </c>
      <c r="C3893" t="s">
        <v>1805</v>
      </c>
      <c r="D3893" t="s">
        <v>1806</v>
      </c>
      <c r="E3893" t="s">
        <v>14</v>
      </c>
      <c r="F3893" t="s">
        <v>41</v>
      </c>
      <c r="G3893" t="s">
        <v>18</v>
      </c>
      <c r="H3893" t="s">
        <v>3086</v>
      </c>
      <c r="I3893" s="2">
        <v>68.111999999999995</v>
      </c>
      <c r="J3893">
        <v>3</v>
      </c>
      <c r="K3893" s="2">
        <v>17.8794</v>
      </c>
      <c r="L3893" s="3">
        <f>(Table1[[#This Row],[Profit]]/Table1[[#This Row],[Sales]])*100</f>
        <v>26.25</v>
      </c>
    </row>
    <row r="3894" spans="1:12" x14ac:dyDescent="0.3">
      <c r="A3894" t="s">
        <v>2914</v>
      </c>
      <c r="B3894" s="1">
        <v>43733</v>
      </c>
      <c r="C3894" t="s">
        <v>2915</v>
      </c>
      <c r="D3894" t="s">
        <v>2916</v>
      </c>
      <c r="E3894" t="s">
        <v>14</v>
      </c>
      <c r="F3894" t="s">
        <v>15</v>
      </c>
      <c r="G3894" t="s">
        <v>24</v>
      </c>
      <c r="H3894" t="s">
        <v>2225</v>
      </c>
      <c r="I3894" s="2">
        <v>286.25599999999997</v>
      </c>
      <c r="J3894">
        <v>1</v>
      </c>
      <c r="K3894" s="2">
        <v>17.890999999999998</v>
      </c>
      <c r="L3894" s="3">
        <f>(Table1[[#This Row],[Profit]]/Table1[[#This Row],[Sales]])*100</f>
        <v>6.25</v>
      </c>
    </row>
    <row r="3895" spans="1:12" x14ac:dyDescent="0.3">
      <c r="A3895" t="s">
        <v>4855</v>
      </c>
      <c r="B3895" s="1">
        <v>43999</v>
      </c>
      <c r="C3895" t="s">
        <v>4856</v>
      </c>
      <c r="D3895" t="s">
        <v>4857</v>
      </c>
      <c r="E3895" t="s">
        <v>14</v>
      </c>
      <c r="F3895" t="s">
        <v>23</v>
      </c>
      <c r="G3895" t="s">
        <v>24</v>
      </c>
      <c r="H3895" t="s">
        <v>1646</v>
      </c>
      <c r="I3895" s="2">
        <v>187.31200000000001</v>
      </c>
      <c r="J3895">
        <v>3</v>
      </c>
      <c r="K3895" s="2">
        <v>17.959199999999999</v>
      </c>
      <c r="L3895" s="3">
        <f>(Table1[[#This Row],[Profit]]/Table1[[#This Row],[Sales]])*100</f>
        <v>9.587853421030152</v>
      </c>
    </row>
    <row r="3896" spans="1:12" x14ac:dyDescent="0.3">
      <c r="A3896" t="s">
        <v>5011</v>
      </c>
      <c r="B3896" s="1">
        <v>44026</v>
      </c>
      <c r="C3896" t="s">
        <v>1183</v>
      </c>
      <c r="D3896" t="s">
        <v>1184</v>
      </c>
      <c r="E3896" t="s">
        <v>14</v>
      </c>
      <c r="F3896" t="s">
        <v>15</v>
      </c>
      <c r="G3896" t="s">
        <v>24</v>
      </c>
      <c r="H3896" t="s">
        <v>1881</v>
      </c>
      <c r="I3896" s="2">
        <v>273.45600000000002</v>
      </c>
      <c r="J3896">
        <v>7</v>
      </c>
      <c r="K3896" s="2">
        <v>17.959199999999999</v>
      </c>
      <c r="L3896" s="3">
        <f>(Table1[[#This Row],[Profit]]/Table1[[#This Row],[Sales]])*100</f>
        <v>6.5674916622783908</v>
      </c>
    </row>
    <row r="3897" spans="1:12" x14ac:dyDescent="0.3">
      <c r="A3897" t="s">
        <v>4454</v>
      </c>
      <c r="B3897" s="1">
        <v>43933</v>
      </c>
      <c r="C3897" t="s">
        <v>1013</v>
      </c>
      <c r="D3897" t="s">
        <v>1014</v>
      </c>
      <c r="E3897" t="s">
        <v>14</v>
      </c>
      <c r="F3897" t="s">
        <v>15</v>
      </c>
      <c r="G3897" t="s">
        <v>24</v>
      </c>
      <c r="H3897" t="s">
        <v>4455</v>
      </c>
      <c r="I3897" s="2">
        <v>160.96</v>
      </c>
      <c r="J3897">
        <v>4</v>
      </c>
      <c r="K3897" s="2">
        <v>17.981999999999999</v>
      </c>
      <c r="L3897" s="3">
        <f>(Table1[[#This Row],[Profit]]/Table1[[#This Row],[Sales]])*100</f>
        <v>11.171719681908547</v>
      </c>
    </row>
    <row r="3898" spans="1:12" x14ac:dyDescent="0.3">
      <c r="A3898" t="s">
        <v>1086</v>
      </c>
      <c r="B3898" s="1">
        <v>43574</v>
      </c>
      <c r="C3898" t="s">
        <v>1087</v>
      </c>
      <c r="D3898" t="s">
        <v>1088</v>
      </c>
      <c r="E3898" t="s">
        <v>14</v>
      </c>
      <c r="F3898" t="s">
        <v>15</v>
      </c>
      <c r="G3898" t="s">
        <v>24</v>
      </c>
      <c r="H3898" t="s">
        <v>1093</v>
      </c>
      <c r="I3898" s="2">
        <v>71.959999999999994</v>
      </c>
      <c r="J3898">
        <v>2</v>
      </c>
      <c r="K3898" s="2">
        <v>17.989999999999998</v>
      </c>
      <c r="L3898" s="3">
        <f>(Table1[[#This Row],[Profit]]/Table1[[#This Row],[Sales]])*100</f>
        <v>25</v>
      </c>
    </row>
    <row r="3899" spans="1:12" x14ac:dyDescent="0.3">
      <c r="A3899" t="s">
        <v>3574</v>
      </c>
      <c r="B3899" s="1">
        <v>43794</v>
      </c>
      <c r="C3899" t="s">
        <v>3064</v>
      </c>
      <c r="D3899" t="s">
        <v>3065</v>
      </c>
      <c r="E3899" t="s">
        <v>14</v>
      </c>
      <c r="F3899" t="s">
        <v>41</v>
      </c>
      <c r="G3899" t="s">
        <v>18</v>
      </c>
      <c r="H3899" t="s">
        <v>1968</v>
      </c>
      <c r="I3899" s="2">
        <v>59.98</v>
      </c>
      <c r="J3899">
        <v>2</v>
      </c>
      <c r="K3899" s="2">
        <v>17.994</v>
      </c>
      <c r="L3899" s="3">
        <f>(Table1[[#This Row],[Profit]]/Table1[[#This Row],[Sales]])*100</f>
        <v>30</v>
      </c>
    </row>
    <row r="3900" spans="1:12" x14ac:dyDescent="0.3">
      <c r="A3900" t="s">
        <v>5364</v>
      </c>
      <c r="B3900" s="1">
        <v>44085</v>
      </c>
      <c r="C3900" t="s">
        <v>2179</v>
      </c>
      <c r="D3900" t="s">
        <v>2180</v>
      </c>
      <c r="E3900" t="s">
        <v>14</v>
      </c>
      <c r="F3900" t="s">
        <v>23</v>
      </c>
      <c r="G3900" t="s">
        <v>18</v>
      </c>
      <c r="H3900" t="s">
        <v>1968</v>
      </c>
      <c r="I3900" s="2">
        <v>175.952</v>
      </c>
      <c r="J3900">
        <v>6</v>
      </c>
      <c r="K3900" s="2">
        <v>17.994</v>
      </c>
      <c r="L3900" s="3">
        <f>(Table1[[#This Row],[Profit]]/Table1[[#This Row],[Sales]])*100</f>
        <v>10.226652723470037</v>
      </c>
    </row>
    <row r="3901" spans="1:12" x14ac:dyDescent="0.3">
      <c r="A3901" t="s">
        <v>5124</v>
      </c>
      <c r="B3901" s="1">
        <v>44050</v>
      </c>
      <c r="C3901" t="s">
        <v>2390</v>
      </c>
      <c r="D3901" t="s">
        <v>2391</v>
      </c>
      <c r="E3901" t="s">
        <v>14</v>
      </c>
      <c r="F3901" t="s">
        <v>23</v>
      </c>
      <c r="G3901" t="s">
        <v>18</v>
      </c>
      <c r="H3901" t="s">
        <v>2365</v>
      </c>
      <c r="I3901" s="2">
        <v>195.96</v>
      </c>
      <c r="J3901">
        <v>5</v>
      </c>
      <c r="K3901" s="2">
        <v>17.9955</v>
      </c>
      <c r="L3901" s="3">
        <f>(Table1[[#This Row],[Profit]]/Table1[[#This Row],[Sales]])*100</f>
        <v>9.1832516840171472</v>
      </c>
    </row>
    <row r="3902" spans="1:12" x14ac:dyDescent="0.3">
      <c r="A3902" t="s">
        <v>3161</v>
      </c>
      <c r="B3902" s="1">
        <v>43762</v>
      </c>
      <c r="C3902" t="s">
        <v>1813</v>
      </c>
      <c r="D3902" t="s">
        <v>1814</v>
      </c>
      <c r="E3902" t="s">
        <v>14</v>
      </c>
      <c r="F3902" t="s">
        <v>41</v>
      </c>
      <c r="G3902" t="s">
        <v>18</v>
      </c>
      <c r="H3902" t="s">
        <v>3162</v>
      </c>
      <c r="I3902" s="2">
        <v>239.976</v>
      </c>
      <c r="J3902">
        <v>3</v>
      </c>
      <c r="K3902" s="2">
        <v>17.998200000000001</v>
      </c>
      <c r="L3902" s="3">
        <f>(Table1[[#This Row],[Profit]]/Table1[[#This Row],[Sales]])*100</f>
        <v>7.5</v>
      </c>
    </row>
    <row r="3903" spans="1:12" x14ac:dyDescent="0.3">
      <c r="A3903" t="s">
        <v>2345</v>
      </c>
      <c r="B3903" s="1">
        <v>43692</v>
      </c>
      <c r="C3903" t="s">
        <v>1013</v>
      </c>
      <c r="D3903" t="s">
        <v>1014</v>
      </c>
      <c r="E3903" t="s">
        <v>14</v>
      </c>
      <c r="F3903" t="s">
        <v>23</v>
      </c>
      <c r="G3903" t="s">
        <v>24</v>
      </c>
      <c r="H3903" t="s">
        <v>2347</v>
      </c>
      <c r="I3903" s="2">
        <v>37.520000000000003</v>
      </c>
      <c r="J3903">
        <v>4</v>
      </c>
      <c r="K3903" s="2">
        <v>18.009599999999999</v>
      </c>
      <c r="L3903" s="3">
        <f>(Table1[[#This Row],[Profit]]/Table1[[#This Row],[Sales]])*100</f>
        <v>47.999999999999993</v>
      </c>
    </row>
    <row r="3904" spans="1:12" x14ac:dyDescent="0.3">
      <c r="A3904" t="s">
        <v>4747</v>
      </c>
      <c r="B3904" s="1">
        <v>43981</v>
      </c>
      <c r="C3904" t="s">
        <v>253</v>
      </c>
      <c r="D3904" t="s">
        <v>254</v>
      </c>
      <c r="E3904" t="s">
        <v>14</v>
      </c>
      <c r="F3904" t="s">
        <v>23</v>
      </c>
      <c r="G3904" t="s">
        <v>24</v>
      </c>
      <c r="H3904" t="s">
        <v>2347</v>
      </c>
      <c r="I3904" s="2">
        <v>106.52</v>
      </c>
      <c r="J3904">
        <v>4</v>
      </c>
      <c r="K3904" s="2">
        <v>18.009599999999999</v>
      </c>
      <c r="L3904" s="3">
        <f>(Table1[[#This Row],[Profit]]/Table1[[#This Row],[Sales]])*100</f>
        <v>16.907247465264739</v>
      </c>
    </row>
    <row r="3905" spans="1:12" x14ac:dyDescent="0.3">
      <c r="A3905" t="s">
        <v>4597</v>
      </c>
      <c r="B3905" s="1">
        <v>43957</v>
      </c>
      <c r="C3905" t="s">
        <v>692</v>
      </c>
      <c r="D3905" t="s">
        <v>693</v>
      </c>
      <c r="E3905" t="s">
        <v>14</v>
      </c>
      <c r="F3905" t="s">
        <v>41</v>
      </c>
      <c r="G3905" t="s">
        <v>24</v>
      </c>
      <c r="H3905" t="s">
        <v>4598</v>
      </c>
      <c r="I3905" s="2">
        <v>153.66</v>
      </c>
      <c r="J3905">
        <v>6</v>
      </c>
      <c r="K3905" s="2">
        <v>18.037800000000001</v>
      </c>
      <c r="L3905" s="3">
        <f>(Table1[[#This Row],[Profit]]/Table1[[#This Row],[Sales]])*100</f>
        <v>11.738773916438893</v>
      </c>
    </row>
    <row r="3906" spans="1:12" x14ac:dyDescent="0.3">
      <c r="A3906" t="s">
        <v>6171</v>
      </c>
      <c r="B3906" s="1">
        <v>44176</v>
      </c>
      <c r="C3906" t="s">
        <v>5954</v>
      </c>
      <c r="D3906" t="s">
        <v>5955</v>
      </c>
      <c r="E3906" t="s">
        <v>14</v>
      </c>
      <c r="F3906" t="s">
        <v>15</v>
      </c>
      <c r="G3906" t="s">
        <v>24</v>
      </c>
      <c r="H3906" t="s">
        <v>1996</v>
      </c>
      <c r="I3906" s="2">
        <v>323.2</v>
      </c>
      <c r="J3906">
        <v>5</v>
      </c>
      <c r="K3906" s="2">
        <v>18.09</v>
      </c>
      <c r="L3906" s="3">
        <f>(Table1[[#This Row],[Profit]]/Table1[[#This Row],[Sales]])*100</f>
        <v>5.5971534653465351</v>
      </c>
    </row>
    <row r="3907" spans="1:12" x14ac:dyDescent="0.3">
      <c r="A3907" t="s">
        <v>4567</v>
      </c>
      <c r="B3907" s="1">
        <v>43952</v>
      </c>
      <c r="C3907" t="s">
        <v>544</v>
      </c>
      <c r="D3907" t="s">
        <v>545</v>
      </c>
      <c r="E3907" t="s">
        <v>14</v>
      </c>
      <c r="F3907" t="s">
        <v>41</v>
      </c>
      <c r="G3907" t="s">
        <v>18</v>
      </c>
      <c r="H3907" t="s">
        <v>4020</v>
      </c>
      <c r="I3907" s="2">
        <v>997.9</v>
      </c>
      <c r="J3907">
        <v>5</v>
      </c>
      <c r="K3907" s="2">
        <v>18.093</v>
      </c>
      <c r="L3907" s="3">
        <f>(Table1[[#This Row],[Profit]]/Table1[[#This Row],[Sales]])*100</f>
        <v>1.8131075258041891</v>
      </c>
    </row>
    <row r="3908" spans="1:12" x14ac:dyDescent="0.3">
      <c r="A3908" t="s">
        <v>5450</v>
      </c>
      <c r="B3908" s="1">
        <v>44094</v>
      </c>
      <c r="C3908" t="s">
        <v>1698</v>
      </c>
      <c r="D3908" t="s">
        <v>1699</v>
      </c>
      <c r="E3908" t="s">
        <v>14</v>
      </c>
      <c r="F3908" t="s">
        <v>15</v>
      </c>
      <c r="G3908" t="s">
        <v>24</v>
      </c>
      <c r="H3908" t="s">
        <v>987</v>
      </c>
      <c r="I3908" s="2">
        <v>142.52000000000001</v>
      </c>
      <c r="J3908">
        <v>9</v>
      </c>
      <c r="K3908" s="2">
        <v>18.104399999999998</v>
      </c>
      <c r="L3908" s="3">
        <f>(Table1[[#This Row],[Profit]]/Table1[[#This Row],[Sales]])*100</f>
        <v>12.703059219758629</v>
      </c>
    </row>
    <row r="3909" spans="1:12" x14ac:dyDescent="0.3">
      <c r="A3909" t="s">
        <v>2169</v>
      </c>
      <c r="B3909" s="1">
        <v>43671</v>
      </c>
      <c r="C3909" t="s">
        <v>1395</v>
      </c>
      <c r="D3909" t="s">
        <v>1396</v>
      </c>
      <c r="E3909" t="s">
        <v>14</v>
      </c>
      <c r="F3909" t="s">
        <v>23</v>
      </c>
      <c r="G3909" t="s">
        <v>16</v>
      </c>
      <c r="H3909" t="s">
        <v>2170</v>
      </c>
      <c r="I3909" s="2">
        <v>241.56800000000001</v>
      </c>
      <c r="J3909">
        <v>2</v>
      </c>
      <c r="K3909" s="2">
        <v>18.117599999999999</v>
      </c>
      <c r="L3909" s="3">
        <f>(Table1[[#This Row],[Profit]]/Table1[[#This Row],[Sales]])*100</f>
        <v>7.5</v>
      </c>
    </row>
    <row r="3910" spans="1:12" x14ac:dyDescent="0.3">
      <c r="A3910" t="s">
        <v>3831</v>
      </c>
      <c r="B3910" s="1">
        <v>43816</v>
      </c>
      <c r="C3910" t="s">
        <v>1883</v>
      </c>
      <c r="D3910" t="s">
        <v>1884</v>
      </c>
      <c r="E3910" t="s">
        <v>14</v>
      </c>
      <c r="F3910" t="s">
        <v>29</v>
      </c>
      <c r="G3910" t="s">
        <v>24</v>
      </c>
      <c r="H3910" t="s">
        <v>3832</v>
      </c>
      <c r="I3910" s="2">
        <v>51.84</v>
      </c>
      <c r="J3910">
        <v>10</v>
      </c>
      <c r="K3910" s="2">
        <v>18.143999999999998</v>
      </c>
      <c r="L3910" s="3">
        <f>(Table1[[#This Row],[Profit]]/Table1[[#This Row],[Sales]])*100</f>
        <v>34.999999999999993</v>
      </c>
    </row>
    <row r="3911" spans="1:12" x14ac:dyDescent="0.3">
      <c r="A3911" t="s">
        <v>5450</v>
      </c>
      <c r="B3911" s="1">
        <v>44094</v>
      </c>
      <c r="C3911" t="s">
        <v>1698</v>
      </c>
      <c r="D3911" t="s">
        <v>1699</v>
      </c>
      <c r="E3911" t="s">
        <v>14</v>
      </c>
      <c r="F3911" t="s">
        <v>15</v>
      </c>
      <c r="G3911" t="s">
        <v>16</v>
      </c>
      <c r="H3911" t="s">
        <v>1819</v>
      </c>
      <c r="I3911" s="2">
        <v>318.64600000000002</v>
      </c>
      <c r="J3911">
        <v>3</v>
      </c>
      <c r="K3911" s="2">
        <v>18.176400000000001</v>
      </c>
      <c r="L3911" s="3">
        <f>(Table1[[#This Row],[Profit]]/Table1[[#This Row],[Sales]])*100</f>
        <v>5.7042611550121451</v>
      </c>
    </row>
    <row r="3912" spans="1:12" x14ac:dyDescent="0.3">
      <c r="A3912" t="s">
        <v>6096</v>
      </c>
      <c r="B3912" s="1">
        <v>44169</v>
      </c>
      <c r="C3912" t="s">
        <v>5181</v>
      </c>
      <c r="D3912" t="s">
        <v>5182</v>
      </c>
      <c r="E3912" t="s">
        <v>14</v>
      </c>
      <c r="F3912" t="s">
        <v>15</v>
      </c>
      <c r="G3912" t="s">
        <v>16</v>
      </c>
      <c r="H3912" t="s">
        <v>1512</v>
      </c>
      <c r="I3912" s="2">
        <v>314.94</v>
      </c>
      <c r="J3912">
        <v>3</v>
      </c>
      <c r="K3912" s="2">
        <v>18.176400000000001</v>
      </c>
      <c r="L3912" s="3">
        <f>(Table1[[#This Row],[Profit]]/Table1[[#This Row],[Sales]])*100</f>
        <v>5.7713850257191845</v>
      </c>
    </row>
    <row r="3913" spans="1:12" x14ac:dyDescent="0.3">
      <c r="A3913" t="s">
        <v>6117</v>
      </c>
      <c r="B3913" s="1">
        <v>44170</v>
      </c>
      <c r="C3913" t="s">
        <v>253</v>
      </c>
      <c r="D3913" t="s">
        <v>254</v>
      </c>
      <c r="E3913" t="s">
        <v>14</v>
      </c>
      <c r="F3913" t="s">
        <v>15</v>
      </c>
      <c r="G3913" t="s">
        <v>16</v>
      </c>
      <c r="H3913" t="s">
        <v>5164</v>
      </c>
      <c r="I3913" s="2">
        <v>143.68</v>
      </c>
      <c r="J3913">
        <v>2</v>
      </c>
      <c r="K3913" s="2">
        <v>18.190799999999999</v>
      </c>
      <c r="L3913" s="3">
        <f>(Table1[[#This Row],[Profit]]/Table1[[#This Row],[Sales]])*100</f>
        <v>12.660634743875276</v>
      </c>
    </row>
    <row r="3914" spans="1:12" x14ac:dyDescent="0.3">
      <c r="A3914" t="s">
        <v>260</v>
      </c>
      <c r="B3914" s="1">
        <v>43498</v>
      </c>
      <c r="C3914" t="s">
        <v>261</v>
      </c>
      <c r="D3914" t="s">
        <v>262</v>
      </c>
      <c r="E3914" t="s">
        <v>14</v>
      </c>
      <c r="F3914" t="s">
        <v>41</v>
      </c>
      <c r="G3914" t="s">
        <v>24</v>
      </c>
      <c r="H3914" t="s">
        <v>264</v>
      </c>
      <c r="I3914" s="2">
        <v>36.4</v>
      </c>
      <c r="J3914">
        <v>8</v>
      </c>
      <c r="K3914" s="2">
        <v>18.2</v>
      </c>
      <c r="L3914" s="3">
        <f>(Table1[[#This Row],[Profit]]/Table1[[#This Row],[Sales]])*100</f>
        <v>50</v>
      </c>
    </row>
    <row r="3915" spans="1:12" x14ac:dyDescent="0.3">
      <c r="A3915" t="s">
        <v>898</v>
      </c>
      <c r="B3915" s="1">
        <v>43562</v>
      </c>
      <c r="C3915" t="s">
        <v>899</v>
      </c>
      <c r="D3915" t="s">
        <v>900</v>
      </c>
      <c r="E3915" t="s">
        <v>14</v>
      </c>
      <c r="F3915" t="s">
        <v>15</v>
      </c>
      <c r="G3915" t="s">
        <v>24</v>
      </c>
      <c r="H3915" t="s">
        <v>901</v>
      </c>
      <c r="I3915" s="2">
        <v>37.94</v>
      </c>
      <c r="J3915">
        <v>2</v>
      </c>
      <c r="K3915" s="2">
        <v>18.211200000000002</v>
      </c>
      <c r="L3915" s="3">
        <f>(Table1[[#This Row],[Profit]]/Table1[[#This Row],[Sales]])*100</f>
        <v>48.000000000000007</v>
      </c>
    </row>
    <row r="3916" spans="1:12" x14ac:dyDescent="0.3">
      <c r="A3916" t="s">
        <v>3077</v>
      </c>
      <c r="B3916" s="1">
        <v>43751</v>
      </c>
      <c r="C3916" t="s">
        <v>3037</v>
      </c>
      <c r="D3916" t="s">
        <v>3038</v>
      </c>
      <c r="E3916" t="s">
        <v>14</v>
      </c>
      <c r="F3916" t="s">
        <v>15</v>
      </c>
      <c r="G3916" t="s">
        <v>24</v>
      </c>
      <c r="H3916" t="s">
        <v>797</v>
      </c>
      <c r="I3916" s="2">
        <v>37.94</v>
      </c>
      <c r="J3916">
        <v>2</v>
      </c>
      <c r="K3916" s="2">
        <v>18.211200000000002</v>
      </c>
      <c r="L3916" s="3">
        <f>(Table1[[#This Row],[Profit]]/Table1[[#This Row],[Sales]])*100</f>
        <v>48.000000000000007</v>
      </c>
    </row>
    <row r="3917" spans="1:12" x14ac:dyDescent="0.3">
      <c r="A3917" t="s">
        <v>3877</v>
      </c>
      <c r="B3917" s="1">
        <v>43822</v>
      </c>
      <c r="C3917" t="s">
        <v>633</v>
      </c>
      <c r="D3917" t="s">
        <v>634</v>
      </c>
      <c r="E3917" t="s">
        <v>14</v>
      </c>
      <c r="F3917" t="s">
        <v>23</v>
      </c>
      <c r="G3917" t="s">
        <v>24</v>
      </c>
      <c r="H3917" t="s">
        <v>797</v>
      </c>
      <c r="I3917" s="2">
        <v>37.94</v>
      </c>
      <c r="J3917">
        <v>2</v>
      </c>
      <c r="K3917" s="2">
        <v>18.211200000000002</v>
      </c>
      <c r="L3917" s="3">
        <f>(Table1[[#This Row],[Profit]]/Table1[[#This Row],[Sales]])*100</f>
        <v>48.000000000000007</v>
      </c>
    </row>
    <row r="3918" spans="1:12" x14ac:dyDescent="0.3">
      <c r="A3918" t="s">
        <v>4142</v>
      </c>
      <c r="B3918" s="1">
        <v>43877</v>
      </c>
      <c r="C3918" t="s">
        <v>3116</v>
      </c>
      <c r="D3918" t="s">
        <v>3117</v>
      </c>
      <c r="E3918" t="s">
        <v>14</v>
      </c>
      <c r="F3918" t="s">
        <v>15</v>
      </c>
      <c r="G3918" t="s">
        <v>24</v>
      </c>
      <c r="H3918" t="s">
        <v>316</v>
      </c>
      <c r="I3918" s="2">
        <v>140.94</v>
      </c>
      <c r="J3918">
        <v>2</v>
      </c>
      <c r="K3918" s="2">
        <v>18.211200000000002</v>
      </c>
      <c r="L3918" s="3">
        <f>(Table1[[#This Row],[Profit]]/Table1[[#This Row],[Sales]])*100</f>
        <v>12.921243082162622</v>
      </c>
    </row>
    <row r="3919" spans="1:12" x14ac:dyDescent="0.3">
      <c r="A3919" t="s">
        <v>4806</v>
      </c>
      <c r="B3919" s="1">
        <v>43993</v>
      </c>
      <c r="C3919" t="s">
        <v>1000</v>
      </c>
      <c r="D3919" t="s">
        <v>1001</v>
      </c>
      <c r="E3919" t="s">
        <v>14</v>
      </c>
      <c r="F3919" t="s">
        <v>23</v>
      </c>
      <c r="G3919" t="s">
        <v>24</v>
      </c>
      <c r="H3919" t="s">
        <v>901</v>
      </c>
      <c r="I3919" s="2">
        <v>159.94</v>
      </c>
      <c r="J3919">
        <v>2</v>
      </c>
      <c r="K3919" s="2">
        <v>18.211200000000002</v>
      </c>
      <c r="L3919" s="3">
        <f>(Table1[[#This Row],[Profit]]/Table1[[#This Row],[Sales]])*100</f>
        <v>11.386269851194198</v>
      </c>
    </row>
    <row r="3920" spans="1:12" x14ac:dyDescent="0.3">
      <c r="A3920" t="s">
        <v>5579</v>
      </c>
      <c r="B3920" s="1">
        <v>44110</v>
      </c>
      <c r="C3920" t="s">
        <v>1941</v>
      </c>
      <c r="D3920" t="s">
        <v>1942</v>
      </c>
      <c r="E3920" t="s">
        <v>14</v>
      </c>
      <c r="F3920" t="s">
        <v>23</v>
      </c>
      <c r="G3920" t="s">
        <v>24</v>
      </c>
      <c r="H3920" t="s">
        <v>797</v>
      </c>
      <c r="I3920" s="2">
        <v>120.94</v>
      </c>
      <c r="J3920">
        <v>2</v>
      </c>
      <c r="K3920" s="2">
        <v>18.211200000000002</v>
      </c>
      <c r="L3920" s="3">
        <f>(Table1[[#This Row],[Profit]]/Table1[[#This Row],[Sales]])*100</f>
        <v>15.058045311724824</v>
      </c>
    </row>
    <row r="3921" spans="1:12" x14ac:dyDescent="0.3">
      <c r="A3921" t="s">
        <v>2061</v>
      </c>
      <c r="B3921" s="1">
        <v>43662</v>
      </c>
      <c r="C3921" t="s">
        <v>197</v>
      </c>
      <c r="D3921" t="s">
        <v>198</v>
      </c>
      <c r="E3921" t="s">
        <v>14</v>
      </c>
      <c r="F3921" t="s">
        <v>41</v>
      </c>
      <c r="G3921" t="s">
        <v>18</v>
      </c>
      <c r="H3921" t="s">
        <v>2063</v>
      </c>
      <c r="I3921" s="2">
        <v>75.98</v>
      </c>
      <c r="J3921">
        <v>2</v>
      </c>
      <c r="K3921" s="2">
        <v>18.235199999999999</v>
      </c>
      <c r="L3921" s="3">
        <f>(Table1[[#This Row],[Profit]]/Table1[[#This Row],[Sales]])*100</f>
        <v>23.999999999999996</v>
      </c>
    </row>
    <row r="3922" spans="1:12" x14ac:dyDescent="0.3">
      <c r="A3922" t="s">
        <v>446</v>
      </c>
      <c r="B3922" s="1">
        <v>43524</v>
      </c>
      <c r="C3922" t="s">
        <v>447</v>
      </c>
      <c r="D3922" t="s">
        <v>448</v>
      </c>
      <c r="E3922" t="s">
        <v>14</v>
      </c>
      <c r="F3922" t="s">
        <v>15</v>
      </c>
      <c r="G3922" t="s">
        <v>24</v>
      </c>
      <c r="H3922" t="s">
        <v>449</v>
      </c>
      <c r="I3922" s="2">
        <v>36.479999999999997</v>
      </c>
      <c r="J3922">
        <v>6</v>
      </c>
      <c r="K3922" s="2">
        <v>18.239999999999998</v>
      </c>
      <c r="L3922" s="3">
        <f>(Table1[[#This Row],[Profit]]/Table1[[#This Row],[Sales]])*100</f>
        <v>50</v>
      </c>
    </row>
    <row r="3923" spans="1:12" x14ac:dyDescent="0.3">
      <c r="A3923" t="s">
        <v>5943</v>
      </c>
      <c r="B3923" s="1">
        <v>44154</v>
      </c>
      <c r="C3923" t="s">
        <v>1476</v>
      </c>
      <c r="D3923" t="s">
        <v>1477</v>
      </c>
      <c r="E3923" t="s">
        <v>14</v>
      </c>
      <c r="F3923" t="s">
        <v>15</v>
      </c>
      <c r="G3923" t="s">
        <v>24</v>
      </c>
      <c r="H3923" t="s">
        <v>3095</v>
      </c>
      <c r="I3923" s="2">
        <v>159.40799999999999</v>
      </c>
      <c r="J3923">
        <v>7</v>
      </c>
      <c r="K3923" s="2">
        <v>18.252500000000001</v>
      </c>
      <c r="L3923" s="3">
        <f>(Table1[[#This Row],[Profit]]/Table1[[#This Row],[Sales]])*100</f>
        <v>11.450178159189001</v>
      </c>
    </row>
    <row r="3924" spans="1:12" x14ac:dyDescent="0.3">
      <c r="A3924" t="s">
        <v>4279</v>
      </c>
      <c r="B3924" s="1">
        <v>43907</v>
      </c>
      <c r="C3924" t="s">
        <v>4280</v>
      </c>
      <c r="D3924" t="s">
        <v>4281</v>
      </c>
      <c r="E3924" t="s">
        <v>14</v>
      </c>
      <c r="F3924" t="s">
        <v>15</v>
      </c>
      <c r="G3924" t="s">
        <v>18</v>
      </c>
      <c r="H3924" t="s">
        <v>1461</v>
      </c>
      <c r="I3924" s="2">
        <v>104.06</v>
      </c>
      <c r="J3924">
        <v>3</v>
      </c>
      <c r="K3924" s="2">
        <v>18.2592</v>
      </c>
      <c r="L3924" s="3">
        <f>(Table1[[#This Row],[Profit]]/Table1[[#This Row],[Sales]])*100</f>
        <v>17.546799923121277</v>
      </c>
    </row>
    <row r="3925" spans="1:12" x14ac:dyDescent="0.3">
      <c r="A3925" t="s">
        <v>4494</v>
      </c>
      <c r="B3925" s="1">
        <v>43941</v>
      </c>
      <c r="C3925" t="s">
        <v>2574</v>
      </c>
      <c r="D3925" t="s">
        <v>2575</v>
      </c>
      <c r="E3925" t="s">
        <v>14</v>
      </c>
      <c r="F3925" t="s">
        <v>29</v>
      </c>
      <c r="G3925" t="s">
        <v>24</v>
      </c>
      <c r="H3925" t="s">
        <v>650</v>
      </c>
      <c r="I3925" s="2">
        <v>128.56</v>
      </c>
      <c r="J3925">
        <v>4</v>
      </c>
      <c r="K3925" s="2">
        <v>18.28</v>
      </c>
      <c r="L3925" s="3">
        <f>(Table1[[#This Row],[Profit]]/Table1[[#This Row],[Sales]])*100</f>
        <v>14.219041692594898</v>
      </c>
    </row>
    <row r="3926" spans="1:12" x14ac:dyDescent="0.3">
      <c r="A3926" t="s">
        <v>3453</v>
      </c>
      <c r="B3926" s="1">
        <v>43787</v>
      </c>
      <c r="C3926" t="s">
        <v>2114</v>
      </c>
      <c r="D3926" t="s">
        <v>2115</v>
      </c>
      <c r="E3926" t="s">
        <v>14</v>
      </c>
      <c r="F3926" t="s">
        <v>23</v>
      </c>
      <c r="G3926" t="s">
        <v>24</v>
      </c>
      <c r="H3926" t="s">
        <v>3455</v>
      </c>
      <c r="I3926" s="2">
        <v>67.84</v>
      </c>
      <c r="J3926">
        <v>1</v>
      </c>
      <c r="K3926" s="2">
        <v>18.316800000000001</v>
      </c>
      <c r="L3926" s="3">
        <f>(Table1[[#This Row],[Profit]]/Table1[[#This Row],[Sales]])*100</f>
        <v>27</v>
      </c>
    </row>
    <row r="3927" spans="1:12" x14ac:dyDescent="0.3">
      <c r="A3927" t="s">
        <v>3126</v>
      </c>
      <c r="B3927" s="1">
        <v>43758</v>
      </c>
      <c r="C3927" t="s">
        <v>407</v>
      </c>
      <c r="D3927" t="s">
        <v>408</v>
      </c>
      <c r="E3927" t="s">
        <v>14</v>
      </c>
      <c r="F3927" t="s">
        <v>41</v>
      </c>
      <c r="G3927" t="s">
        <v>16</v>
      </c>
      <c r="H3927" t="s">
        <v>2593</v>
      </c>
      <c r="I3927" s="2">
        <v>61.1</v>
      </c>
      <c r="J3927">
        <v>5</v>
      </c>
      <c r="K3927" s="2">
        <v>18.329999999999998</v>
      </c>
      <c r="L3927" s="3">
        <f>(Table1[[#This Row],[Profit]]/Table1[[#This Row],[Sales]])*100</f>
        <v>30</v>
      </c>
    </row>
    <row r="3928" spans="1:12" x14ac:dyDescent="0.3">
      <c r="A3928" t="s">
        <v>1707</v>
      </c>
      <c r="B3928" s="1">
        <v>43628</v>
      </c>
      <c r="C3928" t="s">
        <v>210</v>
      </c>
      <c r="D3928" t="s">
        <v>211</v>
      </c>
      <c r="E3928" t="s">
        <v>14</v>
      </c>
      <c r="F3928" t="s">
        <v>15</v>
      </c>
      <c r="G3928" t="s">
        <v>16</v>
      </c>
      <c r="H3928" t="s">
        <v>1708</v>
      </c>
      <c r="I3928" s="2">
        <v>47.04</v>
      </c>
      <c r="J3928">
        <v>3</v>
      </c>
      <c r="K3928" s="2">
        <v>18.345600000000001</v>
      </c>
      <c r="L3928" s="3">
        <f>(Table1[[#This Row],[Profit]]/Table1[[#This Row],[Sales]])*100</f>
        <v>39</v>
      </c>
    </row>
    <row r="3929" spans="1:12" x14ac:dyDescent="0.3">
      <c r="A3929" t="s">
        <v>1721</v>
      </c>
      <c r="B3929" s="1">
        <v>43628</v>
      </c>
      <c r="C3929" t="s">
        <v>178</v>
      </c>
      <c r="D3929" t="s">
        <v>179</v>
      </c>
      <c r="E3929" t="s">
        <v>14</v>
      </c>
      <c r="F3929" t="s">
        <v>15</v>
      </c>
      <c r="G3929" t="s">
        <v>24</v>
      </c>
      <c r="H3929" t="s">
        <v>1723</v>
      </c>
      <c r="I3929" s="2">
        <v>52.56</v>
      </c>
      <c r="J3929">
        <v>3</v>
      </c>
      <c r="K3929" s="2">
        <v>18.396000000000001</v>
      </c>
      <c r="L3929" s="3">
        <f>(Table1[[#This Row],[Profit]]/Table1[[#This Row],[Sales]])*100</f>
        <v>35</v>
      </c>
    </row>
    <row r="3930" spans="1:12" x14ac:dyDescent="0.3">
      <c r="A3930" t="s">
        <v>771</v>
      </c>
      <c r="B3930" s="1">
        <v>43550</v>
      </c>
      <c r="C3930" t="s">
        <v>664</v>
      </c>
      <c r="D3930" t="s">
        <v>665</v>
      </c>
      <c r="E3930" t="s">
        <v>14</v>
      </c>
      <c r="F3930" t="s">
        <v>15</v>
      </c>
      <c r="G3930" t="s">
        <v>24</v>
      </c>
      <c r="H3930" t="s">
        <v>772</v>
      </c>
      <c r="I3930" s="2">
        <v>459.95</v>
      </c>
      <c r="J3930">
        <v>5</v>
      </c>
      <c r="K3930" s="2">
        <v>18.398</v>
      </c>
      <c r="L3930" s="3">
        <f>(Table1[[#This Row],[Profit]]/Table1[[#This Row],[Sales]])*100</f>
        <v>4</v>
      </c>
    </row>
    <row r="3931" spans="1:12" x14ac:dyDescent="0.3">
      <c r="A3931" t="s">
        <v>3068</v>
      </c>
      <c r="B3931" s="1">
        <v>43751</v>
      </c>
      <c r="C3931" t="s">
        <v>1785</v>
      </c>
      <c r="D3931" t="s">
        <v>1786</v>
      </c>
      <c r="E3931" t="s">
        <v>14</v>
      </c>
      <c r="F3931" t="s">
        <v>23</v>
      </c>
      <c r="G3931" t="s">
        <v>24</v>
      </c>
      <c r="H3931" t="s">
        <v>1094</v>
      </c>
      <c r="I3931" s="2">
        <v>65.88</v>
      </c>
      <c r="J3931">
        <v>6</v>
      </c>
      <c r="K3931" s="2">
        <v>18.446400000000001</v>
      </c>
      <c r="L3931" s="3">
        <f>(Table1[[#This Row],[Profit]]/Table1[[#This Row],[Sales]])*100</f>
        <v>28.000000000000004</v>
      </c>
    </row>
    <row r="3932" spans="1:12" x14ac:dyDescent="0.3">
      <c r="A3932" t="s">
        <v>5393</v>
      </c>
      <c r="B3932" s="1">
        <v>44088</v>
      </c>
      <c r="C3932" t="s">
        <v>621</v>
      </c>
      <c r="D3932" t="s">
        <v>622</v>
      </c>
      <c r="E3932" t="s">
        <v>14</v>
      </c>
      <c r="F3932" t="s">
        <v>15</v>
      </c>
      <c r="G3932" t="s">
        <v>24</v>
      </c>
      <c r="H3932" t="s">
        <v>3433</v>
      </c>
      <c r="I3932" s="2">
        <v>150.94999999999999</v>
      </c>
      <c r="J3932">
        <v>3</v>
      </c>
      <c r="K3932" s="2">
        <v>18.446999999999999</v>
      </c>
      <c r="L3932" s="3">
        <f>(Table1[[#This Row],[Profit]]/Table1[[#This Row],[Sales]])*100</f>
        <v>12.220602848625372</v>
      </c>
    </row>
    <row r="3933" spans="1:12" x14ac:dyDescent="0.3">
      <c r="A3933" t="s">
        <v>5626</v>
      </c>
      <c r="B3933" s="1">
        <v>44118</v>
      </c>
      <c r="C3933" t="s">
        <v>1115</v>
      </c>
      <c r="D3933" t="s">
        <v>1116</v>
      </c>
      <c r="E3933" t="s">
        <v>14</v>
      </c>
      <c r="F3933" t="s">
        <v>15</v>
      </c>
      <c r="G3933" t="s">
        <v>24</v>
      </c>
      <c r="H3933" t="s">
        <v>1604</v>
      </c>
      <c r="I3933" s="2">
        <v>150.66</v>
      </c>
      <c r="J3933">
        <v>7</v>
      </c>
      <c r="K3933" s="2">
        <v>18.453399999999998</v>
      </c>
      <c r="L3933" s="3">
        <f>(Table1[[#This Row],[Profit]]/Table1[[#This Row],[Sales]])*100</f>
        <v>12.248373821850524</v>
      </c>
    </row>
    <row r="3934" spans="1:12" x14ac:dyDescent="0.3">
      <c r="A3934" t="s">
        <v>4600</v>
      </c>
      <c r="B3934" s="1">
        <v>43958</v>
      </c>
      <c r="C3934" t="s">
        <v>4601</v>
      </c>
      <c r="D3934" t="s">
        <v>4602</v>
      </c>
      <c r="E3934" t="s">
        <v>14</v>
      </c>
      <c r="F3934" t="s">
        <v>29</v>
      </c>
      <c r="G3934" t="s">
        <v>24</v>
      </c>
      <c r="H3934" t="s">
        <v>1421</v>
      </c>
      <c r="I3934" s="2">
        <v>165.44399999999999</v>
      </c>
      <c r="J3934">
        <v>2</v>
      </c>
      <c r="K3934" s="2">
        <v>18.4604</v>
      </c>
      <c r="L3934" s="3">
        <f>(Table1[[#This Row],[Profit]]/Table1[[#This Row],[Sales]])*100</f>
        <v>11.158095790720727</v>
      </c>
    </row>
    <row r="3935" spans="1:12" x14ac:dyDescent="0.3">
      <c r="A3935" t="s">
        <v>3892</v>
      </c>
      <c r="B3935" s="1">
        <v>43823</v>
      </c>
      <c r="C3935" t="s">
        <v>3893</v>
      </c>
      <c r="D3935" t="s">
        <v>3894</v>
      </c>
      <c r="E3935" t="s">
        <v>14</v>
      </c>
      <c r="F3935" t="s">
        <v>23</v>
      </c>
      <c r="G3935" t="s">
        <v>16</v>
      </c>
      <c r="H3935" t="s">
        <v>3895</v>
      </c>
      <c r="I3935" s="2">
        <v>43.96</v>
      </c>
      <c r="J3935">
        <v>7</v>
      </c>
      <c r="K3935" s="2">
        <v>18.463200000000001</v>
      </c>
      <c r="L3935" s="3">
        <f>(Table1[[#This Row],[Profit]]/Table1[[#This Row],[Sales]])*100</f>
        <v>42</v>
      </c>
    </row>
    <row r="3936" spans="1:12" x14ac:dyDescent="0.3">
      <c r="A3936" t="s">
        <v>2262</v>
      </c>
      <c r="B3936" s="1">
        <v>43683</v>
      </c>
      <c r="C3936" t="s">
        <v>2263</v>
      </c>
      <c r="D3936" t="s">
        <v>2264</v>
      </c>
      <c r="E3936" t="s">
        <v>14</v>
      </c>
      <c r="F3936" t="s">
        <v>23</v>
      </c>
      <c r="G3936" t="s">
        <v>18</v>
      </c>
      <c r="H3936" t="s">
        <v>2265</v>
      </c>
      <c r="I3936" s="2">
        <v>211.16800000000001</v>
      </c>
      <c r="J3936">
        <v>4</v>
      </c>
      <c r="K3936" s="2">
        <v>18.4772</v>
      </c>
      <c r="L3936" s="3">
        <f>(Table1[[#This Row],[Profit]]/Table1[[#This Row],[Sales]])*100</f>
        <v>8.75</v>
      </c>
    </row>
    <row r="3937" spans="1:12" x14ac:dyDescent="0.3">
      <c r="A3937" t="s">
        <v>842</v>
      </c>
      <c r="B3937" s="1">
        <v>43556</v>
      </c>
      <c r="C3937" t="s">
        <v>164</v>
      </c>
      <c r="D3937" t="s">
        <v>165</v>
      </c>
      <c r="E3937" t="s">
        <v>14</v>
      </c>
      <c r="F3937" t="s">
        <v>15</v>
      </c>
      <c r="G3937" t="s">
        <v>24</v>
      </c>
      <c r="H3937" t="s">
        <v>844</v>
      </c>
      <c r="I3937" s="2">
        <v>63.84</v>
      </c>
      <c r="J3937">
        <v>8</v>
      </c>
      <c r="K3937" s="2">
        <v>18.5136</v>
      </c>
      <c r="L3937" s="3">
        <f>(Table1[[#This Row],[Profit]]/Table1[[#This Row],[Sales]])*100</f>
        <v>28.999999999999996</v>
      </c>
    </row>
    <row r="3938" spans="1:12" x14ac:dyDescent="0.3">
      <c r="A3938" t="s">
        <v>3464</v>
      </c>
      <c r="B3938" s="1">
        <v>43788</v>
      </c>
      <c r="C3938" t="s">
        <v>3465</v>
      </c>
      <c r="D3938" t="s">
        <v>3466</v>
      </c>
      <c r="E3938" t="s">
        <v>14</v>
      </c>
      <c r="F3938" t="s">
        <v>15</v>
      </c>
      <c r="G3938" t="s">
        <v>24</v>
      </c>
      <c r="H3938" t="s">
        <v>2932</v>
      </c>
      <c r="I3938" s="2">
        <v>68.599999999999994</v>
      </c>
      <c r="J3938">
        <v>4</v>
      </c>
      <c r="K3938" s="2">
        <v>18.521999999999998</v>
      </c>
      <c r="L3938" s="3">
        <f>(Table1[[#This Row],[Profit]]/Table1[[#This Row],[Sales]])*100</f>
        <v>27</v>
      </c>
    </row>
    <row r="3939" spans="1:12" x14ac:dyDescent="0.3">
      <c r="A3939" t="s">
        <v>5099</v>
      </c>
      <c r="B3939" s="1">
        <v>44044</v>
      </c>
      <c r="C3939" t="s">
        <v>1135</v>
      </c>
      <c r="D3939" t="s">
        <v>1136</v>
      </c>
      <c r="E3939" t="s">
        <v>14</v>
      </c>
      <c r="F3939" t="s">
        <v>23</v>
      </c>
      <c r="G3939" t="s">
        <v>24</v>
      </c>
      <c r="H3939" t="s">
        <v>3706</v>
      </c>
      <c r="I3939" s="2">
        <v>161.89599999999999</v>
      </c>
      <c r="J3939">
        <v>2</v>
      </c>
      <c r="K3939" s="2">
        <v>18.5274</v>
      </c>
      <c r="L3939" s="3">
        <f>(Table1[[#This Row],[Profit]]/Table1[[#This Row],[Sales]])*100</f>
        <v>11.444013440727382</v>
      </c>
    </row>
    <row r="3940" spans="1:12" x14ac:dyDescent="0.3">
      <c r="A3940" t="s">
        <v>4375</v>
      </c>
      <c r="B3940" s="1">
        <v>43920</v>
      </c>
      <c r="C3940" t="s">
        <v>1000</v>
      </c>
      <c r="D3940" t="s">
        <v>1001</v>
      </c>
      <c r="E3940" t="s">
        <v>14</v>
      </c>
      <c r="F3940" t="s">
        <v>23</v>
      </c>
      <c r="G3940" t="s">
        <v>18</v>
      </c>
      <c r="H3940" t="s">
        <v>2657</v>
      </c>
      <c r="I3940" s="2">
        <v>188.792</v>
      </c>
      <c r="J3940">
        <v>1</v>
      </c>
      <c r="K3940" s="2">
        <v>18.539100000000001</v>
      </c>
      <c r="L3940" s="3">
        <f>(Table1[[#This Row],[Profit]]/Table1[[#This Row],[Sales]])*100</f>
        <v>9.8198546548582559</v>
      </c>
    </row>
    <row r="3941" spans="1:12" x14ac:dyDescent="0.3">
      <c r="A3941" t="s">
        <v>4256</v>
      </c>
      <c r="B3941" s="1">
        <v>43902</v>
      </c>
      <c r="C3941" t="s">
        <v>3979</v>
      </c>
      <c r="D3941" t="s">
        <v>3980</v>
      </c>
      <c r="E3941" t="s">
        <v>14</v>
      </c>
      <c r="F3941" t="s">
        <v>41</v>
      </c>
      <c r="G3941" t="s">
        <v>24</v>
      </c>
      <c r="H3941" t="s">
        <v>845</v>
      </c>
      <c r="I3941" s="2">
        <v>122.41</v>
      </c>
      <c r="J3941">
        <v>9</v>
      </c>
      <c r="K3941" s="2">
        <v>18.5886</v>
      </c>
      <c r="L3941" s="3">
        <f>(Table1[[#This Row],[Profit]]/Table1[[#This Row],[Sales]])*100</f>
        <v>15.185524058491954</v>
      </c>
    </row>
    <row r="3942" spans="1:12" x14ac:dyDescent="0.3">
      <c r="A3942" t="s">
        <v>4870</v>
      </c>
      <c r="B3942" s="1">
        <v>44002</v>
      </c>
      <c r="C3942" t="s">
        <v>3175</v>
      </c>
      <c r="D3942" t="s">
        <v>3176</v>
      </c>
      <c r="E3942" t="s">
        <v>14</v>
      </c>
      <c r="F3942" t="s">
        <v>15</v>
      </c>
      <c r="G3942" t="s">
        <v>24</v>
      </c>
      <c r="H3942" t="s">
        <v>4022</v>
      </c>
      <c r="I3942" s="2">
        <v>147.31200000000001</v>
      </c>
      <c r="J3942">
        <v>3</v>
      </c>
      <c r="K3942" s="2">
        <v>18.6006</v>
      </c>
      <c r="L3942" s="3">
        <f>(Table1[[#This Row],[Profit]]/Table1[[#This Row],[Sales]])*100</f>
        <v>12.626669925057021</v>
      </c>
    </row>
    <row r="3943" spans="1:12" x14ac:dyDescent="0.3">
      <c r="A3943" t="s">
        <v>1572</v>
      </c>
      <c r="B3943" s="1">
        <v>43615</v>
      </c>
      <c r="C3943" t="s">
        <v>1573</v>
      </c>
      <c r="D3943" t="s">
        <v>1574</v>
      </c>
      <c r="E3943" t="s">
        <v>14</v>
      </c>
      <c r="F3943" t="s">
        <v>23</v>
      </c>
      <c r="G3943" t="s">
        <v>24</v>
      </c>
      <c r="H3943" t="s">
        <v>1575</v>
      </c>
      <c r="I3943" s="2">
        <v>38.880000000000003</v>
      </c>
      <c r="J3943">
        <v>6</v>
      </c>
      <c r="K3943" s="2">
        <v>18.662400000000002</v>
      </c>
      <c r="L3943" s="3">
        <f>(Table1[[#This Row],[Profit]]/Table1[[#This Row],[Sales]])*100</f>
        <v>48.000000000000007</v>
      </c>
    </row>
    <row r="3944" spans="1:12" x14ac:dyDescent="0.3">
      <c r="A3944" t="s">
        <v>1807</v>
      </c>
      <c r="B3944" s="1">
        <v>43636</v>
      </c>
      <c r="C3944" t="s">
        <v>1808</v>
      </c>
      <c r="D3944" t="s">
        <v>1809</v>
      </c>
      <c r="E3944" t="s">
        <v>14</v>
      </c>
      <c r="F3944" t="s">
        <v>23</v>
      </c>
      <c r="G3944" t="s">
        <v>24</v>
      </c>
      <c r="H3944" t="s">
        <v>1811</v>
      </c>
      <c r="I3944" s="2">
        <v>38.880000000000003</v>
      </c>
      <c r="J3944">
        <v>6</v>
      </c>
      <c r="K3944" s="2">
        <v>18.662400000000002</v>
      </c>
      <c r="L3944" s="3">
        <f>(Table1[[#This Row],[Profit]]/Table1[[#This Row],[Sales]])*100</f>
        <v>48.000000000000007</v>
      </c>
    </row>
    <row r="3945" spans="1:12" x14ac:dyDescent="0.3">
      <c r="A3945" t="s">
        <v>3264</v>
      </c>
      <c r="B3945" s="1">
        <v>43773</v>
      </c>
      <c r="C3945" t="s">
        <v>3265</v>
      </c>
      <c r="D3945" t="s">
        <v>3266</v>
      </c>
      <c r="E3945" t="s">
        <v>14</v>
      </c>
      <c r="F3945" t="s">
        <v>23</v>
      </c>
      <c r="G3945" t="s">
        <v>24</v>
      </c>
      <c r="H3945" t="s">
        <v>3268</v>
      </c>
      <c r="I3945" s="2">
        <v>38.880000000000003</v>
      </c>
      <c r="J3945">
        <v>6</v>
      </c>
      <c r="K3945" s="2">
        <v>18.662400000000002</v>
      </c>
      <c r="L3945" s="3">
        <f>(Table1[[#This Row],[Profit]]/Table1[[#This Row],[Sales]])*100</f>
        <v>48.000000000000007</v>
      </c>
    </row>
    <row r="3946" spans="1:12" x14ac:dyDescent="0.3">
      <c r="A3946" t="s">
        <v>3842</v>
      </c>
      <c r="B3946" s="1">
        <v>43817</v>
      </c>
      <c r="C3946" t="s">
        <v>188</v>
      </c>
      <c r="D3946" t="s">
        <v>189</v>
      </c>
      <c r="E3946" t="s">
        <v>14</v>
      </c>
      <c r="F3946" t="s">
        <v>23</v>
      </c>
      <c r="G3946" t="s">
        <v>24</v>
      </c>
      <c r="H3946" t="s">
        <v>3166</v>
      </c>
      <c r="I3946" s="2">
        <v>38.880000000000003</v>
      </c>
      <c r="J3946">
        <v>6</v>
      </c>
      <c r="K3946" s="2">
        <v>18.662400000000002</v>
      </c>
      <c r="L3946" s="3">
        <f>(Table1[[#This Row],[Profit]]/Table1[[#This Row],[Sales]])*100</f>
        <v>48.000000000000007</v>
      </c>
    </row>
    <row r="3947" spans="1:12" x14ac:dyDescent="0.3">
      <c r="A3947" t="s">
        <v>3988</v>
      </c>
      <c r="B3947" s="1">
        <v>43833</v>
      </c>
      <c r="C3947" t="s">
        <v>2578</v>
      </c>
      <c r="D3947" t="s">
        <v>2579</v>
      </c>
      <c r="E3947" t="s">
        <v>14</v>
      </c>
      <c r="F3947" t="s">
        <v>23</v>
      </c>
      <c r="G3947" t="s">
        <v>24</v>
      </c>
      <c r="H3947" t="s">
        <v>2934</v>
      </c>
      <c r="I3947" s="2">
        <v>136.88</v>
      </c>
      <c r="J3947">
        <v>6</v>
      </c>
      <c r="K3947" s="2">
        <v>18.662400000000002</v>
      </c>
      <c r="L3947" s="3">
        <f>(Table1[[#This Row],[Profit]]/Table1[[#This Row],[Sales]])*100</f>
        <v>13.634132086499125</v>
      </c>
    </row>
    <row r="3948" spans="1:12" x14ac:dyDescent="0.3">
      <c r="A3948" t="s">
        <v>5919</v>
      </c>
      <c r="B3948" s="1">
        <v>44152</v>
      </c>
      <c r="C3948" t="s">
        <v>1480</v>
      </c>
      <c r="D3948" t="s">
        <v>1481</v>
      </c>
      <c r="E3948" t="s">
        <v>14</v>
      </c>
      <c r="F3948" t="s">
        <v>15</v>
      </c>
      <c r="G3948" t="s">
        <v>24</v>
      </c>
      <c r="H3948" t="s">
        <v>2934</v>
      </c>
      <c r="I3948" s="2">
        <v>157.88</v>
      </c>
      <c r="J3948">
        <v>6</v>
      </c>
      <c r="K3948" s="2">
        <v>18.662400000000002</v>
      </c>
      <c r="L3948" s="3">
        <f>(Table1[[#This Row],[Profit]]/Table1[[#This Row],[Sales]])*100</f>
        <v>11.820623258170764</v>
      </c>
    </row>
    <row r="3949" spans="1:12" x14ac:dyDescent="0.3">
      <c r="A3949" t="s">
        <v>6179</v>
      </c>
      <c r="B3949" s="1">
        <v>44178</v>
      </c>
      <c r="C3949" t="s">
        <v>3064</v>
      </c>
      <c r="D3949" t="s">
        <v>3065</v>
      </c>
      <c r="E3949" t="s">
        <v>14</v>
      </c>
      <c r="F3949" t="s">
        <v>23</v>
      </c>
      <c r="G3949" t="s">
        <v>24</v>
      </c>
      <c r="H3949" t="s">
        <v>3332</v>
      </c>
      <c r="I3949" s="2">
        <v>433.88</v>
      </c>
      <c r="J3949">
        <v>6</v>
      </c>
      <c r="K3949" s="2">
        <v>18.662400000000002</v>
      </c>
      <c r="L3949" s="3">
        <f>(Table1[[#This Row],[Profit]]/Table1[[#This Row],[Sales]])*100</f>
        <v>4.3012814603116079</v>
      </c>
    </row>
    <row r="3950" spans="1:12" x14ac:dyDescent="0.3">
      <c r="A3950" t="s">
        <v>2680</v>
      </c>
      <c r="B3950" s="1">
        <v>43717</v>
      </c>
      <c r="C3950" t="s">
        <v>1589</v>
      </c>
      <c r="D3950" t="s">
        <v>1590</v>
      </c>
      <c r="E3950" t="s">
        <v>14</v>
      </c>
      <c r="F3950" t="s">
        <v>23</v>
      </c>
      <c r="G3950" t="s">
        <v>24</v>
      </c>
      <c r="H3950" t="s">
        <v>2681</v>
      </c>
      <c r="I3950" s="2">
        <v>55.36</v>
      </c>
      <c r="J3950">
        <v>4</v>
      </c>
      <c r="K3950" s="2">
        <v>18.684000000000001</v>
      </c>
      <c r="L3950" s="3">
        <f>(Table1[[#This Row],[Profit]]/Table1[[#This Row],[Sales]])*100</f>
        <v>33.75</v>
      </c>
    </row>
    <row r="3951" spans="1:12" x14ac:dyDescent="0.3">
      <c r="A3951" t="s">
        <v>3892</v>
      </c>
      <c r="B3951" s="1">
        <v>43823</v>
      </c>
      <c r="C3951" t="s">
        <v>3893</v>
      </c>
      <c r="D3951" t="s">
        <v>3894</v>
      </c>
      <c r="E3951" t="s">
        <v>14</v>
      </c>
      <c r="F3951" t="s">
        <v>23</v>
      </c>
      <c r="G3951" t="s">
        <v>24</v>
      </c>
      <c r="H3951" t="s">
        <v>242</v>
      </c>
      <c r="I3951" s="2">
        <v>39.76</v>
      </c>
      <c r="J3951">
        <v>7</v>
      </c>
      <c r="K3951" s="2">
        <v>18.687200000000001</v>
      </c>
      <c r="L3951" s="3">
        <f>(Table1[[#This Row],[Profit]]/Table1[[#This Row],[Sales]])*100</f>
        <v>47</v>
      </c>
    </row>
    <row r="3952" spans="1:12" x14ac:dyDescent="0.3">
      <c r="A3952" t="s">
        <v>4043</v>
      </c>
      <c r="B3952" s="1">
        <v>43851</v>
      </c>
      <c r="C3952" t="s">
        <v>4044</v>
      </c>
      <c r="D3952" t="s">
        <v>4045</v>
      </c>
      <c r="E3952" t="s">
        <v>14</v>
      </c>
      <c r="F3952" t="s">
        <v>23</v>
      </c>
      <c r="G3952" t="s">
        <v>16</v>
      </c>
      <c r="H3952" t="s">
        <v>3567</v>
      </c>
      <c r="I3952" s="2">
        <v>106.98</v>
      </c>
      <c r="J3952">
        <v>1</v>
      </c>
      <c r="K3952" s="2">
        <v>18.695599999999999</v>
      </c>
      <c r="L3952" s="3">
        <f>(Table1[[#This Row],[Profit]]/Table1[[#This Row],[Sales]])*100</f>
        <v>17.475789867264908</v>
      </c>
    </row>
    <row r="3953" spans="1:12" x14ac:dyDescent="0.3">
      <c r="A3953" t="s">
        <v>1602</v>
      </c>
      <c r="B3953" s="1">
        <v>43618</v>
      </c>
      <c r="C3953" t="s">
        <v>633</v>
      </c>
      <c r="D3953" t="s">
        <v>634</v>
      </c>
      <c r="E3953" t="s">
        <v>14</v>
      </c>
      <c r="F3953" t="s">
        <v>23</v>
      </c>
      <c r="G3953" t="s">
        <v>24</v>
      </c>
      <c r="H3953" t="s">
        <v>1604</v>
      </c>
      <c r="I3953" s="2">
        <v>51.648000000000003</v>
      </c>
      <c r="J3953">
        <v>12</v>
      </c>
      <c r="K3953" s="2">
        <v>18.7224</v>
      </c>
      <c r="L3953" s="3">
        <f>(Table1[[#This Row],[Profit]]/Table1[[#This Row],[Sales]])*100</f>
        <v>36.25</v>
      </c>
    </row>
    <row r="3954" spans="1:12" x14ac:dyDescent="0.3">
      <c r="A3954" t="s">
        <v>6224</v>
      </c>
      <c r="B3954" s="1">
        <v>44186</v>
      </c>
      <c r="C3954" t="s">
        <v>1656</v>
      </c>
      <c r="D3954" t="s">
        <v>1657</v>
      </c>
      <c r="E3954" t="s">
        <v>14</v>
      </c>
      <c r="F3954" t="s">
        <v>29</v>
      </c>
      <c r="G3954" t="s">
        <v>24</v>
      </c>
      <c r="H3954" t="s">
        <v>3620</v>
      </c>
      <c r="I3954" s="2">
        <v>541.34</v>
      </c>
      <c r="J3954">
        <v>1</v>
      </c>
      <c r="K3954" s="2">
        <v>18.766999999999999</v>
      </c>
      <c r="L3954" s="3">
        <f>(Table1[[#This Row],[Profit]]/Table1[[#This Row],[Sales]])*100</f>
        <v>3.4667676506446963</v>
      </c>
    </row>
    <row r="3955" spans="1:12" x14ac:dyDescent="0.3">
      <c r="A3955" t="s">
        <v>5314</v>
      </c>
      <c r="B3955" s="1">
        <v>44081</v>
      </c>
      <c r="C3955" t="s">
        <v>2005</v>
      </c>
      <c r="D3955" t="s">
        <v>2006</v>
      </c>
      <c r="E3955" t="s">
        <v>14</v>
      </c>
      <c r="F3955" t="s">
        <v>15</v>
      </c>
      <c r="G3955" t="s">
        <v>24</v>
      </c>
      <c r="H3955" t="s">
        <v>1645</v>
      </c>
      <c r="I3955" s="2">
        <v>144.96</v>
      </c>
      <c r="J3955">
        <v>2</v>
      </c>
      <c r="K3955" s="2">
        <v>18.781199999999998</v>
      </c>
      <c r="L3955" s="3">
        <f>(Table1[[#This Row],[Profit]]/Table1[[#This Row],[Sales]])*100</f>
        <v>12.956125827814569</v>
      </c>
    </row>
    <row r="3956" spans="1:12" x14ac:dyDescent="0.3">
      <c r="A3956" t="s">
        <v>5663</v>
      </c>
      <c r="B3956" s="1">
        <v>44124</v>
      </c>
      <c r="C3956" t="s">
        <v>1776</v>
      </c>
      <c r="D3956" t="s">
        <v>1777</v>
      </c>
      <c r="E3956" t="s">
        <v>14</v>
      </c>
      <c r="F3956" t="s">
        <v>41</v>
      </c>
      <c r="G3956" t="s">
        <v>24</v>
      </c>
      <c r="H3956" t="s">
        <v>1843</v>
      </c>
      <c r="I3956" s="2">
        <v>147.96</v>
      </c>
      <c r="J3956">
        <v>2</v>
      </c>
      <c r="K3956" s="2">
        <v>18.781199999999998</v>
      </c>
      <c r="L3956" s="3">
        <f>(Table1[[#This Row],[Profit]]/Table1[[#This Row],[Sales]])*100</f>
        <v>12.693430656934304</v>
      </c>
    </row>
    <row r="3957" spans="1:12" x14ac:dyDescent="0.3">
      <c r="A3957" t="s">
        <v>4691</v>
      </c>
      <c r="B3957" s="1">
        <v>43971</v>
      </c>
      <c r="C3957" t="s">
        <v>501</v>
      </c>
      <c r="D3957" t="s">
        <v>502</v>
      </c>
      <c r="E3957" t="s">
        <v>14</v>
      </c>
      <c r="F3957" t="s">
        <v>23</v>
      </c>
      <c r="G3957" t="s">
        <v>24</v>
      </c>
      <c r="H3957" t="s">
        <v>2647</v>
      </c>
      <c r="I3957" s="2">
        <v>158.9</v>
      </c>
      <c r="J3957">
        <v>5</v>
      </c>
      <c r="K3957" s="2">
        <v>18.821000000000002</v>
      </c>
      <c r="L3957" s="3">
        <f>(Table1[[#This Row],[Profit]]/Table1[[#This Row],[Sales]])*100</f>
        <v>11.844556324732537</v>
      </c>
    </row>
    <row r="3958" spans="1:12" x14ac:dyDescent="0.3">
      <c r="A3958" t="s">
        <v>4704</v>
      </c>
      <c r="B3958" s="1">
        <v>43973</v>
      </c>
      <c r="C3958" t="s">
        <v>1547</v>
      </c>
      <c r="D3958" t="s">
        <v>1548</v>
      </c>
      <c r="E3958" t="s">
        <v>14</v>
      </c>
      <c r="F3958" t="s">
        <v>23</v>
      </c>
      <c r="G3958" t="s">
        <v>24</v>
      </c>
      <c r="H3958" t="s">
        <v>2756</v>
      </c>
      <c r="I3958" s="2">
        <v>155.56</v>
      </c>
      <c r="J3958">
        <v>7</v>
      </c>
      <c r="K3958" s="2">
        <v>18.832799999999999</v>
      </c>
      <c r="L3958" s="3">
        <f>(Table1[[#This Row],[Profit]]/Table1[[#This Row],[Sales]])*100</f>
        <v>12.106454101311389</v>
      </c>
    </row>
    <row r="3959" spans="1:12" x14ac:dyDescent="0.3">
      <c r="A3959" t="s">
        <v>6057</v>
      </c>
      <c r="B3959" s="1">
        <v>44166</v>
      </c>
      <c r="C3959" t="s">
        <v>4011</v>
      </c>
      <c r="D3959" t="s">
        <v>4012</v>
      </c>
      <c r="E3959" t="s">
        <v>14</v>
      </c>
      <c r="F3959" t="s">
        <v>23</v>
      </c>
      <c r="G3959" t="s">
        <v>24</v>
      </c>
      <c r="H3959" t="s">
        <v>3054</v>
      </c>
      <c r="I3959" s="2">
        <v>129.86000000000001</v>
      </c>
      <c r="J3959">
        <v>7</v>
      </c>
      <c r="K3959" s="2">
        <v>18.837</v>
      </c>
      <c r="L3959" s="3">
        <f>(Table1[[#This Row],[Profit]]/Table1[[#This Row],[Sales]])*100</f>
        <v>14.505621438472199</v>
      </c>
    </row>
    <row r="3960" spans="1:12" x14ac:dyDescent="0.3">
      <c r="A3960" t="s">
        <v>2981</v>
      </c>
      <c r="B3960" s="1">
        <v>43739</v>
      </c>
      <c r="C3960" t="s">
        <v>475</v>
      </c>
      <c r="D3960" t="s">
        <v>476</v>
      </c>
      <c r="E3960" t="s">
        <v>14</v>
      </c>
      <c r="F3960" t="s">
        <v>29</v>
      </c>
      <c r="G3960" t="s">
        <v>18</v>
      </c>
      <c r="H3960" t="s">
        <v>294</v>
      </c>
      <c r="I3960" s="2">
        <v>69.900000000000006</v>
      </c>
      <c r="J3960">
        <v>2</v>
      </c>
      <c r="K3960" s="2">
        <v>18.873000000000001</v>
      </c>
      <c r="L3960" s="3">
        <f>(Table1[[#This Row],[Profit]]/Table1[[#This Row],[Sales]])*100</f>
        <v>27</v>
      </c>
    </row>
    <row r="3961" spans="1:12" x14ac:dyDescent="0.3">
      <c r="A3961" t="s">
        <v>3291</v>
      </c>
      <c r="B3961" s="1">
        <v>43774</v>
      </c>
      <c r="C3961" t="s">
        <v>3292</v>
      </c>
      <c r="D3961" t="s">
        <v>3293</v>
      </c>
      <c r="E3961" t="s">
        <v>14</v>
      </c>
      <c r="F3961" t="s">
        <v>41</v>
      </c>
      <c r="G3961" t="s">
        <v>18</v>
      </c>
      <c r="H3961" t="s">
        <v>3295</v>
      </c>
      <c r="I3961" s="2">
        <v>89.97</v>
      </c>
      <c r="J3961">
        <v>3</v>
      </c>
      <c r="K3961" s="2">
        <v>18.893699999999999</v>
      </c>
      <c r="L3961" s="3">
        <f>(Table1[[#This Row],[Profit]]/Table1[[#This Row],[Sales]])*100</f>
        <v>21</v>
      </c>
    </row>
    <row r="3962" spans="1:12" x14ac:dyDescent="0.3">
      <c r="A3962" t="s">
        <v>3919</v>
      </c>
      <c r="B3962" s="1">
        <v>43825</v>
      </c>
      <c r="C3962" t="s">
        <v>3920</v>
      </c>
      <c r="D3962" t="s">
        <v>3921</v>
      </c>
      <c r="E3962" t="s">
        <v>14</v>
      </c>
      <c r="F3962" t="s">
        <v>15</v>
      </c>
      <c r="G3962" t="s">
        <v>18</v>
      </c>
      <c r="H3962" t="s">
        <v>3375</v>
      </c>
      <c r="I3962" s="2">
        <v>89.97</v>
      </c>
      <c r="J3962">
        <v>3</v>
      </c>
      <c r="K3962" s="2">
        <v>18.893699999999999</v>
      </c>
      <c r="L3962" s="3">
        <f>(Table1[[#This Row],[Profit]]/Table1[[#This Row],[Sales]])*100</f>
        <v>21</v>
      </c>
    </row>
    <row r="3963" spans="1:12" x14ac:dyDescent="0.3">
      <c r="A3963" t="s">
        <v>4644</v>
      </c>
      <c r="B3963" s="1">
        <v>43965</v>
      </c>
      <c r="C3963" t="s">
        <v>3615</v>
      </c>
      <c r="D3963" t="s">
        <v>3616</v>
      </c>
      <c r="E3963" t="s">
        <v>14</v>
      </c>
      <c r="F3963" t="s">
        <v>15</v>
      </c>
      <c r="G3963" t="s">
        <v>18</v>
      </c>
      <c r="H3963" t="s">
        <v>3375</v>
      </c>
      <c r="I3963" s="2">
        <v>111.97</v>
      </c>
      <c r="J3963">
        <v>3</v>
      </c>
      <c r="K3963" s="2">
        <v>18.893699999999999</v>
      </c>
      <c r="L3963" s="3">
        <f>(Table1[[#This Row],[Profit]]/Table1[[#This Row],[Sales]])*100</f>
        <v>16.873894793248191</v>
      </c>
    </row>
    <row r="3964" spans="1:12" x14ac:dyDescent="0.3">
      <c r="A3964" t="s">
        <v>4163</v>
      </c>
      <c r="B3964" s="1">
        <v>43881</v>
      </c>
      <c r="C3964" t="s">
        <v>2359</v>
      </c>
      <c r="D3964" t="s">
        <v>2360</v>
      </c>
      <c r="E3964" t="s">
        <v>14</v>
      </c>
      <c r="F3964" t="s">
        <v>23</v>
      </c>
      <c r="G3964" t="s">
        <v>18</v>
      </c>
      <c r="H3964" t="s">
        <v>1995</v>
      </c>
      <c r="I3964" s="2">
        <v>261.96800000000002</v>
      </c>
      <c r="J3964">
        <v>2</v>
      </c>
      <c r="K3964" s="2">
        <v>18.897200000000002</v>
      </c>
      <c r="L3964" s="3">
        <f>(Table1[[#This Row],[Profit]]/Table1[[#This Row],[Sales]])*100</f>
        <v>7.2135528003420273</v>
      </c>
    </row>
    <row r="3965" spans="1:12" x14ac:dyDescent="0.3">
      <c r="A3965" t="s">
        <v>1402</v>
      </c>
      <c r="B3965" s="1">
        <v>43602</v>
      </c>
      <c r="C3965" t="s">
        <v>1403</v>
      </c>
      <c r="D3965" t="s">
        <v>1404</v>
      </c>
      <c r="E3965" t="s">
        <v>14</v>
      </c>
      <c r="F3965" t="s">
        <v>15</v>
      </c>
      <c r="G3965" t="s">
        <v>24</v>
      </c>
      <c r="H3965" t="s">
        <v>1405</v>
      </c>
      <c r="I3965" s="2">
        <v>65.17</v>
      </c>
      <c r="J3965">
        <v>7</v>
      </c>
      <c r="K3965" s="2">
        <v>18.8993</v>
      </c>
      <c r="L3965" s="3">
        <f>(Table1[[#This Row],[Profit]]/Table1[[#This Row],[Sales]])*100</f>
        <v>28.999999999999996</v>
      </c>
    </row>
    <row r="3966" spans="1:12" x14ac:dyDescent="0.3">
      <c r="A3966" t="s">
        <v>5394</v>
      </c>
      <c r="B3966" s="1">
        <v>44089</v>
      </c>
      <c r="C3966" t="s">
        <v>5395</v>
      </c>
      <c r="D3966" t="s">
        <v>5396</v>
      </c>
      <c r="E3966" t="s">
        <v>14</v>
      </c>
      <c r="F3966" t="s">
        <v>15</v>
      </c>
      <c r="G3966" t="s">
        <v>16</v>
      </c>
      <c r="H3966" t="s">
        <v>82</v>
      </c>
      <c r="I3966" s="2">
        <v>165.4</v>
      </c>
      <c r="J3966">
        <v>5</v>
      </c>
      <c r="K3966" s="2">
        <v>18.96</v>
      </c>
      <c r="L3966" s="3">
        <f>(Table1[[#This Row],[Profit]]/Table1[[#This Row],[Sales]])*100</f>
        <v>11.463119709794437</v>
      </c>
    </row>
    <row r="3967" spans="1:12" x14ac:dyDescent="0.3">
      <c r="A3967" t="s">
        <v>6038</v>
      </c>
      <c r="B3967" s="1">
        <v>44164</v>
      </c>
      <c r="C3967" t="s">
        <v>1339</v>
      </c>
      <c r="D3967" t="s">
        <v>1340</v>
      </c>
      <c r="E3967" t="s">
        <v>14</v>
      </c>
      <c r="F3967" t="s">
        <v>41</v>
      </c>
      <c r="G3967" t="s">
        <v>16</v>
      </c>
      <c r="H3967" t="s">
        <v>6039</v>
      </c>
      <c r="I3967" s="2">
        <v>122.52</v>
      </c>
      <c r="J3967">
        <v>5</v>
      </c>
      <c r="K3967" s="2">
        <v>19.035</v>
      </c>
      <c r="L3967" s="3">
        <f>(Table1[[#This Row],[Profit]]/Table1[[#This Row],[Sales]])*100</f>
        <v>15.536238981390794</v>
      </c>
    </row>
    <row r="3968" spans="1:12" x14ac:dyDescent="0.3">
      <c r="A3968" t="s">
        <v>4859</v>
      </c>
      <c r="B3968" s="1">
        <v>44000</v>
      </c>
      <c r="C3968" t="s">
        <v>471</v>
      </c>
      <c r="D3968" t="s">
        <v>472</v>
      </c>
      <c r="E3968" t="s">
        <v>14</v>
      </c>
      <c r="F3968" t="s">
        <v>23</v>
      </c>
      <c r="G3968" t="s">
        <v>24</v>
      </c>
      <c r="H3968" t="s">
        <v>2622</v>
      </c>
      <c r="I3968" s="2">
        <v>138.88</v>
      </c>
      <c r="J3968">
        <v>6</v>
      </c>
      <c r="K3968" s="2">
        <v>19.051200000000001</v>
      </c>
      <c r="L3968" s="3">
        <f>(Table1[[#This Row],[Profit]]/Table1[[#This Row],[Sales]])*100</f>
        <v>13.717741935483874</v>
      </c>
    </row>
    <row r="3969" spans="1:12" x14ac:dyDescent="0.3">
      <c r="A3969" t="s">
        <v>5818</v>
      </c>
      <c r="B3969" s="1">
        <v>44142</v>
      </c>
      <c r="C3969" t="s">
        <v>3795</v>
      </c>
      <c r="D3969" t="s">
        <v>3796</v>
      </c>
      <c r="E3969" t="s">
        <v>14</v>
      </c>
      <c r="F3969" t="s">
        <v>29</v>
      </c>
      <c r="G3969" t="s">
        <v>24</v>
      </c>
      <c r="H3969" t="s">
        <v>2818</v>
      </c>
      <c r="I3969" s="2">
        <v>142.16</v>
      </c>
      <c r="J3969">
        <v>9</v>
      </c>
      <c r="K3969" s="2">
        <v>19.079999999999998</v>
      </c>
      <c r="L3969" s="3">
        <f>(Table1[[#This Row],[Profit]]/Table1[[#This Row],[Sales]])*100</f>
        <v>13.421496904895891</v>
      </c>
    </row>
    <row r="3970" spans="1:12" x14ac:dyDescent="0.3">
      <c r="A3970" t="s">
        <v>6251</v>
      </c>
      <c r="B3970" s="1">
        <v>44188</v>
      </c>
      <c r="C3970" t="s">
        <v>4586</v>
      </c>
      <c r="D3970" t="s">
        <v>4587</v>
      </c>
      <c r="E3970" t="s">
        <v>14</v>
      </c>
      <c r="F3970" t="s">
        <v>41</v>
      </c>
      <c r="G3970" t="s">
        <v>16</v>
      </c>
      <c r="H3970" t="s">
        <v>5633</v>
      </c>
      <c r="I3970" s="2">
        <v>373.70400000000001</v>
      </c>
      <c r="J3970">
        <v>4</v>
      </c>
      <c r="K3970" s="2">
        <v>19.084800000000001</v>
      </c>
      <c r="L3970" s="3">
        <f>(Table1[[#This Row],[Profit]]/Table1[[#This Row],[Sales]])*100</f>
        <v>5.1069295485196839</v>
      </c>
    </row>
    <row r="3971" spans="1:12" x14ac:dyDescent="0.3">
      <c r="A3971" t="s">
        <v>4307</v>
      </c>
      <c r="B3971" s="1">
        <v>43910</v>
      </c>
      <c r="C3971" t="s">
        <v>4308</v>
      </c>
      <c r="D3971" t="s">
        <v>4309</v>
      </c>
      <c r="E3971" t="s">
        <v>14</v>
      </c>
      <c r="F3971" t="s">
        <v>29</v>
      </c>
      <c r="G3971" t="s">
        <v>24</v>
      </c>
      <c r="H3971" t="s">
        <v>234</v>
      </c>
      <c r="I3971" s="2">
        <v>169.70400000000001</v>
      </c>
      <c r="J3971">
        <v>2</v>
      </c>
      <c r="K3971" s="2">
        <v>19.137599999999999</v>
      </c>
      <c r="L3971" s="3">
        <f>(Table1[[#This Row],[Profit]]/Table1[[#This Row],[Sales]])*100</f>
        <v>11.277047093763256</v>
      </c>
    </row>
    <row r="3972" spans="1:12" x14ac:dyDescent="0.3">
      <c r="A3972" t="s">
        <v>4656</v>
      </c>
      <c r="B3972" s="1">
        <v>43966</v>
      </c>
      <c r="C3972" t="s">
        <v>4657</v>
      </c>
      <c r="D3972" t="s">
        <v>4658</v>
      </c>
      <c r="E3972" t="s">
        <v>14</v>
      </c>
      <c r="F3972" t="s">
        <v>29</v>
      </c>
      <c r="G3972" t="s">
        <v>24</v>
      </c>
      <c r="H3972" t="s">
        <v>388</v>
      </c>
      <c r="I3972" s="2">
        <v>179.70400000000001</v>
      </c>
      <c r="J3972">
        <v>2</v>
      </c>
      <c r="K3972" s="2">
        <v>19.137599999999999</v>
      </c>
      <c r="L3972" s="3">
        <f>(Table1[[#This Row],[Profit]]/Table1[[#This Row],[Sales]])*100</f>
        <v>10.649512531718825</v>
      </c>
    </row>
    <row r="3973" spans="1:12" x14ac:dyDescent="0.3">
      <c r="A3973" t="s">
        <v>4821</v>
      </c>
      <c r="B3973" s="1">
        <v>43994</v>
      </c>
      <c r="C3973" t="s">
        <v>2315</v>
      </c>
      <c r="D3973" t="s">
        <v>2316</v>
      </c>
      <c r="E3973" t="s">
        <v>14</v>
      </c>
      <c r="F3973" t="s">
        <v>15</v>
      </c>
      <c r="G3973" t="s">
        <v>18</v>
      </c>
      <c r="H3973" t="s">
        <v>556</v>
      </c>
      <c r="I3973" s="2">
        <v>159.91999999999999</v>
      </c>
      <c r="J3973">
        <v>2</v>
      </c>
      <c r="K3973" s="2">
        <v>19.175999999999998</v>
      </c>
      <c r="L3973" s="3">
        <f>(Table1[[#This Row],[Profit]]/Table1[[#This Row],[Sales]])*100</f>
        <v>11.990995497748875</v>
      </c>
    </row>
    <row r="3974" spans="1:12" x14ac:dyDescent="0.3">
      <c r="A3974" t="s">
        <v>4417</v>
      </c>
      <c r="B3974" s="1">
        <v>43928</v>
      </c>
      <c r="C3974" t="s">
        <v>4014</v>
      </c>
      <c r="D3974" t="s">
        <v>4015</v>
      </c>
      <c r="E3974" t="s">
        <v>14</v>
      </c>
      <c r="F3974" t="s">
        <v>41</v>
      </c>
      <c r="G3974" t="s">
        <v>18</v>
      </c>
      <c r="H3974" t="s">
        <v>4418</v>
      </c>
      <c r="I3974" s="2">
        <v>247.184</v>
      </c>
      <c r="J3974">
        <v>2</v>
      </c>
      <c r="K3974" s="2">
        <v>19.178599999999999</v>
      </c>
      <c r="L3974" s="3">
        <f>(Table1[[#This Row],[Profit]]/Table1[[#This Row],[Sales]])*100</f>
        <v>7.7588355233348434</v>
      </c>
    </row>
    <row r="3975" spans="1:12" x14ac:dyDescent="0.3">
      <c r="A3975" t="s">
        <v>1917</v>
      </c>
      <c r="B3975" s="1">
        <v>43645</v>
      </c>
      <c r="C3975" t="s">
        <v>1918</v>
      </c>
      <c r="D3975" t="s">
        <v>1919</v>
      </c>
      <c r="E3975" t="s">
        <v>14</v>
      </c>
      <c r="F3975" t="s">
        <v>41</v>
      </c>
      <c r="G3975" t="s">
        <v>24</v>
      </c>
      <c r="H3975" t="s">
        <v>1096</v>
      </c>
      <c r="I3975" s="2">
        <v>191.88</v>
      </c>
      <c r="J3975">
        <v>6</v>
      </c>
      <c r="K3975" s="2">
        <v>19.187999999999999</v>
      </c>
      <c r="L3975" s="3">
        <f>(Table1[[#This Row],[Profit]]/Table1[[#This Row],[Sales]])*100</f>
        <v>10</v>
      </c>
    </row>
    <row r="3976" spans="1:12" x14ac:dyDescent="0.3">
      <c r="A3976" t="s">
        <v>647</v>
      </c>
      <c r="B3976" s="1">
        <v>43537</v>
      </c>
      <c r="C3976" t="s">
        <v>648</v>
      </c>
      <c r="D3976" t="s">
        <v>649</v>
      </c>
      <c r="E3976" t="s">
        <v>14</v>
      </c>
      <c r="F3976" t="s">
        <v>23</v>
      </c>
      <c r="G3976" t="s">
        <v>24</v>
      </c>
      <c r="H3976" t="s">
        <v>650</v>
      </c>
      <c r="I3976" s="2">
        <v>51.183999999999997</v>
      </c>
      <c r="J3976">
        <v>7</v>
      </c>
      <c r="K3976" s="2">
        <v>19.193999999999999</v>
      </c>
      <c r="L3976" s="3">
        <f>(Table1[[#This Row],[Profit]]/Table1[[#This Row],[Sales]])*100</f>
        <v>37.5</v>
      </c>
    </row>
    <row r="3977" spans="1:12" x14ac:dyDescent="0.3">
      <c r="A3977" t="s">
        <v>5443</v>
      </c>
      <c r="B3977" s="1">
        <v>44093</v>
      </c>
      <c r="C3977" t="s">
        <v>328</v>
      </c>
      <c r="D3977" t="s">
        <v>329</v>
      </c>
      <c r="E3977" t="s">
        <v>14</v>
      </c>
      <c r="F3977" t="s">
        <v>23</v>
      </c>
      <c r="G3977" t="s">
        <v>18</v>
      </c>
      <c r="H3977" t="s">
        <v>2058</v>
      </c>
      <c r="I3977" s="2">
        <v>216.976</v>
      </c>
      <c r="J3977">
        <v>3</v>
      </c>
      <c r="K3977" s="2">
        <v>19.197600000000001</v>
      </c>
      <c r="L3977" s="3">
        <f>(Table1[[#This Row],[Profit]]/Table1[[#This Row],[Sales]])*100</f>
        <v>8.8477988348941832</v>
      </c>
    </row>
    <row r="3978" spans="1:12" x14ac:dyDescent="0.3">
      <c r="A3978" t="s">
        <v>4003</v>
      </c>
      <c r="B3978" s="1">
        <v>43842</v>
      </c>
      <c r="C3978" t="s">
        <v>4004</v>
      </c>
      <c r="D3978" t="s">
        <v>4005</v>
      </c>
      <c r="E3978" t="s">
        <v>14</v>
      </c>
      <c r="F3978" t="s">
        <v>15</v>
      </c>
      <c r="G3978" t="s">
        <v>24</v>
      </c>
      <c r="H3978" t="s">
        <v>3069</v>
      </c>
      <c r="I3978" s="2">
        <v>138.08000000000001</v>
      </c>
      <c r="J3978">
        <v>6</v>
      </c>
      <c r="K3978" s="2">
        <v>19.238399999999999</v>
      </c>
      <c r="L3978" s="3">
        <f>(Table1[[#This Row],[Profit]]/Table1[[#This Row],[Sales]])*100</f>
        <v>13.932792584009269</v>
      </c>
    </row>
    <row r="3979" spans="1:12" x14ac:dyDescent="0.3">
      <c r="A3979" t="s">
        <v>6028</v>
      </c>
      <c r="B3979" s="1">
        <v>44162</v>
      </c>
      <c r="C3979" t="s">
        <v>2950</v>
      </c>
      <c r="D3979" t="s">
        <v>2951</v>
      </c>
      <c r="E3979" t="s">
        <v>14</v>
      </c>
      <c r="F3979" t="s">
        <v>29</v>
      </c>
      <c r="G3979" t="s">
        <v>16</v>
      </c>
      <c r="H3979" t="s">
        <v>5920</v>
      </c>
      <c r="I3979" s="2">
        <v>147.94</v>
      </c>
      <c r="J3979">
        <v>1</v>
      </c>
      <c r="K3979" s="2">
        <v>19.2454</v>
      </c>
      <c r="L3979" s="3">
        <f>(Table1[[#This Row],[Profit]]/Table1[[#This Row],[Sales]])*100</f>
        <v>13.008922536163309</v>
      </c>
    </row>
    <row r="3980" spans="1:12" x14ac:dyDescent="0.3">
      <c r="A3980" t="s">
        <v>4540</v>
      </c>
      <c r="B3980" s="1">
        <v>43947</v>
      </c>
      <c r="C3980" t="s">
        <v>1713</v>
      </c>
      <c r="D3980" t="s">
        <v>1714</v>
      </c>
      <c r="E3980" t="s">
        <v>14</v>
      </c>
      <c r="F3980" t="s">
        <v>23</v>
      </c>
      <c r="G3980" t="s">
        <v>24</v>
      </c>
      <c r="H3980" t="s">
        <v>2253</v>
      </c>
      <c r="I3980" s="2">
        <v>125.28</v>
      </c>
      <c r="J3980">
        <v>8</v>
      </c>
      <c r="K3980" s="2">
        <v>19.247199999999999</v>
      </c>
      <c r="L3980" s="3">
        <f>(Table1[[#This Row],[Profit]]/Table1[[#This Row],[Sales]])*100</f>
        <v>15.363346104725414</v>
      </c>
    </row>
    <row r="3981" spans="1:12" x14ac:dyDescent="0.3">
      <c r="A3981" t="s">
        <v>2294</v>
      </c>
      <c r="B3981" s="1">
        <v>43688</v>
      </c>
      <c r="C3981" t="s">
        <v>2295</v>
      </c>
      <c r="D3981" t="s">
        <v>2296</v>
      </c>
      <c r="E3981" t="s">
        <v>14</v>
      </c>
      <c r="F3981" t="s">
        <v>29</v>
      </c>
      <c r="G3981" t="s">
        <v>24</v>
      </c>
      <c r="H3981" t="s">
        <v>841</v>
      </c>
      <c r="I3981" s="2">
        <v>41.86</v>
      </c>
      <c r="J3981">
        <v>7</v>
      </c>
      <c r="K3981" s="2">
        <v>19.255600000000001</v>
      </c>
      <c r="L3981" s="3">
        <f>(Table1[[#This Row],[Profit]]/Table1[[#This Row],[Sales]])*100</f>
        <v>46</v>
      </c>
    </row>
    <row r="3982" spans="1:12" x14ac:dyDescent="0.3">
      <c r="A3982" t="s">
        <v>3174</v>
      </c>
      <c r="B3982" s="1">
        <v>43765</v>
      </c>
      <c r="C3982" t="s">
        <v>3175</v>
      </c>
      <c r="D3982" t="s">
        <v>3176</v>
      </c>
      <c r="E3982" t="s">
        <v>14</v>
      </c>
      <c r="F3982" t="s">
        <v>15</v>
      </c>
      <c r="G3982" t="s">
        <v>16</v>
      </c>
      <c r="H3982" t="s">
        <v>2894</v>
      </c>
      <c r="I3982" s="2">
        <v>40.200000000000003</v>
      </c>
      <c r="J3982">
        <v>3</v>
      </c>
      <c r="K3982" s="2">
        <v>19.295999999999999</v>
      </c>
      <c r="L3982" s="3">
        <f>(Table1[[#This Row],[Profit]]/Table1[[#This Row],[Sales]])*100</f>
        <v>47.999999999999993</v>
      </c>
    </row>
    <row r="3983" spans="1:12" x14ac:dyDescent="0.3">
      <c r="A3983" t="s">
        <v>5964</v>
      </c>
      <c r="B3983" s="1">
        <v>44155</v>
      </c>
      <c r="C3983" t="s">
        <v>3945</v>
      </c>
      <c r="D3983" t="s">
        <v>3946</v>
      </c>
      <c r="E3983" t="s">
        <v>14</v>
      </c>
      <c r="F3983" t="s">
        <v>15</v>
      </c>
      <c r="G3983" t="s">
        <v>24</v>
      </c>
      <c r="H3983" t="s">
        <v>1373</v>
      </c>
      <c r="I3983" s="2">
        <v>112.97</v>
      </c>
      <c r="J3983">
        <v>3</v>
      </c>
      <c r="K3983" s="2">
        <v>19.311599999999999</v>
      </c>
      <c r="L3983" s="3">
        <f>(Table1[[#This Row],[Profit]]/Table1[[#This Row],[Sales]])*100</f>
        <v>17.094449853943523</v>
      </c>
    </row>
    <row r="3984" spans="1:12" x14ac:dyDescent="0.3">
      <c r="A3984" t="s">
        <v>4404</v>
      </c>
      <c r="B3984" s="1">
        <v>43922</v>
      </c>
      <c r="C3984" t="s">
        <v>2341</v>
      </c>
      <c r="D3984" t="s">
        <v>2342</v>
      </c>
      <c r="E3984" t="s">
        <v>14</v>
      </c>
      <c r="F3984" t="s">
        <v>15</v>
      </c>
      <c r="G3984" t="s">
        <v>24</v>
      </c>
      <c r="H3984" t="s">
        <v>347</v>
      </c>
      <c r="I3984" s="2">
        <v>117.93</v>
      </c>
      <c r="J3984">
        <v>9</v>
      </c>
      <c r="K3984" s="2">
        <v>19.3185</v>
      </c>
      <c r="L3984" s="3">
        <f>(Table1[[#This Row],[Profit]]/Table1[[#This Row],[Sales]])*100</f>
        <v>16.381327906385142</v>
      </c>
    </row>
    <row r="3985" spans="1:12" x14ac:dyDescent="0.3">
      <c r="A3985" t="s">
        <v>748</v>
      </c>
      <c r="B3985" s="1">
        <v>43546</v>
      </c>
      <c r="C3985" t="s">
        <v>749</v>
      </c>
      <c r="D3985" t="s">
        <v>750</v>
      </c>
      <c r="E3985" t="s">
        <v>14</v>
      </c>
      <c r="F3985" t="s">
        <v>23</v>
      </c>
      <c r="G3985" t="s">
        <v>18</v>
      </c>
      <c r="H3985" t="s">
        <v>751</v>
      </c>
      <c r="I3985" s="2">
        <v>58.58</v>
      </c>
      <c r="J3985">
        <v>2</v>
      </c>
      <c r="K3985" s="2">
        <v>19.331399999999999</v>
      </c>
      <c r="L3985" s="3">
        <f>(Table1[[#This Row],[Profit]]/Table1[[#This Row],[Sales]])*100</f>
        <v>32.999999999999993</v>
      </c>
    </row>
    <row r="3986" spans="1:12" x14ac:dyDescent="0.3">
      <c r="A3986" t="s">
        <v>5007</v>
      </c>
      <c r="B3986" s="1">
        <v>44025</v>
      </c>
      <c r="C3986" t="s">
        <v>3581</v>
      </c>
      <c r="D3986" t="s">
        <v>3582</v>
      </c>
      <c r="E3986" t="s">
        <v>14</v>
      </c>
      <c r="F3986" t="s">
        <v>15</v>
      </c>
      <c r="G3986" t="s">
        <v>16</v>
      </c>
      <c r="H3986" t="s">
        <v>2892</v>
      </c>
      <c r="I3986" s="2">
        <v>104.008</v>
      </c>
      <c r="J3986">
        <v>9</v>
      </c>
      <c r="K3986" s="2">
        <v>19.339200000000002</v>
      </c>
      <c r="L3986" s="3">
        <f>(Table1[[#This Row],[Profit]]/Table1[[#This Row],[Sales]])*100</f>
        <v>18.593954311206833</v>
      </c>
    </row>
    <row r="3987" spans="1:12" x14ac:dyDescent="0.3">
      <c r="A3987" t="s">
        <v>3867</v>
      </c>
      <c r="B3987" s="1">
        <v>43821</v>
      </c>
      <c r="C3987" t="s">
        <v>3168</v>
      </c>
      <c r="D3987" t="s">
        <v>3169</v>
      </c>
      <c r="E3987" t="s">
        <v>14</v>
      </c>
      <c r="F3987" t="s">
        <v>23</v>
      </c>
      <c r="G3987" t="s">
        <v>24</v>
      </c>
      <c r="H3987" t="s">
        <v>1366</v>
      </c>
      <c r="I3987" s="2">
        <v>55.36</v>
      </c>
      <c r="J3987">
        <v>4</v>
      </c>
      <c r="K3987" s="2">
        <v>19.376000000000001</v>
      </c>
      <c r="L3987" s="3">
        <f>(Table1[[#This Row],[Profit]]/Table1[[#This Row],[Sales]])*100</f>
        <v>35</v>
      </c>
    </row>
    <row r="3988" spans="1:12" x14ac:dyDescent="0.3">
      <c r="A3988" t="s">
        <v>4182</v>
      </c>
      <c r="B3988" s="1">
        <v>43887</v>
      </c>
      <c r="C3988" t="s">
        <v>706</v>
      </c>
      <c r="D3988" t="s">
        <v>707</v>
      </c>
      <c r="E3988" t="s">
        <v>14</v>
      </c>
      <c r="F3988" t="s">
        <v>23</v>
      </c>
      <c r="G3988" t="s">
        <v>18</v>
      </c>
      <c r="H3988" t="s">
        <v>295</v>
      </c>
      <c r="I3988" s="2">
        <v>301.57600000000002</v>
      </c>
      <c r="J3988">
        <v>2</v>
      </c>
      <c r="K3988" s="2">
        <v>19.3932</v>
      </c>
      <c r="L3988" s="3">
        <f>(Table1[[#This Row],[Profit]]/Table1[[#This Row],[Sales]])*100</f>
        <v>6.4306178210467673</v>
      </c>
    </row>
    <row r="3989" spans="1:12" x14ac:dyDescent="0.3">
      <c r="A3989" t="s">
        <v>5680</v>
      </c>
      <c r="B3989" s="1">
        <v>44125</v>
      </c>
      <c r="C3989" t="s">
        <v>282</v>
      </c>
      <c r="D3989" t="s">
        <v>283</v>
      </c>
      <c r="E3989" t="s">
        <v>14</v>
      </c>
      <c r="F3989" t="s">
        <v>29</v>
      </c>
      <c r="G3989" t="s">
        <v>24</v>
      </c>
      <c r="H3989" t="s">
        <v>1382</v>
      </c>
      <c r="I3989" s="2">
        <v>171.82</v>
      </c>
      <c r="J3989">
        <v>6</v>
      </c>
      <c r="K3989" s="2">
        <v>19.41</v>
      </c>
      <c r="L3989" s="3">
        <f>(Table1[[#This Row],[Profit]]/Table1[[#This Row],[Sales]])*100</f>
        <v>11.296705854964499</v>
      </c>
    </row>
    <row r="3990" spans="1:12" x14ac:dyDescent="0.3">
      <c r="A3990" t="s">
        <v>3008</v>
      </c>
      <c r="B3990" s="1">
        <v>43742</v>
      </c>
      <c r="C3990" t="s">
        <v>2649</v>
      </c>
      <c r="D3990" t="s">
        <v>2650</v>
      </c>
      <c r="E3990" t="s">
        <v>14</v>
      </c>
      <c r="F3990" t="s">
        <v>29</v>
      </c>
      <c r="G3990" t="s">
        <v>24</v>
      </c>
      <c r="H3990" t="s">
        <v>3009</v>
      </c>
      <c r="I3990" s="2">
        <v>59.752000000000002</v>
      </c>
      <c r="J3990">
        <v>7</v>
      </c>
      <c r="K3990" s="2">
        <v>19.4194</v>
      </c>
      <c r="L3990" s="3">
        <f>(Table1[[#This Row],[Profit]]/Table1[[#This Row],[Sales]])*100</f>
        <v>32.499999999999993</v>
      </c>
    </row>
    <row r="3991" spans="1:12" x14ac:dyDescent="0.3">
      <c r="A3991" t="s">
        <v>1534</v>
      </c>
      <c r="B3991" s="1">
        <v>43613</v>
      </c>
      <c r="C3991" t="s">
        <v>1535</v>
      </c>
      <c r="D3991" t="s">
        <v>1536</v>
      </c>
      <c r="E3991" t="s">
        <v>14</v>
      </c>
      <c r="F3991" t="s">
        <v>41</v>
      </c>
      <c r="G3991" t="s">
        <v>24</v>
      </c>
      <c r="H3991" t="s">
        <v>1538</v>
      </c>
      <c r="I3991" s="2">
        <v>62.192</v>
      </c>
      <c r="J3991">
        <v>13</v>
      </c>
      <c r="K3991" s="2">
        <v>19.434999999999999</v>
      </c>
      <c r="L3991" s="3">
        <f>(Table1[[#This Row],[Profit]]/Table1[[#This Row],[Sales]])*100</f>
        <v>31.25</v>
      </c>
    </row>
    <row r="3992" spans="1:12" x14ac:dyDescent="0.3">
      <c r="A3992" t="s">
        <v>3580</v>
      </c>
      <c r="B3992" s="1">
        <v>43794</v>
      </c>
      <c r="C3992" t="s">
        <v>3581</v>
      </c>
      <c r="D3992" t="s">
        <v>3582</v>
      </c>
      <c r="E3992" t="s">
        <v>14</v>
      </c>
      <c r="F3992" t="s">
        <v>23</v>
      </c>
      <c r="G3992" t="s">
        <v>16</v>
      </c>
      <c r="H3992" t="s">
        <v>3583</v>
      </c>
      <c r="I3992" s="2">
        <v>194.352</v>
      </c>
      <c r="J3992">
        <v>3</v>
      </c>
      <c r="K3992" s="2">
        <v>19.435199999999998</v>
      </c>
      <c r="L3992" s="3">
        <f>(Table1[[#This Row],[Profit]]/Table1[[#This Row],[Sales]])*100</f>
        <v>10</v>
      </c>
    </row>
    <row r="3993" spans="1:12" x14ac:dyDescent="0.3">
      <c r="A3993" t="s">
        <v>3719</v>
      </c>
      <c r="B3993" s="1">
        <v>43805</v>
      </c>
      <c r="C3993" t="s">
        <v>380</v>
      </c>
      <c r="D3993" t="s">
        <v>381</v>
      </c>
      <c r="E3993" t="s">
        <v>14</v>
      </c>
      <c r="F3993" t="s">
        <v>23</v>
      </c>
      <c r="G3993" t="s">
        <v>24</v>
      </c>
      <c r="H3993" t="s">
        <v>1556</v>
      </c>
      <c r="I3993" s="2">
        <v>59.808</v>
      </c>
      <c r="J3993">
        <v>3</v>
      </c>
      <c r="K3993" s="2">
        <v>19.4376</v>
      </c>
      <c r="L3993" s="3">
        <f>(Table1[[#This Row],[Profit]]/Table1[[#This Row],[Sales]])*100</f>
        <v>32.5</v>
      </c>
    </row>
    <row r="3994" spans="1:12" x14ac:dyDescent="0.3">
      <c r="A3994" t="s">
        <v>4573</v>
      </c>
      <c r="B3994" s="1">
        <v>43954</v>
      </c>
      <c r="C3994" t="s">
        <v>2163</v>
      </c>
      <c r="D3994" t="s">
        <v>2164</v>
      </c>
      <c r="E3994" t="s">
        <v>14</v>
      </c>
      <c r="F3994" t="s">
        <v>23</v>
      </c>
      <c r="G3994" t="s">
        <v>24</v>
      </c>
      <c r="H3994" t="s">
        <v>4103</v>
      </c>
      <c r="I3994" s="2">
        <v>150.52000000000001</v>
      </c>
      <c r="J3994">
        <v>2</v>
      </c>
      <c r="K3994" s="2">
        <v>19.465599999999998</v>
      </c>
      <c r="L3994" s="3">
        <f>(Table1[[#This Row],[Profit]]/Table1[[#This Row],[Sales]])*100</f>
        <v>12.932234918947646</v>
      </c>
    </row>
    <row r="3995" spans="1:12" x14ac:dyDescent="0.3">
      <c r="A3995" t="s">
        <v>3595</v>
      </c>
      <c r="B3995" s="1">
        <v>43795</v>
      </c>
      <c r="C3995" t="s">
        <v>279</v>
      </c>
      <c r="D3995" t="s">
        <v>280</v>
      </c>
      <c r="E3995" t="s">
        <v>14</v>
      </c>
      <c r="F3995" t="s">
        <v>23</v>
      </c>
      <c r="G3995" t="s">
        <v>24</v>
      </c>
      <c r="H3995" t="s">
        <v>3355</v>
      </c>
      <c r="I3995" s="2">
        <v>64.959999999999994</v>
      </c>
      <c r="J3995">
        <v>2</v>
      </c>
      <c r="K3995" s="2">
        <v>19.488</v>
      </c>
      <c r="L3995" s="3">
        <f>(Table1[[#This Row],[Profit]]/Table1[[#This Row],[Sales]])*100</f>
        <v>30.000000000000004</v>
      </c>
    </row>
    <row r="3996" spans="1:12" x14ac:dyDescent="0.3">
      <c r="A3996" t="s">
        <v>3597</v>
      </c>
      <c r="B3996" s="1">
        <v>43796</v>
      </c>
      <c r="C3996" t="s">
        <v>2363</v>
      </c>
      <c r="D3996" t="s">
        <v>2364</v>
      </c>
      <c r="E3996" t="s">
        <v>14</v>
      </c>
      <c r="F3996" t="s">
        <v>29</v>
      </c>
      <c r="G3996" t="s">
        <v>18</v>
      </c>
      <c r="H3996" t="s">
        <v>3598</v>
      </c>
      <c r="I3996" s="2">
        <v>62.4</v>
      </c>
      <c r="J3996">
        <v>6</v>
      </c>
      <c r="K3996" s="2">
        <v>19.5</v>
      </c>
      <c r="L3996" s="3">
        <f>(Table1[[#This Row],[Profit]]/Table1[[#This Row],[Sales]])*100</f>
        <v>31.25</v>
      </c>
    </row>
    <row r="3997" spans="1:12" x14ac:dyDescent="0.3">
      <c r="A3997" t="s">
        <v>1944</v>
      </c>
      <c r="B3997" s="1">
        <v>43648</v>
      </c>
      <c r="C3997" t="s">
        <v>1288</v>
      </c>
      <c r="D3997" t="s">
        <v>1289</v>
      </c>
      <c r="E3997" t="s">
        <v>14</v>
      </c>
      <c r="F3997" t="s">
        <v>23</v>
      </c>
      <c r="G3997" t="s">
        <v>16</v>
      </c>
      <c r="H3997" t="s">
        <v>1945</v>
      </c>
      <c r="I3997" s="2">
        <v>195.184</v>
      </c>
      <c r="J3997">
        <v>1</v>
      </c>
      <c r="K3997" s="2">
        <v>19.5184</v>
      </c>
      <c r="L3997" s="3">
        <f>(Table1[[#This Row],[Profit]]/Table1[[#This Row],[Sales]])*100</f>
        <v>10</v>
      </c>
    </row>
    <row r="3998" spans="1:12" x14ac:dyDescent="0.3">
      <c r="A3998" t="s">
        <v>6146</v>
      </c>
      <c r="B3998" s="1">
        <v>44174</v>
      </c>
      <c r="C3998" t="s">
        <v>769</v>
      </c>
      <c r="D3998" t="s">
        <v>770</v>
      </c>
      <c r="E3998" t="s">
        <v>14</v>
      </c>
      <c r="F3998" t="s">
        <v>29</v>
      </c>
      <c r="G3998" t="s">
        <v>24</v>
      </c>
      <c r="H3998" t="s">
        <v>3351</v>
      </c>
      <c r="I3998" s="2">
        <v>130.54</v>
      </c>
      <c r="J3998">
        <v>2</v>
      </c>
      <c r="K3998" s="2">
        <v>19.523800000000001</v>
      </c>
      <c r="L3998" s="3">
        <f>(Table1[[#This Row],[Profit]]/Table1[[#This Row],[Sales]])*100</f>
        <v>14.95618201317604</v>
      </c>
    </row>
    <row r="3999" spans="1:12" x14ac:dyDescent="0.3">
      <c r="A3999" t="s">
        <v>4728</v>
      </c>
      <c r="B3999" s="1">
        <v>43979</v>
      </c>
      <c r="C3999" t="s">
        <v>2875</v>
      </c>
      <c r="D3999" t="s">
        <v>2876</v>
      </c>
      <c r="E3999" t="s">
        <v>14</v>
      </c>
      <c r="F3999" t="s">
        <v>23</v>
      </c>
      <c r="G3999" t="s">
        <v>18</v>
      </c>
      <c r="H3999" t="s">
        <v>1852</v>
      </c>
      <c r="I3999" s="2">
        <v>219.96</v>
      </c>
      <c r="J3999">
        <v>5</v>
      </c>
      <c r="K3999" s="2">
        <v>19.596</v>
      </c>
      <c r="L3999" s="3">
        <f>(Table1[[#This Row],[Profit]]/Table1[[#This Row],[Sales]])*100</f>
        <v>8.9088925259138012</v>
      </c>
    </row>
    <row r="4000" spans="1:12" x14ac:dyDescent="0.3">
      <c r="A4000" t="s">
        <v>5987</v>
      </c>
      <c r="B4000" s="1">
        <v>44158</v>
      </c>
      <c r="C4000" t="s">
        <v>390</v>
      </c>
      <c r="D4000" t="s">
        <v>391</v>
      </c>
      <c r="E4000" t="s">
        <v>14</v>
      </c>
      <c r="F4000" t="s">
        <v>29</v>
      </c>
      <c r="G4000" t="s">
        <v>18</v>
      </c>
      <c r="H4000" t="s">
        <v>1852</v>
      </c>
      <c r="I4000" s="2">
        <v>221.96</v>
      </c>
      <c r="J4000">
        <v>5</v>
      </c>
      <c r="K4000" s="2">
        <v>19.596</v>
      </c>
      <c r="L4000" s="3">
        <f>(Table1[[#This Row],[Profit]]/Table1[[#This Row],[Sales]])*100</f>
        <v>8.8286177689673817</v>
      </c>
    </row>
    <row r="4001" spans="1:12" x14ac:dyDescent="0.3">
      <c r="A4001" t="s">
        <v>2522</v>
      </c>
      <c r="B4001" s="1">
        <v>43710</v>
      </c>
      <c r="C4001" t="s">
        <v>451</v>
      </c>
      <c r="D4001" t="s">
        <v>452</v>
      </c>
      <c r="E4001" t="s">
        <v>14</v>
      </c>
      <c r="F4001" t="s">
        <v>15</v>
      </c>
      <c r="G4001" t="s">
        <v>24</v>
      </c>
      <c r="H4001" t="s">
        <v>354</v>
      </c>
      <c r="I4001" s="2">
        <v>75.48</v>
      </c>
      <c r="J4001">
        <v>2</v>
      </c>
      <c r="K4001" s="2">
        <v>19.6248</v>
      </c>
      <c r="L4001" s="3">
        <f>(Table1[[#This Row],[Profit]]/Table1[[#This Row],[Sales]])*100</f>
        <v>26</v>
      </c>
    </row>
    <row r="4002" spans="1:12" x14ac:dyDescent="0.3">
      <c r="A4002" t="s">
        <v>3315</v>
      </c>
      <c r="B4002" s="1">
        <v>43776</v>
      </c>
      <c r="C4002" t="s">
        <v>3316</v>
      </c>
      <c r="D4002" t="s">
        <v>3317</v>
      </c>
      <c r="E4002" t="s">
        <v>14</v>
      </c>
      <c r="F4002" t="s">
        <v>29</v>
      </c>
      <c r="G4002" t="s">
        <v>24</v>
      </c>
      <c r="H4002" t="s">
        <v>585</v>
      </c>
      <c r="I4002" s="2">
        <v>314.08800000000002</v>
      </c>
      <c r="J4002">
        <v>3</v>
      </c>
      <c r="K4002" s="2">
        <v>19.630500000000001</v>
      </c>
      <c r="L4002" s="3">
        <f>(Table1[[#This Row],[Profit]]/Table1[[#This Row],[Sales]])*100</f>
        <v>6.25</v>
      </c>
    </row>
    <row r="4003" spans="1:12" x14ac:dyDescent="0.3">
      <c r="A4003" t="s">
        <v>4217</v>
      </c>
      <c r="B4003" s="1">
        <v>43895</v>
      </c>
      <c r="C4003" t="s">
        <v>182</v>
      </c>
      <c r="D4003" t="s">
        <v>183</v>
      </c>
      <c r="E4003" t="s">
        <v>14</v>
      </c>
      <c r="F4003" t="s">
        <v>41</v>
      </c>
      <c r="G4003" t="s">
        <v>24</v>
      </c>
      <c r="H4003" t="s">
        <v>3009</v>
      </c>
      <c r="I4003" s="2">
        <v>130.68</v>
      </c>
      <c r="J4003">
        <v>4</v>
      </c>
      <c r="K4003" s="2">
        <v>19.6328</v>
      </c>
      <c r="L4003" s="3">
        <f>(Table1[[#This Row],[Profit]]/Table1[[#This Row],[Sales]])*100</f>
        <v>15.023569023569022</v>
      </c>
    </row>
    <row r="4004" spans="1:12" x14ac:dyDescent="0.3">
      <c r="A4004" t="s">
        <v>4200</v>
      </c>
      <c r="B4004" s="1">
        <v>43893</v>
      </c>
      <c r="C4004" t="s">
        <v>1656</v>
      </c>
      <c r="D4004" t="s">
        <v>1657</v>
      </c>
      <c r="E4004" t="s">
        <v>14</v>
      </c>
      <c r="F4004" t="s">
        <v>41</v>
      </c>
      <c r="G4004" t="s">
        <v>24</v>
      </c>
      <c r="H4004" t="s">
        <v>1633</v>
      </c>
      <c r="I4004" s="2">
        <v>110.8</v>
      </c>
      <c r="J4004">
        <v>5</v>
      </c>
      <c r="K4004" s="2">
        <v>19.655999999999999</v>
      </c>
      <c r="L4004" s="3">
        <f>(Table1[[#This Row],[Profit]]/Table1[[#This Row],[Sales]])*100</f>
        <v>17.740072202166065</v>
      </c>
    </row>
    <row r="4005" spans="1:12" x14ac:dyDescent="0.3">
      <c r="A4005" t="s">
        <v>1707</v>
      </c>
      <c r="B4005" s="1">
        <v>43628</v>
      </c>
      <c r="C4005" t="s">
        <v>210</v>
      </c>
      <c r="D4005" t="s">
        <v>211</v>
      </c>
      <c r="E4005" t="s">
        <v>14</v>
      </c>
      <c r="F4005" t="s">
        <v>15</v>
      </c>
      <c r="G4005" t="s">
        <v>18</v>
      </c>
      <c r="H4005" t="s">
        <v>1711</v>
      </c>
      <c r="I4005" s="2">
        <v>68.040000000000006</v>
      </c>
      <c r="J4005">
        <v>7</v>
      </c>
      <c r="K4005" s="2">
        <v>19.7316</v>
      </c>
      <c r="L4005" s="3">
        <f>(Table1[[#This Row],[Profit]]/Table1[[#This Row],[Sales]])*100</f>
        <v>28.999999999999996</v>
      </c>
    </row>
    <row r="4006" spans="1:12" x14ac:dyDescent="0.3">
      <c r="A4006" t="s">
        <v>5009</v>
      </c>
      <c r="B4006" s="1">
        <v>44026</v>
      </c>
      <c r="C4006" t="s">
        <v>1671</v>
      </c>
      <c r="D4006" t="s">
        <v>1672</v>
      </c>
      <c r="E4006" t="s">
        <v>14</v>
      </c>
      <c r="F4006" t="s">
        <v>23</v>
      </c>
      <c r="G4006" t="s">
        <v>18</v>
      </c>
      <c r="H4006" t="s">
        <v>1305</v>
      </c>
      <c r="I4006" s="2">
        <v>150.97</v>
      </c>
      <c r="J4006">
        <v>3</v>
      </c>
      <c r="K4006" s="2">
        <v>19.735800000000001</v>
      </c>
      <c r="L4006" s="3">
        <f>(Table1[[#This Row],[Profit]]/Table1[[#This Row],[Sales]])*100</f>
        <v>13.07266344306816</v>
      </c>
    </row>
    <row r="4007" spans="1:12" x14ac:dyDescent="0.3">
      <c r="A4007" t="s">
        <v>3017</v>
      </c>
      <c r="B4007" s="1">
        <v>43742</v>
      </c>
      <c r="C4007" t="s">
        <v>1430</v>
      </c>
      <c r="D4007" t="s">
        <v>1431</v>
      </c>
      <c r="E4007" t="s">
        <v>14</v>
      </c>
      <c r="F4007" t="s">
        <v>41</v>
      </c>
      <c r="G4007" t="s">
        <v>18</v>
      </c>
      <c r="H4007" t="s">
        <v>3018</v>
      </c>
      <c r="I4007" s="2">
        <v>52.68</v>
      </c>
      <c r="J4007">
        <v>3</v>
      </c>
      <c r="K4007" s="2">
        <v>19.754999999999999</v>
      </c>
      <c r="L4007" s="3">
        <f>(Table1[[#This Row],[Profit]]/Table1[[#This Row],[Sales]])*100</f>
        <v>37.5</v>
      </c>
    </row>
    <row r="4008" spans="1:12" x14ac:dyDescent="0.3">
      <c r="A4008" t="s">
        <v>6186</v>
      </c>
      <c r="B4008" s="1">
        <v>44179</v>
      </c>
      <c r="C4008" t="s">
        <v>876</v>
      </c>
      <c r="D4008" t="s">
        <v>877</v>
      </c>
      <c r="E4008" t="s">
        <v>14</v>
      </c>
      <c r="F4008" t="s">
        <v>29</v>
      </c>
      <c r="G4008" t="s">
        <v>18</v>
      </c>
      <c r="H4008" t="s">
        <v>3018</v>
      </c>
      <c r="I4008" s="2">
        <v>500.68</v>
      </c>
      <c r="J4008">
        <v>3</v>
      </c>
      <c r="K4008" s="2">
        <v>19.754999999999999</v>
      </c>
      <c r="L4008" s="3">
        <f>(Table1[[#This Row],[Profit]]/Table1[[#This Row],[Sales]])*100</f>
        <v>3.9456339378445309</v>
      </c>
    </row>
    <row r="4009" spans="1:12" x14ac:dyDescent="0.3">
      <c r="A4009" t="s">
        <v>5138</v>
      </c>
      <c r="B4009" s="1">
        <v>44055</v>
      </c>
      <c r="C4009" t="s">
        <v>1570</v>
      </c>
      <c r="D4009" t="s">
        <v>1571</v>
      </c>
      <c r="E4009" t="s">
        <v>14</v>
      </c>
      <c r="F4009" t="s">
        <v>23</v>
      </c>
      <c r="G4009" t="s">
        <v>16</v>
      </c>
      <c r="H4009" t="s">
        <v>4733</v>
      </c>
      <c r="I4009" s="2">
        <v>157.91999999999999</v>
      </c>
      <c r="J4009">
        <v>4</v>
      </c>
      <c r="K4009" s="2">
        <v>19.7712</v>
      </c>
      <c r="L4009" s="3">
        <f>(Table1[[#This Row],[Profit]]/Table1[[#This Row],[Sales]])*100</f>
        <v>12.519756838905776</v>
      </c>
    </row>
    <row r="4010" spans="1:12" x14ac:dyDescent="0.3">
      <c r="A4010" t="s">
        <v>586</v>
      </c>
      <c r="B4010" s="1">
        <v>43535</v>
      </c>
      <c r="C4010" t="s">
        <v>456</v>
      </c>
      <c r="D4010" t="s">
        <v>457</v>
      </c>
      <c r="E4010" t="s">
        <v>14</v>
      </c>
      <c r="F4010" t="s">
        <v>29</v>
      </c>
      <c r="G4010" t="s">
        <v>18</v>
      </c>
      <c r="H4010" t="s">
        <v>172</v>
      </c>
      <c r="I4010" s="2">
        <v>45.98</v>
      </c>
      <c r="J4010">
        <v>2</v>
      </c>
      <c r="K4010" s="2">
        <v>19.7714</v>
      </c>
      <c r="L4010" s="3">
        <f>(Table1[[#This Row],[Profit]]/Table1[[#This Row],[Sales]])*100</f>
        <v>43.000000000000007</v>
      </c>
    </row>
    <row r="4011" spans="1:12" x14ac:dyDescent="0.3">
      <c r="A4011" t="s">
        <v>5707</v>
      </c>
      <c r="B4011" s="1">
        <v>44130</v>
      </c>
      <c r="C4011" t="s">
        <v>3662</v>
      </c>
      <c r="D4011" t="s">
        <v>3663</v>
      </c>
      <c r="E4011" t="s">
        <v>14</v>
      </c>
      <c r="F4011" t="s">
        <v>15</v>
      </c>
      <c r="G4011" t="s">
        <v>18</v>
      </c>
      <c r="H4011" t="s">
        <v>5304</v>
      </c>
      <c r="I4011" s="2">
        <v>149.65</v>
      </c>
      <c r="J4011">
        <v>5</v>
      </c>
      <c r="K4011" s="2">
        <v>19.774999999999999</v>
      </c>
      <c r="L4011" s="3">
        <f>(Table1[[#This Row],[Profit]]/Table1[[#This Row],[Sales]])*100</f>
        <v>13.214166388239224</v>
      </c>
    </row>
    <row r="4012" spans="1:12" x14ac:dyDescent="0.3">
      <c r="A4012" t="s">
        <v>6305</v>
      </c>
      <c r="B4012" s="1">
        <v>44195</v>
      </c>
      <c r="C4012" t="s">
        <v>2785</v>
      </c>
      <c r="D4012" t="s">
        <v>2786</v>
      </c>
      <c r="E4012" t="s">
        <v>14</v>
      </c>
      <c r="F4012" t="s">
        <v>15</v>
      </c>
      <c r="G4012" t="s">
        <v>24</v>
      </c>
      <c r="H4012" t="s">
        <v>4575</v>
      </c>
      <c r="I4012" s="2">
        <v>462.77600000000001</v>
      </c>
      <c r="J4012">
        <v>3</v>
      </c>
      <c r="K4012" s="2">
        <v>19.791</v>
      </c>
      <c r="L4012" s="3">
        <f>(Table1[[#This Row],[Profit]]/Table1[[#This Row],[Sales]])*100</f>
        <v>4.2765830553010531</v>
      </c>
    </row>
    <row r="4013" spans="1:12" x14ac:dyDescent="0.3">
      <c r="A4013" t="s">
        <v>5416</v>
      </c>
      <c r="B4013" s="1">
        <v>44090</v>
      </c>
      <c r="C4013" t="s">
        <v>1208</v>
      </c>
      <c r="D4013" t="s">
        <v>1209</v>
      </c>
      <c r="E4013" t="s">
        <v>14</v>
      </c>
      <c r="F4013" t="s">
        <v>15</v>
      </c>
      <c r="G4013" t="s">
        <v>18</v>
      </c>
      <c r="H4013" t="s">
        <v>874</v>
      </c>
      <c r="I4013" s="2">
        <v>109.976</v>
      </c>
      <c r="J4013">
        <v>3</v>
      </c>
      <c r="K4013" s="2">
        <v>19.793399999999998</v>
      </c>
      <c r="L4013" s="3">
        <f>(Table1[[#This Row],[Profit]]/Table1[[#This Row],[Sales]])*100</f>
        <v>17.997926820397176</v>
      </c>
    </row>
    <row r="4014" spans="1:12" x14ac:dyDescent="0.3">
      <c r="A4014" t="s">
        <v>1394</v>
      </c>
      <c r="B4014" s="1">
        <v>43601</v>
      </c>
      <c r="C4014" t="s">
        <v>1395</v>
      </c>
      <c r="D4014" t="s">
        <v>1396</v>
      </c>
      <c r="E4014" t="s">
        <v>14</v>
      </c>
      <c r="F4014" t="s">
        <v>23</v>
      </c>
      <c r="G4014" t="s">
        <v>16</v>
      </c>
      <c r="H4014" t="s">
        <v>1397</v>
      </c>
      <c r="I4014" s="2">
        <v>282.83999999999997</v>
      </c>
      <c r="J4014">
        <v>4</v>
      </c>
      <c r="K4014" s="2">
        <v>19.7988</v>
      </c>
      <c r="L4014" s="3">
        <f>(Table1[[#This Row],[Profit]]/Table1[[#This Row],[Sales]])*100</f>
        <v>7.0000000000000009</v>
      </c>
    </row>
    <row r="4015" spans="1:12" x14ac:dyDescent="0.3">
      <c r="A4015" t="s">
        <v>3579</v>
      </c>
      <c r="B4015" s="1">
        <v>43794</v>
      </c>
      <c r="C4015" t="s">
        <v>2390</v>
      </c>
      <c r="D4015" t="s">
        <v>2391</v>
      </c>
      <c r="E4015" t="s">
        <v>14</v>
      </c>
      <c r="F4015" t="s">
        <v>41</v>
      </c>
      <c r="G4015" t="s">
        <v>24</v>
      </c>
      <c r="H4015" t="s">
        <v>2007</v>
      </c>
      <c r="I4015" s="2">
        <v>73.36</v>
      </c>
      <c r="J4015">
        <v>7</v>
      </c>
      <c r="K4015" s="2">
        <v>19.807200000000002</v>
      </c>
      <c r="L4015" s="3">
        <f>(Table1[[#This Row],[Profit]]/Table1[[#This Row],[Sales]])*100</f>
        <v>27</v>
      </c>
    </row>
    <row r="4016" spans="1:12" x14ac:dyDescent="0.3">
      <c r="A4016" t="s">
        <v>4694</v>
      </c>
      <c r="B4016" s="1">
        <v>43971</v>
      </c>
      <c r="C4016" t="s">
        <v>4695</v>
      </c>
      <c r="D4016" t="s">
        <v>4696</v>
      </c>
      <c r="E4016" t="s">
        <v>14</v>
      </c>
      <c r="F4016" t="s">
        <v>29</v>
      </c>
      <c r="G4016" t="s">
        <v>24</v>
      </c>
      <c r="H4016" t="s">
        <v>122</v>
      </c>
      <c r="I4016" s="2">
        <v>115.28</v>
      </c>
      <c r="J4016">
        <v>2</v>
      </c>
      <c r="K4016" s="2">
        <v>19.814399999999999</v>
      </c>
      <c r="L4016" s="3">
        <f>(Table1[[#This Row],[Profit]]/Table1[[#This Row],[Sales]])*100</f>
        <v>17.188063844552392</v>
      </c>
    </row>
    <row r="4017" spans="1:12" x14ac:dyDescent="0.3">
      <c r="A4017" t="s">
        <v>6261</v>
      </c>
      <c r="B4017" s="1">
        <v>44189</v>
      </c>
      <c r="C4017" t="s">
        <v>3546</v>
      </c>
      <c r="D4017" t="s">
        <v>3547</v>
      </c>
      <c r="E4017" t="s">
        <v>14</v>
      </c>
      <c r="F4017" t="s">
        <v>29</v>
      </c>
      <c r="G4017" t="s">
        <v>24</v>
      </c>
      <c r="H4017" t="s">
        <v>5082</v>
      </c>
      <c r="I4017" s="2">
        <v>523.32000000000005</v>
      </c>
      <c r="J4017">
        <v>2</v>
      </c>
      <c r="K4017" s="2">
        <v>19.824000000000002</v>
      </c>
      <c r="L4017" s="3">
        <f>(Table1[[#This Row],[Profit]]/Table1[[#This Row],[Sales]])*100</f>
        <v>3.7881219903691816</v>
      </c>
    </row>
    <row r="4018" spans="1:12" x14ac:dyDescent="0.3">
      <c r="A4018" t="s">
        <v>3511</v>
      </c>
      <c r="B4018" s="1">
        <v>43790</v>
      </c>
      <c r="C4018" t="s">
        <v>1794</v>
      </c>
      <c r="D4018" t="s">
        <v>1795</v>
      </c>
      <c r="E4018" t="s">
        <v>14</v>
      </c>
      <c r="F4018" t="s">
        <v>29</v>
      </c>
      <c r="G4018" t="s">
        <v>24</v>
      </c>
      <c r="H4018" t="s">
        <v>3512</v>
      </c>
      <c r="I4018" s="2">
        <v>40.46</v>
      </c>
      <c r="J4018">
        <v>7</v>
      </c>
      <c r="K4018" s="2">
        <v>19.825399999999998</v>
      </c>
      <c r="L4018" s="3">
        <f>(Table1[[#This Row],[Profit]]/Table1[[#This Row],[Sales]])*100</f>
        <v>48.999999999999993</v>
      </c>
    </row>
    <row r="4019" spans="1:12" x14ac:dyDescent="0.3">
      <c r="A4019" t="s">
        <v>3672</v>
      </c>
      <c r="B4019" s="1">
        <v>43801</v>
      </c>
      <c r="C4019" t="s">
        <v>3673</v>
      </c>
      <c r="D4019" t="s">
        <v>3674</v>
      </c>
      <c r="E4019" t="s">
        <v>14</v>
      </c>
      <c r="F4019" t="s">
        <v>23</v>
      </c>
      <c r="G4019" t="s">
        <v>24</v>
      </c>
      <c r="H4019" t="s">
        <v>3675</v>
      </c>
      <c r="I4019" s="2">
        <v>40.46</v>
      </c>
      <c r="J4019">
        <v>7</v>
      </c>
      <c r="K4019" s="2">
        <v>19.825399999999998</v>
      </c>
      <c r="L4019" s="3">
        <f>(Table1[[#This Row],[Profit]]/Table1[[#This Row],[Sales]])*100</f>
        <v>48.999999999999993</v>
      </c>
    </row>
    <row r="4020" spans="1:12" x14ac:dyDescent="0.3">
      <c r="A4020" t="s">
        <v>5121</v>
      </c>
      <c r="B4020" s="1">
        <v>44050</v>
      </c>
      <c r="C4020" t="s">
        <v>1203</v>
      </c>
      <c r="D4020" t="s">
        <v>1204</v>
      </c>
      <c r="E4020" t="s">
        <v>14</v>
      </c>
      <c r="F4020" t="s">
        <v>29</v>
      </c>
      <c r="G4020" t="s">
        <v>18</v>
      </c>
      <c r="H4020" t="s">
        <v>2448</v>
      </c>
      <c r="I4020" s="2">
        <v>104.96</v>
      </c>
      <c r="J4020">
        <v>4</v>
      </c>
      <c r="K4020" s="2">
        <v>19.8276</v>
      </c>
      <c r="L4020" s="3">
        <f>(Table1[[#This Row],[Profit]]/Table1[[#This Row],[Sales]])*100</f>
        <v>18.890625000000004</v>
      </c>
    </row>
    <row r="4021" spans="1:12" x14ac:dyDescent="0.3">
      <c r="A4021" t="s">
        <v>5059</v>
      </c>
      <c r="B4021" s="1">
        <v>44035</v>
      </c>
      <c r="C4021" t="s">
        <v>2941</v>
      </c>
      <c r="D4021" t="s">
        <v>2942</v>
      </c>
      <c r="E4021" t="s">
        <v>14</v>
      </c>
      <c r="F4021" t="s">
        <v>15</v>
      </c>
      <c r="G4021" t="s">
        <v>24</v>
      </c>
      <c r="H4021" t="s">
        <v>2852</v>
      </c>
      <c r="I4021" s="2">
        <v>158.4</v>
      </c>
      <c r="J4021">
        <v>4</v>
      </c>
      <c r="K4021" s="2">
        <v>19.872</v>
      </c>
      <c r="L4021" s="3">
        <f>(Table1[[#This Row],[Profit]]/Table1[[#This Row],[Sales]])*100</f>
        <v>12.545454545454545</v>
      </c>
    </row>
    <row r="4022" spans="1:12" x14ac:dyDescent="0.3">
      <c r="A4022" t="s">
        <v>5805</v>
      </c>
      <c r="B4022" s="1">
        <v>44141</v>
      </c>
      <c r="C4022" t="s">
        <v>1661</v>
      </c>
      <c r="D4022" t="s">
        <v>1662</v>
      </c>
      <c r="E4022" t="s">
        <v>14</v>
      </c>
      <c r="F4022" t="s">
        <v>23</v>
      </c>
      <c r="G4022" t="s">
        <v>24</v>
      </c>
      <c r="H4022" t="s">
        <v>3280</v>
      </c>
      <c r="I4022" s="2">
        <v>133.4</v>
      </c>
      <c r="J4022">
        <v>4</v>
      </c>
      <c r="K4022" s="2">
        <v>19.872</v>
      </c>
      <c r="L4022" s="3">
        <f>(Table1[[#This Row],[Profit]]/Table1[[#This Row],[Sales]])*100</f>
        <v>14.896551724137929</v>
      </c>
    </row>
    <row r="4023" spans="1:12" x14ac:dyDescent="0.3">
      <c r="A4023" t="s">
        <v>3694</v>
      </c>
      <c r="B4023" s="1">
        <v>43803</v>
      </c>
      <c r="C4023" t="s">
        <v>2548</v>
      </c>
      <c r="D4023" t="s">
        <v>2549</v>
      </c>
      <c r="E4023" t="s">
        <v>14</v>
      </c>
      <c r="F4023" t="s">
        <v>15</v>
      </c>
      <c r="G4023" t="s">
        <v>24</v>
      </c>
      <c r="H4023" t="s">
        <v>234</v>
      </c>
      <c r="I4023" s="2">
        <v>40.56</v>
      </c>
      <c r="J4023">
        <v>4</v>
      </c>
      <c r="K4023" s="2">
        <v>19.874400000000001</v>
      </c>
      <c r="L4023" s="3">
        <f>(Table1[[#This Row],[Profit]]/Table1[[#This Row],[Sales]])*100</f>
        <v>49</v>
      </c>
    </row>
    <row r="4024" spans="1:12" x14ac:dyDescent="0.3">
      <c r="A4024" t="s">
        <v>3797</v>
      </c>
      <c r="B4024" s="1">
        <v>43811</v>
      </c>
      <c r="C4024" t="s">
        <v>267</v>
      </c>
      <c r="D4024" t="s">
        <v>268</v>
      </c>
      <c r="E4024" t="s">
        <v>14</v>
      </c>
      <c r="F4024" t="s">
        <v>15</v>
      </c>
      <c r="G4024" t="s">
        <v>16</v>
      </c>
      <c r="H4024" t="s">
        <v>2240</v>
      </c>
      <c r="I4024" s="2">
        <v>60.35</v>
      </c>
      <c r="J4024">
        <v>5</v>
      </c>
      <c r="K4024" s="2">
        <v>19.915500000000002</v>
      </c>
      <c r="L4024" s="3">
        <f>(Table1[[#This Row],[Profit]]/Table1[[#This Row],[Sales]])*100</f>
        <v>33</v>
      </c>
    </row>
    <row r="4025" spans="1:12" x14ac:dyDescent="0.3">
      <c r="A4025" t="s">
        <v>5375</v>
      </c>
      <c r="B4025" s="1">
        <v>44086</v>
      </c>
      <c r="C4025" t="s">
        <v>5376</v>
      </c>
      <c r="D4025" t="s">
        <v>5377</v>
      </c>
      <c r="E4025" t="s">
        <v>14</v>
      </c>
      <c r="F4025" t="s">
        <v>15</v>
      </c>
      <c r="G4025" t="s">
        <v>24</v>
      </c>
      <c r="H4025" t="s">
        <v>4737</v>
      </c>
      <c r="I4025" s="2">
        <v>142.9</v>
      </c>
      <c r="J4025">
        <v>5</v>
      </c>
      <c r="K4025" s="2">
        <v>19.95</v>
      </c>
      <c r="L4025" s="3">
        <f>(Table1[[#This Row],[Profit]]/Table1[[#This Row],[Sales]])*100</f>
        <v>13.960811756473056</v>
      </c>
    </row>
    <row r="4026" spans="1:12" x14ac:dyDescent="0.3">
      <c r="A4026" t="s">
        <v>1263</v>
      </c>
      <c r="B4026" s="1">
        <v>43590</v>
      </c>
      <c r="C4026" t="s">
        <v>554</v>
      </c>
      <c r="D4026" t="s">
        <v>555</v>
      </c>
      <c r="E4026" t="s">
        <v>14</v>
      </c>
      <c r="F4026" t="s">
        <v>41</v>
      </c>
      <c r="G4026" t="s">
        <v>18</v>
      </c>
      <c r="H4026" t="s">
        <v>1265</v>
      </c>
      <c r="I4026" s="2">
        <v>177.48</v>
      </c>
      <c r="J4026">
        <v>3</v>
      </c>
      <c r="K4026" s="2">
        <v>19.9665</v>
      </c>
      <c r="L4026" s="3">
        <f>(Table1[[#This Row],[Profit]]/Table1[[#This Row],[Sales]])*100</f>
        <v>11.25</v>
      </c>
    </row>
    <row r="4027" spans="1:12" x14ac:dyDescent="0.3">
      <c r="A4027" t="s">
        <v>1667</v>
      </c>
      <c r="B4027" s="1">
        <v>43625</v>
      </c>
      <c r="C4027" t="s">
        <v>1668</v>
      </c>
      <c r="D4027" t="s">
        <v>1669</v>
      </c>
      <c r="E4027" t="s">
        <v>14</v>
      </c>
      <c r="F4027" t="s">
        <v>23</v>
      </c>
      <c r="G4027" t="s">
        <v>18</v>
      </c>
      <c r="H4027" t="s">
        <v>1265</v>
      </c>
      <c r="I4027" s="2">
        <v>177.48</v>
      </c>
      <c r="J4027">
        <v>3</v>
      </c>
      <c r="K4027" s="2">
        <v>19.9665</v>
      </c>
      <c r="L4027" s="3">
        <f>(Table1[[#This Row],[Profit]]/Table1[[#This Row],[Sales]])*100</f>
        <v>11.25</v>
      </c>
    </row>
    <row r="4028" spans="1:12" x14ac:dyDescent="0.3">
      <c r="A4028" t="s">
        <v>1967</v>
      </c>
      <c r="B4028" s="1">
        <v>43650</v>
      </c>
      <c r="C4028" t="s">
        <v>554</v>
      </c>
      <c r="D4028" t="s">
        <v>555</v>
      </c>
      <c r="E4028" t="s">
        <v>14</v>
      </c>
      <c r="F4028" t="s">
        <v>23</v>
      </c>
      <c r="G4028" t="s">
        <v>18</v>
      </c>
      <c r="H4028" t="s">
        <v>1265</v>
      </c>
      <c r="I4028" s="2">
        <v>177.48</v>
      </c>
      <c r="J4028">
        <v>3</v>
      </c>
      <c r="K4028" s="2">
        <v>19.9665</v>
      </c>
      <c r="L4028" s="3">
        <f>(Table1[[#This Row],[Profit]]/Table1[[#This Row],[Sales]])*100</f>
        <v>11.25</v>
      </c>
    </row>
    <row r="4029" spans="1:12" x14ac:dyDescent="0.3">
      <c r="A4029" t="s">
        <v>3281</v>
      </c>
      <c r="B4029" s="1">
        <v>43774</v>
      </c>
      <c r="C4029" t="s">
        <v>2616</v>
      </c>
      <c r="D4029" t="s">
        <v>2617</v>
      </c>
      <c r="E4029" t="s">
        <v>14</v>
      </c>
      <c r="F4029" t="s">
        <v>23</v>
      </c>
      <c r="G4029" t="s">
        <v>24</v>
      </c>
      <c r="H4029" t="s">
        <v>1753</v>
      </c>
      <c r="I4029" s="2">
        <v>53.247999999999998</v>
      </c>
      <c r="J4029">
        <v>2</v>
      </c>
      <c r="K4029" s="2">
        <v>19.968</v>
      </c>
      <c r="L4029" s="3">
        <f>(Table1[[#This Row],[Profit]]/Table1[[#This Row],[Sales]])*100</f>
        <v>37.5</v>
      </c>
    </row>
    <row r="4030" spans="1:12" x14ac:dyDescent="0.3">
      <c r="A4030" t="s">
        <v>4735</v>
      </c>
      <c r="B4030" s="1">
        <v>43980</v>
      </c>
      <c r="C4030" t="s">
        <v>2973</v>
      </c>
      <c r="D4030" t="s">
        <v>2974</v>
      </c>
      <c r="E4030" t="s">
        <v>14</v>
      </c>
      <c r="F4030" t="s">
        <v>29</v>
      </c>
      <c r="G4030" t="s">
        <v>24</v>
      </c>
      <c r="H4030" t="s">
        <v>542</v>
      </c>
      <c r="I4030" s="2">
        <v>130.41</v>
      </c>
      <c r="J4030">
        <v>1</v>
      </c>
      <c r="K4030" s="2">
        <v>19.968599999999999</v>
      </c>
      <c r="L4030" s="3">
        <f>(Table1[[#This Row],[Profit]]/Table1[[#This Row],[Sales]])*100</f>
        <v>15.31216931216931</v>
      </c>
    </row>
    <row r="4031" spans="1:12" x14ac:dyDescent="0.3">
      <c r="A4031" t="s">
        <v>2864</v>
      </c>
      <c r="B4031" s="1">
        <v>43730</v>
      </c>
      <c r="C4031" t="s">
        <v>2865</v>
      </c>
      <c r="D4031" t="s">
        <v>2866</v>
      </c>
      <c r="E4031" t="s">
        <v>14</v>
      </c>
      <c r="F4031" t="s">
        <v>15</v>
      </c>
      <c r="G4031" t="s">
        <v>24</v>
      </c>
      <c r="H4031" t="s">
        <v>694</v>
      </c>
      <c r="I4031" s="2">
        <v>63.968000000000004</v>
      </c>
      <c r="J4031">
        <v>2</v>
      </c>
      <c r="K4031" s="2">
        <v>19.989999999999998</v>
      </c>
      <c r="L4031" s="3">
        <f>(Table1[[#This Row],[Profit]]/Table1[[#This Row],[Sales]])*100</f>
        <v>31.249999999999993</v>
      </c>
    </row>
    <row r="4032" spans="1:12" x14ac:dyDescent="0.3">
      <c r="A4032" t="s">
        <v>3794</v>
      </c>
      <c r="B4032" s="1">
        <v>43811</v>
      </c>
      <c r="C4032" t="s">
        <v>3795</v>
      </c>
      <c r="D4032" t="s">
        <v>3796</v>
      </c>
      <c r="E4032" t="s">
        <v>14</v>
      </c>
      <c r="F4032" t="s">
        <v>41</v>
      </c>
      <c r="G4032" t="s">
        <v>18</v>
      </c>
      <c r="H4032" t="s">
        <v>777</v>
      </c>
      <c r="I4032" s="2">
        <v>249.95</v>
      </c>
      <c r="J4032">
        <v>5</v>
      </c>
      <c r="K4032" s="2">
        <v>19.995999999999999</v>
      </c>
      <c r="L4032" s="3">
        <f>(Table1[[#This Row],[Profit]]/Table1[[#This Row],[Sales]])*100</f>
        <v>8</v>
      </c>
    </row>
    <row r="4033" spans="1:12" x14ac:dyDescent="0.3">
      <c r="A4033" t="s">
        <v>2925</v>
      </c>
      <c r="B4033" s="1">
        <v>43734</v>
      </c>
      <c r="C4033" t="s">
        <v>1456</v>
      </c>
      <c r="D4033" t="s">
        <v>1457</v>
      </c>
      <c r="E4033" t="s">
        <v>14</v>
      </c>
      <c r="F4033" t="s">
        <v>23</v>
      </c>
      <c r="G4033" t="s">
        <v>16</v>
      </c>
      <c r="H4033" t="s">
        <v>2926</v>
      </c>
      <c r="I4033" s="2">
        <v>424.95749999999998</v>
      </c>
      <c r="J4033">
        <v>5</v>
      </c>
      <c r="K4033" s="2">
        <v>19.998000000000001</v>
      </c>
      <c r="L4033" s="3">
        <f>(Table1[[#This Row],[Profit]]/Table1[[#This Row],[Sales]])*100</f>
        <v>4.7058823529411775</v>
      </c>
    </row>
    <row r="4034" spans="1:12" x14ac:dyDescent="0.3">
      <c r="A4034" t="s">
        <v>970</v>
      </c>
      <c r="B4034" s="1">
        <v>43567</v>
      </c>
      <c r="C4034" t="s">
        <v>971</v>
      </c>
      <c r="D4034" t="s">
        <v>972</v>
      </c>
      <c r="E4034" t="s">
        <v>14</v>
      </c>
      <c r="F4034" t="s">
        <v>41</v>
      </c>
      <c r="G4034" t="s">
        <v>24</v>
      </c>
      <c r="H4034" t="s">
        <v>974</v>
      </c>
      <c r="I4034" s="2">
        <v>40.99</v>
      </c>
      <c r="J4034">
        <v>1</v>
      </c>
      <c r="K4034" s="2">
        <v>20.085100000000001</v>
      </c>
      <c r="L4034" s="3">
        <f>(Table1[[#This Row],[Profit]]/Table1[[#This Row],[Sales]])*100</f>
        <v>49</v>
      </c>
    </row>
    <row r="4035" spans="1:12" x14ac:dyDescent="0.3">
      <c r="A4035" t="s">
        <v>5584</v>
      </c>
      <c r="B4035" s="1">
        <v>44110</v>
      </c>
      <c r="C4035" t="s">
        <v>659</v>
      </c>
      <c r="D4035" t="s">
        <v>660</v>
      </c>
      <c r="E4035" t="s">
        <v>14</v>
      </c>
      <c r="F4035" t="s">
        <v>15</v>
      </c>
      <c r="G4035" t="s">
        <v>24</v>
      </c>
      <c r="H4035" t="s">
        <v>126</v>
      </c>
      <c r="I4035" s="2">
        <v>125.99</v>
      </c>
      <c r="J4035">
        <v>1</v>
      </c>
      <c r="K4035" s="2">
        <v>20.085100000000001</v>
      </c>
      <c r="L4035" s="3">
        <f>(Table1[[#This Row],[Profit]]/Table1[[#This Row],[Sales]])*100</f>
        <v>15.941820779426941</v>
      </c>
    </row>
    <row r="4036" spans="1:12" x14ac:dyDescent="0.3">
      <c r="A4036" t="s">
        <v>5738</v>
      </c>
      <c r="B4036" s="1">
        <v>44136</v>
      </c>
      <c r="C4036" t="s">
        <v>3822</v>
      </c>
      <c r="D4036" t="s">
        <v>3823</v>
      </c>
      <c r="E4036" t="s">
        <v>14</v>
      </c>
      <c r="F4036" t="s">
        <v>15</v>
      </c>
      <c r="G4036" t="s">
        <v>24</v>
      </c>
      <c r="H4036" t="s">
        <v>126</v>
      </c>
      <c r="I4036" s="2">
        <v>174.99</v>
      </c>
      <c r="J4036">
        <v>1</v>
      </c>
      <c r="K4036" s="2">
        <v>20.085100000000001</v>
      </c>
      <c r="L4036" s="3">
        <f>(Table1[[#This Row],[Profit]]/Table1[[#This Row],[Sales]])*100</f>
        <v>11.477855877478712</v>
      </c>
    </row>
    <row r="4037" spans="1:12" x14ac:dyDescent="0.3">
      <c r="A4037" t="s">
        <v>4467</v>
      </c>
      <c r="B4037" s="1">
        <v>43935</v>
      </c>
      <c r="C4037" t="s">
        <v>1347</v>
      </c>
      <c r="D4037" t="s">
        <v>1348</v>
      </c>
      <c r="E4037" t="s">
        <v>14</v>
      </c>
      <c r="F4037" t="s">
        <v>15</v>
      </c>
      <c r="G4037" t="s">
        <v>16</v>
      </c>
      <c r="H4037" t="s">
        <v>4161</v>
      </c>
      <c r="I4037" s="2">
        <v>166.45</v>
      </c>
      <c r="J4037">
        <v>5</v>
      </c>
      <c r="K4037" s="2">
        <v>20.101500000000001</v>
      </c>
      <c r="L4037" s="3">
        <f>(Table1[[#This Row],[Profit]]/Table1[[#This Row],[Sales]])*100</f>
        <v>12.076599579453291</v>
      </c>
    </row>
    <row r="4038" spans="1:12" x14ac:dyDescent="0.3">
      <c r="A4038" t="s">
        <v>3320</v>
      </c>
      <c r="B4038" s="1">
        <v>43776</v>
      </c>
      <c r="C4038" t="s">
        <v>1469</v>
      </c>
      <c r="D4038" t="s">
        <v>1470</v>
      </c>
      <c r="E4038" t="s">
        <v>14</v>
      </c>
      <c r="F4038" t="s">
        <v>23</v>
      </c>
      <c r="G4038" t="s">
        <v>24</v>
      </c>
      <c r="H4038" t="s">
        <v>3321</v>
      </c>
      <c r="I4038" s="2">
        <v>57.584000000000003</v>
      </c>
      <c r="J4038">
        <v>2</v>
      </c>
      <c r="K4038" s="2">
        <v>20.154399999999999</v>
      </c>
      <c r="L4038" s="3">
        <f>(Table1[[#This Row],[Profit]]/Table1[[#This Row],[Sales]])*100</f>
        <v>35</v>
      </c>
    </row>
    <row r="4039" spans="1:12" x14ac:dyDescent="0.3">
      <c r="A4039" t="s">
        <v>1485</v>
      </c>
      <c r="B4039" s="1">
        <v>43609</v>
      </c>
      <c r="C4039" t="s">
        <v>924</v>
      </c>
      <c r="D4039" t="s">
        <v>925</v>
      </c>
      <c r="E4039" t="s">
        <v>14</v>
      </c>
      <c r="F4039" t="s">
        <v>41</v>
      </c>
      <c r="G4039" t="s">
        <v>24</v>
      </c>
      <c r="H4039" t="s">
        <v>1486</v>
      </c>
      <c r="I4039" s="2">
        <v>69.5</v>
      </c>
      <c r="J4039">
        <v>5</v>
      </c>
      <c r="K4039" s="2">
        <v>20.155000000000001</v>
      </c>
      <c r="L4039" s="3">
        <f>(Table1[[#This Row],[Profit]]/Table1[[#This Row],[Sales]])*100</f>
        <v>29.000000000000004</v>
      </c>
    </row>
    <row r="4040" spans="1:12" x14ac:dyDescent="0.3">
      <c r="A4040" t="s">
        <v>6222</v>
      </c>
      <c r="B4040" s="1">
        <v>44186</v>
      </c>
      <c r="C4040" t="s">
        <v>774</v>
      </c>
      <c r="D4040" t="s">
        <v>775</v>
      </c>
      <c r="E4040" t="s">
        <v>14</v>
      </c>
      <c r="F4040" t="s">
        <v>15</v>
      </c>
      <c r="G4040" t="s">
        <v>24</v>
      </c>
      <c r="H4040" t="s">
        <v>1486</v>
      </c>
      <c r="I4040" s="2">
        <v>383.5</v>
      </c>
      <c r="J4040">
        <v>5</v>
      </c>
      <c r="K4040" s="2">
        <v>20.155000000000001</v>
      </c>
      <c r="L4040" s="3">
        <f>(Table1[[#This Row],[Profit]]/Table1[[#This Row],[Sales]])*100</f>
        <v>5.2555410691003921</v>
      </c>
    </row>
    <row r="4041" spans="1:12" x14ac:dyDescent="0.3">
      <c r="A4041" t="s">
        <v>3410</v>
      </c>
      <c r="B4041" s="1">
        <v>43782</v>
      </c>
      <c r="C4041" t="s">
        <v>249</v>
      </c>
      <c r="D4041" t="s">
        <v>250</v>
      </c>
      <c r="E4041" t="s">
        <v>14</v>
      </c>
      <c r="F4041" t="s">
        <v>15</v>
      </c>
      <c r="G4041" t="s">
        <v>24</v>
      </c>
      <c r="H4041" t="s">
        <v>873</v>
      </c>
      <c r="I4041" s="2">
        <v>77.55</v>
      </c>
      <c r="J4041">
        <v>5</v>
      </c>
      <c r="K4041" s="2">
        <v>20.163</v>
      </c>
      <c r="L4041" s="3">
        <f>(Table1[[#This Row],[Profit]]/Table1[[#This Row],[Sales]])*100</f>
        <v>26</v>
      </c>
    </row>
    <row r="4042" spans="1:12" x14ac:dyDescent="0.3">
      <c r="A4042" t="s">
        <v>5033</v>
      </c>
      <c r="B4042" s="1">
        <v>44032</v>
      </c>
      <c r="C4042" t="s">
        <v>2477</v>
      </c>
      <c r="D4042" t="s">
        <v>2478</v>
      </c>
      <c r="E4042" t="s">
        <v>14</v>
      </c>
      <c r="F4042" t="s">
        <v>29</v>
      </c>
      <c r="G4042" t="s">
        <v>24</v>
      </c>
      <c r="H4042" t="s">
        <v>2111</v>
      </c>
      <c r="I4042" s="2">
        <v>155</v>
      </c>
      <c r="J4042">
        <v>5</v>
      </c>
      <c r="K4042" s="2">
        <v>20.21</v>
      </c>
      <c r="L4042" s="3">
        <f>(Table1[[#This Row],[Profit]]/Table1[[#This Row],[Sales]])*100</f>
        <v>13.038709677419355</v>
      </c>
    </row>
    <row r="4043" spans="1:12" x14ac:dyDescent="0.3">
      <c r="A4043" t="s">
        <v>5330</v>
      </c>
      <c r="B4043" s="1">
        <v>44082</v>
      </c>
      <c r="C4043" t="s">
        <v>5331</v>
      </c>
      <c r="D4043" t="s">
        <v>5332</v>
      </c>
      <c r="E4043" t="s">
        <v>14</v>
      </c>
      <c r="F4043" t="s">
        <v>29</v>
      </c>
      <c r="G4043" t="s">
        <v>18</v>
      </c>
      <c r="H4043" t="s">
        <v>2193</v>
      </c>
      <c r="I4043" s="2">
        <v>153.19999999999999</v>
      </c>
      <c r="J4043">
        <v>6</v>
      </c>
      <c r="K4043" s="2">
        <v>20.234999999999999</v>
      </c>
      <c r="L4043" s="3">
        <f>(Table1[[#This Row],[Profit]]/Table1[[#This Row],[Sales]])*100</f>
        <v>13.20822454308094</v>
      </c>
    </row>
    <row r="4044" spans="1:12" x14ac:dyDescent="0.3">
      <c r="A4044" t="s">
        <v>5404</v>
      </c>
      <c r="B4044" s="1">
        <v>44089</v>
      </c>
      <c r="C4044" t="s">
        <v>706</v>
      </c>
      <c r="D4044" t="s">
        <v>707</v>
      </c>
      <c r="E4044" t="s">
        <v>14</v>
      </c>
      <c r="F4044" t="s">
        <v>29</v>
      </c>
      <c r="G4044" t="s">
        <v>18</v>
      </c>
      <c r="H4044" t="s">
        <v>3481</v>
      </c>
      <c r="I4044" s="2">
        <v>368.976</v>
      </c>
      <c r="J4044">
        <v>3</v>
      </c>
      <c r="K4044" s="2">
        <v>20.2485</v>
      </c>
      <c r="L4044" s="3">
        <f>(Table1[[#This Row],[Profit]]/Table1[[#This Row],[Sales]])*100</f>
        <v>5.4877553011577991</v>
      </c>
    </row>
    <row r="4045" spans="1:12" x14ac:dyDescent="0.3">
      <c r="A4045" t="s">
        <v>3043</v>
      </c>
      <c r="B4045" s="1">
        <v>43746</v>
      </c>
      <c r="C4045" t="s">
        <v>3044</v>
      </c>
      <c r="D4045" t="s">
        <v>3045</v>
      </c>
      <c r="E4045" t="s">
        <v>14</v>
      </c>
      <c r="F4045" t="s">
        <v>29</v>
      </c>
      <c r="G4045" t="s">
        <v>24</v>
      </c>
      <c r="H4045" t="s">
        <v>2629</v>
      </c>
      <c r="I4045" s="2">
        <v>60.143999999999998</v>
      </c>
      <c r="J4045">
        <v>6</v>
      </c>
      <c r="K4045" s="2">
        <v>20.2986</v>
      </c>
      <c r="L4045" s="3">
        <f>(Table1[[#This Row],[Profit]]/Table1[[#This Row],[Sales]])*100</f>
        <v>33.75</v>
      </c>
    </row>
    <row r="4046" spans="1:12" x14ac:dyDescent="0.3">
      <c r="A4046" t="s">
        <v>4440</v>
      </c>
      <c r="B4046" s="1">
        <v>43931</v>
      </c>
      <c r="C4046" t="s">
        <v>4441</v>
      </c>
      <c r="D4046" t="s">
        <v>4442</v>
      </c>
      <c r="E4046" t="s">
        <v>14</v>
      </c>
      <c r="F4046" t="s">
        <v>29</v>
      </c>
      <c r="G4046" t="s">
        <v>18</v>
      </c>
      <c r="H4046" t="s">
        <v>51</v>
      </c>
      <c r="I4046" s="2">
        <v>126.736</v>
      </c>
      <c r="J4046">
        <v>3</v>
      </c>
      <c r="K4046" s="2">
        <v>20.343900000000001</v>
      </c>
      <c r="L4046" s="3">
        <f>(Table1[[#This Row],[Profit]]/Table1[[#This Row],[Sales]])*100</f>
        <v>16.052187223835375</v>
      </c>
    </row>
    <row r="4047" spans="1:12" x14ac:dyDescent="0.3">
      <c r="A4047" t="s">
        <v>5373</v>
      </c>
      <c r="B4047" s="1">
        <v>44085</v>
      </c>
      <c r="C4047" t="s">
        <v>3607</v>
      </c>
      <c r="D4047" t="s">
        <v>3608</v>
      </c>
      <c r="E4047" t="s">
        <v>14</v>
      </c>
      <c r="F4047" t="s">
        <v>41</v>
      </c>
      <c r="G4047" t="s">
        <v>24</v>
      </c>
      <c r="H4047" t="s">
        <v>3983</v>
      </c>
      <c r="I4047" s="2">
        <v>171.9</v>
      </c>
      <c r="J4047">
        <v>5</v>
      </c>
      <c r="K4047" s="2">
        <v>20.37</v>
      </c>
      <c r="L4047" s="3">
        <f>(Table1[[#This Row],[Profit]]/Table1[[#This Row],[Sales]])*100</f>
        <v>11.849912739965095</v>
      </c>
    </row>
    <row r="4048" spans="1:12" x14ac:dyDescent="0.3">
      <c r="A4048" t="s">
        <v>5450</v>
      </c>
      <c r="B4048" s="1">
        <v>44094</v>
      </c>
      <c r="C4048" t="s">
        <v>1698</v>
      </c>
      <c r="D4048" t="s">
        <v>1699</v>
      </c>
      <c r="E4048" t="s">
        <v>14</v>
      </c>
      <c r="F4048" t="s">
        <v>15</v>
      </c>
      <c r="G4048" t="s">
        <v>18</v>
      </c>
      <c r="H4048" t="s">
        <v>4507</v>
      </c>
      <c r="I4048" s="2">
        <v>170.97</v>
      </c>
      <c r="J4048">
        <v>3</v>
      </c>
      <c r="K4048" s="2">
        <v>20.389800000000001</v>
      </c>
      <c r="L4048" s="3">
        <f>(Table1[[#This Row],[Profit]]/Table1[[#This Row],[Sales]])*100</f>
        <v>11.925951921389718</v>
      </c>
    </row>
    <row r="4049" spans="1:12" x14ac:dyDescent="0.3">
      <c r="A4049" t="s">
        <v>2573</v>
      </c>
      <c r="B4049" s="1">
        <v>43712</v>
      </c>
      <c r="C4049" t="s">
        <v>2574</v>
      </c>
      <c r="D4049" t="s">
        <v>2575</v>
      </c>
      <c r="E4049" t="s">
        <v>14</v>
      </c>
      <c r="F4049" t="s">
        <v>15</v>
      </c>
      <c r="G4049" t="s">
        <v>24</v>
      </c>
      <c r="H4049" t="s">
        <v>67</v>
      </c>
      <c r="I4049" s="2">
        <v>60.6</v>
      </c>
      <c r="J4049">
        <v>5</v>
      </c>
      <c r="K4049" s="2">
        <v>20.452500000000001</v>
      </c>
      <c r="L4049" s="3">
        <f>(Table1[[#This Row],[Profit]]/Table1[[#This Row],[Sales]])*100</f>
        <v>33.75</v>
      </c>
    </row>
    <row r="4050" spans="1:12" x14ac:dyDescent="0.3">
      <c r="A4050" t="s">
        <v>3694</v>
      </c>
      <c r="B4050" s="1">
        <v>43803</v>
      </c>
      <c r="C4050" t="s">
        <v>2548</v>
      </c>
      <c r="D4050" t="s">
        <v>2549</v>
      </c>
      <c r="E4050" t="s">
        <v>14</v>
      </c>
      <c r="F4050" t="s">
        <v>15</v>
      </c>
      <c r="G4050" t="s">
        <v>16</v>
      </c>
      <c r="H4050" t="s">
        <v>1181</v>
      </c>
      <c r="I4050" s="2">
        <v>113.79</v>
      </c>
      <c r="J4050">
        <v>3</v>
      </c>
      <c r="K4050" s="2">
        <v>20.482199999999999</v>
      </c>
      <c r="L4050" s="3">
        <f>(Table1[[#This Row],[Profit]]/Table1[[#This Row],[Sales]])*100</f>
        <v>18</v>
      </c>
    </row>
    <row r="4051" spans="1:12" x14ac:dyDescent="0.3">
      <c r="A4051" t="s">
        <v>3708</v>
      </c>
      <c r="B4051" s="1">
        <v>43804</v>
      </c>
      <c r="C4051" t="s">
        <v>3709</v>
      </c>
      <c r="D4051" t="s">
        <v>3710</v>
      </c>
      <c r="E4051" t="s">
        <v>14</v>
      </c>
      <c r="F4051" t="s">
        <v>15</v>
      </c>
      <c r="G4051" t="s">
        <v>16</v>
      </c>
      <c r="H4051" t="s">
        <v>2497</v>
      </c>
      <c r="I4051" s="2">
        <v>81.94</v>
      </c>
      <c r="J4051">
        <v>1</v>
      </c>
      <c r="K4051" s="2">
        <v>20.484999999999999</v>
      </c>
      <c r="L4051" s="3">
        <f>(Table1[[#This Row],[Profit]]/Table1[[#This Row],[Sales]])*100</f>
        <v>25</v>
      </c>
    </row>
    <row r="4052" spans="1:12" x14ac:dyDescent="0.3">
      <c r="A4052" t="s">
        <v>6303</v>
      </c>
      <c r="B4052" s="1">
        <v>44194</v>
      </c>
      <c r="C4052" t="s">
        <v>3631</v>
      </c>
      <c r="D4052" t="s">
        <v>3632</v>
      </c>
      <c r="E4052" t="s">
        <v>14</v>
      </c>
      <c r="F4052" t="s">
        <v>23</v>
      </c>
      <c r="G4052" t="s">
        <v>16</v>
      </c>
      <c r="H4052" t="s">
        <v>6107</v>
      </c>
      <c r="I4052" s="2">
        <v>466.46</v>
      </c>
      <c r="J4052">
        <v>2</v>
      </c>
      <c r="K4052" s="2">
        <v>20.538</v>
      </c>
      <c r="L4052" s="3">
        <f>(Table1[[#This Row],[Profit]]/Table1[[#This Row],[Sales]])*100</f>
        <v>4.4029498778030272</v>
      </c>
    </row>
    <row r="4053" spans="1:12" x14ac:dyDescent="0.3">
      <c r="A4053" t="s">
        <v>6182</v>
      </c>
      <c r="B4053" s="1">
        <v>44179</v>
      </c>
      <c r="C4053" t="s">
        <v>3714</v>
      </c>
      <c r="D4053" t="s">
        <v>3715</v>
      </c>
      <c r="E4053" t="s">
        <v>14</v>
      </c>
      <c r="F4053" t="s">
        <v>23</v>
      </c>
      <c r="G4053" t="s">
        <v>24</v>
      </c>
      <c r="H4053" t="s">
        <v>5342</v>
      </c>
      <c r="I4053" s="2">
        <v>502.7</v>
      </c>
      <c r="J4053">
        <v>5</v>
      </c>
      <c r="K4053" s="2">
        <v>20.539000000000001</v>
      </c>
      <c r="L4053" s="3">
        <f>(Table1[[#This Row],[Profit]]/Table1[[#This Row],[Sales]])*100</f>
        <v>4.0857370200915062</v>
      </c>
    </row>
    <row r="4054" spans="1:12" x14ac:dyDescent="0.3">
      <c r="A4054" t="s">
        <v>2592</v>
      </c>
      <c r="B4054" s="1">
        <v>43713</v>
      </c>
      <c r="C4054" t="s">
        <v>1038</v>
      </c>
      <c r="D4054" t="s">
        <v>1039</v>
      </c>
      <c r="E4054" t="s">
        <v>14</v>
      </c>
      <c r="F4054" t="s">
        <v>29</v>
      </c>
      <c r="G4054" t="s">
        <v>24</v>
      </c>
      <c r="H4054" t="s">
        <v>2594</v>
      </c>
      <c r="I4054" s="2">
        <v>70.95</v>
      </c>
      <c r="J4054">
        <v>3</v>
      </c>
      <c r="K4054" s="2">
        <v>20.575500000000002</v>
      </c>
      <c r="L4054" s="3">
        <f>(Table1[[#This Row],[Profit]]/Table1[[#This Row],[Sales]])*100</f>
        <v>29.000000000000004</v>
      </c>
    </row>
    <row r="4055" spans="1:12" x14ac:dyDescent="0.3">
      <c r="A4055" t="s">
        <v>92</v>
      </c>
      <c r="B4055" s="1">
        <v>43476</v>
      </c>
      <c r="C4055" t="s">
        <v>93</v>
      </c>
      <c r="D4055" t="s">
        <v>94</v>
      </c>
      <c r="E4055" t="s">
        <v>14</v>
      </c>
      <c r="F4055" t="s">
        <v>15</v>
      </c>
      <c r="G4055" t="s">
        <v>24</v>
      </c>
      <c r="H4055" t="s">
        <v>96</v>
      </c>
      <c r="I4055" s="2">
        <v>63.311999999999998</v>
      </c>
      <c r="J4055">
        <v>3</v>
      </c>
      <c r="K4055" s="2">
        <v>20.5764</v>
      </c>
      <c r="L4055" s="3">
        <f>(Table1[[#This Row],[Profit]]/Table1[[#This Row],[Sales]])*100</f>
        <v>32.5</v>
      </c>
    </row>
    <row r="4056" spans="1:12" x14ac:dyDescent="0.3">
      <c r="A4056" t="s">
        <v>5058</v>
      </c>
      <c r="B4056" s="1">
        <v>44035</v>
      </c>
      <c r="C4056" t="s">
        <v>1554</v>
      </c>
      <c r="D4056" t="s">
        <v>1555</v>
      </c>
      <c r="E4056" t="s">
        <v>14</v>
      </c>
      <c r="F4056" t="s">
        <v>29</v>
      </c>
      <c r="G4056" t="s">
        <v>24</v>
      </c>
      <c r="H4056" t="s">
        <v>1237</v>
      </c>
      <c r="I4056" s="2">
        <v>145.31200000000001</v>
      </c>
      <c r="J4056">
        <v>3</v>
      </c>
      <c r="K4056" s="2">
        <v>20.5764</v>
      </c>
      <c r="L4056" s="3">
        <f>(Table1[[#This Row],[Profit]]/Table1[[#This Row],[Sales]])*100</f>
        <v>14.160151948909929</v>
      </c>
    </row>
    <row r="4057" spans="1:12" x14ac:dyDescent="0.3">
      <c r="A4057" t="s">
        <v>5614</v>
      </c>
      <c r="B4057" s="1">
        <v>44117</v>
      </c>
      <c r="C4057" t="s">
        <v>2678</v>
      </c>
      <c r="D4057" t="s">
        <v>2679</v>
      </c>
      <c r="E4057" t="s">
        <v>14</v>
      </c>
      <c r="F4057" t="s">
        <v>29</v>
      </c>
      <c r="G4057" t="s">
        <v>24</v>
      </c>
      <c r="H4057" t="s">
        <v>234</v>
      </c>
      <c r="I4057" s="2">
        <v>102.312</v>
      </c>
      <c r="J4057">
        <v>3</v>
      </c>
      <c r="K4057" s="2">
        <v>20.5764</v>
      </c>
      <c r="L4057" s="3">
        <f>(Table1[[#This Row],[Profit]]/Table1[[#This Row],[Sales]])*100</f>
        <v>20.111423879896787</v>
      </c>
    </row>
    <row r="4058" spans="1:12" x14ac:dyDescent="0.3">
      <c r="A4058" t="s">
        <v>5714</v>
      </c>
      <c r="B4058" s="1">
        <v>44131</v>
      </c>
      <c r="C4058" t="s">
        <v>1168</v>
      </c>
      <c r="D4058" t="s">
        <v>1169</v>
      </c>
      <c r="E4058" t="s">
        <v>14</v>
      </c>
      <c r="F4058" t="s">
        <v>41</v>
      </c>
      <c r="G4058" t="s">
        <v>24</v>
      </c>
      <c r="H4058" t="s">
        <v>234</v>
      </c>
      <c r="I4058" s="2">
        <v>158.78399999999999</v>
      </c>
      <c r="J4058">
        <v>7</v>
      </c>
      <c r="K4058" s="2">
        <v>20.584199999999999</v>
      </c>
      <c r="L4058" s="3">
        <f>(Table1[[#This Row],[Profit]]/Table1[[#This Row],[Sales]])*100</f>
        <v>12.963648730350666</v>
      </c>
    </row>
    <row r="4059" spans="1:12" x14ac:dyDescent="0.3">
      <c r="A4059" t="s">
        <v>5983</v>
      </c>
      <c r="B4059" s="1">
        <v>44156</v>
      </c>
      <c r="C4059" t="s">
        <v>2897</v>
      </c>
      <c r="D4059" t="s">
        <v>2898</v>
      </c>
      <c r="E4059" t="s">
        <v>14</v>
      </c>
      <c r="F4059" t="s">
        <v>23</v>
      </c>
      <c r="G4059" t="s">
        <v>16</v>
      </c>
      <c r="H4059" t="s">
        <v>746</v>
      </c>
      <c r="I4059" s="2">
        <v>173.98</v>
      </c>
      <c r="J4059">
        <v>1</v>
      </c>
      <c r="K4059" s="2">
        <v>20.584199999999999</v>
      </c>
      <c r="L4059" s="3">
        <f>(Table1[[#This Row],[Profit]]/Table1[[#This Row],[Sales]])*100</f>
        <v>11.831359926428325</v>
      </c>
    </row>
    <row r="4060" spans="1:12" x14ac:dyDescent="0.3">
      <c r="A4060" t="s">
        <v>3475</v>
      </c>
      <c r="B4060" s="1">
        <v>43788</v>
      </c>
      <c r="C4060" t="s">
        <v>1235</v>
      </c>
      <c r="D4060" t="s">
        <v>1236</v>
      </c>
      <c r="E4060" t="s">
        <v>14</v>
      </c>
      <c r="F4060" t="s">
        <v>15</v>
      </c>
      <c r="G4060" t="s">
        <v>24</v>
      </c>
      <c r="H4060" t="s">
        <v>3096</v>
      </c>
      <c r="I4060" s="2">
        <v>44.75</v>
      </c>
      <c r="J4060">
        <v>5</v>
      </c>
      <c r="K4060" s="2">
        <v>20.585000000000001</v>
      </c>
      <c r="L4060" s="3">
        <f>(Table1[[#This Row],[Profit]]/Table1[[#This Row],[Sales]])*100</f>
        <v>46</v>
      </c>
    </row>
    <row r="4061" spans="1:12" x14ac:dyDescent="0.3">
      <c r="A4061" t="s">
        <v>6284</v>
      </c>
      <c r="B4061" s="1">
        <v>44191</v>
      </c>
      <c r="C4061" t="s">
        <v>2500</v>
      </c>
      <c r="D4061" t="s">
        <v>2501</v>
      </c>
      <c r="E4061" t="s">
        <v>14</v>
      </c>
      <c r="F4061" t="s">
        <v>29</v>
      </c>
      <c r="G4061" t="s">
        <v>24</v>
      </c>
      <c r="H4061" t="s">
        <v>3096</v>
      </c>
      <c r="I4061" s="2">
        <v>270.75</v>
      </c>
      <c r="J4061">
        <v>5</v>
      </c>
      <c r="K4061" s="2">
        <v>20.585000000000001</v>
      </c>
      <c r="L4061" s="3">
        <f>(Table1[[#This Row],[Profit]]/Table1[[#This Row],[Sales]])*100</f>
        <v>7.6029547553093266</v>
      </c>
    </row>
    <row r="4062" spans="1:12" x14ac:dyDescent="0.3">
      <c r="A4062" t="s">
        <v>5930</v>
      </c>
      <c r="B4062" s="1">
        <v>44152</v>
      </c>
      <c r="C4062" t="s">
        <v>1299</v>
      </c>
      <c r="D4062" t="s">
        <v>1300</v>
      </c>
      <c r="E4062" t="s">
        <v>14</v>
      </c>
      <c r="F4062" t="s">
        <v>15</v>
      </c>
      <c r="G4062" t="s">
        <v>24</v>
      </c>
      <c r="H4062" t="s">
        <v>1083</v>
      </c>
      <c r="I4062" s="2">
        <v>135.80000000000001</v>
      </c>
      <c r="J4062">
        <v>6</v>
      </c>
      <c r="K4062" s="2">
        <v>20.585999999999999</v>
      </c>
      <c r="L4062" s="3">
        <f>(Table1[[#This Row],[Profit]]/Table1[[#This Row],[Sales]])*100</f>
        <v>15.159057437407949</v>
      </c>
    </row>
    <row r="4063" spans="1:12" x14ac:dyDescent="0.3">
      <c r="A4063" t="s">
        <v>5731</v>
      </c>
      <c r="B4063" s="1">
        <v>44134</v>
      </c>
      <c r="C4063" t="s">
        <v>2985</v>
      </c>
      <c r="D4063" t="s">
        <v>2986</v>
      </c>
      <c r="E4063" t="s">
        <v>14</v>
      </c>
      <c r="F4063" t="s">
        <v>23</v>
      </c>
      <c r="G4063" t="s">
        <v>24</v>
      </c>
      <c r="H4063" t="s">
        <v>5735</v>
      </c>
      <c r="I4063" s="2">
        <v>151.86000000000001</v>
      </c>
      <c r="J4063">
        <v>6</v>
      </c>
      <c r="K4063" s="2">
        <v>20.6142</v>
      </c>
      <c r="L4063" s="3">
        <f>(Table1[[#This Row],[Profit]]/Table1[[#This Row],[Sales]])*100</f>
        <v>13.574476491505333</v>
      </c>
    </row>
    <row r="4064" spans="1:12" x14ac:dyDescent="0.3">
      <c r="A4064" t="s">
        <v>1961</v>
      </c>
      <c r="B4064" s="1">
        <v>43650</v>
      </c>
      <c r="C4064" t="s">
        <v>1962</v>
      </c>
      <c r="D4064" t="s">
        <v>1963</v>
      </c>
      <c r="E4064" t="s">
        <v>14</v>
      </c>
      <c r="F4064" t="s">
        <v>23</v>
      </c>
      <c r="G4064" t="s">
        <v>24</v>
      </c>
      <c r="H4064" t="s">
        <v>1964</v>
      </c>
      <c r="I4064" s="2">
        <v>43.96</v>
      </c>
      <c r="J4064">
        <v>2</v>
      </c>
      <c r="K4064" s="2">
        <v>20.661200000000001</v>
      </c>
      <c r="L4064" s="3">
        <f>(Table1[[#This Row],[Profit]]/Table1[[#This Row],[Sales]])*100</f>
        <v>47</v>
      </c>
    </row>
    <row r="4065" spans="1:12" x14ac:dyDescent="0.3">
      <c r="A4065" t="s">
        <v>6248</v>
      </c>
      <c r="B4065" s="1">
        <v>44188</v>
      </c>
      <c r="C4065" t="s">
        <v>6249</v>
      </c>
      <c r="D4065" t="s">
        <v>6250</v>
      </c>
      <c r="E4065" t="s">
        <v>14</v>
      </c>
      <c r="F4065" t="s">
        <v>41</v>
      </c>
      <c r="G4065" t="s">
        <v>24</v>
      </c>
      <c r="H4065" t="s">
        <v>760</v>
      </c>
      <c r="I4065" s="2">
        <v>1237.96</v>
      </c>
      <c r="J4065">
        <v>2</v>
      </c>
      <c r="K4065" s="2">
        <v>20.6816</v>
      </c>
      <c r="L4065" s="3">
        <f>(Table1[[#This Row],[Profit]]/Table1[[#This Row],[Sales]])*100</f>
        <v>1.6706194061197455</v>
      </c>
    </row>
    <row r="4066" spans="1:12" x14ac:dyDescent="0.3">
      <c r="A4066" t="s">
        <v>4578</v>
      </c>
      <c r="B4066" s="1">
        <v>43955</v>
      </c>
      <c r="C4066" t="s">
        <v>1259</v>
      </c>
      <c r="D4066" t="s">
        <v>1260</v>
      </c>
      <c r="E4066" t="s">
        <v>14</v>
      </c>
      <c r="F4066" t="s">
        <v>23</v>
      </c>
      <c r="G4066" t="s">
        <v>18</v>
      </c>
      <c r="H4066" t="s">
        <v>1043</v>
      </c>
      <c r="I4066" s="2">
        <v>232.96</v>
      </c>
      <c r="J4066">
        <v>5</v>
      </c>
      <c r="K4066" s="2">
        <v>20.695499999999999</v>
      </c>
      <c r="L4066" s="3">
        <f>(Table1[[#This Row],[Profit]]/Table1[[#This Row],[Sales]])*100</f>
        <v>8.8837139423076916</v>
      </c>
    </row>
    <row r="4067" spans="1:12" x14ac:dyDescent="0.3">
      <c r="A4067" t="s">
        <v>3068</v>
      </c>
      <c r="B4067" s="1">
        <v>43751</v>
      </c>
      <c r="C4067" t="s">
        <v>1785</v>
      </c>
      <c r="D4067" t="s">
        <v>1786</v>
      </c>
      <c r="E4067" t="s">
        <v>14</v>
      </c>
      <c r="F4067" t="s">
        <v>23</v>
      </c>
      <c r="G4067" t="s">
        <v>16</v>
      </c>
      <c r="H4067" t="s">
        <v>3070</v>
      </c>
      <c r="I4067" s="2">
        <v>43.12</v>
      </c>
      <c r="J4067">
        <v>14</v>
      </c>
      <c r="K4067" s="2">
        <v>20.697600000000001</v>
      </c>
      <c r="L4067" s="3">
        <f>(Table1[[#This Row],[Profit]]/Table1[[#This Row],[Sales]])*100</f>
        <v>48.000000000000007</v>
      </c>
    </row>
    <row r="4068" spans="1:12" x14ac:dyDescent="0.3">
      <c r="A4068" t="s">
        <v>626</v>
      </c>
      <c r="B4068" s="1">
        <v>43537</v>
      </c>
      <c r="C4068" t="s">
        <v>627</v>
      </c>
      <c r="D4068" t="s">
        <v>628</v>
      </c>
      <c r="E4068" t="s">
        <v>14</v>
      </c>
      <c r="F4068" t="s">
        <v>41</v>
      </c>
      <c r="G4068" t="s">
        <v>24</v>
      </c>
      <c r="H4068" t="s">
        <v>631</v>
      </c>
      <c r="I4068" s="2">
        <v>46</v>
      </c>
      <c r="J4068">
        <v>4</v>
      </c>
      <c r="K4068" s="2">
        <v>20.7</v>
      </c>
      <c r="L4068" s="3">
        <f>(Table1[[#This Row],[Profit]]/Table1[[#This Row],[Sales]])*100</f>
        <v>45</v>
      </c>
    </row>
    <row r="4069" spans="1:12" x14ac:dyDescent="0.3">
      <c r="A4069" t="s">
        <v>4662</v>
      </c>
      <c r="B4069" s="1">
        <v>43969</v>
      </c>
      <c r="C4069" t="s">
        <v>286</v>
      </c>
      <c r="D4069" t="s">
        <v>287</v>
      </c>
      <c r="E4069" t="s">
        <v>14</v>
      </c>
      <c r="F4069" t="s">
        <v>29</v>
      </c>
      <c r="G4069" t="s">
        <v>24</v>
      </c>
      <c r="H4069" t="s">
        <v>3740</v>
      </c>
      <c r="I4069" s="2">
        <v>160.19</v>
      </c>
      <c r="J4069">
        <v>7</v>
      </c>
      <c r="K4069" s="2">
        <v>20.731200000000001</v>
      </c>
      <c r="L4069" s="3">
        <f>(Table1[[#This Row],[Profit]]/Table1[[#This Row],[Sales]])*100</f>
        <v>12.941631812222987</v>
      </c>
    </row>
    <row r="4070" spans="1:12" x14ac:dyDescent="0.3">
      <c r="A4070" t="s">
        <v>5511</v>
      </c>
      <c r="B4070" s="1">
        <v>44099</v>
      </c>
      <c r="C4070" t="s">
        <v>3212</v>
      </c>
      <c r="D4070" t="s">
        <v>3213</v>
      </c>
      <c r="E4070" t="s">
        <v>14</v>
      </c>
      <c r="F4070" t="s">
        <v>15</v>
      </c>
      <c r="G4070" t="s">
        <v>16</v>
      </c>
      <c r="H4070" t="s">
        <v>1109</v>
      </c>
      <c r="I4070" s="2">
        <v>164.12</v>
      </c>
      <c r="J4070">
        <v>8</v>
      </c>
      <c r="K4070" s="2">
        <v>20.732800000000001</v>
      </c>
      <c r="L4070" s="3">
        <f>(Table1[[#This Row],[Profit]]/Table1[[#This Row],[Sales]])*100</f>
        <v>12.632707774798929</v>
      </c>
    </row>
    <row r="4071" spans="1:12" x14ac:dyDescent="0.3">
      <c r="A4071" t="s">
        <v>5830</v>
      </c>
      <c r="B4071" s="1">
        <v>44144</v>
      </c>
      <c r="C4071" t="s">
        <v>3041</v>
      </c>
      <c r="D4071" t="s">
        <v>3042</v>
      </c>
      <c r="E4071" t="s">
        <v>14</v>
      </c>
      <c r="F4071" t="s">
        <v>23</v>
      </c>
      <c r="G4071" t="s">
        <v>16</v>
      </c>
      <c r="H4071" t="s">
        <v>1109</v>
      </c>
      <c r="I4071" s="2">
        <v>156.12</v>
      </c>
      <c r="J4071">
        <v>8</v>
      </c>
      <c r="K4071" s="2">
        <v>20.732800000000001</v>
      </c>
      <c r="L4071" s="3">
        <f>(Table1[[#This Row],[Profit]]/Table1[[#This Row],[Sales]])*100</f>
        <v>13.280040994107098</v>
      </c>
    </row>
    <row r="4072" spans="1:12" x14ac:dyDescent="0.3">
      <c r="A4072" t="s">
        <v>1910</v>
      </c>
      <c r="B4072" s="1">
        <v>43644</v>
      </c>
      <c r="C4072" t="s">
        <v>1911</v>
      </c>
      <c r="D4072" t="s">
        <v>1912</v>
      </c>
      <c r="E4072" t="s">
        <v>14</v>
      </c>
      <c r="F4072" t="s">
        <v>15</v>
      </c>
      <c r="G4072" t="s">
        <v>16</v>
      </c>
      <c r="H4072" t="s">
        <v>1913</v>
      </c>
      <c r="I4072" s="2">
        <v>121.96</v>
      </c>
      <c r="J4072">
        <v>2</v>
      </c>
      <c r="K4072" s="2">
        <v>20.7332</v>
      </c>
      <c r="L4072" s="3">
        <f>(Table1[[#This Row],[Profit]]/Table1[[#This Row],[Sales]])*100</f>
        <v>17</v>
      </c>
    </row>
    <row r="4073" spans="1:12" x14ac:dyDescent="0.3">
      <c r="A4073" t="s">
        <v>5194</v>
      </c>
      <c r="B4073" s="1">
        <v>44064</v>
      </c>
      <c r="C4073" t="s">
        <v>3392</v>
      </c>
      <c r="D4073" t="s">
        <v>3393</v>
      </c>
      <c r="E4073" t="s">
        <v>14</v>
      </c>
      <c r="F4073" t="s">
        <v>23</v>
      </c>
      <c r="G4073" t="s">
        <v>24</v>
      </c>
      <c r="H4073" t="s">
        <v>404</v>
      </c>
      <c r="I4073" s="2">
        <v>261.096</v>
      </c>
      <c r="J4073">
        <v>3</v>
      </c>
      <c r="K4073" s="2">
        <v>20.745899999999999</v>
      </c>
      <c r="L4073" s="3">
        <f>(Table1[[#This Row],[Profit]]/Table1[[#This Row],[Sales]])*100</f>
        <v>7.9456981340196702</v>
      </c>
    </row>
    <row r="4074" spans="1:12" x14ac:dyDescent="0.3">
      <c r="A4074" t="s">
        <v>4351</v>
      </c>
      <c r="B4074" s="1">
        <v>43916</v>
      </c>
      <c r="C4074" t="s">
        <v>4352</v>
      </c>
      <c r="D4074" t="s">
        <v>4353</v>
      </c>
      <c r="E4074" t="s">
        <v>14</v>
      </c>
      <c r="F4074" t="s">
        <v>41</v>
      </c>
      <c r="G4074" t="s">
        <v>18</v>
      </c>
      <c r="H4074" t="s">
        <v>2193</v>
      </c>
      <c r="I4074" s="2">
        <v>120.25</v>
      </c>
      <c r="J4074">
        <v>3</v>
      </c>
      <c r="K4074" s="2">
        <v>20.767499999999998</v>
      </c>
      <c r="L4074" s="3">
        <f>(Table1[[#This Row],[Profit]]/Table1[[#This Row],[Sales]])*100</f>
        <v>17.27027027027027</v>
      </c>
    </row>
    <row r="4075" spans="1:12" x14ac:dyDescent="0.3">
      <c r="A4075" t="s">
        <v>1615</v>
      </c>
      <c r="B4075" s="1">
        <v>43620</v>
      </c>
      <c r="C4075" t="s">
        <v>1616</v>
      </c>
      <c r="D4075" t="s">
        <v>1617</v>
      </c>
      <c r="E4075" t="s">
        <v>14</v>
      </c>
      <c r="F4075" t="s">
        <v>15</v>
      </c>
      <c r="G4075" t="s">
        <v>16</v>
      </c>
      <c r="H4075" t="s">
        <v>1620</v>
      </c>
      <c r="I4075" s="2">
        <v>61.12</v>
      </c>
      <c r="J4075">
        <v>4</v>
      </c>
      <c r="K4075" s="2">
        <v>20.780799999999999</v>
      </c>
      <c r="L4075" s="3">
        <f>(Table1[[#This Row],[Profit]]/Table1[[#This Row],[Sales]])*100</f>
        <v>34</v>
      </c>
    </row>
    <row r="4076" spans="1:12" x14ac:dyDescent="0.3">
      <c r="A4076" t="s">
        <v>3370</v>
      </c>
      <c r="B4076" s="1">
        <v>43780</v>
      </c>
      <c r="C4076" t="s">
        <v>569</v>
      </c>
      <c r="D4076" t="s">
        <v>570</v>
      </c>
      <c r="E4076" t="s">
        <v>14</v>
      </c>
      <c r="F4076" t="s">
        <v>15</v>
      </c>
      <c r="G4076" t="s">
        <v>24</v>
      </c>
      <c r="H4076" t="s">
        <v>2125</v>
      </c>
      <c r="I4076" s="2">
        <v>83.36</v>
      </c>
      <c r="J4076">
        <v>1</v>
      </c>
      <c r="K4076" s="2">
        <v>20.84</v>
      </c>
      <c r="L4076" s="3">
        <f>(Table1[[#This Row],[Profit]]/Table1[[#This Row],[Sales]])*100</f>
        <v>25</v>
      </c>
    </row>
    <row r="4077" spans="1:12" x14ac:dyDescent="0.3">
      <c r="A4077" t="s">
        <v>5936</v>
      </c>
      <c r="B4077" s="1">
        <v>44153</v>
      </c>
      <c r="C4077" t="s">
        <v>4441</v>
      </c>
      <c r="D4077" t="s">
        <v>4442</v>
      </c>
      <c r="E4077" t="s">
        <v>14</v>
      </c>
      <c r="F4077" t="s">
        <v>29</v>
      </c>
      <c r="G4077" t="s">
        <v>24</v>
      </c>
      <c r="H4077" t="s">
        <v>3953</v>
      </c>
      <c r="I4077" s="2">
        <v>166.584</v>
      </c>
      <c r="J4077">
        <v>6</v>
      </c>
      <c r="K4077" s="2">
        <v>20.844000000000001</v>
      </c>
      <c r="L4077" s="3">
        <f>(Table1[[#This Row],[Profit]]/Table1[[#This Row],[Sales]])*100</f>
        <v>12.512606252701342</v>
      </c>
    </row>
    <row r="4078" spans="1:12" x14ac:dyDescent="0.3">
      <c r="A4078" t="s">
        <v>6138</v>
      </c>
      <c r="B4078" s="1">
        <v>44173</v>
      </c>
      <c r="C4078" t="s">
        <v>3665</v>
      </c>
      <c r="D4078" t="s">
        <v>3666</v>
      </c>
      <c r="E4078" t="s">
        <v>14</v>
      </c>
      <c r="F4078" t="s">
        <v>23</v>
      </c>
      <c r="G4078" t="s">
        <v>24</v>
      </c>
      <c r="H4078" t="s">
        <v>4713</v>
      </c>
      <c r="I4078" s="2">
        <v>164.48</v>
      </c>
      <c r="J4078">
        <v>1</v>
      </c>
      <c r="K4078" s="2">
        <v>20.844000000000001</v>
      </c>
      <c r="L4078" s="3">
        <f>(Table1[[#This Row],[Profit]]/Table1[[#This Row],[Sales]])*100</f>
        <v>12.672665369649808</v>
      </c>
    </row>
    <row r="4079" spans="1:12" x14ac:dyDescent="0.3">
      <c r="A4079" t="s">
        <v>5543</v>
      </c>
      <c r="B4079" s="1">
        <v>44105</v>
      </c>
      <c r="C4079" t="s">
        <v>3546</v>
      </c>
      <c r="D4079" t="s">
        <v>3547</v>
      </c>
      <c r="E4079" t="s">
        <v>14</v>
      </c>
      <c r="F4079" t="s">
        <v>23</v>
      </c>
      <c r="G4079" t="s">
        <v>24</v>
      </c>
      <c r="H4079" t="s">
        <v>37</v>
      </c>
      <c r="I4079" s="2">
        <v>152.77600000000001</v>
      </c>
      <c r="J4079">
        <v>13</v>
      </c>
      <c r="K4079" s="2">
        <v>20.849399999999999</v>
      </c>
      <c r="L4079" s="3">
        <f>(Table1[[#This Row],[Profit]]/Table1[[#This Row],[Sales]])*100</f>
        <v>13.647038801906058</v>
      </c>
    </row>
    <row r="4080" spans="1:12" x14ac:dyDescent="0.3">
      <c r="A4080" t="s">
        <v>2888</v>
      </c>
      <c r="B4080" s="1">
        <v>43732</v>
      </c>
      <c r="C4080" t="s">
        <v>75</v>
      </c>
      <c r="D4080" t="s">
        <v>76</v>
      </c>
      <c r="E4080" t="s">
        <v>14</v>
      </c>
      <c r="F4080" t="s">
        <v>23</v>
      </c>
      <c r="G4080" t="s">
        <v>24</v>
      </c>
      <c r="H4080" t="s">
        <v>2890</v>
      </c>
      <c r="I4080" s="2">
        <v>41.7</v>
      </c>
      <c r="J4080">
        <v>5</v>
      </c>
      <c r="K4080" s="2">
        <v>20.85</v>
      </c>
      <c r="L4080" s="3">
        <f>(Table1[[#This Row],[Profit]]/Table1[[#This Row],[Sales]])*100</f>
        <v>50</v>
      </c>
    </row>
    <row r="4081" spans="1:12" x14ac:dyDescent="0.3">
      <c r="A4081" t="s">
        <v>5009</v>
      </c>
      <c r="B4081" s="1">
        <v>44026</v>
      </c>
      <c r="C4081" t="s">
        <v>1671</v>
      </c>
      <c r="D4081" t="s">
        <v>1672</v>
      </c>
      <c r="E4081" t="s">
        <v>14</v>
      </c>
      <c r="F4081" t="s">
        <v>23</v>
      </c>
      <c r="G4081" t="s">
        <v>24</v>
      </c>
      <c r="H4081" t="s">
        <v>5010</v>
      </c>
      <c r="I4081" s="2">
        <v>103.92</v>
      </c>
      <c r="J4081">
        <v>4</v>
      </c>
      <c r="K4081" s="2">
        <v>20.8568</v>
      </c>
      <c r="L4081" s="3">
        <f>(Table1[[#This Row],[Profit]]/Table1[[#This Row],[Sales]])*100</f>
        <v>20.070053887605848</v>
      </c>
    </row>
    <row r="4082" spans="1:12" x14ac:dyDescent="0.3">
      <c r="A4082" t="s">
        <v>2983</v>
      </c>
      <c r="B4082" s="1">
        <v>43739</v>
      </c>
      <c r="C4082" t="s">
        <v>2315</v>
      </c>
      <c r="D4082" t="s">
        <v>2316</v>
      </c>
      <c r="E4082" t="s">
        <v>14</v>
      </c>
      <c r="F4082" t="s">
        <v>29</v>
      </c>
      <c r="G4082" t="s">
        <v>18</v>
      </c>
      <c r="H4082" t="s">
        <v>1228</v>
      </c>
      <c r="I4082" s="2">
        <v>79.512</v>
      </c>
      <c r="J4082">
        <v>3</v>
      </c>
      <c r="K4082" s="2">
        <v>20.8719</v>
      </c>
      <c r="L4082" s="3">
        <f>(Table1[[#This Row],[Profit]]/Table1[[#This Row],[Sales]])*100</f>
        <v>26.25</v>
      </c>
    </row>
    <row r="4083" spans="1:12" x14ac:dyDescent="0.3">
      <c r="A4083" t="s">
        <v>5755</v>
      </c>
      <c r="B4083" s="1">
        <v>44138</v>
      </c>
      <c r="C4083" t="s">
        <v>1056</v>
      </c>
      <c r="D4083" t="s">
        <v>1057</v>
      </c>
      <c r="E4083" t="s">
        <v>14</v>
      </c>
      <c r="F4083" t="s">
        <v>23</v>
      </c>
      <c r="G4083" t="s">
        <v>16</v>
      </c>
      <c r="H4083" t="s">
        <v>200</v>
      </c>
      <c r="I4083" s="2">
        <v>1716.184</v>
      </c>
      <c r="J4083">
        <v>12</v>
      </c>
      <c r="K4083" s="2">
        <v>20.9148</v>
      </c>
      <c r="L4083" s="3">
        <f>(Table1[[#This Row],[Profit]]/Table1[[#This Row],[Sales]])*100</f>
        <v>1.2186805144436728</v>
      </c>
    </row>
    <row r="4084" spans="1:12" x14ac:dyDescent="0.3">
      <c r="A4084" t="s">
        <v>2470</v>
      </c>
      <c r="B4084" s="1">
        <v>43704</v>
      </c>
      <c r="C4084" t="s">
        <v>1769</v>
      </c>
      <c r="D4084" t="s">
        <v>1770</v>
      </c>
      <c r="E4084" t="s">
        <v>14</v>
      </c>
      <c r="F4084" t="s">
        <v>15</v>
      </c>
      <c r="G4084" t="s">
        <v>16</v>
      </c>
      <c r="H4084" t="s">
        <v>2472</v>
      </c>
      <c r="I4084" s="2">
        <v>244.61500000000001</v>
      </c>
      <c r="J4084">
        <v>1</v>
      </c>
      <c r="K4084" s="2">
        <v>20.966999999999999</v>
      </c>
      <c r="L4084" s="3">
        <f>(Table1[[#This Row],[Profit]]/Table1[[#This Row],[Sales]])*100</f>
        <v>8.5714285714285694</v>
      </c>
    </row>
    <row r="4085" spans="1:12" x14ac:dyDescent="0.3">
      <c r="A4085" t="s">
        <v>5741</v>
      </c>
      <c r="B4085" s="1">
        <v>44137</v>
      </c>
      <c r="C4085" t="s">
        <v>2100</v>
      </c>
      <c r="D4085" t="s">
        <v>2101</v>
      </c>
      <c r="E4085" t="s">
        <v>14</v>
      </c>
      <c r="F4085" t="s">
        <v>29</v>
      </c>
      <c r="G4085" t="s">
        <v>24</v>
      </c>
      <c r="H4085" t="s">
        <v>4426</v>
      </c>
      <c r="I4085" s="2">
        <v>110.9</v>
      </c>
      <c r="J4085">
        <v>10</v>
      </c>
      <c r="K4085" s="2">
        <v>20.975000000000001</v>
      </c>
      <c r="L4085" s="3">
        <f>(Table1[[#This Row],[Profit]]/Table1[[#This Row],[Sales]])*100</f>
        <v>18.913435527502255</v>
      </c>
    </row>
    <row r="4086" spans="1:12" x14ac:dyDescent="0.3">
      <c r="A4086" t="s">
        <v>308</v>
      </c>
      <c r="B4086" s="1">
        <v>43503</v>
      </c>
      <c r="C4086" t="s">
        <v>309</v>
      </c>
      <c r="D4086" t="s">
        <v>310</v>
      </c>
      <c r="E4086" t="s">
        <v>14</v>
      </c>
      <c r="F4086" t="s">
        <v>41</v>
      </c>
      <c r="G4086" t="s">
        <v>18</v>
      </c>
      <c r="H4086" t="s">
        <v>311</v>
      </c>
      <c r="I4086" s="2">
        <v>100</v>
      </c>
      <c r="J4086">
        <v>4</v>
      </c>
      <c r="K4086" s="2">
        <v>21</v>
      </c>
      <c r="L4086" s="3">
        <f>(Table1[[#This Row],[Profit]]/Table1[[#This Row],[Sales]])*100</f>
        <v>21</v>
      </c>
    </row>
    <row r="4087" spans="1:12" x14ac:dyDescent="0.3">
      <c r="A4087" t="s">
        <v>2927</v>
      </c>
      <c r="B4087" s="1">
        <v>43734</v>
      </c>
      <c r="C4087" t="s">
        <v>1371</v>
      </c>
      <c r="D4087" t="s">
        <v>1372</v>
      </c>
      <c r="E4087" t="s">
        <v>14</v>
      </c>
      <c r="F4087" t="s">
        <v>23</v>
      </c>
      <c r="G4087" t="s">
        <v>18</v>
      </c>
      <c r="H4087" t="s">
        <v>311</v>
      </c>
      <c r="I4087" s="2">
        <v>100</v>
      </c>
      <c r="J4087">
        <v>4</v>
      </c>
      <c r="K4087" s="2">
        <v>21</v>
      </c>
      <c r="L4087" s="3">
        <f>(Table1[[#This Row],[Profit]]/Table1[[#This Row],[Sales]])*100</f>
        <v>21</v>
      </c>
    </row>
    <row r="4088" spans="1:12" x14ac:dyDescent="0.3">
      <c r="A4088" t="s">
        <v>3160</v>
      </c>
      <c r="B4088" s="1">
        <v>43762</v>
      </c>
      <c r="C4088" t="s">
        <v>3138</v>
      </c>
      <c r="D4088" t="s">
        <v>3139</v>
      </c>
      <c r="E4088" t="s">
        <v>14</v>
      </c>
      <c r="F4088" t="s">
        <v>23</v>
      </c>
      <c r="G4088" t="s">
        <v>18</v>
      </c>
      <c r="H4088" t="s">
        <v>311</v>
      </c>
      <c r="I4088" s="2">
        <v>100</v>
      </c>
      <c r="J4088">
        <v>4</v>
      </c>
      <c r="K4088" s="2">
        <v>21</v>
      </c>
      <c r="L4088" s="3">
        <f>(Table1[[#This Row],[Profit]]/Table1[[#This Row],[Sales]])*100</f>
        <v>21</v>
      </c>
    </row>
    <row r="4089" spans="1:12" x14ac:dyDescent="0.3">
      <c r="A4089" t="s">
        <v>676</v>
      </c>
      <c r="B4089" s="1">
        <v>43539</v>
      </c>
      <c r="C4089" t="s">
        <v>544</v>
      </c>
      <c r="D4089" t="s">
        <v>545</v>
      </c>
      <c r="E4089" t="s">
        <v>14</v>
      </c>
      <c r="F4089" t="s">
        <v>41</v>
      </c>
      <c r="G4089" t="s">
        <v>24</v>
      </c>
      <c r="H4089" t="s">
        <v>677</v>
      </c>
      <c r="I4089" s="2">
        <v>45.68</v>
      </c>
      <c r="J4089">
        <v>2</v>
      </c>
      <c r="K4089" s="2">
        <v>21.012799999999999</v>
      </c>
      <c r="L4089" s="3">
        <f>(Table1[[#This Row],[Profit]]/Table1[[#This Row],[Sales]])*100</f>
        <v>46</v>
      </c>
    </row>
    <row r="4090" spans="1:12" x14ac:dyDescent="0.3">
      <c r="A4090" t="s">
        <v>3090</v>
      </c>
      <c r="B4090" s="1">
        <v>43753</v>
      </c>
      <c r="C4090" t="s">
        <v>3091</v>
      </c>
      <c r="D4090" t="s">
        <v>3092</v>
      </c>
      <c r="E4090" t="s">
        <v>14</v>
      </c>
      <c r="F4090" t="s">
        <v>23</v>
      </c>
      <c r="G4090" t="s">
        <v>24</v>
      </c>
      <c r="H4090" t="s">
        <v>3093</v>
      </c>
      <c r="I4090" s="2">
        <v>45.68</v>
      </c>
      <c r="J4090">
        <v>2</v>
      </c>
      <c r="K4090" s="2">
        <v>21.012799999999999</v>
      </c>
      <c r="L4090" s="3">
        <f>(Table1[[#This Row],[Profit]]/Table1[[#This Row],[Sales]])*100</f>
        <v>46</v>
      </c>
    </row>
    <row r="4091" spans="1:12" x14ac:dyDescent="0.3">
      <c r="A4091" t="s">
        <v>4354</v>
      </c>
      <c r="B4091" s="1">
        <v>43917</v>
      </c>
      <c r="C4091" t="s">
        <v>4355</v>
      </c>
      <c r="D4091" t="s">
        <v>4356</v>
      </c>
      <c r="E4091" t="s">
        <v>14</v>
      </c>
      <c r="F4091" t="s">
        <v>23</v>
      </c>
      <c r="G4091" t="s">
        <v>24</v>
      </c>
      <c r="H4091" t="s">
        <v>3093</v>
      </c>
      <c r="I4091" s="2">
        <v>130.68</v>
      </c>
      <c r="J4091">
        <v>2</v>
      </c>
      <c r="K4091" s="2">
        <v>21.012799999999999</v>
      </c>
      <c r="L4091" s="3">
        <f>(Table1[[#This Row],[Profit]]/Table1[[#This Row],[Sales]])*100</f>
        <v>16.079583715947351</v>
      </c>
    </row>
    <row r="4092" spans="1:12" x14ac:dyDescent="0.3">
      <c r="A4092" t="s">
        <v>5115</v>
      </c>
      <c r="B4092" s="1">
        <v>44049</v>
      </c>
      <c r="C4092" t="s">
        <v>3818</v>
      </c>
      <c r="D4092" t="s">
        <v>3819</v>
      </c>
      <c r="E4092" t="s">
        <v>14</v>
      </c>
      <c r="F4092" t="s">
        <v>15</v>
      </c>
      <c r="G4092" t="s">
        <v>24</v>
      </c>
      <c r="H4092" t="s">
        <v>2251</v>
      </c>
      <c r="I4092" s="2">
        <v>110.12</v>
      </c>
      <c r="J4092">
        <v>4</v>
      </c>
      <c r="K4092" s="2">
        <v>21.036000000000001</v>
      </c>
      <c r="L4092" s="3">
        <f>(Table1[[#This Row],[Profit]]/Table1[[#This Row],[Sales]])*100</f>
        <v>19.102796948783148</v>
      </c>
    </row>
    <row r="4093" spans="1:12" x14ac:dyDescent="0.3">
      <c r="A4093" t="s">
        <v>4062</v>
      </c>
      <c r="B4093" s="1">
        <v>43853</v>
      </c>
      <c r="C4093" t="s">
        <v>3498</v>
      </c>
      <c r="D4093" t="s">
        <v>3499</v>
      </c>
      <c r="E4093" t="s">
        <v>14</v>
      </c>
      <c r="F4093" t="s">
        <v>29</v>
      </c>
      <c r="G4093" t="s">
        <v>16</v>
      </c>
      <c r="H4093" t="s">
        <v>704</v>
      </c>
      <c r="I4093" s="2">
        <v>237.98</v>
      </c>
      <c r="J4093">
        <v>2</v>
      </c>
      <c r="K4093" s="2">
        <v>21.097999999999999</v>
      </c>
      <c r="L4093" s="3">
        <f>(Table1[[#This Row],[Profit]]/Table1[[#This Row],[Sales]])*100</f>
        <v>8.8654508782250598</v>
      </c>
    </row>
    <row r="4094" spans="1:12" x14ac:dyDescent="0.3">
      <c r="A4094" t="s">
        <v>4868</v>
      </c>
      <c r="B4094" s="1">
        <v>44001</v>
      </c>
      <c r="C4094" t="s">
        <v>3554</v>
      </c>
      <c r="D4094" t="s">
        <v>3555</v>
      </c>
      <c r="E4094" t="s">
        <v>14</v>
      </c>
      <c r="F4094" t="s">
        <v>23</v>
      </c>
      <c r="G4094" t="s">
        <v>16</v>
      </c>
      <c r="H4094" t="s">
        <v>1363</v>
      </c>
      <c r="I4094" s="2">
        <v>144.32</v>
      </c>
      <c r="J4094">
        <v>4</v>
      </c>
      <c r="K4094" s="2">
        <v>21.134399999999999</v>
      </c>
      <c r="L4094" s="3">
        <f>(Table1[[#This Row],[Profit]]/Table1[[#This Row],[Sales]])*100</f>
        <v>14.644124168514413</v>
      </c>
    </row>
    <row r="4095" spans="1:12" x14ac:dyDescent="0.3">
      <c r="A4095" t="s">
        <v>4370</v>
      </c>
      <c r="B4095" s="1">
        <v>43919</v>
      </c>
      <c r="C4095" t="s">
        <v>1330</v>
      </c>
      <c r="D4095" t="s">
        <v>1331</v>
      </c>
      <c r="E4095" t="s">
        <v>14</v>
      </c>
      <c r="F4095" t="s">
        <v>29</v>
      </c>
      <c r="G4095" t="s">
        <v>24</v>
      </c>
      <c r="H4095" t="s">
        <v>4371</v>
      </c>
      <c r="I4095" s="2">
        <v>163.4</v>
      </c>
      <c r="J4095">
        <v>5</v>
      </c>
      <c r="K4095" s="2">
        <v>21.164000000000001</v>
      </c>
      <c r="L4095" s="3">
        <f>(Table1[[#This Row],[Profit]]/Table1[[#This Row],[Sales]])*100</f>
        <v>12.952264381884945</v>
      </c>
    </row>
    <row r="4096" spans="1:12" x14ac:dyDescent="0.3">
      <c r="A4096" t="s">
        <v>1077</v>
      </c>
      <c r="B4096" s="1">
        <v>43574</v>
      </c>
      <c r="C4096" t="s">
        <v>1078</v>
      </c>
      <c r="D4096" t="s">
        <v>1079</v>
      </c>
      <c r="E4096" t="s">
        <v>14</v>
      </c>
      <c r="F4096" t="s">
        <v>23</v>
      </c>
      <c r="G4096" t="s">
        <v>24</v>
      </c>
      <c r="H4096" t="s">
        <v>1082</v>
      </c>
      <c r="I4096" s="2">
        <v>73.2</v>
      </c>
      <c r="J4096">
        <v>5</v>
      </c>
      <c r="K4096" s="2">
        <v>21.228000000000002</v>
      </c>
      <c r="L4096" s="3">
        <f>(Table1[[#This Row],[Profit]]/Table1[[#This Row],[Sales]])*100</f>
        <v>29.000000000000004</v>
      </c>
    </row>
    <row r="4097" spans="1:12" x14ac:dyDescent="0.3">
      <c r="A4097" t="s">
        <v>2166</v>
      </c>
      <c r="B4097" s="1">
        <v>43670</v>
      </c>
      <c r="C4097" t="s">
        <v>2167</v>
      </c>
      <c r="D4097" t="s">
        <v>2168</v>
      </c>
      <c r="E4097" t="s">
        <v>14</v>
      </c>
      <c r="F4097" t="s">
        <v>41</v>
      </c>
      <c r="G4097" t="s">
        <v>24</v>
      </c>
      <c r="H4097" t="s">
        <v>1082</v>
      </c>
      <c r="I4097" s="2">
        <v>73.2</v>
      </c>
      <c r="J4097">
        <v>5</v>
      </c>
      <c r="K4097" s="2">
        <v>21.228000000000002</v>
      </c>
      <c r="L4097" s="3">
        <f>(Table1[[#This Row],[Profit]]/Table1[[#This Row],[Sales]])*100</f>
        <v>29.000000000000004</v>
      </c>
    </row>
    <row r="4098" spans="1:12" x14ac:dyDescent="0.3">
      <c r="A4098" t="s">
        <v>4295</v>
      </c>
      <c r="B4098" s="1">
        <v>43908</v>
      </c>
      <c r="C4098" t="s">
        <v>3368</v>
      </c>
      <c r="D4098" t="s">
        <v>3369</v>
      </c>
      <c r="E4098" t="s">
        <v>14</v>
      </c>
      <c r="F4098" t="s">
        <v>23</v>
      </c>
      <c r="G4098" t="s">
        <v>24</v>
      </c>
      <c r="H4098" t="s">
        <v>3474</v>
      </c>
      <c r="I4098" s="2">
        <v>112.2</v>
      </c>
      <c r="J4098">
        <v>4</v>
      </c>
      <c r="K4098" s="2">
        <v>21.251999999999999</v>
      </c>
      <c r="L4098" s="3">
        <f>(Table1[[#This Row],[Profit]]/Table1[[#This Row],[Sales]])*100</f>
        <v>18.941176470588232</v>
      </c>
    </row>
    <row r="4099" spans="1:12" x14ac:dyDescent="0.3">
      <c r="A4099" t="s">
        <v>4238</v>
      </c>
      <c r="B4099" s="1">
        <v>43900</v>
      </c>
      <c r="C4099" t="s">
        <v>2875</v>
      </c>
      <c r="D4099" t="s">
        <v>2876</v>
      </c>
      <c r="E4099" t="s">
        <v>14</v>
      </c>
      <c r="F4099" t="s">
        <v>23</v>
      </c>
      <c r="G4099" t="s">
        <v>18</v>
      </c>
      <c r="H4099" t="s">
        <v>4239</v>
      </c>
      <c r="I4099" s="2">
        <v>123.96</v>
      </c>
      <c r="J4099">
        <v>4</v>
      </c>
      <c r="K4099" s="2">
        <v>21.272400000000001</v>
      </c>
      <c r="L4099" s="3">
        <f>(Table1[[#This Row],[Profit]]/Table1[[#This Row],[Sales]])*100</f>
        <v>17.160696999031945</v>
      </c>
    </row>
    <row r="4100" spans="1:12" x14ac:dyDescent="0.3">
      <c r="A4100" t="s">
        <v>5692</v>
      </c>
      <c r="B4100" s="1">
        <v>44127</v>
      </c>
      <c r="C4100" t="s">
        <v>1883</v>
      </c>
      <c r="D4100" t="s">
        <v>1884</v>
      </c>
      <c r="E4100" t="s">
        <v>14</v>
      </c>
      <c r="F4100" t="s">
        <v>15</v>
      </c>
      <c r="G4100" t="s">
        <v>24</v>
      </c>
      <c r="H4100" t="s">
        <v>5704</v>
      </c>
      <c r="I4100" s="2">
        <v>113.44</v>
      </c>
      <c r="J4100">
        <v>8</v>
      </c>
      <c r="K4100" s="2">
        <v>21.285599999999999</v>
      </c>
      <c r="L4100" s="3">
        <f>(Table1[[#This Row],[Profit]]/Table1[[#This Row],[Sales]])*100</f>
        <v>18.763751763046542</v>
      </c>
    </row>
    <row r="4101" spans="1:12" x14ac:dyDescent="0.3">
      <c r="A4101" t="s">
        <v>3107</v>
      </c>
      <c r="B4101" s="1">
        <v>43755</v>
      </c>
      <c r="C4101" t="s">
        <v>493</v>
      </c>
      <c r="D4101" t="s">
        <v>494</v>
      </c>
      <c r="E4101" t="s">
        <v>14</v>
      </c>
      <c r="F4101" t="s">
        <v>23</v>
      </c>
      <c r="G4101" t="s">
        <v>16</v>
      </c>
      <c r="H4101" t="s">
        <v>2567</v>
      </c>
      <c r="I4101" s="2">
        <v>120.666</v>
      </c>
      <c r="J4101">
        <v>2</v>
      </c>
      <c r="K4101" s="2">
        <v>21.294</v>
      </c>
      <c r="L4101" s="3">
        <f>(Table1[[#This Row],[Profit]]/Table1[[#This Row],[Sales]])*100</f>
        <v>17.647058823529413</v>
      </c>
    </row>
    <row r="4102" spans="1:12" x14ac:dyDescent="0.3">
      <c r="A4102" t="s">
        <v>1576</v>
      </c>
      <c r="B4102" s="1">
        <v>43615</v>
      </c>
      <c r="C4102" t="s">
        <v>1577</v>
      </c>
      <c r="D4102" t="s">
        <v>1578</v>
      </c>
      <c r="E4102" t="s">
        <v>14</v>
      </c>
      <c r="F4102" t="s">
        <v>29</v>
      </c>
      <c r="G4102" t="s">
        <v>16</v>
      </c>
      <c r="H4102" t="s">
        <v>597</v>
      </c>
      <c r="I4102" s="2">
        <v>47.4</v>
      </c>
      <c r="J4102">
        <v>5</v>
      </c>
      <c r="K4102" s="2">
        <v>21.33</v>
      </c>
      <c r="L4102" s="3">
        <f>(Table1[[#This Row],[Profit]]/Table1[[#This Row],[Sales]])*100</f>
        <v>44.999999999999993</v>
      </c>
    </row>
    <row r="4103" spans="1:12" x14ac:dyDescent="0.3">
      <c r="A4103" t="s">
        <v>4461</v>
      </c>
      <c r="B4103" s="1">
        <v>43935</v>
      </c>
      <c r="C4103" t="s">
        <v>4373</v>
      </c>
      <c r="D4103" t="s">
        <v>4374</v>
      </c>
      <c r="E4103" t="s">
        <v>14</v>
      </c>
      <c r="F4103" t="s">
        <v>15</v>
      </c>
      <c r="G4103" t="s">
        <v>24</v>
      </c>
      <c r="H4103" t="s">
        <v>4462</v>
      </c>
      <c r="I4103" s="2">
        <v>121.85599999999999</v>
      </c>
      <c r="J4103">
        <v>3</v>
      </c>
      <c r="K4103" s="2">
        <v>21.340800000000002</v>
      </c>
      <c r="L4103" s="3">
        <f>(Table1[[#This Row],[Profit]]/Table1[[#This Row],[Sales]])*100</f>
        <v>17.513130252100844</v>
      </c>
    </row>
    <row r="4104" spans="1:12" x14ac:dyDescent="0.3">
      <c r="A4104" t="s">
        <v>2381</v>
      </c>
      <c r="B4104" s="1">
        <v>43698</v>
      </c>
      <c r="C4104" t="s">
        <v>1642</v>
      </c>
      <c r="D4104" t="s">
        <v>1643</v>
      </c>
      <c r="E4104" t="s">
        <v>14</v>
      </c>
      <c r="F4104" t="s">
        <v>23</v>
      </c>
      <c r="G4104" t="s">
        <v>24</v>
      </c>
      <c r="H4104" t="s">
        <v>2385</v>
      </c>
      <c r="I4104" s="2">
        <v>47.52</v>
      </c>
      <c r="J4104">
        <v>9</v>
      </c>
      <c r="K4104" s="2">
        <v>21.384</v>
      </c>
      <c r="L4104" s="3">
        <f>(Table1[[#This Row],[Profit]]/Table1[[#This Row],[Sales]])*100</f>
        <v>44.999999999999993</v>
      </c>
    </row>
    <row r="4105" spans="1:12" x14ac:dyDescent="0.3">
      <c r="A4105" t="s">
        <v>3906</v>
      </c>
      <c r="B4105" s="1">
        <v>43824</v>
      </c>
      <c r="C4105" t="s">
        <v>3907</v>
      </c>
      <c r="D4105" t="s">
        <v>3908</v>
      </c>
      <c r="E4105" t="s">
        <v>14</v>
      </c>
      <c r="F4105" t="s">
        <v>23</v>
      </c>
      <c r="G4105" t="s">
        <v>18</v>
      </c>
      <c r="H4105" t="s">
        <v>3910</v>
      </c>
      <c r="I4105" s="2">
        <v>100.8</v>
      </c>
      <c r="J4105">
        <v>2</v>
      </c>
      <c r="K4105" s="2">
        <v>21.42</v>
      </c>
      <c r="L4105" s="3">
        <f>(Table1[[#This Row],[Profit]]/Table1[[#This Row],[Sales]])*100</f>
        <v>21.250000000000004</v>
      </c>
    </row>
    <row r="4106" spans="1:12" x14ac:dyDescent="0.3">
      <c r="A4106" t="s">
        <v>5268</v>
      </c>
      <c r="B4106" s="1">
        <v>44077</v>
      </c>
      <c r="C4106" t="s">
        <v>679</v>
      </c>
      <c r="D4106" t="s">
        <v>680</v>
      </c>
      <c r="E4106" t="s">
        <v>14</v>
      </c>
      <c r="F4106" t="s">
        <v>29</v>
      </c>
      <c r="G4106" t="s">
        <v>18</v>
      </c>
      <c r="H4106" t="s">
        <v>3910</v>
      </c>
      <c r="I4106" s="2">
        <v>135.80000000000001</v>
      </c>
      <c r="J4106">
        <v>2</v>
      </c>
      <c r="K4106" s="2">
        <v>21.42</v>
      </c>
      <c r="L4106" s="3">
        <f>(Table1[[#This Row],[Profit]]/Table1[[#This Row],[Sales]])*100</f>
        <v>15.773195876288659</v>
      </c>
    </row>
    <row r="4107" spans="1:12" x14ac:dyDescent="0.3">
      <c r="A4107" t="s">
        <v>4559</v>
      </c>
      <c r="B4107" s="1">
        <v>43951</v>
      </c>
      <c r="C4107" t="s">
        <v>2435</v>
      </c>
      <c r="D4107" t="s">
        <v>2436</v>
      </c>
      <c r="E4107" t="s">
        <v>14</v>
      </c>
      <c r="F4107" t="s">
        <v>23</v>
      </c>
      <c r="G4107" t="s">
        <v>16</v>
      </c>
      <c r="H4107" t="s">
        <v>4563</v>
      </c>
      <c r="I4107" s="2">
        <v>151.96</v>
      </c>
      <c r="J4107">
        <v>2</v>
      </c>
      <c r="K4107" s="2">
        <v>21.436800000000002</v>
      </c>
      <c r="L4107" s="3">
        <f>(Table1[[#This Row],[Profit]]/Table1[[#This Row],[Sales]])*100</f>
        <v>14.106870229007635</v>
      </c>
    </row>
    <row r="4108" spans="1:12" x14ac:dyDescent="0.3">
      <c r="A4108" t="s">
        <v>4131</v>
      </c>
      <c r="B4108" s="1">
        <v>43874</v>
      </c>
      <c r="C4108" t="s">
        <v>4132</v>
      </c>
      <c r="D4108" t="s">
        <v>4133</v>
      </c>
      <c r="E4108" t="s">
        <v>14</v>
      </c>
      <c r="F4108" t="s">
        <v>23</v>
      </c>
      <c r="G4108" t="s">
        <v>16</v>
      </c>
      <c r="H4108" t="s">
        <v>135</v>
      </c>
      <c r="I4108" s="2">
        <v>120.53</v>
      </c>
      <c r="J4108">
        <v>1</v>
      </c>
      <c r="K4108" s="2">
        <v>21.506</v>
      </c>
      <c r="L4108" s="3">
        <f>(Table1[[#This Row],[Profit]]/Table1[[#This Row],[Sales]])*100</f>
        <v>17.842860698581266</v>
      </c>
    </row>
    <row r="4109" spans="1:12" x14ac:dyDescent="0.3">
      <c r="A4109" t="s">
        <v>1242</v>
      </c>
      <c r="B4109" s="1">
        <v>43590</v>
      </c>
      <c r="C4109" t="s">
        <v>1243</v>
      </c>
      <c r="D4109" t="s">
        <v>1244</v>
      </c>
      <c r="E4109" t="s">
        <v>14</v>
      </c>
      <c r="F4109" t="s">
        <v>23</v>
      </c>
      <c r="G4109" t="s">
        <v>18</v>
      </c>
      <c r="H4109" t="s">
        <v>1246</v>
      </c>
      <c r="I4109" s="2">
        <v>246.16800000000001</v>
      </c>
      <c r="J4109">
        <v>3</v>
      </c>
      <c r="K4109" s="2">
        <v>21.5397</v>
      </c>
      <c r="L4109" s="3">
        <f>(Table1[[#This Row],[Profit]]/Table1[[#This Row],[Sales]])*100</f>
        <v>8.75</v>
      </c>
    </row>
    <row r="4110" spans="1:12" x14ac:dyDescent="0.3">
      <c r="A4110" t="s">
        <v>5858</v>
      </c>
      <c r="B4110" s="1">
        <v>44146</v>
      </c>
      <c r="C4110" t="s">
        <v>118</v>
      </c>
      <c r="D4110" t="s">
        <v>119</v>
      </c>
      <c r="E4110" t="s">
        <v>14</v>
      </c>
      <c r="F4110" t="s">
        <v>29</v>
      </c>
      <c r="G4110" t="s">
        <v>24</v>
      </c>
      <c r="H4110" t="s">
        <v>4141</v>
      </c>
      <c r="I4110" s="2">
        <v>133.91999999999999</v>
      </c>
      <c r="J4110">
        <v>4</v>
      </c>
      <c r="K4110" s="2">
        <v>21.5824</v>
      </c>
      <c r="L4110" s="3">
        <f>(Table1[[#This Row],[Profit]]/Table1[[#This Row],[Sales]])*100</f>
        <v>16.115890083632021</v>
      </c>
    </row>
    <row r="4111" spans="1:12" x14ac:dyDescent="0.3">
      <c r="A4111" t="s">
        <v>423</v>
      </c>
      <c r="B4111" s="1">
        <v>43519</v>
      </c>
      <c r="C4111" t="s">
        <v>424</v>
      </c>
      <c r="D4111" t="s">
        <v>425</v>
      </c>
      <c r="E4111" t="s">
        <v>14</v>
      </c>
      <c r="F4111" t="s">
        <v>15</v>
      </c>
      <c r="G4111" t="s">
        <v>24</v>
      </c>
      <c r="H4111" t="s">
        <v>426</v>
      </c>
      <c r="I4111" s="2">
        <v>57.576000000000001</v>
      </c>
      <c r="J4111">
        <v>3</v>
      </c>
      <c r="K4111" s="2">
        <v>21.591000000000001</v>
      </c>
      <c r="L4111" s="3">
        <f>(Table1[[#This Row],[Profit]]/Table1[[#This Row],[Sales]])*100</f>
        <v>37.5</v>
      </c>
    </row>
    <row r="4112" spans="1:12" x14ac:dyDescent="0.3">
      <c r="A4112" t="s">
        <v>6152</v>
      </c>
      <c r="B4112" s="1">
        <v>44174</v>
      </c>
      <c r="C4112" t="s">
        <v>27</v>
      </c>
      <c r="D4112" t="s">
        <v>28</v>
      </c>
      <c r="E4112" t="s">
        <v>14</v>
      </c>
      <c r="F4112" t="s">
        <v>15</v>
      </c>
      <c r="G4112" t="s">
        <v>24</v>
      </c>
      <c r="H4112" t="s">
        <v>426</v>
      </c>
      <c r="I4112" s="2">
        <v>157.57599999999999</v>
      </c>
      <c r="J4112">
        <v>3</v>
      </c>
      <c r="K4112" s="2">
        <v>21.591000000000001</v>
      </c>
      <c r="L4112" s="3">
        <f>(Table1[[#This Row],[Profit]]/Table1[[#This Row],[Sales]])*100</f>
        <v>13.701959689292787</v>
      </c>
    </row>
    <row r="4113" spans="1:12" x14ac:dyDescent="0.3">
      <c r="A4113" t="s">
        <v>177</v>
      </c>
      <c r="B4113" s="1">
        <v>43488</v>
      </c>
      <c r="C4113" t="s">
        <v>178</v>
      </c>
      <c r="D4113" t="s">
        <v>179</v>
      </c>
      <c r="E4113" t="s">
        <v>14</v>
      </c>
      <c r="F4113" t="s">
        <v>23</v>
      </c>
      <c r="G4113" t="s">
        <v>16</v>
      </c>
      <c r="H4113" t="s">
        <v>180</v>
      </c>
      <c r="I4113" s="2">
        <v>59.99</v>
      </c>
      <c r="J4113">
        <v>7</v>
      </c>
      <c r="K4113" s="2">
        <v>21.596399999999999</v>
      </c>
      <c r="L4113" s="3">
        <f>(Table1[[#This Row],[Profit]]/Table1[[#This Row],[Sales]])*100</f>
        <v>36</v>
      </c>
    </row>
    <row r="4114" spans="1:12" x14ac:dyDescent="0.3">
      <c r="A4114" t="s">
        <v>3160</v>
      </c>
      <c r="B4114" s="1">
        <v>43762</v>
      </c>
      <c r="C4114" t="s">
        <v>3138</v>
      </c>
      <c r="D4114" t="s">
        <v>3139</v>
      </c>
      <c r="E4114" t="s">
        <v>14</v>
      </c>
      <c r="F4114" t="s">
        <v>23</v>
      </c>
      <c r="G4114" t="s">
        <v>18</v>
      </c>
      <c r="H4114" t="s">
        <v>1231</v>
      </c>
      <c r="I4114" s="2">
        <v>359.98</v>
      </c>
      <c r="J4114">
        <v>2</v>
      </c>
      <c r="K4114" s="2">
        <v>21.598800000000001</v>
      </c>
      <c r="L4114" s="3">
        <f>(Table1[[#This Row],[Profit]]/Table1[[#This Row],[Sales]])*100</f>
        <v>6</v>
      </c>
    </row>
    <row r="4115" spans="1:12" x14ac:dyDescent="0.3">
      <c r="A4115" t="s">
        <v>2023</v>
      </c>
      <c r="B4115" s="1">
        <v>43660</v>
      </c>
      <c r="C4115" t="s">
        <v>2024</v>
      </c>
      <c r="D4115" t="s">
        <v>2025</v>
      </c>
      <c r="E4115" t="s">
        <v>14</v>
      </c>
      <c r="F4115" t="s">
        <v>15</v>
      </c>
      <c r="G4115" t="s">
        <v>16</v>
      </c>
      <c r="H4115" t="s">
        <v>1924</v>
      </c>
      <c r="I4115" s="2">
        <v>579.13599999999997</v>
      </c>
      <c r="J4115">
        <v>4</v>
      </c>
      <c r="K4115" s="2">
        <v>21.717600000000001</v>
      </c>
      <c r="L4115" s="3">
        <f>(Table1[[#This Row],[Profit]]/Table1[[#This Row],[Sales]])*100</f>
        <v>3.7500000000000004</v>
      </c>
    </row>
    <row r="4116" spans="1:12" x14ac:dyDescent="0.3">
      <c r="A4116" t="s">
        <v>2669</v>
      </c>
      <c r="B4116" s="1">
        <v>43716</v>
      </c>
      <c r="C4116" t="s">
        <v>84</v>
      </c>
      <c r="D4116" t="s">
        <v>85</v>
      </c>
      <c r="E4116" t="s">
        <v>14</v>
      </c>
      <c r="F4116" t="s">
        <v>29</v>
      </c>
      <c r="G4116" t="s">
        <v>18</v>
      </c>
      <c r="H4116" t="s">
        <v>2670</v>
      </c>
      <c r="I4116" s="2">
        <v>59.96</v>
      </c>
      <c r="J4116">
        <v>5</v>
      </c>
      <c r="K4116" s="2">
        <v>21.735499999999998</v>
      </c>
      <c r="L4116" s="3">
        <f>(Table1[[#This Row],[Profit]]/Table1[[#This Row],[Sales]])*100</f>
        <v>36.25</v>
      </c>
    </row>
    <row r="4117" spans="1:12" x14ac:dyDescent="0.3">
      <c r="A4117" t="s">
        <v>2899</v>
      </c>
      <c r="B4117" s="1">
        <v>43732</v>
      </c>
      <c r="C4117" t="s">
        <v>1839</v>
      </c>
      <c r="D4117" t="s">
        <v>1840</v>
      </c>
      <c r="E4117" t="s">
        <v>14</v>
      </c>
      <c r="F4117" t="s">
        <v>29</v>
      </c>
      <c r="G4117" t="s">
        <v>16</v>
      </c>
      <c r="H4117" t="s">
        <v>531</v>
      </c>
      <c r="I4117" s="2">
        <v>127.95</v>
      </c>
      <c r="J4117">
        <v>3</v>
      </c>
      <c r="K4117" s="2">
        <v>21.7515</v>
      </c>
      <c r="L4117" s="3">
        <f>(Table1[[#This Row],[Profit]]/Table1[[#This Row],[Sales]])*100</f>
        <v>17</v>
      </c>
    </row>
    <row r="4118" spans="1:12" x14ac:dyDescent="0.3">
      <c r="A4118" t="s">
        <v>4400</v>
      </c>
      <c r="B4118" s="1">
        <v>43922</v>
      </c>
      <c r="C4118" t="s">
        <v>1288</v>
      </c>
      <c r="D4118" t="s">
        <v>1289</v>
      </c>
      <c r="E4118" t="s">
        <v>14</v>
      </c>
      <c r="F4118" t="s">
        <v>41</v>
      </c>
      <c r="G4118" t="s">
        <v>16</v>
      </c>
      <c r="H4118" t="s">
        <v>531</v>
      </c>
      <c r="I4118" s="2">
        <v>158.94999999999999</v>
      </c>
      <c r="J4118">
        <v>3</v>
      </c>
      <c r="K4118" s="2">
        <v>21.7515</v>
      </c>
      <c r="L4118" s="3">
        <f>(Table1[[#This Row],[Profit]]/Table1[[#This Row],[Sales]])*100</f>
        <v>13.684491978609625</v>
      </c>
    </row>
    <row r="4119" spans="1:12" x14ac:dyDescent="0.3">
      <c r="A4119" t="s">
        <v>1506</v>
      </c>
      <c r="B4119" s="1">
        <v>43611</v>
      </c>
      <c r="C4119" t="s">
        <v>1507</v>
      </c>
      <c r="D4119" t="s">
        <v>1508</v>
      </c>
      <c r="E4119" t="s">
        <v>14</v>
      </c>
      <c r="F4119" t="s">
        <v>23</v>
      </c>
      <c r="G4119" t="s">
        <v>24</v>
      </c>
      <c r="H4119" t="s">
        <v>1510</v>
      </c>
      <c r="I4119" s="2">
        <v>45.36</v>
      </c>
      <c r="J4119">
        <v>7</v>
      </c>
      <c r="K4119" s="2">
        <v>21.7728</v>
      </c>
      <c r="L4119" s="3">
        <f>(Table1[[#This Row],[Profit]]/Table1[[#This Row],[Sales]])*100</f>
        <v>48</v>
      </c>
    </row>
    <row r="4120" spans="1:12" x14ac:dyDescent="0.3">
      <c r="A4120" t="s">
        <v>1576</v>
      </c>
      <c r="B4120" s="1">
        <v>43615</v>
      </c>
      <c r="C4120" t="s">
        <v>1577</v>
      </c>
      <c r="D4120" t="s">
        <v>1578</v>
      </c>
      <c r="E4120" t="s">
        <v>14</v>
      </c>
      <c r="F4120" t="s">
        <v>29</v>
      </c>
      <c r="G4120" t="s">
        <v>24</v>
      </c>
      <c r="H4120" t="s">
        <v>1582</v>
      </c>
      <c r="I4120" s="2">
        <v>45.36</v>
      </c>
      <c r="J4120">
        <v>7</v>
      </c>
      <c r="K4120" s="2">
        <v>21.7728</v>
      </c>
      <c r="L4120" s="3">
        <f>(Table1[[#This Row],[Profit]]/Table1[[#This Row],[Sales]])*100</f>
        <v>48</v>
      </c>
    </row>
    <row r="4121" spans="1:12" x14ac:dyDescent="0.3">
      <c r="A4121" t="s">
        <v>3725</v>
      </c>
      <c r="B4121" s="1">
        <v>43807</v>
      </c>
      <c r="C4121" t="s">
        <v>3726</v>
      </c>
      <c r="D4121" t="s">
        <v>3727</v>
      </c>
      <c r="E4121" t="s">
        <v>14</v>
      </c>
      <c r="F4121" t="s">
        <v>23</v>
      </c>
      <c r="G4121" t="s">
        <v>24</v>
      </c>
      <c r="H4121" t="s">
        <v>3737</v>
      </c>
      <c r="I4121" s="2">
        <v>45.36</v>
      </c>
      <c r="J4121">
        <v>7</v>
      </c>
      <c r="K4121" s="2">
        <v>21.7728</v>
      </c>
      <c r="L4121" s="3">
        <f>(Table1[[#This Row],[Profit]]/Table1[[#This Row],[Sales]])*100</f>
        <v>48</v>
      </c>
    </row>
    <row r="4122" spans="1:12" x14ac:dyDescent="0.3">
      <c r="A4122" t="s">
        <v>3898</v>
      </c>
      <c r="B4122" s="1">
        <v>43824</v>
      </c>
      <c r="C4122" t="s">
        <v>1130</v>
      </c>
      <c r="D4122" t="s">
        <v>1131</v>
      </c>
      <c r="E4122" t="s">
        <v>14</v>
      </c>
      <c r="F4122" t="s">
        <v>23</v>
      </c>
      <c r="G4122" t="s">
        <v>24</v>
      </c>
      <c r="H4122" t="s">
        <v>723</v>
      </c>
      <c r="I4122" s="2">
        <v>45.36</v>
      </c>
      <c r="J4122">
        <v>7</v>
      </c>
      <c r="K4122" s="2">
        <v>21.7728</v>
      </c>
      <c r="L4122" s="3">
        <f>(Table1[[#This Row],[Profit]]/Table1[[#This Row],[Sales]])*100</f>
        <v>48</v>
      </c>
    </row>
    <row r="4123" spans="1:12" x14ac:dyDescent="0.3">
      <c r="A4123" t="s">
        <v>4257</v>
      </c>
      <c r="B4123" s="1">
        <v>43903</v>
      </c>
      <c r="C4123" t="s">
        <v>1677</v>
      </c>
      <c r="D4123" t="s">
        <v>1678</v>
      </c>
      <c r="E4123" t="s">
        <v>14</v>
      </c>
      <c r="F4123" t="s">
        <v>23</v>
      </c>
      <c r="G4123" t="s">
        <v>24</v>
      </c>
      <c r="H4123" t="s">
        <v>1647</v>
      </c>
      <c r="I4123" s="2">
        <v>124.36</v>
      </c>
      <c r="J4123">
        <v>7</v>
      </c>
      <c r="K4123" s="2">
        <v>21.7728</v>
      </c>
      <c r="L4123" s="3">
        <f>(Table1[[#This Row],[Profit]]/Table1[[#This Row],[Sales]])*100</f>
        <v>17.507880347378581</v>
      </c>
    </row>
    <row r="4124" spans="1:12" x14ac:dyDescent="0.3">
      <c r="A4124" t="s">
        <v>5380</v>
      </c>
      <c r="B4124" s="1">
        <v>44086</v>
      </c>
      <c r="C4124" t="s">
        <v>2435</v>
      </c>
      <c r="D4124" t="s">
        <v>2436</v>
      </c>
      <c r="E4124" t="s">
        <v>14</v>
      </c>
      <c r="F4124" t="s">
        <v>15</v>
      </c>
      <c r="G4124" t="s">
        <v>24</v>
      </c>
      <c r="H4124" t="s">
        <v>1105</v>
      </c>
      <c r="I4124" s="2">
        <v>138.36000000000001</v>
      </c>
      <c r="J4124">
        <v>7</v>
      </c>
      <c r="K4124" s="2">
        <v>21.7728</v>
      </c>
      <c r="L4124" s="3">
        <f>(Table1[[#This Row],[Profit]]/Table1[[#This Row],[Sales]])*100</f>
        <v>15.736339982653943</v>
      </c>
    </row>
    <row r="4125" spans="1:12" x14ac:dyDescent="0.3">
      <c r="A4125" t="s">
        <v>6065</v>
      </c>
      <c r="B4125" s="1">
        <v>44166</v>
      </c>
      <c r="C4125" t="s">
        <v>4837</v>
      </c>
      <c r="D4125" t="s">
        <v>4838</v>
      </c>
      <c r="E4125" t="s">
        <v>14</v>
      </c>
      <c r="F4125" t="s">
        <v>23</v>
      </c>
      <c r="G4125" t="s">
        <v>24</v>
      </c>
      <c r="H4125" t="s">
        <v>2934</v>
      </c>
      <c r="I4125" s="2">
        <v>130.36000000000001</v>
      </c>
      <c r="J4125">
        <v>7</v>
      </c>
      <c r="K4125" s="2">
        <v>21.7728</v>
      </c>
      <c r="L4125" s="3">
        <f>(Table1[[#This Row],[Profit]]/Table1[[#This Row],[Sales]])*100</f>
        <v>16.702055845351332</v>
      </c>
    </row>
    <row r="4126" spans="1:12" x14ac:dyDescent="0.3">
      <c r="A4126" t="s">
        <v>1760</v>
      </c>
      <c r="B4126" s="1">
        <v>43632</v>
      </c>
      <c r="C4126" t="s">
        <v>1013</v>
      </c>
      <c r="D4126" t="s">
        <v>1014</v>
      </c>
      <c r="E4126" t="s">
        <v>14</v>
      </c>
      <c r="F4126" t="s">
        <v>23</v>
      </c>
      <c r="G4126" t="s">
        <v>24</v>
      </c>
      <c r="H4126" t="s">
        <v>865</v>
      </c>
      <c r="I4126" s="2">
        <v>46.35</v>
      </c>
      <c r="J4126">
        <v>5</v>
      </c>
      <c r="K4126" s="2">
        <v>21.784500000000001</v>
      </c>
      <c r="L4126" s="3">
        <f>(Table1[[#This Row],[Profit]]/Table1[[#This Row],[Sales]])*100</f>
        <v>47</v>
      </c>
    </row>
    <row r="4127" spans="1:12" x14ac:dyDescent="0.3">
      <c r="A4127" t="s">
        <v>3841</v>
      </c>
      <c r="B4127" s="1">
        <v>43817</v>
      </c>
      <c r="C4127" t="s">
        <v>3175</v>
      </c>
      <c r="D4127" t="s">
        <v>3176</v>
      </c>
      <c r="E4127" t="s">
        <v>14</v>
      </c>
      <c r="F4127" t="s">
        <v>23</v>
      </c>
      <c r="G4127" t="s">
        <v>18</v>
      </c>
      <c r="H4127" t="s">
        <v>1297</v>
      </c>
      <c r="I4127" s="2">
        <v>72.64</v>
      </c>
      <c r="J4127">
        <v>2</v>
      </c>
      <c r="K4127" s="2">
        <v>21.792000000000002</v>
      </c>
      <c r="L4127" s="3">
        <f>(Table1[[#This Row],[Profit]]/Table1[[#This Row],[Sales]])*100</f>
        <v>30.000000000000004</v>
      </c>
    </row>
    <row r="4128" spans="1:12" x14ac:dyDescent="0.3">
      <c r="A4128" t="s">
        <v>5450</v>
      </c>
      <c r="B4128" s="1">
        <v>44094</v>
      </c>
      <c r="C4128" t="s">
        <v>1698</v>
      </c>
      <c r="D4128" t="s">
        <v>1699</v>
      </c>
      <c r="E4128" t="s">
        <v>14</v>
      </c>
      <c r="F4128" t="s">
        <v>15</v>
      </c>
      <c r="G4128" t="s">
        <v>18</v>
      </c>
      <c r="H4128" t="s">
        <v>1297</v>
      </c>
      <c r="I4128" s="2">
        <v>113.64</v>
      </c>
      <c r="J4128">
        <v>2</v>
      </c>
      <c r="K4128" s="2">
        <v>21.792000000000002</v>
      </c>
      <c r="L4128" s="3">
        <f>(Table1[[#This Row],[Profit]]/Table1[[#This Row],[Sales]])*100</f>
        <v>19.176346356916579</v>
      </c>
    </row>
    <row r="4129" spans="1:12" x14ac:dyDescent="0.3">
      <c r="A4129" t="s">
        <v>5562</v>
      </c>
      <c r="B4129" s="1">
        <v>44107</v>
      </c>
      <c r="C4129" t="s">
        <v>133</v>
      </c>
      <c r="D4129" t="s">
        <v>134</v>
      </c>
      <c r="E4129" t="s">
        <v>14</v>
      </c>
      <c r="F4129" t="s">
        <v>15</v>
      </c>
      <c r="G4129" t="s">
        <v>16</v>
      </c>
      <c r="H4129" t="s">
        <v>3387</v>
      </c>
      <c r="I4129" s="2">
        <v>118.92</v>
      </c>
      <c r="J4129">
        <v>4</v>
      </c>
      <c r="K4129" s="2">
        <v>21.819199999999999</v>
      </c>
      <c r="L4129" s="3">
        <f>(Table1[[#This Row],[Profit]]/Table1[[#This Row],[Sales]])*100</f>
        <v>18.347796838210563</v>
      </c>
    </row>
    <row r="4130" spans="1:12" x14ac:dyDescent="0.3">
      <c r="A4130" t="s">
        <v>3467</v>
      </c>
      <c r="B4130" s="1">
        <v>43788</v>
      </c>
      <c r="C4130" t="s">
        <v>128</v>
      </c>
      <c r="D4130" t="s">
        <v>129</v>
      </c>
      <c r="E4130" t="s">
        <v>14</v>
      </c>
      <c r="F4130" t="s">
        <v>29</v>
      </c>
      <c r="G4130" t="s">
        <v>24</v>
      </c>
      <c r="H4130" t="s">
        <v>449</v>
      </c>
      <c r="I4130" s="2">
        <v>58.368000000000002</v>
      </c>
      <c r="J4130">
        <v>12</v>
      </c>
      <c r="K4130" s="2">
        <v>21.888000000000002</v>
      </c>
      <c r="L4130" s="3">
        <f>(Table1[[#This Row],[Profit]]/Table1[[#This Row],[Sales]])*100</f>
        <v>37.5</v>
      </c>
    </row>
    <row r="4131" spans="1:12" x14ac:dyDescent="0.3">
      <c r="A4131" t="s">
        <v>4443</v>
      </c>
      <c r="B4131" s="1">
        <v>43931</v>
      </c>
      <c r="C4131" t="s">
        <v>3631</v>
      </c>
      <c r="D4131" t="s">
        <v>3632</v>
      </c>
      <c r="E4131" t="s">
        <v>14</v>
      </c>
      <c r="F4131" t="s">
        <v>15</v>
      </c>
      <c r="G4131" t="s">
        <v>24</v>
      </c>
      <c r="H4131" t="s">
        <v>2177</v>
      </c>
      <c r="I4131" s="2">
        <v>240.10400000000001</v>
      </c>
      <c r="J4131">
        <v>4</v>
      </c>
      <c r="K4131" s="2">
        <v>21.949200000000001</v>
      </c>
      <c r="L4131" s="3">
        <f>(Table1[[#This Row],[Profit]]/Table1[[#This Row],[Sales]])*100</f>
        <v>9.1415386665778158</v>
      </c>
    </row>
    <row r="4132" spans="1:12" x14ac:dyDescent="0.3">
      <c r="A4132" t="s">
        <v>1280</v>
      </c>
      <c r="B4132" s="1">
        <v>43592</v>
      </c>
      <c r="C4132" t="s">
        <v>565</v>
      </c>
      <c r="D4132" t="s">
        <v>566</v>
      </c>
      <c r="E4132" t="s">
        <v>14</v>
      </c>
      <c r="F4132" t="s">
        <v>15</v>
      </c>
      <c r="G4132" t="s">
        <v>18</v>
      </c>
      <c r="H4132" t="s">
        <v>1285</v>
      </c>
      <c r="I4132" s="2">
        <v>199.95</v>
      </c>
      <c r="J4132">
        <v>5</v>
      </c>
      <c r="K4132" s="2">
        <v>21.994499999999999</v>
      </c>
      <c r="L4132" s="3">
        <f>(Table1[[#This Row],[Profit]]/Table1[[#This Row],[Sales]])*100</f>
        <v>11</v>
      </c>
    </row>
    <row r="4133" spans="1:12" x14ac:dyDescent="0.3">
      <c r="A4133" t="s">
        <v>4448</v>
      </c>
      <c r="B4133" s="1">
        <v>43932</v>
      </c>
      <c r="C4133" t="s">
        <v>1408</v>
      </c>
      <c r="D4133" t="s">
        <v>1409</v>
      </c>
      <c r="E4133" t="s">
        <v>14</v>
      </c>
      <c r="F4133" t="s">
        <v>23</v>
      </c>
      <c r="G4133" t="s">
        <v>18</v>
      </c>
      <c r="H4133" t="s">
        <v>1285</v>
      </c>
      <c r="I4133" s="2">
        <v>225.95</v>
      </c>
      <c r="J4133">
        <v>5</v>
      </c>
      <c r="K4133" s="2">
        <v>21.994499999999999</v>
      </c>
      <c r="L4133" s="3">
        <f>(Table1[[#This Row],[Profit]]/Table1[[#This Row],[Sales]])*100</f>
        <v>9.7342332374419129</v>
      </c>
    </row>
    <row r="4134" spans="1:12" x14ac:dyDescent="0.3">
      <c r="A4134" t="s">
        <v>5545</v>
      </c>
      <c r="B4134" s="1">
        <v>44105</v>
      </c>
      <c r="C4134" t="s">
        <v>1107</v>
      </c>
      <c r="D4134" t="s">
        <v>1108</v>
      </c>
      <c r="E4134" t="s">
        <v>14</v>
      </c>
      <c r="F4134" t="s">
        <v>23</v>
      </c>
      <c r="G4134" t="s">
        <v>18</v>
      </c>
      <c r="H4134" t="s">
        <v>5020</v>
      </c>
      <c r="I4134" s="2">
        <v>146.75</v>
      </c>
      <c r="J4134">
        <v>5</v>
      </c>
      <c r="K4134" s="2">
        <v>21.997499999999999</v>
      </c>
      <c r="L4134" s="3">
        <f>(Table1[[#This Row],[Profit]]/Table1[[#This Row],[Sales]])*100</f>
        <v>14.989778534923337</v>
      </c>
    </row>
    <row r="4135" spans="1:12" x14ac:dyDescent="0.3">
      <c r="A4135" t="s">
        <v>5120</v>
      </c>
      <c r="B4135" s="1">
        <v>44050</v>
      </c>
      <c r="C4135" t="s">
        <v>352</v>
      </c>
      <c r="D4135" t="s">
        <v>353</v>
      </c>
      <c r="E4135" t="s">
        <v>14</v>
      </c>
      <c r="F4135" t="s">
        <v>41</v>
      </c>
      <c r="G4135" t="s">
        <v>18</v>
      </c>
      <c r="H4135" t="s">
        <v>2432</v>
      </c>
      <c r="I4135" s="2">
        <v>100.992</v>
      </c>
      <c r="J4135">
        <v>1</v>
      </c>
      <c r="K4135" s="2">
        <v>21.997800000000002</v>
      </c>
      <c r="L4135" s="3">
        <f>(Table1[[#This Row],[Profit]]/Table1[[#This Row],[Sales]])*100</f>
        <v>21.781725285171103</v>
      </c>
    </row>
    <row r="4136" spans="1:12" x14ac:dyDescent="0.3">
      <c r="A4136" t="s">
        <v>6159</v>
      </c>
      <c r="B4136" s="1">
        <v>44175</v>
      </c>
      <c r="C4136" t="s">
        <v>1935</v>
      </c>
      <c r="D4136" t="s">
        <v>1936</v>
      </c>
      <c r="E4136" t="s">
        <v>14</v>
      </c>
      <c r="F4136" t="s">
        <v>41</v>
      </c>
      <c r="G4136" t="s">
        <v>24</v>
      </c>
      <c r="H4136" t="s">
        <v>5200</v>
      </c>
      <c r="I4136" s="2">
        <v>354.84</v>
      </c>
      <c r="J4136">
        <v>8</v>
      </c>
      <c r="K4136" s="2">
        <v>22.0032</v>
      </c>
      <c r="L4136" s="3">
        <f>(Table1[[#This Row],[Profit]]/Table1[[#This Row],[Sales]])*100</f>
        <v>6.2008792695299286</v>
      </c>
    </row>
    <row r="4137" spans="1:12" x14ac:dyDescent="0.3">
      <c r="A4137" t="s">
        <v>4616</v>
      </c>
      <c r="B4137" s="1">
        <v>43960</v>
      </c>
      <c r="C4137" t="s">
        <v>3498</v>
      </c>
      <c r="D4137" t="s">
        <v>3499</v>
      </c>
      <c r="E4137" t="s">
        <v>14</v>
      </c>
      <c r="F4137" t="s">
        <v>41</v>
      </c>
      <c r="G4137" t="s">
        <v>24</v>
      </c>
      <c r="H4137" t="s">
        <v>2246</v>
      </c>
      <c r="I4137" s="2">
        <v>134.232</v>
      </c>
      <c r="J4137">
        <v>3</v>
      </c>
      <c r="K4137" s="2">
        <v>22.015799999999999</v>
      </c>
      <c r="L4137" s="3">
        <f>(Table1[[#This Row],[Profit]]/Table1[[#This Row],[Sales]])*100</f>
        <v>16.401305202932235</v>
      </c>
    </row>
    <row r="4138" spans="1:12" x14ac:dyDescent="0.3">
      <c r="A4138" t="s">
        <v>856</v>
      </c>
      <c r="B4138" s="1">
        <v>43558</v>
      </c>
      <c r="C4138" t="s">
        <v>857</v>
      </c>
      <c r="D4138" t="s">
        <v>858</v>
      </c>
      <c r="E4138" t="s">
        <v>14</v>
      </c>
      <c r="F4138" t="s">
        <v>29</v>
      </c>
      <c r="G4138" t="s">
        <v>16</v>
      </c>
      <c r="H4138" t="s">
        <v>859</v>
      </c>
      <c r="I4138" s="2">
        <v>71.12</v>
      </c>
      <c r="J4138">
        <v>4</v>
      </c>
      <c r="K4138" s="2">
        <v>22.0472</v>
      </c>
      <c r="L4138" s="3">
        <f>(Table1[[#This Row],[Profit]]/Table1[[#This Row],[Sales]])*100</f>
        <v>31</v>
      </c>
    </row>
    <row r="4139" spans="1:12" x14ac:dyDescent="0.3">
      <c r="A4139" t="s">
        <v>5862</v>
      </c>
      <c r="B4139" s="1">
        <v>44147</v>
      </c>
      <c r="C4139" t="s">
        <v>3425</v>
      </c>
      <c r="D4139" t="s">
        <v>3426</v>
      </c>
      <c r="E4139" t="s">
        <v>14</v>
      </c>
      <c r="F4139" t="s">
        <v>23</v>
      </c>
      <c r="G4139" t="s">
        <v>24</v>
      </c>
      <c r="H4139" t="s">
        <v>3977</v>
      </c>
      <c r="I4139" s="2">
        <v>126.12</v>
      </c>
      <c r="J4139">
        <v>2</v>
      </c>
      <c r="K4139" s="2">
        <v>22.0748</v>
      </c>
      <c r="L4139" s="3">
        <f>(Table1[[#This Row],[Profit]]/Table1[[#This Row],[Sales]])*100</f>
        <v>17.503013003488739</v>
      </c>
    </row>
    <row r="4140" spans="1:12" x14ac:dyDescent="0.3">
      <c r="A4140" t="s">
        <v>4384</v>
      </c>
      <c r="B4140" s="1">
        <v>43921</v>
      </c>
      <c r="C4140" t="s">
        <v>1391</v>
      </c>
      <c r="D4140" t="s">
        <v>1392</v>
      </c>
      <c r="E4140" t="s">
        <v>14</v>
      </c>
      <c r="F4140" t="s">
        <v>15</v>
      </c>
      <c r="G4140" t="s">
        <v>18</v>
      </c>
      <c r="H4140" t="s">
        <v>4385</v>
      </c>
      <c r="I4140" s="2">
        <v>124.95</v>
      </c>
      <c r="J4140">
        <v>5</v>
      </c>
      <c r="K4140" s="2">
        <v>22.087</v>
      </c>
      <c r="L4140" s="3">
        <f>(Table1[[#This Row],[Profit]]/Table1[[#This Row],[Sales]])*100</f>
        <v>17.676670668267306</v>
      </c>
    </row>
    <row r="4141" spans="1:12" x14ac:dyDescent="0.3">
      <c r="A4141" t="s">
        <v>4329</v>
      </c>
      <c r="B4141" s="1">
        <v>43914</v>
      </c>
      <c r="C4141" t="s">
        <v>4330</v>
      </c>
      <c r="D4141" t="s">
        <v>4331</v>
      </c>
      <c r="E4141" t="s">
        <v>14</v>
      </c>
      <c r="F4141" t="s">
        <v>15</v>
      </c>
      <c r="G4141" t="s">
        <v>24</v>
      </c>
      <c r="H4141" t="s">
        <v>247</v>
      </c>
      <c r="I4141" s="2">
        <v>152.01</v>
      </c>
      <c r="J4141">
        <v>3</v>
      </c>
      <c r="K4141" s="2">
        <v>22.0947</v>
      </c>
      <c r="L4141" s="3">
        <f>(Table1[[#This Row],[Profit]]/Table1[[#This Row],[Sales]])*100</f>
        <v>14.535030590092756</v>
      </c>
    </row>
    <row r="4142" spans="1:12" x14ac:dyDescent="0.3">
      <c r="A4142" t="s">
        <v>4183</v>
      </c>
      <c r="B4142" s="1">
        <v>43887</v>
      </c>
      <c r="C4142" t="s">
        <v>169</v>
      </c>
      <c r="D4142" t="s">
        <v>170</v>
      </c>
      <c r="E4142" t="s">
        <v>14</v>
      </c>
      <c r="F4142" t="s">
        <v>23</v>
      </c>
      <c r="G4142" t="s">
        <v>24</v>
      </c>
      <c r="H4142" t="s">
        <v>2991</v>
      </c>
      <c r="I4142" s="2">
        <v>110.92</v>
      </c>
      <c r="J4142">
        <v>4</v>
      </c>
      <c r="K4142" s="2">
        <v>22.118400000000001</v>
      </c>
      <c r="L4142" s="3">
        <f>(Table1[[#This Row],[Profit]]/Table1[[#This Row],[Sales]])*100</f>
        <v>19.940858276235122</v>
      </c>
    </row>
    <row r="4143" spans="1:12" x14ac:dyDescent="0.3">
      <c r="A4143" t="s">
        <v>2560</v>
      </c>
      <c r="B4143" s="1">
        <v>43711</v>
      </c>
      <c r="C4143" t="s">
        <v>956</v>
      </c>
      <c r="D4143" t="s">
        <v>957</v>
      </c>
      <c r="E4143" t="s">
        <v>14</v>
      </c>
      <c r="F4143" t="s">
        <v>15</v>
      </c>
      <c r="G4143" t="s">
        <v>24</v>
      </c>
      <c r="H4143" t="s">
        <v>912</v>
      </c>
      <c r="I4143" s="2">
        <v>48.16</v>
      </c>
      <c r="J4143">
        <v>7</v>
      </c>
      <c r="K4143" s="2">
        <v>22.153600000000001</v>
      </c>
      <c r="L4143" s="3">
        <f>(Table1[[#This Row],[Profit]]/Table1[[#This Row],[Sales]])*100</f>
        <v>46.000000000000007</v>
      </c>
    </row>
    <row r="4144" spans="1:12" x14ac:dyDescent="0.3">
      <c r="A4144" t="s">
        <v>3462</v>
      </c>
      <c r="B4144" s="1">
        <v>43787</v>
      </c>
      <c r="C4144" t="s">
        <v>314</v>
      </c>
      <c r="D4144" t="s">
        <v>315</v>
      </c>
      <c r="E4144" t="s">
        <v>14</v>
      </c>
      <c r="F4144" t="s">
        <v>23</v>
      </c>
      <c r="G4144" t="s">
        <v>24</v>
      </c>
      <c r="H4144" t="s">
        <v>3463</v>
      </c>
      <c r="I4144" s="2">
        <v>61.12</v>
      </c>
      <c r="J4144">
        <v>5</v>
      </c>
      <c r="K4144" s="2">
        <v>22.155999999999999</v>
      </c>
      <c r="L4144" s="3">
        <f>(Table1[[#This Row],[Profit]]/Table1[[#This Row],[Sales]])*100</f>
        <v>36.25</v>
      </c>
    </row>
    <row r="4145" spans="1:12" x14ac:dyDescent="0.3">
      <c r="A4145" t="s">
        <v>163</v>
      </c>
      <c r="B4145" s="1">
        <v>43487</v>
      </c>
      <c r="C4145" t="s">
        <v>164</v>
      </c>
      <c r="D4145" t="s">
        <v>165</v>
      </c>
      <c r="E4145" t="s">
        <v>14</v>
      </c>
      <c r="F4145" t="s">
        <v>23</v>
      </c>
      <c r="G4145" t="s">
        <v>24</v>
      </c>
      <c r="H4145" t="s">
        <v>166</v>
      </c>
      <c r="I4145" s="2">
        <v>44.4</v>
      </c>
      <c r="J4145">
        <v>3</v>
      </c>
      <c r="K4145" s="2">
        <v>22.2</v>
      </c>
      <c r="L4145" s="3">
        <f>(Table1[[#This Row],[Profit]]/Table1[[#This Row],[Sales]])*100</f>
        <v>50</v>
      </c>
    </row>
    <row r="4146" spans="1:12" x14ac:dyDescent="0.3">
      <c r="A4146" t="s">
        <v>1280</v>
      </c>
      <c r="B4146" s="1">
        <v>43592</v>
      </c>
      <c r="C4146" t="s">
        <v>565</v>
      </c>
      <c r="D4146" t="s">
        <v>566</v>
      </c>
      <c r="E4146" t="s">
        <v>14</v>
      </c>
      <c r="F4146" t="s">
        <v>15</v>
      </c>
      <c r="G4146" t="s">
        <v>24</v>
      </c>
      <c r="H4146" t="s">
        <v>1282</v>
      </c>
      <c r="I4146" s="2">
        <v>44.4</v>
      </c>
      <c r="J4146">
        <v>3</v>
      </c>
      <c r="K4146" s="2">
        <v>22.2</v>
      </c>
      <c r="L4146" s="3">
        <f>(Table1[[#This Row],[Profit]]/Table1[[#This Row],[Sales]])*100</f>
        <v>50</v>
      </c>
    </row>
    <row r="4147" spans="1:12" x14ac:dyDescent="0.3">
      <c r="A4147" t="s">
        <v>4827</v>
      </c>
      <c r="B4147" s="1">
        <v>43997</v>
      </c>
      <c r="C4147" t="s">
        <v>108</v>
      </c>
      <c r="D4147" t="s">
        <v>109</v>
      </c>
      <c r="E4147" t="s">
        <v>14</v>
      </c>
      <c r="F4147" t="s">
        <v>29</v>
      </c>
      <c r="G4147" t="s">
        <v>24</v>
      </c>
      <c r="H4147" t="s">
        <v>3285</v>
      </c>
      <c r="I4147" s="2">
        <v>152.4</v>
      </c>
      <c r="J4147">
        <v>3</v>
      </c>
      <c r="K4147" s="2">
        <v>22.2</v>
      </c>
      <c r="L4147" s="3">
        <f>(Table1[[#This Row],[Profit]]/Table1[[#This Row],[Sales]])*100</f>
        <v>14.566929133858267</v>
      </c>
    </row>
    <row r="4148" spans="1:12" x14ac:dyDescent="0.3">
      <c r="A4148" t="s">
        <v>6192</v>
      </c>
      <c r="B4148" s="1">
        <v>44181</v>
      </c>
      <c r="C4148" t="s">
        <v>3348</v>
      </c>
      <c r="D4148" t="s">
        <v>3349</v>
      </c>
      <c r="E4148" t="s">
        <v>14</v>
      </c>
      <c r="F4148" t="s">
        <v>23</v>
      </c>
      <c r="G4148" t="s">
        <v>24</v>
      </c>
      <c r="H4148" t="s">
        <v>166</v>
      </c>
      <c r="I4148" s="2">
        <v>602.4</v>
      </c>
      <c r="J4148">
        <v>3</v>
      </c>
      <c r="K4148" s="2">
        <v>22.2</v>
      </c>
      <c r="L4148" s="3">
        <f>(Table1[[#This Row],[Profit]]/Table1[[#This Row],[Sales]])*100</f>
        <v>3.6852589641434266</v>
      </c>
    </row>
    <row r="4149" spans="1:12" x14ac:dyDescent="0.3">
      <c r="A4149" t="s">
        <v>4763</v>
      </c>
      <c r="B4149" s="1">
        <v>43985</v>
      </c>
      <c r="C4149" t="s">
        <v>4503</v>
      </c>
      <c r="D4149" t="s">
        <v>4504</v>
      </c>
      <c r="E4149" t="s">
        <v>14</v>
      </c>
      <c r="F4149" t="s">
        <v>15</v>
      </c>
      <c r="G4149" t="s">
        <v>24</v>
      </c>
      <c r="H4149" t="s">
        <v>813</v>
      </c>
      <c r="I4149" s="2">
        <v>139.36000000000001</v>
      </c>
      <c r="J4149">
        <v>4</v>
      </c>
      <c r="K4149" s="2">
        <v>22.226400000000002</v>
      </c>
      <c r="L4149" s="3">
        <f>(Table1[[#This Row],[Profit]]/Table1[[#This Row],[Sales]])*100</f>
        <v>15.948909299655567</v>
      </c>
    </row>
    <row r="4150" spans="1:12" x14ac:dyDescent="0.3">
      <c r="A4150" t="s">
        <v>5805</v>
      </c>
      <c r="B4150" s="1">
        <v>44141</v>
      </c>
      <c r="C4150" t="s">
        <v>1661</v>
      </c>
      <c r="D4150" t="s">
        <v>1662</v>
      </c>
      <c r="E4150" t="s">
        <v>14</v>
      </c>
      <c r="F4150" t="s">
        <v>23</v>
      </c>
      <c r="G4150" t="s">
        <v>24</v>
      </c>
      <c r="H4150" t="s">
        <v>234</v>
      </c>
      <c r="I4150" s="2">
        <v>119.36</v>
      </c>
      <c r="J4150">
        <v>4</v>
      </c>
      <c r="K4150" s="2">
        <v>22.226400000000002</v>
      </c>
      <c r="L4150" s="3">
        <f>(Table1[[#This Row],[Profit]]/Table1[[#This Row],[Sales]])*100</f>
        <v>18.621313672922255</v>
      </c>
    </row>
    <row r="4151" spans="1:12" x14ac:dyDescent="0.3">
      <c r="A4151" t="s">
        <v>5585</v>
      </c>
      <c r="B4151" s="1">
        <v>44111</v>
      </c>
      <c r="C4151" t="s">
        <v>774</v>
      </c>
      <c r="D4151" t="s">
        <v>775</v>
      </c>
      <c r="E4151" t="s">
        <v>14</v>
      </c>
      <c r="F4151" t="s">
        <v>29</v>
      </c>
      <c r="G4151" t="s">
        <v>24</v>
      </c>
      <c r="H4151" t="s">
        <v>1881</v>
      </c>
      <c r="I4151" s="2">
        <v>103.52</v>
      </c>
      <c r="J4151">
        <v>2</v>
      </c>
      <c r="K4151" s="2">
        <v>22.235199999999999</v>
      </c>
      <c r="L4151" s="3">
        <f>(Table1[[#This Row],[Profit]]/Table1[[#This Row],[Sales]])*100</f>
        <v>21.479134466769708</v>
      </c>
    </row>
    <row r="4152" spans="1:12" x14ac:dyDescent="0.3">
      <c r="A4152" t="s">
        <v>1464</v>
      </c>
      <c r="B4152" s="1">
        <v>43607</v>
      </c>
      <c r="C4152" t="s">
        <v>1465</v>
      </c>
      <c r="D4152" t="s">
        <v>1466</v>
      </c>
      <c r="E4152" t="s">
        <v>14</v>
      </c>
      <c r="F4152" t="s">
        <v>23</v>
      </c>
      <c r="G4152" t="s">
        <v>18</v>
      </c>
      <c r="H4152" t="s">
        <v>1467</v>
      </c>
      <c r="I4152" s="2">
        <v>222.38399999999999</v>
      </c>
      <c r="J4152">
        <v>2</v>
      </c>
      <c r="K4152" s="2">
        <v>22.238399999999999</v>
      </c>
      <c r="L4152" s="3">
        <f>(Table1[[#This Row],[Profit]]/Table1[[#This Row],[Sales]])*100</f>
        <v>10</v>
      </c>
    </row>
    <row r="4153" spans="1:12" x14ac:dyDescent="0.3">
      <c r="A4153" t="s">
        <v>5079</v>
      </c>
      <c r="B4153" s="1">
        <v>44041</v>
      </c>
      <c r="C4153" t="s">
        <v>3679</v>
      </c>
      <c r="D4153" t="s">
        <v>3680</v>
      </c>
      <c r="E4153" t="s">
        <v>14</v>
      </c>
      <c r="F4153" t="s">
        <v>15</v>
      </c>
      <c r="G4153" t="s">
        <v>24</v>
      </c>
      <c r="H4153" t="s">
        <v>2783</v>
      </c>
      <c r="I4153" s="2">
        <v>155.12</v>
      </c>
      <c r="J4153">
        <v>9</v>
      </c>
      <c r="K4153" s="2">
        <v>22.244399999999999</v>
      </c>
      <c r="L4153" s="3">
        <f>(Table1[[#This Row],[Profit]]/Table1[[#This Row],[Sales]])*100</f>
        <v>14.340123775141825</v>
      </c>
    </row>
    <row r="4154" spans="1:12" x14ac:dyDescent="0.3">
      <c r="A4154" t="s">
        <v>6067</v>
      </c>
      <c r="B4154" s="1">
        <v>44167</v>
      </c>
      <c r="C4154" t="s">
        <v>2054</v>
      </c>
      <c r="D4154" t="s">
        <v>2055</v>
      </c>
      <c r="E4154" t="s">
        <v>14</v>
      </c>
      <c r="F4154" t="s">
        <v>23</v>
      </c>
      <c r="G4154" t="s">
        <v>24</v>
      </c>
      <c r="H4154" t="s">
        <v>3568</v>
      </c>
      <c r="I4154" s="2">
        <v>120.47</v>
      </c>
      <c r="J4154">
        <v>3</v>
      </c>
      <c r="K4154" s="2">
        <v>22.2516</v>
      </c>
      <c r="L4154" s="3">
        <f>(Table1[[#This Row],[Profit]]/Table1[[#This Row],[Sales]])*100</f>
        <v>18.470656595002904</v>
      </c>
    </row>
    <row r="4155" spans="1:12" x14ac:dyDescent="0.3">
      <c r="A4155" t="s">
        <v>1188</v>
      </c>
      <c r="B4155" s="1">
        <v>43585</v>
      </c>
      <c r="C4155" t="s">
        <v>1189</v>
      </c>
      <c r="D4155" t="s">
        <v>1190</v>
      </c>
      <c r="E4155" t="s">
        <v>14</v>
      </c>
      <c r="F4155" t="s">
        <v>23</v>
      </c>
      <c r="G4155" t="s">
        <v>16</v>
      </c>
      <c r="H4155" t="s">
        <v>1191</v>
      </c>
      <c r="I4155" s="2">
        <v>111.88800000000001</v>
      </c>
      <c r="J4155">
        <v>7</v>
      </c>
      <c r="K4155" s="2">
        <v>22.377600000000001</v>
      </c>
      <c r="L4155" s="3">
        <f>(Table1[[#This Row],[Profit]]/Table1[[#This Row],[Sales]])*100</f>
        <v>20</v>
      </c>
    </row>
    <row r="4156" spans="1:12" x14ac:dyDescent="0.3">
      <c r="A4156" t="s">
        <v>4959</v>
      </c>
      <c r="B4156" s="1">
        <v>44017</v>
      </c>
      <c r="C4156" t="s">
        <v>769</v>
      </c>
      <c r="D4156" t="s">
        <v>770</v>
      </c>
      <c r="E4156" t="s">
        <v>14</v>
      </c>
      <c r="F4156" t="s">
        <v>29</v>
      </c>
      <c r="G4156" t="s">
        <v>18</v>
      </c>
      <c r="H4156" t="s">
        <v>1591</v>
      </c>
      <c r="I4156" s="2">
        <v>156.96</v>
      </c>
      <c r="J4156">
        <v>4</v>
      </c>
      <c r="K4156" s="2">
        <v>22.3888</v>
      </c>
      <c r="L4156" s="3">
        <f>(Table1[[#This Row],[Profit]]/Table1[[#This Row],[Sales]])*100</f>
        <v>14.26401630988787</v>
      </c>
    </row>
    <row r="4157" spans="1:12" x14ac:dyDescent="0.3">
      <c r="A4157" t="s">
        <v>6143</v>
      </c>
      <c r="B4157" s="1">
        <v>44174</v>
      </c>
      <c r="C4157" t="s">
        <v>3543</v>
      </c>
      <c r="D4157" t="s">
        <v>3544</v>
      </c>
      <c r="E4157" t="s">
        <v>14</v>
      </c>
      <c r="F4157" t="s">
        <v>23</v>
      </c>
      <c r="G4157" t="s">
        <v>16</v>
      </c>
      <c r="H4157" t="s">
        <v>1251</v>
      </c>
      <c r="I4157" s="2">
        <v>908.32799999999997</v>
      </c>
      <c r="J4157">
        <v>9</v>
      </c>
      <c r="K4157" s="2">
        <v>22.408200000000001</v>
      </c>
      <c r="L4157" s="3">
        <f>(Table1[[#This Row],[Profit]]/Table1[[#This Row],[Sales]])*100</f>
        <v>2.4669722831400112</v>
      </c>
    </row>
    <row r="4158" spans="1:12" x14ac:dyDescent="0.3">
      <c r="A4158" t="s">
        <v>5162</v>
      </c>
      <c r="B4158" s="1">
        <v>44061</v>
      </c>
      <c r="C4158" t="s">
        <v>4457</v>
      </c>
      <c r="D4158" t="s">
        <v>4458</v>
      </c>
      <c r="E4158" t="s">
        <v>14</v>
      </c>
      <c r="F4158" t="s">
        <v>23</v>
      </c>
      <c r="G4158" t="s">
        <v>16</v>
      </c>
      <c r="H4158" t="s">
        <v>158</v>
      </c>
      <c r="I4158" s="2">
        <v>101.94</v>
      </c>
      <c r="J4158">
        <v>3</v>
      </c>
      <c r="K4158" s="2">
        <v>22.419599999999999</v>
      </c>
      <c r="L4158" s="3">
        <f>(Table1[[#This Row],[Profit]]/Table1[[#This Row],[Sales]])*100</f>
        <v>21.992937021777514</v>
      </c>
    </row>
    <row r="4159" spans="1:12" x14ac:dyDescent="0.3">
      <c r="A4159" t="s">
        <v>4912</v>
      </c>
      <c r="B4159" s="1">
        <v>44011</v>
      </c>
      <c r="C4159" t="s">
        <v>118</v>
      </c>
      <c r="D4159" t="s">
        <v>119</v>
      </c>
      <c r="E4159" t="s">
        <v>14</v>
      </c>
      <c r="F4159" t="s">
        <v>23</v>
      </c>
      <c r="G4159" t="s">
        <v>18</v>
      </c>
      <c r="H4159" t="s">
        <v>4922</v>
      </c>
      <c r="I4159" s="2">
        <v>164.31</v>
      </c>
      <c r="J4159">
        <v>3</v>
      </c>
      <c r="K4159" s="2">
        <v>22.4316</v>
      </c>
      <c r="L4159" s="3">
        <f>(Table1[[#This Row],[Profit]]/Table1[[#This Row],[Sales]])*100</f>
        <v>13.65199926967318</v>
      </c>
    </row>
    <row r="4160" spans="1:12" x14ac:dyDescent="0.3">
      <c r="A4160" t="s">
        <v>1817</v>
      </c>
      <c r="B4160" s="1">
        <v>43636</v>
      </c>
      <c r="C4160" t="s">
        <v>114</v>
      </c>
      <c r="D4160" t="s">
        <v>115</v>
      </c>
      <c r="E4160" t="s">
        <v>14</v>
      </c>
      <c r="F4160" t="s">
        <v>23</v>
      </c>
      <c r="G4160" t="s">
        <v>24</v>
      </c>
      <c r="H4160" t="s">
        <v>1295</v>
      </c>
      <c r="I4160" s="2">
        <v>46.76</v>
      </c>
      <c r="J4160">
        <v>7</v>
      </c>
      <c r="K4160" s="2">
        <v>22.444800000000001</v>
      </c>
      <c r="L4160" s="3">
        <f>(Table1[[#This Row],[Profit]]/Table1[[#This Row],[Sales]])*100</f>
        <v>48.000000000000007</v>
      </c>
    </row>
    <row r="4161" spans="1:12" x14ac:dyDescent="0.3">
      <c r="A4161" t="s">
        <v>5964</v>
      </c>
      <c r="B4161" s="1">
        <v>44155</v>
      </c>
      <c r="C4161" t="s">
        <v>3945</v>
      </c>
      <c r="D4161" t="s">
        <v>3946</v>
      </c>
      <c r="E4161" t="s">
        <v>14</v>
      </c>
      <c r="F4161" t="s">
        <v>15</v>
      </c>
      <c r="G4161" t="s">
        <v>24</v>
      </c>
      <c r="H4161" t="s">
        <v>2744</v>
      </c>
      <c r="I4161" s="2">
        <v>115.76</v>
      </c>
      <c r="J4161">
        <v>7</v>
      </c>
      <c r="K4161" s="2">
        <v>22.444800000000001</v>
      </c>
      <c r="L4161" s="3">
        <f>(Table1[[#This Row],[Profit]]/Table1[[#This Row],[Sales]])*100</f>
        <v>19.389080856945405</v>
      </c>
    </row>
    <row r="4162" spans="1:12" x14ac:dyDescent="0.3">
      <c r="A4162" t="s">
        <v>4279</v>
      </c>
      <c r="B4162" s="1">
        <v>43907</v>
      </c>
      <c r="C4162" t="s">
        <v>4280</v>
      </c>
      <c r="D4162" t="s">
        <v>4281</v>
      </c>
      <c r="E4162" t="s">
        <v>14</v>
      </c>
      <c r="F4162" t="s">
        <v>15</v>
      </c>
      <c r="G4162" t="s">
        <v>24</v>
      </c>
      <c r="H4162" t="s">
        <v>4286</v>
      </c>
      <c r="I4162" s="2">
        <v>125.1</v>
      </c>
      <c r="J4162">
        <v>6</v>
      </c>
      <c r="K4162" s="2">
        <v>22.457999999999998</v>
      </c>
      <c r="L4162" s="3">
        <f>(Table1[[#This Row],[Profit]]/Table1[[#This Row],[Sales]])*100</f>
        <v>17.952038369304557</v>
      </c>
    </row>
    <row r="4163" spans="1:12" x14ac:dyDescent="0.3">
      <c r="A4163" t="s">
        <v>3306</v>
      </c>
      <c r="B4163" s="1">
        <v>43776</v>
      </c>
      <c r="C4163" t="s">
        <v>1794</v>
      </c>
      <c r="D4163" t="s">
        <v>1795</v>
      </c>
      <c r="E4163" t="s">
        <v>14</v>
      </c>
      <c r="F4163" t="s">
        <v>15</v>
      </c>
      <c r="G4163" t="s">
        <v>18</v>
      </c>
      <c r="H4163" t="s">
        <v>571</v>
      </c>
      <c r="I4163" s="2">
        <v>119.976</v>
      </c>
      <c r="J4163">
        <v>3</v>
      </c>
      <c r="K4163" s="2">
        <v>22.4955</v>
      </c>
      <c r="L4163" s="3">
        <f>(Table1[[#This Row],[Profit]]/Table1[[#This Row],[Sales]])*100</f>
        <v>18.75</v>
      </c>
    </row>
    <row r="4164" spans="1:12" x14ac:dyDescent="0.3">
      <c r="A4164" t="s">
        <v>2906</v>
      </c>
      <c r="B4164" s="1">
        <v>43733</v>
      </c>
      <c r="C4164" t="s">
        <v>2907</v>
      </c>
      <c r="D4164" t="s">
        <v>2908</v>
      </c>
      <c r="E4164" t="s">
        <v>14</v>
      </c>
      <c r="F4164" t="s">
        <v>23</v>
      </c>
      <c r="G4164" t="s">
        <v>24</v>
      </c>
      <c r="H4164" t="s">
        <v>2890</v>
      </c>
      <c r="I4164" s="2">
        <v>60.048000000000002</v>
      </c>
      <c r="J4164">
        <v>9</v>
      </c>
      <c r="K4164" s="2">
        <v>22.518000000000001</v>
      </c>
      <c r="L4164" s="3">
        <f>(Table1[[#This Row],[Profit]]/Table1[[#This Row],[Sales]])*100</f>
        <v>37.5</v>
      </c>
    </row>
    <row r="4165" spans="1:12" x14ac:dyDescent="0.3">
      <c r="A4165" t="s">
        <v>2344</v>
      </c>
      <c r="B4165" s="1">
        <v>43692</v>
      </c>
      <c r="C4165" t="s">
        <v>1480</v>
      </c>
      <c r="D4165" t="s">
        <v>1481</v>
      </c>
      <c r="E4165" t="s">
        <v>14</v>
      </c>
      <c r="F4165" t="s">
        <v>41</v>
      </c>
      <c r="G4165" t="s">
        <v>16</v>
      </c>
      <c r="H4165" t="s">
        <v>2093</v>
      </c>
      <c r="I4165" s="2">
        <v>225.29599999999999</v>
      </c>
      <c r="J4165">
        <v>2</v>
      </c>
      <c r="K4165" s="2">
        <v>22.529599999999999</v>
      </c>
      <c r="L4165" s="3">
        <f>(Table1[[#This Row],[Profit]]/Table1[[#This Row],[Sales]])*100</f>
        <v>10</v>
      </c>
    </row>
    <row r="4166" spans="1:12" x14ac:dyDescent="0.3">
      <c r="A4166" t="s">
        <v>5042</v>
      </c>
      <c r="B4166" s="1">
        <v>44033</v>
      </c>
      <c r="C4166" t="s">
        <v>2953</v>
      </c>
      <c r="D4166" t="s">
        <v>2954</v>
      </c>
      <c r="E4166" t="s">
        <v>14</v>
      </c>
      <c r="F4166" t="s">
        <v>23</v>
      </c>
      <c r="G4166" t="s">
        <v>16</v>
      </c>
      <c r="H4166" t="s">
        <v>2093</v>
      </c>
      <c r="I4166" s="2">
        <v>256.29599999999999</v>
      </c>
      <c r="J4166">
        <v>2</v>
      </c>
      <c r="K4166" s="2">
        <v>22.529599999999999</v>
      </c>
      <c r="L4166" s="3">
        <f>(Table1[[#This Row],[Profit]]/Table1[[#This Row],[Sales]])*100</f>
        <v>8.7904610294347147</v>
      </c>
    </row>
    <row r="4167" spans="1:12" x14ac:dyDescent="0.3">
      <c r="A4167" t="s">
        <v>5725</v>
      </c>
      <c r="B4167" s="1">
        <v>44133</v>
      </c>
      <c r="C4167" t="s">
        <v>1288</v>
      </c>
      <c r="D4167" t="s">
        <v>1289</v>
      </c>
      <c r="E4167" t="s">
        <v>14</v>
      </c>
      <c r="F4167" t="s">
        <v>15</v>
      </c>
      <c r="G4167" t="s">
        <v>24</v>
      </c>
      <c r="H4167" t="s">
        <v>2737</v>
      </c>
      <c r="I4167" s="2">
        <v>146.96</v>
      </c>
      <c r="J4167">
        <v>8</v>
      </c>
      <c r="K4167" s="2">
        <v>22.540800000000001</v>
      </c>
      <c r="L4167" s="3">
        <f>(Table1[[#This Row],[Profit]]/Table1[[#This Row],[Sales]])*100</f>
        <v>15.3380511703865</v>
      </c>
    </row>
    <row r="4168" spans="1:12" x14ac:dyDescent="0.3">
      <c r="A4168" t="s">
        <v>3760</v>
      </c>
      <c r="B4168" s="1">
        <v>43809</v>
      </c>
      <c r="C4168" t="s">
        <v>2578</v>
      </c>
      <c r="D4168" t="s">
        <v>2579</v>
      </c>
      <c r="E4168" t="s">
        <v>14</v>
      </c>
      <c r="F4168" t="s">
        <v>15</v>
      </c>
      <c r="G4168" t="s">
        <v>24</v>
      </c>
      <c r="H4168" t="s">
        <v>998</v>
      </c>
      <c r="I4168" s="2">
        <v>80.58</v>
      </c>
      <c r="J4168">
        <v>6</v>
      </c>
      <c r="K4168" s="2">
        <v>22.5624</v>
      </c>
      <c r="L4168" s="3">
        <f>(Table1[[#This Row],[Profit]]/Table1[[#This Row],[Sales]])*100</f>
        <v>28.000000000000004</v>
      </c>
    </row>
    <row r="4169" spans="1:12" x14ac:dyDescent="0.3">
      <c r="A4169" t="s">
        <v>537</v>
      </c>
      <c r="B4169" s="1">
        <v>43532</v>
      </c>
      <c r="C4169" t="s">
        <v>538</v>
      </c>
      <c r="D4169" t="s">
        <v>539</v>
      </c>
      <c r="E4169" t="s">
        <v>14</v>
      </c>
      <c r="F4169" t="s">
        <v>15</v>
      </c>
      <c r="G4169" t="s">
        <v>24</v>
      </c>
      <c r="H4169" t="s">
        <v>542</v>
      </c>
      <c r="I4169" s="2">
        <v>69.456000000000003</v>
      </c>
      <c r="J4169">
        <v>2</v>
      </c>
      <c r="K4169" s="2">
        <v>22.5732</v>
      </c>
      <c r="L4169" s="3">
        <f>(Table1[[#This Row],[Profit]]/Table1[[#This Row],[Sales]])*100</f>
        <v>32.5</v>
      </c>
    </row>
    <row r="4170" spans="1:12" x14ac:dyDescent="0.3">
      <c r="A4170" t="s">
        <v>6067</v>
      </c>
      <c r="B4170" s="1">
        <v>44167</v>
      </c>
      <c r="C4170" t="s">
        <v>2054</v>
      </c>
      <c r="D4170" t="s">
        <v>2055</v>
      </c>
      <c r="E4170" t="s">
        <v>14</v>
      </c>
      <c r="F4170" t="s">
        <v>23</v>
      </c>
      <c r="G4170" t="s">
        <v>24</v>
      </c>
      <c r="H4170" t="s">
        <v>542</v>
      </c>
      <c r="I4170" s="2">
        <v>104.456</v>
      </c>
      <c r="J4170">
        <v>2</v>
      </c>
      <c r="K4170" s="2">
        <v>22.5732</v>
      </c>
      <c r="L4170" s="3">
        <f>(Table1[[#This Row],[Profit]]/Table1[[#This Row],[Sales]])*100</f>
        <v>21.610247376885962</v>
      </c>
    </row>
    <row r="4171" spans="1:12" x14ac:dyDescent="0.3">
      <c r="A4171" t="s">
        <v>2644</v>
      </c>
      <c r="B4171" s="1">
        <v>43714</v>
      </c>
      <c r="C4171" t="s">
        <v>2645</v>
      </c>
      <c r="D4171" t="s">
        <v>2646</v>
      </c>
      <c r="E4171" t="s">
        <v>14</v>
      </c>
      <c r="F4171" t="s">
        <v>29</v>
      </c>
      <c r="G4171" t="s">
        <v>24</v>
      </c>
      <c r="H4171" t="s">
        <v>2647</v>
      </c>
      <c r="I4171" s="2">
        <v>77.88</v>
      </c>
      <c r="J4171">
        <v>6</v>
      </c>
      <c r="K4171" s="2">
        <v>22.5852</v>
      </c>
      <c r="L4171" s="3">
        <f>(Table1[[#This Row],[Profit]]/Table1[[#This Row],[Sales]])*100</f>
        <v>29.000000000000004</v>
      </c>
    </row>
    <row r="4172" spans="1:12" x14ac:dyDescent="0.3">
      <c r="A4172" t="s">
        <v>2490</v>
      </c>
      <c r="B4172" s="1">
        <v>43706</v>
      </c>
      <c r="C4172" t="s">
        <v>554</v>
      </c>
      <c r="D4172" t="s">
        <v>555</v>
      </c>
      <c r="E4172" t="s">
        <v>14</v>
      </c>
      <c r="F4172" t="s">
        <v>29</v>
      </c>
      <c r="G4172" t="s">
        <v>24</v>
      </c>
      <c r="H4172" t="s">
        <v>2491</v>
      </c>
      <c r="I4172" s="2">
        <v>64.623999999999995</v>
      </c>
      <c r="J4172">
        <v>7</v>
      </c>
      <c r="K4172" s="2">
        <v>22.618400000000001</v>
      </c>
      <c r="L4172" s="3">
        <f>(Table1[[#This Row],[Profit]]/Table1[[#This Row],[Sales]])*100</f>
        <v>35</v>
      </c>
    </row>
    <row r="4173" spans="1:12" x14ac:dyDescent="0.3">
      <c r="A4173" t="s">
        <v>5143</v>
      </c>
      <c r="B4173" s="1">
        <v>44056</v>
      </c>
      <c r="C4173" t="s">
        <v>2390</v>
      </c>
      <c r="D4173" t="s">
        <v>2391</v>
      </c>
      <c r="E4173" t="s">
        <v>14</v>
      </c>
      <c r="F4173" t="s">
        <v>23</v>
      </c>
      <c r="G4173" t="s">
        <v>24</v>
      </c>
      <c r="H4173" t="s">
        <v>1353</v>
      </c>
      <c r="I4173" s="2">
        <v>119.79</v>
      </c>
      <c r="J4173">
        <v>7</v>
      </c>
      <c r="K4173" s="2">
        <v>22.6233</v>
      </c>
      <c r="L4173" s="3">
        <f>(Table1[[#This Row],[Profit]]/Table1[[#This Row],[Sales]])*100</f>
        <v>18.885800150262959</v>
      </c>
    </row>
    <row r="4174" spans="1:12" x14ac:dyDescent="0.3">
      <c r="A4174" t="s">
        <v>5745</v>
      </c>
      <c r="B4174" s="1">
        <v>44137</v>
      </c>
      <c r="C4174" t="s">
        <v>1573</v>
      </c>
      <c r="D4174" t="s">
        <v>1574</v>
      </c>
      <c r="E4174" t="s">
        <v>14</v>
      </c>
      <c r="F4174" t="s">
        <v>23</v>
      </c>
      <c r="G4174" t="s">
        <v>24</v>
      </c>
      <c r="H4174" t="s">
        <v>4091</v>
      </c>
      <c r="I4174" s="2">
        <v>466.55</v>
      </c>
      <c r="J4174">
        <v>7</v>
      </c>
      <c r="K4174" s="2">
        <v>22.627500000000001</v>
      </c>
      <c r="L4174" s="3">
        <f>(Table1[[#This Row],[Profit]]/Table1[[#This Row],[Sales]])*100</f>
        <v>4.8499624906226559</v>
      </c>
    </row>
    <row r="4175" spans="1:12" x14ac:dyDescent="0.3">
      <c r="A4175" t="s">
        <v>4529</v>
      </c>
      <c r="B4175" s="1">
        <v>43946</v>
      </c>
      <c r="C4175" t="s">
        <v>4530</v>
      </c>
      <c r="D4175" t="s">
        <v>4531</v>
      </c>
      <c r="E4175" t="s">
        <v>14</v>
      </c>
      <c r="F4175" t="s">
        <v>23</v>
      </c>
      <c r="G4175" t="s">
        <v>18</v>
      </c>
      <c r="H4175" t="s">
        <v>2317</v>
      </c>
      <c r="I4175" s="2">
        <v>133.97</v>
      </c>
      <c r="J4175">
        <v>3</v>
      </c>
      <c r="K4175" s="2">
        <v>22.6737</v>
      </c>
      <c r="L4175" s="3">
        <f>(Table1[[#This Row],[Profit]]/Table1[[#This Row],[Sales]])*100</f>
        <v>16.92446070015675</v>
      </c>
    </row>
    <row r="4176" spans="1:12" x14ac:dyDescent="0.3">
      <c r="A4176" t="s">
        <v>3189</v>
      </c>
      <c r="B4176" s="1">
        <v>43766</v>
      </c>
      <c r="C4176" t="s">
        <v>3021</v>
      </c>
      <c r="D4176" t="s">
        <v>3022</v>
      </c>
      <c r="E4176" t="s">
        <v>14</v>
      </c>
      <c r="F4176" t="s">
        <v>23</v>
      </c>
      <c r="G4176" t="s">
        <v>18</v>
      </c>
      <c r="H4176" t="s">
        <v>3190</v>
      </c>
      <c r="I4176" s="2">
        <v>302.37599999999998</v>
      </c>
      <c r="J4176">
        <v>3</v>
      </c>
      <c r="K4176" s="2">
        <v>22.6782</v>
      </c>
      <c r="L4176" s="3">
        <f>(Table1[[#This Row],[Profit]]/Table1[[#This Row],[Sales]])*100</f>
        <v>7.5000000000000009</v>
      </c>
    </row>
    <row r="4177" spans="1:12" x14ac:dyDescent="0.3">
      <c r="A4177" t="s">
        <v>3778</v>
      </c>
      <c r="B4177" s="1">
        <v>43810</v>
      </c>
      <c r="C4177" t="s">
        <v>1756</v>
      </c>
      <c r="D4177" t="s">
        <v>1757</v>
      </c>
      <c r="E4177" t="s">
        <v>14</v>
      </c>
      <c r="F4177" t="s">
        <v>23</v>
      </c>
      <c r="G4177" t="s">
        <v>18</v>
      </c>
      <c r="H4177" t="s">
        <v>3779</v>
      </c>
      <c r="I4177" s="2">
        <v>302.37599999999998</v>
      </c>
      <c r="J4177">
        <v>3</v>
      </c>
      <c r="K4177" s="2">
        <v>22.6782</v>
      </c>
      <c r="L4177" s="3">
        <f>(Table1[[#This Row],[Profit]]/Table1[[#This Row],[Sales]])*100</f>
        <v>7.5000000000000009</v>
      </c>
    </row>
    <row r="4178" spans="1:12" x14ac:dyDescent="0.3">
      <c r="A4178" t="s">
        <v>3964</v>
      </c>
      <c r="B4178" s="1">
        <v>43830</v>
      </c>
      <c r="C4178" t="s">
        <v>534</v>
      </c>
      <c r="D4178" t="s">
        <v>535</v>
      </c>
      <c r="E4178" t="s">
        <v>14</v>
      </c>
      <c r="F4178" t="s">
        <v>23</v>
      </c>
      <c r="G4178" t="s">
        <v>18</v>
      </c>
      <c r="H4178" t="s">
        <v>3190</v>
      </c>
      <c r="I4178" s="2">
        <v>302.37599999999998</v>
      </c>
      <c r="J4178">
        <v>3</v>
      </c>
      <c r="K4178" s="2">
        <v>22.6782</v>
      </c>
      <c r="L4178" s="3">
        <f>(Table1[[#This Row],[Profit]]/Table1[[#This Row],[Sales]])*100</f>
        <v>7.5000000000000009</v>
      </c>
    </row>
    <row r="4179" spans="1:12" x14ac:dyDescent="0.3">
      <c r="A4179" t="s">
        <v>4717</v>
      </c>
      <c r="B4179" s="1">
        <v>43978</v>
      </c>
      <c r="C4179" t="s">
        <v>2167</v>
      </c>
      <c r="D4179" t="s">
        <v>2168</v>
      </c>
      <c r="E4179" t="s">
        <v>14</v>
      </c>
      <c r="F4179" t="s">
        <v>23</v>
      </c>
      <c r="G4179" t="s">
        <v>18</v>
      </c>
      <c r="H4179" t="s">
        <v>4680</v>
      </c>
      <c r="I4179" s="2">
        <v>342.37599999999998</v>
      </c>
      <c r="J4179">
        <v>3</v>
      </c>
      <c r="K4179" s="2">
        <v>22.6782</v>
      </c>
      <c r="L4179" s="3">
        <f>(Table1[[#This Row],[Profit]]/Table1[[#This Row],[Sales]])*100</f>
        <v>6.6237703577353564</v>
      </c>
    </row>
    <row r="4180" spans="1:12" x14ac:dyDescent="0.3">
      <c r="A4180" t="s">
        <v>6301</v>
      </c>
      <c r="B4180" s="1">
        <v>44194</v>
      </c>
      <c r="C4180" t="s">
        <v>2167</v>
      </c>
      <c r="D4180" t="s">
        <v>2168</v>
      </c>
      <c r="E4180" t="s">
        <v>14</v>
      </c>
      <c r="F4180" t="s">
        <v>23</v>
      </c>
      <c r="G4180" t="s">
        <v>18</v>
      </c>
      <c r="H4180" t="s">
        <v>3190</v>
      </c>
      <c r="I4180" s="2">
        <v>156.376</v>
      </c>
      <c r="J4180">
        <v>3</v>
      </c>
      <c r="K4180" s="2">
        <v>22.6782</v>
      </c>
      <c r="L4180" s="3">
        <f>(Table1[[#This Row],[Profit]]/Table1[[#This Row],[Sales]])*100</f>
        <v>14.502353302297028</v>
      </c>
    </row>
    <row r="4181" spans="1:12" x14ac:dyDescent="0.3">
      <c r="A4181" t="s">
        <v>4607</v>
      </c>
      <c r="B4181" s="1">
        <v>43959</v>
      </c>
      <c r="C4181" t="s">
        <v>4608</v>
      </c>
      <c r="D4181" t="s">
        <v>4609</v>
      </c>
      <c r="E4181" t="s">
        <v>14</v>
      </c>
      <c r="F4181" t="s">
        <v>23</v>
      </c>
      <c r="G4181" t="s">
        <v>24</v>
      </c>
      <c r="H4181" t="s">
        <v>156</v>
      </c>
      <c r="I4181" s="2">
        <v>114.08</v>
      </c>
      <c r="J4181">
        <v>4</v>
      </c>
      <c r="K4181" s="2">
        <v>22.702400000000001</v>
      </c>
      <c r="L4181" s="3">
        <f>(Table1[[#This Row],[Profit]]/Table1[[#This Row],[Sales]])*100</f>
        <v>19.900420757363253</v>
      </c>
    </row>
    <row r="4182" spans="1:12" x14ac:dyDescent="0.3">
      <c r="A4182" t="s">
        <v>6182</v>
      </c>
      <c r="B4182" s="1">
        <v>44179</v>
      </c>
      <c r="C4182" t="s">
        <v>3714</v>
      </c>
      <c r="D4182" t="s">
        <v>3715</v>
      </c>
      <c r="E4182" t="s">
        <v>14</v>
      </c>
      <c r="F4182" t="s">
        <v>23</v>
      </c>
      <c r="G4182" t="s">
        <v>24</v>
      </c>
      <c r="H4182" t="s">
        <v>397</v>
      </c>
      <c r="I4182" s="2">
        <v>391.96</v>
      </c>
      <c r="J4182">
        <v>14</v>
      </c>
      <c r="K4182" s="2">
        <v>22.736000000000001</v>
      </c>
      <c r="L4182" s="3">
        <f>(Table1[[#This Row],[Profit]]/Table1[[#This Row],[Sales]])*100</f>
        <v>5.8005918971323611</v>
      </c>
    </row>
    <row r="4183" spans="1:12" x14ac:dyDescent="0.3">
      <c r="A4183" t="s">
        <v>3234</v>
      </c>
      <c r="B4183" s="1">
        <v>43772</v>
      </c>
      <c r="C4183" t="s">
        <v>1292</v>
      </c>
      <c r="D4183" t="s">
        <v>1293</v>
      </c>
      <c r="E4183" t="s">
        <v>14</v>
      </c>
      <c r="F4183" t="s">
        <v>29</v>
      </c>
      <c r="G4183" t="s">
        <v>24</v>
      </c>
      <c r="H4183" t="s">
        <v>3235</v>
      </c>
      <c r="I4183" s="2">
        <v>75.959999999999994</v>
      </c>
      <c r="J4183">
        <v>2</v>
      </c>
      <c r="K4183" s="2">
        <v>22.788</v>
      </c>
      <c r="L4183" s="3">
        <f>(Table1[[#This Row],[Profit]]/Table1[[#This Row],[Sales]])*100</f>
        <v>30.000000000000004</v>
      </c>
    </row>
    <row r="4184" spans="1:12" x14ac:dyDescent="0.3">
      <c r="A4184" t="s">
        <v>5549</v>
      </c>
      <c r="B4184" s="1">
        <v>44106</v>
      </c>
      <c r="C4184" t="s">
        <v>1903</v>
      </c>
      <c r="D4184" t="s">
        <v>1904</v>
      </c>
      <c r="E4184" t="s">
        <v>14</v>
      </c>
      <c r="F4184" t="s">
        <v>29</v>
      </c>
      <c r="G4184" t="s">
        <v>24</v>
      </c>
      <c r="H4184" t="s">
        <v>5410</v>
      </c>
      <c r="I4184" s="2">
        <v>106.98</v>
      </c>
      <c r="J4184">
        <v>7</v>
      </c>
      <c r="K4184" s="2">
        <v>22.792000000000002</v>
      </c>
      <c r="L4184" s="3">
        <f>(Table1[[#This Row],[Profit]]/Table1[[#This Row],[Sales]])*100</f>
        <v>21.304916806879792</v>
      </c>
    </row>
    <row r="4185" spans="1:12" x14ac:dyDescent="0.3">
      <c r="A4185" t="s">
        <v>5338</v>
      </c>
      <c r="B4185" s="1">
        <v>44083</v>
      </c>
      <c r="C4185" t="s">
        <v>271</v>
      </c>
      <c r="D4185" t="s">
        <v>272</v>
      </c>
      <c r="E4185" t="s">
        <v>14</v>
      </c>
      <c r="F4185" t="s">
        <v>23</v>
      </c>
      <c r="G4185" t="s">
        <v>24</v>
      </c>
      <c r="H4185" t="s">
        <v>3030</v>
      </c>
      <c r="I4185" s="2">
        <v>145.52000000000001</v>
      </c>
      <c r="J4185">
        <v>9</v>
      </c>
      <c r="K4185" s="2">
        <v>22.8096</v>
      </c>
      <c r="L4185" s="3">
        <f>(Table1[[#This Row],[Profit]]/Table1[[#This Row],[Sales]])*100</f>
        <v>15.674546454095657</v>
      </c>
    </row>
    <row r="4186" spans="1:12" x14ac:dyDescent="0.3">
      <c r="A4186" t="s">
        <v>4827</v>
      </c>
      <c r="B4186" s="1">
        <v>43997</v>
      </c>
      <c r="C4186" t="s">
        <v>108</v>
      </c>
      <c r="D4186" t="s">
        <v>109</v>
      </c>
      <c r="E4186" t="s">
        <v>14</v>
      </c>
      <c r="F4186" t="s">
        <v>29</v>
      </c>
      <c r="G4186" t="s">
        <v>24</v>
      </c>
      <c r="H4186" t="s">
        <v>776</v>
      </c>
      <c r="I4186" s="2">
        <v>106.55</v>
      </c>
      <c r="J4186">
        <v>5</v>
      </c>
      <c r="K4186" s="2">
        <v>22.828499999999998</v>
      </c>
      <c r="L4186" s="3">
        <f>(Table1[[#This Row],[Profit]]/Table1[[#This Row],[Sales]])*100</f>
        <v>21.425152510558423</v>
      </c>
    </row>
    <row r="4187" spans="1:12" x14ac:dyDescent="0.3">
      <c r="A4187" t="s">
        <v>2169</v>
      </c>
      <c r="B4187" s="1">
        <v>43671</v>
      </c>
      <c r="C4187" t="s">
        <v>1395</v>
      </c>
      <c r="D4187" t="s">
        <v>1396</v>
      </c>
      <c r="E4187" t="s">
        <v>14</v>
      </c>
      <c r="F4187" t="s">
        <v>23</v>
      </c>
      <c r="G4187" t="s">
        <v>16</v>
      </c>
      <c r="H4187" t="s">
        <v>2047</v>
      </c>
      <c r="I4187" s="2">
        <v>69.3</v>
      </c>
      <c r="J4187">
        <v>9</v>
      </c>
      <c r="K4187" s="2">
        <v>22.869</v>
      </c>
      <c r="L4187" s="3">
        <f>(Table1[[#This Row],[Profit]]/Table1[[#This Row],[Sales]])*100</f>
        <v>33</v>
      </c>
    </row>
    <row r="4188" spans="1:12" x14ac:dyDescent="0.3">
      <c r="A4188" t="s">
        <v>3763</v>
      </c>
      <c r="B4188" s="1">
        <v>43809</v>
      </c>
      <c r="C4188" t="s">
        <v>1024</v>
      </c>
      <c r="D4188" t="s">
        <v>1025</v>
      </c>
      <c r="E4188" t="s">
        <v>14</v>
      </c>
      <c r="F4188" t="s">
        <v>23</v>
      </c>
      <c r="G4188" t="s">
        <v>24</v>
      </c>
      <c r="H4188" t="s">
        <v>1505</v>
      </c>
      <c r="I4188" s="2">
        <v>65.34</v>
      </c>
      <c r="J4188">
        <v>3</v>
      </c>
      <c r="K4188" s="2">
        <v>22.869</v>
      </c>
      <c r="L4188" s="3">
        <f>(Table1[[#This Row],[Profit]]/Table1[[#This Row],[Sales]])*100</f>
        <v>35</v>
      </c>
    </row>
    <row r="4189" spans="1:12" x14ac:dyDescent="0.3">
      <c r="A4189" t="s">
        <v>5380</v>
      </c>
      <c r="B4189" s="1">
        <v>44086</v>
      </c>
      <c r="C4189" t="s">
        <v>2435</v>
      </c>
      <c r="D4189" t="s">
        <v>2436</v>
      </c>
      <c r="E4189" t="s">
        <v>14</v>
      </c>
      <c r="F4189" t="s">
        <v>15</v>
      </c>
      <c r="G4189" t="s">
        <v>24</v>
      </c>
      <c r="H4189" t="s">
        <v>984</v>
      </c>
      <c r="I4189" s="2">
        <v>150.78</v>
      </c>
      <c r="J4189">
        <v>3</v>
      </c>
      <c r="K4189" s="2">
        <v>22.89</v>
      </c>
      <c r="L4189" s="3">
        <f>(Table1[[#This Row],[Profit]]/Table1[[#This Row],[Sales]])*100</f>
        <v>15.181058495821729</v>
      </c>
    </row>
    <row r="4190" spans="1:12" x14ac:dyDescent="0.3">
      <c r="A4190" t="s">
        <v>834</v>
      </c>
      <c r="B4190" s="1">
        <v>43556</v>
      </c>
      <c r="C4190" t="s">
        <v>439</v>
      </c>
      <c r="D4190" t="s">
        <v>440</v>
      </c>
      <c r="E4190" t="s">
        <v>14</v>
      </c>
      <c r="F4190" t="s">
        <v>15</v>
      </c>
      <c r="G4190" t="s">
        <v>24</v>
      </c>
      <c r="H4190" t="s">
        <v>835</v>
      </c>
      <c r="I4190" s="2">
        <v>88.04</v>
      </c>
      <c r="J4190">
        <v>4</v>
      </c>
      <c r="K4190" s="2">
        <v>22.8904</v>
      </c>
      <c r="L4190" s="3">
        <f>(Table1[[#This Row],[Profit]]/Table1[[#This Row],[Sales]])*100</f>
        <v>25.999999999999996</v>
      </c>
    </row>
    <row r="4191" spans="1:12" x14ac:dyDescent="0.3">
      <c r="A4191" t="s">
        <v>4273</v>
      </c>
      <c r="B4191" s="1">
        <v>43906</v>
      </c>
      <c r="C4191" t="s">
        <v>1189</v>
      </c>
      <c r="D4191" t="s">
        <v>1190</v>
      </c>
      <c r="E4191" t="s">
        <v>14</v>
      </c>
      <c r="F4191" t="s">
        <v>23</v>
      </c>
      <c r="G4191" t="s">
        <v>24</v>
      </c>
      <c r="H4191" t="s">
        <v>71</v>
      </c>
      <c r="I4191" s="2">
        <v>136.464</v>
      </c>
      <c r="J4191">
        <v>6</v>
      </c>
      <c r="K4191" s="2">
        <v>22.9008</v>
      </c>
      <c r="L4191" s="3">
        <f>(Table1[[#This Row],[Profit]]/Table1[[#This Row],[Sales]])*100</f>
        <v>16.781568765388673</v>
      </c>
    </row>
    <row r="4192" spans="1:12" x14ac:dyDescent="0.3">
      <c r="A4192" t="s">
        <v>3298</v>
      </c>
      <c r="B4192" s="1">
        <v>43775</v>
      </c>
      <c r="C4192" t="s">
        <v>1828</v>
      </c>
      <c r="D4192" t="s">
        <v>1829</v>
      </c>
      <c r="E4192" t="s">
        <v>14</v>
      </c>
      <c r="F4192" t="s">
        <v>23</v>
      </c>
      <c r="G4192" t="s">
        <v>24</v>
      </c>
      <c r="H4192" t="s">
        <v>878</v>
      </c>
      <c r="I4192" s="2">
        <v>84.84</v>
      </c>
      <c r="J4192">
        <v>3</v>
      </c>
      <c r="K4192" s="2">
        <v>22.9068</v>
      </c>
      <c r="L4192" s="3">
        <f>(Table1[[#This Row],[Profit]]/Table1[[#This Row],[Sales]])*100</f>
        <v>27</v>
      </c>
    </row>
    <row r="4193" spans="1:12" x14ac:dyDescent="0.3">
      <c r="A4193" t="s">
        <v>3944</v>
      </c>
      <c r="B4193" s="1">
        <v>43828</v>
      </c>
      <c r="C4193" t="s">
        <v>3945</v>
      </c>
      <c r="D4193" t="s">
        <v>3946</v>
      </c>
      <c r="E4193" t="s">
        <v>14</v>
      </c>
      <c r="F4193" t="s">
        <v>29</v>
      </c>
      <c r="G4193" t="s">
        <v>24</v>
      </c>
      <c r="H4193" t="s">
        <v>3947</v>
      </c>
      <c r="I4193" s="2">
        <v>81.96</v>
      </c>
      <c r="J4193">
        <v>2</v>
      </c>
      <c r="K4193" s="2">
        <v>22.948799999999999</v>
      </c>
      <c r="L4193" s="3">
        <f>(Table1[[#This Row],[Profit]]/Table1[[#This Row],[Sales]])*100</f>
        <v>28.000000000000004</v>
      </c>
    </row>
    <row r="4194" spans="1:12" x14ac:dyDescent="0.3">
      <c r="A4194" t="s">
        <v>6162</v>
      </c>
      <c r="B4194" s="1">
        <v>44175</v>
      </c>
      <c r="C4194" t="s">
        <v>44</v>
      </c>
      <c r="D4194" t="s">
        <v>45</v>
      </c>
      <c r="E4194" t="s">
        <v>14</v>
      </c>
      <c r="F4194" t="s">
        <v>23</v>
      </c>
      <c r="G4194" t="s">
        <v>24</v>
      </c>
      <c r="H4194" t="s">
        <v>2610</v>
      </c>
      <c r="I4194" s="2">
        <v>147.56800000000001</v>
      </c>
      <c r="J4194">
        <v>2</v>
      </c>
      <c r="K4194" s="2">
        <v>22.948799999999999</v>
      </c>
      <c r="L4194" s="3">
        <f>(Table1[[#This Row],[Profit]]/Table1[[#This Row],[Sales]])*100</f>
        <v>15.551339043695108</v>
      </c>
    </row>
    <row r="4195" spans="1:12" x14ac:dyDescent="0.3">
      <c r="A4195" t="s">
        <v>6207</v>
      </c>
      <c r="B4195" s="1">
        <v>44183</v>
      </c>
      <c r="C4195" t="s">
        <v>221</v>
      </c>
      <c r="D4195" t="s">
        <v>222</v>
      </c>
      <c r="E4195" t="s">
        <v>14</v>
      </c>
      <c r="F4195" t="s">
        <v>29</v>
      </c>
      <c r="G4195" t="s">
        <v>16</v>
      </c>
      <c r="H4195" t="s">
        <v>4981</v>
      </c>
      <c r="I4195" s="2">
        <v>432.95</v>
      </c>
      <c r="J4195">
        <v>5</v>
      </c>
      <c r="K4195" s="2">
        <v>22.988499999999998</v>
      </c>
      <c r="L4195" s="3">
        <f>(Table1[[#This Row],[Profit]]/Table1[[#This Row],[Sales]])*100</f>
        <v>5.3097355352812095</v>
      </c>
    </row>
    <row r="4196" spans="1:12" x14ac:dyDescent="0.3">
      <c r="A4196" t="s">
        <v>3634</v>
      </c>
      <c r="B4196" s="1">
        <v>43800</v>
      </c>
      <c r="C4196" t="s">
        <v>2520</v>
      </c>
      <c r="D4196" t="s">
        <v>2521</v>
      </c>
      <c r="E4196" t="s">
        <v>14</v>
      </c>
      <c r="F4196" t="s">
        <v>23</v>
      </c>
      <c r="G4196" t="s">
        <v>24</v>
      </c>
      <c r="H4196" t="s">
        <v>2586</v>
      </c>
      <c r="I4196" s="2">
        <v>47.9</v>
      </c>
      <c r="J4196">
        <v>1</v>
      </c>
      <c r="K4196" s="2">
        <v>22.992000000000001</v>
      </c>
      <c r="L4196" s="3">
        <f>(Table1[[#This Row],[Profit]]/Table1[[#This Row],[Sales]])*100</f>
        <v>48.000000000000007</v>
      </c>
    </row>
    <row r="4197" spans="1:12" x14ac:dyDescent="0.3">
      <c r="A4197" t="s">
        <v>3877</v>
      </c>
      <c r="B4197" s="1">
        <v>43822</v>
      </c>
      <c r="C4197" t="s">
        <v>633</v>
      </c>
      <c r="D4197" t="s">
        <v>634</v>
      </c>
      <c r="E4197" t="s">
        <v>14</v>
      </c>
      <c r="F4197" t="s">
        <v>23</v>
      </c>
      <c r="G4197" t="s">
        <v>24</v>
      </c>
      <c r="H4197" t="s">
        <v>1022</v>
      </c>
      <c r="I4197" s="2">
        <v>47.9</v>
      </c>
      <c r="J4197">
        <v>1</v>
      </c>
      <c r="K4197" s="2">
        <v>22.992000000000001</v>
      </c>
      <c r="L4197" s="3">
        <f>(Table1[[#This Row],[Profit]]/Table1[[#This Row],[Sales]])*100</f>
        <v>48.000000000000007</v>
      </c>
    </row>
    <row r="4198" spans="1:12" x14ac:dyDescent="0.3">
      <c r="A4198" t="s">
        <v>5463</v>
      </c>
      <c r="B4198" s="1">
        <v>44096</v>
      </c>
      <c r="C4198" t="s">
        <v>2516</v>
      </c>
      <c r="D4198" t="s">
        <v>2517</v>
      </c>
      <c r="E4198" t="s">
        <v>14</v>
      </c>
      <c r="F4198" t="s">
        <v>15</v>
      </c>
      <c r="G4198" t="s">
        <v>18</v>
      </c>
      <c r="H4198" t="s">
        <v>184</v>
      </c>
      <c r="I4198" s="2">
        <v>110.98399999999999</v>
      </c>
      <c r="J4198">
        <v>2</v>
      </c>
      <c r="K4198" s="2">
        <v>22.9954</v>
      </c>
      <c r="L4198" s="3">
        <f>(Table1[[#This Row],[Profit]]/Table1[[#This Row],[Sales]])*100</f>
        <v>20.719563180278239</v>
      </c>
    </row>
    <row r="4199" spans="1:12" x14ac:dyDescent="0.3">
      <c r="A4199" t="s">
        <v>2050</v>
      </c>
      <c r="B4199" s="1">
        <v>43661</v>
      </c>
      <c r="C4199" t="s">
        <v>2051</v>
      </c>
      <c r="D4199" t="s">
        <v>2052</v>
      </c>
      <c r="E4199" t="s">
        <v>14</v>
      </c>
      <c r="F4199" t="s">
        <v>23</v>
      </c>
      <c r="G4199" t="s">
        <v>16</v>
      </c>
      <c r="H4199" t="s">
        <v>995</v>
      </c>
      <c r="I4199" s="2">
        <v>230.28</v>
      </c>
      <c r="J4199">
        <v>3</v>
      </c>
      <c r="K4199" s="2">
        <v>23.027999999999999</v>
      </c>
      <c r="L4199" s="3">
        <f>(Table1[[#This Row],[Profit]]/Table1[[#This Row],[Sales]])*100</f>
        <v>10</v>
      </c>
    </row>
    <row r="4200" spans="1:12" x14ac:dyDescent="0.3">
      <c r="A4200" t="s">
        <v>5213</v>
      </c>
      <c r="B4200" s="1">
        <v>44070</v>
      </c>
      <c r="C4200" t="s">
        <v>754</v>
      </c>
      <c r="D4200" t="s">
        <v>755</v>
      </c>
      <c r="E4200" t="s">
        <v>14</v>
      </c>
      <c r="F4200" t="s">
        <v>23</v>
      </c>
      <c r="G4200" t="s">
        <v>16</v>
      </c>
      <c r="H4200" t="s">
        <v>995</v>
      </c>
      <c r="I4200" s="2">
        <v>261.27999999999997</v>
      </c>
      <c r="J4200">
        <v>3</v>
      </c>
      <c r="K4200" s="2">
        <v>23.027999999999999</v>
      </c>
      <c r="L4200" s="3">
        <f>(Table1[[#This Row],[Profit]]/Table1[[#This Row],[Sales]])*100</f>
        <v>8.8135333741579913</v>
      </c>
    </row>
    <row r="4201" spans="1:12" x14ac:dyDescent="0.3">
      <c r="A4201" t="s">
        <v>2508</v>
      </c>
      <c r="B4201" s="1">
        <v>43709</v>
      </c>
      <c r="C4201" t="s">
        <v>627</v>
      </c>
      <c r="D4201" t="s">
        <v>628</v>
      </c>
      <c r="E4201" t="s">
        <v>14</v>
      </c>
      <c r="F4201" t="s">
        <v>15</v>
      </c>
      <c r="G4201" t="s">
        <v>24</v>
      </c>
      <c r="H4201" t="s">
        <v>1175</v>
      </c>
      <c r="I4201" s="2">
        <v>49.12</v>
      </c>
      <c r="J4201">
        <v>4</v>
      </c>
      <c r="K4201" s="2">
        <v>23.086400000000001</v>
      </c>
      <c r="L4201" s="3">
        <f>(Table1[[#This Row],[Profit]]/Table1[[#This Row],[Sales]])*100</f>
        <v>47</v>
      </c>
    </row>
    <row r="4202" spans="1:12" x14ac:dyDescent="0.3">
      <c r="A4202" t="s">
        <v>3794</v>
      </c>
      <c r="B4202" s="1">
        <v>43811</v>
      </c>
      <c r="C4202" t="s">
        <v>3795</v>
      </c>
      <c r="D4202" t="s">
        <v>3796</v>
      </c>
      <c r="E4202" t="s">
        <v>14</v>
      </c>
      <c r="F4202" t="s">
        <v>41</v>
      </c>
      <c r="G4202" t="s">
        <v>24</v>
      </c>
      <c r="H4202" t="s">
        <v>3798</v>
      </c>
      <c r="I4202" s="2">
        <v>49.12</v>
      </c>
      <c r="J4202">
        <v>4</v>
      </c>
      <c r="K4202" s="2">
        <v>23.086400000000001</v>
      </c>
      <c r="L4202" s="3">
        <f>(Table1[[#This Row],[Profit]]/Table1[[#This Row],[Sales]])*100</f>
        <v>47</v>
      </c>
    </row>
    <row r="4203" spans="1:12" x14ac:dyDescent="0.3">
      <c r="A4203" t="s">
        <v>4794</v>
      </c>
      <c r="B4203" s="1">
        <v>43991</v>
      </c>
      <c r="C4203" t="s">
        <v>103</v>
      </c>
      <c r="D4203" t="s">
        <v>104</v>
      </c>
      <c r="E4203" t="s">
        <v>14</v>
      </c>
      <c r="F4203" t="s">
        <v>41</v>
      </c>
      <c r="G4203" t="s">
        <v>24</v>
      </c>
      <c r="H4203" t="s">
        <v>234</v>
      </c>
      <c r="I4203" s="2">
        <v>147.12</v>
      </c>
      <c r="J4203">
        <v>4</v>
      </c>
      <c r="K4203" s="2">
        <v>23.086400000000001</v>
      </c>
      <c r="L4203" s="3">
        <f>(Table1[[#This Row],[Profit]]/Table1[[#This Row],[Sales]])*100</f>
        <v>15.692224034801521</v>
      </c>
    </row>
    <row r="4204" spans="1:12" x14ac:dyDescent="0.3">
      <c r="A4204" t="s">
        <v>5561</v>
      </c>
      <c r="B4204" s="1">
        <v>44106</v>
      </c>
      <c r="C4204" t="s">
        <v>1911</v>
      </c>
      <c r="D4204" t="s">
        <v>1912</v>
      </c>
      <c r="E4204" t="s">
        <v>14</v>
      </c>
      <c r="F4204" t="s">
        <v>15</v>
      </c>
      <c r="G4204" t="s">
        <v>24</v>
      </c>
      <c r="H4204" t="s">
        <v>3798</v>
      </c>
      <c r="I4204" s="2">
        <v>138.12</v>
      </c>
      <c r="J4204">
        <v>4</v>
      </c>
      <c r="K4204" s="2">
        <v>23.086400000000001</v>
      </c>
      <c r="L4204" s="3">
        <f>(Table1[[#This Row],[Profit]]/Table1[[#This Row],[Sales]])*100</f>
        <v>16.714740805097016</v>
      </c>
    </row>
    <row r="4205" spans="1:12" x14ac:dyDescent="0.3">
      <c r="A4205" t="s">
        <v>6041</v>
      </c>
      <c r="B4205" s="1">
        <v>44165</v>
      </c>
      <c r="C4205" t="s">
        <v>4058</v>
      </c>
      <c r="D4205" t="s">
        <v>4059</v>
      </c>
      <c r="E4205" t="s">
        <v>14</v>
      </c>
      <c r="F4205" t="s">
        <v>15</v>
      </c>
      <c r="G4205" t="s">
        <v>24</v>
      </c>
      <c r="H4205" t="s">
        <v>3966</v>
      </c>
      <c r="I4205" s="2">
        <v>106.47199999999999</v>
      </c>
      <c r="J4205">
        <v>3</v>
      </c>
      <c r="K4205" s="2">
        <v>23.109300000000001</v>
      </c>
      <c r="L4205" s="3">
        <f>(Table1[[#This Row],[Profit]]/Table1[[#This Row],[Sales]])*100</f>
        <v>21.704579607784208</v>
      </c>
    </row>
    <row r="4206" spans="1:12" x14ac:dyDescent="0.3">
      <c r="A4206" t="s">
        <v>4342</v>
      </c>
      <c r="B4206" s="1">
        <v>43916</v>
      </c>
      <c r="C4206" t="s">
        <v>4343</v>
      </c>
      <c r="D4206" t="s">
        <v>4344</v>
      </c>
      <c r="E4206" t="s">
        <v>14</v>
      </c>
      <c r="F4206" t="s">
        <v>29</v>
      </c>
      <c r="G4206" t="s">
        <v>16</v>
      </c>
      <c r="H4206" t="s">
        <v>4345</v>
      </c>
      <c r="I4206" s="2">
        <v>105.84</v>
      </c>
      <c r="J4206">
        <v>3</v>
      </c>
      <c r="K4206" s="2">
        <v>23.119199999999999</v>
      </c>
      <c r="L4206" s="3">
        <f>(Table1[[#This Row],[Profit]]/Table1[[#This Row],[Sales]])*100</f>
        <v>21.843537414965986</v>
      </c>
    </row>
    <row r="4207" spans="1:12" x14ac:dyDescent="0.3">
      <c r="A4207" t="s">
        <v>5152</v>
      </c>
      <c r="B4207" s="1">
        <v>44058</v>
      </c>
      <c r="C4207" t="s">
        <v>34</v>
      </c>
      <c r="D4207" t="s">
        <v>35</v>
      </c>
      <c r="E4207" t="s">
        <v>14</v>
      </c>
      <c r="F4207" t="s">
        <v>29</v>
      </c>
      <c r="G4207" t="s">
        <v>24</v>
      </c>
      <c r="H4207" t="s">
        <v>2203</v>
      </c>
      <c r="I4207" s="2">
        <v>149.4</v>
      </c>
      <c r="J4207">
        <v>8</v>
      </c>
      <c r="K4207" s="2">
        <v>23.184000000000001</v>
      </c>
      <c r="L4207" s="3">
        <f>(Table1[[#This Row],[Profit]]/Table1[[#This Row],[Sales]])*100</f>
        <v>15.518072289156626</v>
      </c>
    </row>
    <row r="4208" spans="1:12" x14ac:dyDescent="0.3">
      <c r="A4208" t="s">
        <v>4220</v>
      </c>
      <c r="B4208" s="1">
        <v>43896</v>
      </c>
      <c r="C4208" t="s">
        <v>3109</v>
      </c>
      <c r="D4208" t="s">
        <v>3110</v>
      </c>
      <c r="E4208" t="s">
        <v>14</v>
      </c>
      <c r="F4208" t="s">
        <v>23</v>
      </c>
      <c r="G4208" t="s">
        <v>18</v>
      </c>
      <c r="H4208" t="s">
        <v>1462</v>
      </c>
      <c r="I4208" s="2">
        <v>253.38399999999999</v>
      </c>
      <c r="J4208">
        <v>2</v>
      </c>
      <c r="K4208" s="2">
        <v>23.2182</v>
      </c>
      <c r="L4208" s="3">
        <f>(Table1[[#This Row],[Profit]]/Table1[[#This Row],[Sales]])*100</f>
        <v>9.1632462981088008</v>
      </c>
    </row>
    <row r="4209" spans="1:12" x14ac:dyDescent="0.3">
      <c r="A4209" t="s">
        <v>3545</v>
      </c>
      <c r="B4209" s="1">
        <v>43793</v>
      </c>
      <c r="C4209" t="s">
        <v>3546</v>
      </c>
      <c r="D4209" t="s">
        <v>3547</v>
      </c>
      <c r="E4209" t="s">
        <v>14</v>
      </c>
      <c r="F4209" t="s">
        <v>29</v>
      </c>
      <c r="G4209" t="s">
        <v>24</v>
      </c>
      <c r="H4209" t="s">
        <v>1960</v>
      </c>
      <c r="I4209" s="2">
        <v>74.352000000000004</v>
      </c>
      <c r="J4209">
        <v>3</v>
      </c>
      <c r="K4209" s="2">
        <v>23.234999999999999</v>
      </c>
      <c r="L4209" s="3">
        <f>(Table1[[#This Row],[Profit]]/Table1[[#This Row],[Sales]])*100</f>
        <v>31.25</v>
      </c>
    </row>
    <row r="4210" spans="1:12" x14ac:dyDescent="0.3">
      <c r="A4210" t="s">
        <v>4346</v>
      </c>
      <c r="B4210" s="1">
        <v>43916</v>
      </c>
      <c r="C4210" t="s">
        <v>1135</v>
      </c>
      <c r="D4210" t="s">
        <v>1136</v>
      </c>
      <c r="E4210" t="s">
        <v>14</v>
      </c>
      <c r="F4210" t="s">
        <v>29</v>
      </c>
      <c r="G4210" t="s">
        <v>24</v>
      </c>
      <c r="H4210" t="s">
        <v>1270</v>
      </c>
      <c r="I4210" s="2">
        <v>116.352</v>
      </c>
      <c r="J4210">
        <v>3</v>
      </c>
      <c r="K4210" s="2">
        <v>23.234999999999999</v>
      </c>
      <c r="L4210" s="3">
        <f>(Table1[[#This Row],[Profit]]/Table1[[#This Row],[Sales]])*100</f>
        <v>19.96957508250825</v>
      </c>
    </row>
    <row r="4211" spans="1:12" x14ac:dyDescent="0.3">
      <c r="A4211" t="s">
        <v>4858</v>
      </c>
      <c r="B4211" s="1">
        <v>44000</v>
      </c>
      <c r="C4211" t="s">
        <v>2104</v>
      </c>
      <c r="D4211" t="s">
        <v>2105</v>
      </c>
      <c r="E4211" t="s">
        <v>14</v>
      </c>
      <c r="F4211" t="s">
        <v>29</v>
      </c>
      <c r="G4211" t="s">
        <v>24</v>
      </c>
      <c r="H4211" t="s">
        <v>1960</v>
      </c>
      <c r="I4211" s="2">
        <v>123.352</v>
      </c>
      <c r="J4211">
        <v>3</v>
      </c>
      <c r="K4211" s="2">
        <v>23.234999999999999</v>
      </c>
      <c r="L4211" s="3">
        <f>(Table1[[#This Row],[Profit]]/Table1[[#This Row],[Sales]])*100</f>
        <v>18.836338283935401</v>
      </c>
    </row>
    <row r="4212" spans="1:12" x14ac:dyDescent="0.3">
      <c r="A4212" t="s">
        <v>5382</v>
      </c>
      <c r="B4212" s="1">
        <v>44088</v>
      </c>
      <c r="C4212" t="s">
        <v>4189</v>
      </c>
      <c r="D4212" t="s">
        <v>4190</v>
      </c>
      <c r="E4212" t="s">
        <v>14</v>
      </c>
      <c r="F4212" t="s">
        <v>41</v>
      </c>
      <c r="G4212" t="s">
        <v>24</v>
      </c>
      <c r="H4212" t="s">
        <v>3764</v>
      </c>
      <c r="I4212" s="2">
        <v>102.352</v>
      </c>
      <c r="J4212">
        <v>3</v>
      </c>
      <c r="K4212" s="2">
        <v>23.234999999999999</v>
      </c>
      <c r="L4212" s="3">
        <f>(Table1[[#This Row],[Profit]]/Table1[[#This Row],[Sales]])*100</f>
        <v>22.701070814444268</v>
      </c>
    </row>
    <row r="4213" spans="1:12" x14ac:dyDescent="0.3">
      <c r="A4213" t="s">
        <v>6108</v>
      </c>
      <c r="B4213" s="1">
        <v>44169</v>
      </c>
      <c r="C4213" t="s">
        <v>6109</v>
      </c>
      <c r="D4213" t="s">
        <v>6110</v>
      </c>
      <c r="E4213" t="s">
        <v>14</v>
      </c>
      <c r="F4213" t="s">
        <v>15</v>
      </c>
      <c r="G4213" t="s">
        <v>24</v>
      </c>
      <c r="H4213" t="s">
        <v>1722</v>
      </c>
      <c r="I4213" s="2">
        <v>178.352</v>
      </c>
      <c r="J4213">
        <v>3</v>
      </c>
      <c r="K4213" s="2">
        <v>23.234999999999999</v>
      </c>
      <c r="L4213" s="3">
        <f>(Table1[[#This Row],[Profit]]/Table1[[#This Row],[Sales]])*100</f>
        <v>13.027608325109894</v>
      </c>
    </row>
    <row r="4214" spans="1:12" x14ac:dyDescent="0.3">
      <c r="A4214" t="s">
        <v>6167</v>
      </c>
      <c r="B4214" s="1">
        <v>44176</v>
      </c>
      <c r="C4214" t="s">
        <v>1451</v>
      </c>
      <c r="D4214" t="s">
        <v>1452</v>
      </c>
      <c r="E4214" t="s">
        <v>14</v>
      </c>
      <c r="F4214" t="s">
        <v>29</v>
      </c>
      <c r="G4214" t="s">
        <v>18</v>
      </c>
      <c r="H4214" t="s">
        <v>4922</v>
      </c>
      <c r="I4214" s="2">
        <v>440.31200000000001</v>
      </c>
      <c r="J4214">
        <v>7</v>
      </c>
      <c r="K4214" s="2">
        <v>23.2624</v>
      </c>
      <c r="L4214" s="3">
        <f>(Table1[[#This Row],[Profit]]/Table1[[#This Row],[Sales]])*100</f>
        <v>5.2831628481622124</v>
      </c>
    </row>
    <row r="4215" spans="1:12" x14ac:dyDescent="0.3">
      <c r="A4215" t="s">
        <v>557</v>
      </c>
      <c r="B4215" s="1">
        <v>43533</v>
      </c>
      <c r="C4215" t="s">
        <v>558</v>
      </c>
      <c r="D4215" t="s">
        <v>559</v>
      </c>
      <c r="E4215" t="s">
        <v>14</v>
      </c>
      <c r="F4215" t="s">
        <v>15</v>
      </c>
      <c r="G4215" t="s">
        <v>24</v>
      </c>
      <c r="H4215" t="s">
        <v>563</v>
      </c>
      <c r="I4215" s="2">
        <v>51.8</v>
      </c>
      <c r="J4215">
        <v>4</v>
      </c>
      <c r="K4215" s="2">
        <v>23.31</v>
      </c>
      <c r="L4215" s="3">
        <f>(Table1[[#This Row],[Profit]]/Table1[[#This Row],[Sales]])*100</f>
        <v>45</v>
      </c>
    </row>
    <row r="4216" spans="1:12" x14ac:dyDescent="0.3">
      <c r="A4216" t="s">
        <v>6156</v>
      </c>
      <c r="B4216" s="1">
        <v>44175</v>
      </c>
      <c r="C4216" t="s">
        <v>5246</v>
      </c>
      <c r="D4216" t="s">
        <v>5247</v>
      </c>
      <c r="E4216" t="s">
        <v>14</v>
      </c>
      <c r="F4216" t="s">
        <v>15</v>
      </c>
      <c r="G4216" t="s">
        <v>16</v>
      </c>
      <c r="H4216" t="s">
        <v>696</v>
      </c>
      <c r="I4216" s="2">
        <v>536.88</v>
      </c>
      <c r="J4216">
        <v>2</v>
      </c>
      <c r="K4216" s="2">
        <v>23.315999999999999</v>
      </c>
      <c r="L4216" s="3">
        <f>(Table1[[#This Row],[Profit]]/Table1[[#This Row],[Sales]])*100</f>
        <v>4.3428699150648189</v>
      </c>
    </row>
    <row r="4217" spans="1:12" x14ac:dyDescent="0.3">
      <c r="A4217" t="s">
        <v>5684</v>
      </c>
      <c r="B4217" s="1">
        <v>44126</v>
      </c>
      <c r="C4217" t="s">
        <v>534</v>
      </c>
      <c r="D4217" t="s">
        <v>535</v>
      </c>
      <c r="E4217" t="s">
        <v>14</v>
      </c>
      <c r="F4217" t="s">
        <v>29</v>
      </c>
      <c r="G4217" t="s">
        <v>24</v>
      </c>
      <c r="H4217" t="s">
        <v>5685</v>
      </c>
      <c r="I4217" s="2">
        <v>343.09</v>
      </c>
      <c r="J4217">
        <v>3</v>
      </c>
      <c r="K4217" s="2">
        <v>23.316299999999998</v>
      </c>
      <c r="L4217" s="3">
        <f>(Table1[[#This Row],[Profit]]/Table1[[#This Row],[Sales]])*100</f>
        <v>6.7959719024162757</v>
      </c>
    </row>
    <row r="4218" spans="1:12" x14ac:dyDescent="0.3">
      <c r="A4218" t="s">
        <v>5117</v>
      </c>
      <c r="B4218" s="1">
        <v>44049</v>
      </c>
      <c r="C4218" t="s">
        <v>1698</v>
      </c>
      <c r="D4218" t="s">
        <v>1699</v>
      </c>
      <c r="E4218" t="s">
        <v>14</v>
      </c>
      <c r="F4218" t="s">
        <v>41</v>
      </c>
      <c r="G4218" t="s">
        <v>16</v>
      </c>
      <c r="H4218" t="s">
        <v>219</v>
      </c>
      <c r="I4218" s="2">
        <v>190.74</v>
      </c>
      <c r="J4218">
        <v>3</v>
      </c>
      <c r="K4218" s="2">
        <v>23.3184</v>
      </c>
      <c r="L4218" s="3">
        <f>(Table1[[#This Row],[Profit]]/Table1[[#This Row],[Sales]])*100</f>
        <v>12.225228059138093</v>
      </c>
    </row>
    <row r="4219" spans="1:12" x14ac:dyDescent="0.3">
      <c r="A4219" t="s">
        <v>2891</v>
      </c>
      <c r="B4219" s="1">
        <v>43732</v>
      </c>
      <c r="C4219" t="s">
        <v>942</v>
      </c>
      <c r="D4219" t="s">
        <v>943</v>
      </c>
      <c r="E4219" t="s">
        <v>14</v>
      </c>
      <c r="F4219" t="s">
        <v>23</v>
      </c>
      <c r="G4219" t="s">
        <v>16</v>
      </c>
      <c r="H4219" t="s">
        <v>2892</v>
      </c>
      <c r="I4219" s="2">
        <v>63.2</v>
      </c>
      <c r="J4219">
        <v>5</v>
      </c>
      <c r="K4219" s="2">
        <v>23.384</v>
      </c>
      <c r="L4219" s="3">
        <f>(Table1[[#This Row],[Profit]]/Table1[[#This Row],[Sales]])*100</f>
        <v>37</v>
      </c>
    </row>
    <row r="4220" spans="1:12" x14ac:dyDescent="0.3">
      <c r="A4220" t="s">
        <v>2592</v>
      </c>
      <c r="B4220" s="1">
        <v>43713</v>
      </c>
      <c r="C4220" t="s">
        <v>1038</v>
      </c>
      <c r="D4220" t="s">
        <v>1039</v>
      </c>
      <c r="E4220" t="s">
        <v>14</v>
      </c>
      <c r="F4220" t="s">
        <v>29</v>
      </c>
      <c r="G4220" t="s">
        <v>24</v>
      </c>
      <c r="H4220" t="s">
        <v>986</v>
      </c>
      <c r="I4220" s="2">
        <v>194.94</v>
      </c>
      <c r="J4220">
        <v>3</v>
      </c>
      <c r="K4220" s="2">
        <v>23.392800000000001</v>
      </c>
      <c r="L4220" s="3">
        <f>(Table1[[#This Row],[Profit]]/Table1[[#This Row],[Sales]])*100</f>
        <v>12.000000000000002</v>
      </c>
    </row>
    <row r="4221" spans="1:12" x14ac:dyDescent="0.3">
      <c r="A4221" t="s">
        <v>3748</v>
      </c>
      <c r="B4221" s="1">
        <v>43808</v>
      </c>
      <c r="C4221" t="s">
        <v>1355</v>
      </c>
      <c r="D4221" t="s">
        <v>1356</v>
      </c>
      <c r="E4221" t="s">
        <v>14</v>
      </c>
      <c r="F4221" t="s">
        <v>29</v>
      </c>
      <c r="G4221" t="s">
        <v>24</v>
      </c>
      <c r="H4221" t="s">
        <v>1916</v>
      </c>
      <c r="I4221" s="2">
        <v>61.929000000000002</v>
      </c>
      <c r="J4221">
        <v>1</v>
      </c>
      <c r="K4221" s="2">
        <v>23.395399999999999</v>
      </c>
      <c r="L4221" s="3">
        <f>(Table1[[#This Row],[Profit]]/Table1[[#This Row],[Sales]])*100</f>
        <v>37.777777777777779</v>
      </c>
    </row>
    <row r="4222" spans="1:12" x14ac:dyDescent="0.3">
      <c r="A4222" t="s">
        <v>6124</v>
      </c>
      <c r="B4222" s="1">
        <v>44172</v>
      </c>
      <c r="C4222" t="s">
        <v>460</v>
      </c>
      <c r="D4222" t="s">
        <v>461</v>
      </c>
      <c r="E4222" t="s">
        <v>14</v>
      </c>
      <c r="F4222" t="s">
        <v>41</v>
      </c>
      <c r="G4222" t="s">
        <v>18</v>
      </c>
      <c r="H4222" t="s">
        <v>3598</v>
      </c>
      <c r="I4222" s="2">
        <v>126</v>
      </c>
      <c r="J4222">
        <v>4</v>
      </c>
      <c r="K4222" s="2">
        <v>23.4</v>
      </c>
      <c r="L4222" s="3">
        <f>(Table1[[#This Row],[Profit]]/Table1[[#This Row],[Sales]])*100</f>
        <v>18.571428571428569</v>
      </c>
    </row>
    <row r="4223" spans="1:12" x14ac:dyDescent="0.3">
      <c r="A4223" t="s">
        <v>2243</v>
      </c>
      <c r="B4223" s="1">
        <v>43680</v>
      </c>
      <c r="C4223" t="s">
        <v>2244</v>
      </c>
      <c r="D4223" t="s">
        <v>2245</v>
      </c>
      <c r="E4223" t="s">
        <v>14</v>
      </c>
      <c r="F4223" t="s">
        <v>29</v>
      </c>
      <c r="G4223" t="s">
        <v>18</v>
      </c>
      <c r="H4223" t="s">
        <v>2247</v>
      </c>
      <c r="I4223" s="2">
        <v>167.28</v>
      </c>
      <c r="J4223">
        <v>12</v>
      </c>
      <c r="K4223" s="2">
        <v>23.4192</v>
      </c>
      <c r="L4223" s="3">
        <f>(Table1[[#This Row],[Profit]]/Table1[[#This Row],[Sales]])*100</f>
        <v>13.999999999999998</v>
      </c>
    </row>
    <row r="4224" spans="1:12" x14ac:dyDescent="0.3">
      <c r="A4224" t="s">
        <v>2671</v>
      </c>
      <c r="B4224" s="1">
        <v>43716</v>
      </c>
      <c r="C4224" t="s">
        <v>1003</v>
      </c>
      <c r="D4224" t="s">
        <v>1004</v>
      </c>
      <c r="E4224" t="s">
        <v>14</v>
      </c>
      <c r="F4224" t="s">
        <v>41</v>
      </c>
      <c r="G4224" t="s">
        <v>24</v>
      </c>
      <c r="H4224" t="s">
        <v>2672</v>
      </c>
      <c r="I4224" s="2">
        <v>64.703999999999994</v>
      </c>
      <c r="J4224">
        <v>3</v>
      </c>
      <c r="K4224" s="2">
        <v>23.455200000000001</v>
      </c>
      <c r="L4224" s="3">
        <f>(Table1[[#This Row],[Profit]]/Table1[[#This Row],[Sales]])*100</f>
        <v>36.250000000000007</v>
      </c>
    </row>
    <row r="4225" spans="1:12" x14ac:dyDescent="0.3">
      <c r="A4225" t="s">
        <v>2661</v>
      </c>
      <c r="B4225" s="1">
        <v>43716</v>
      </c>
      <c r="C4225" t="s">
        <v>884</v>
      </c>
      <c r="D4225" t="s">
        <v>885</v>
      </c>
      <c r="E4225" t="s">
        <v>14</v>
      </c>
      <c r="F4225" t="s">
        <v>23</v>
      </c>
      <c r="G4225" t="s">
        <v>24</v>
      </c>
      <c r="H4225" t="s">
        <v>1740</v>
      </c>
      <c r="I4225" s="2">
        <v>67.135999999999996</v>
      </c>
      <c r="J4225">
        <v>4</v>
      </c>
      <c r="K4225" s="2">
        <v>23.497599999999998</v>
      </c>
      <c r="L4225" s="3">
        <f>(Table1[[#This Row],[Profit]]/Table1[[#This Row],[Sales]])*100</f>
        <v>35</v>
      </c>
    </row>
    <row r="4226" spans="1:12" x14ac:dyDescent="0.3">
      <c r="A4226" t="s">
        <v>278</v>
      </c>
      <c r="B4226" s="1">
        <v>43500</v>
      </c>
      <c r="C4226" t="s">
        <v>279</v>
      </c>
      <c r="D4226" t="s">
        <v>280</v>
      </c>
      <c r="E4226" t="s">
        <v>14</v>
      </c>
      <c r="F4226" t="s">
        <v>15</v>
      </c>
      <c r="G4226" t="s">
        <v>18</v>
      </c>
      <c r="H4226" t="s">
        <v>32</v>
      </c>
      <c r="I4226" s="2">
        <v>90.48</v>
      </c>
      <c r="J4226">
        <v>2</v>
      </c>
      <c r="K4226" s="2">
        <v>23.524799999999999</v>
      </c>
      <c r="L4226" s="3">
        <f>(Table1[[#This Row],[Profit]]/Table1[[#This Row],[Sales]])*100</f>
        <v>25.999999999999996</v>
      </c>
    </row>
    <row r="4227" spans="1:12" x14ac:dyDescent="0.3">
      <c r="A4227" t="s">
        <v>6270</v>
      </c>
      <c r="B4227" s="1">
        <v>44190</v>
      </c>
      <c r="C4227" t="s">
        <v>2414</v>
      </c>
      <c r="D4227" t="s">
        <v>2415</v>
      </c>
      <c r="E4227" t="s">
        <v>14</v>
      </c>
      <c r="F4227" t="s">
        <v>41</v>
      </c>
      <c r="G4227" t="s">
        <v>18</v>
      </c>
      <c r="H4227" t="s">
        <v>32</v>
      </c>
      <c r="I4227" s="2">
        <v>352.48</v>
      </c>
      <c r="J4227">
        <v>2</v>
      </c>
      <c r="K4227" s="2">
        <v>23.524799999999999</v>
      </c>
      <c r="L4227" s="3">
        <f>(Table1[[#This Row],[Profit]]/Table1[[#This Row],[Sales]])*100</f>
        <v>6.674080798910575</v>
      </c>
    </row>
    <row r="4228" spans="1:12" x14ac:dyDescent="0.3">
      <c r="A4228" t="s">
        <v>4399</v>
      </c>
      <c r="B4228" s="1">
        <v>43922</v>
      </c>
      <c r="C4228" t="s">
        <v>1208</v>
      </c>
      <c r="D4228" t="s">
        <v>1209</v>
      </c>
      <c r="E4228" t="s">
        <v>14</v>
      </c>
      <c r="F4228" t="s">
        <v>29</v>
      </c>
      <c r="G4228" t="s">
        <v>24</v>
      </c>
      <c r="H4228" t="s">
        <v>790</v>
      </c>
      <c r="I4228" s="2">
        <v>111.2</v>
      </c>
      <c r="J4228">
        <v>6</v>
      </c>
      <c r="K4228" s="2">
        <v>23.55</v>
      </c>
      <c r="L4228" s="3">
        <f>(Table1[[#This Row],[Profit]]/Table1[[#This Row],[Sales]])*100</f>
        <v>21.178057553956833</v>
      </c>
    </row>
    <row r="4229" spans="1:12" x14ac:dyDescent="0.3">
      <c r="A4229" t="s">
        <v>4644</v>
      </c>
      <c r="B4229" s="1">
        <v>43965</v>
      </c>
      <c r="C4229" t="s">
        <v>3615</v>
      </c>
      <c r="D4229" t="s">
        <v>3616</v>
      </c>
      <c r="E4229" t="s">
        <v>14</v>
      </c>
      <c r="F4229" t="s">
        <v>15</v>
      </c>
      <c r="G4229" t="s">
        <v>16</v>
      </c>
      <c r="H4229" t="s">
        <v>1216</v>
      </c>
      <c r="I4229" s="2">
        <v>298.95999999999998</v>
      </c>
      <c r="J4229">
        <v>2</v>
      </c>
      <c r="K4229" s="2">
        <v>23.5764</v>
      </c>
      <c r="L4229" s="3">
        <f>(Table1[[#This Row],[Profit]]/Table1[[#This Row],[Sales]])*100</f>
        <v>7.8861386138613865</v>
      </c>
    </row>
    <row r="4230" spans="1:12" x14ac:dyDescent="0.3">
      <c r="A4230" t="s">
        <v>1821</v>
      </c>
      <c r="B4230" s="1">
        <v>43636</v>
      </c>
      <c r="C4230" t="s">
        <v>1028</v>
      </c>
      <c r="D4230" t="s">
        <v>1029</v>
      </c>
      <c r="E4230" t="s">
        <v>14</v>
      </c>
      <c r="F4230" t="s">
        <v>29</v>
      </c>
      <c r="G4230" t="s">
        <v>16</v>
      </c>
      <c r="H4230" t="s">
        <v>61</v>
      </c>
      <c r="I4230" s="2">
        <v>57.69</v>
      </c>
      <c r="J4230">
        <v>3</v>
      </c>
      <c r="K4230" s="2">
        <v>23.652899999999999</v>
      </c>
      <c r="L4230" s="3">
        <f>(Table1[[#This Row],[Profit]]/Table1[[#This Row],[Sales]])*100</f>
        <v>41</v>
      </c>
    </row>
    <row r="4231" spans="1:12" x14ac:dyDescent="0.3">
      <c r="A4231" t="s">
        <v>5480</v>
      </c>
      <c r="B4231" s="1">
        <v>44097</v>
      </c>
      <c r="C4231" t="s">
        <v>3968</v>
      </c>
      <c r="D4231" t="s">
        <v>3969</v>
      </c>
      <c r="E4231" t="s">
        <v>14</v>
      </c>
      <c r="F4231" t="s">
        <v>23</v>
      </c>
      <c r="G4231" t="s">
        <v>24</v>
      </c>
      <c r="H4231" t="s">
        <v>2833</v>
      </c>
      <c r="I4231" s="2">
        <v>122.96</v>
      </c>
      <c r="J4231">
        <v>3</v>
      </c>
      <c r="K4231" s="2">
        <v>23.712</v>
      </c>
      <c r="L4231" s="3">
        <f>(Table1[[#This Row],[Profit]]/Table1[[#This Row],[Sales]])*100</f>
        <v>19.284320104098896</v>
      </c>
    </row>
    <row r="4232" spans="1:12" x14ac:dyDescent="0.3">
      <c r="A4232" t="s">
        <v>1429</v>
      </c>
      <c r="B4232" s="1">
        <v>43604</v>
      </c>
      <c r="C4232" t="s">
        <v>1430</v>
      </c>
      <c r="D4232" t="s">
        <v>1431</v>
      </c>
      <c r="E4232" t="s">
        <v>14</v>
      </c>
      <c r="F4232" t="s">
        <v>23</v>
      </c>
      <c r="G4232" t="s">
        <v>24</v>
      </c>
      <c r="H4232" t="s">
        <v>1353</v>
      </c>
      <c r="I4232" s="2">
        <v>87.84</v>
      </c>
      <c r="J4232">
        <v>8</v>
      </c>
      <c r="K4232" s="2">
        <v>23.716799999999999</v>
      </c>
      <c r="L4232" s="3">
        <f>(Table1[[#This Row],[Profit]]/Table1[[#This Row],[Sales]])*100</f>
        <v>26.999999999999996</v>
      </c>
    </row>
    <row r="4233" spans="1:12" x14ac:dyDescent="0.3">
      <c r="A4233" t="s">
        <v>1506</v>
      </c>
      <c r="B4233" s="1">
        <v>43611</v>
      </c>
      <c r="C4233" t="s">
        <v>1507</v>
      </c>
      <c r="D4233" t="s">
        <v>1508</v>
      </c>
      <c r="E4233" t="s">
        <v>14</v>
      </c>
      <c r="F4233" t="s">
        <v>23</v>
      </c>
      <c r="G4233" t="s">
        <v>18</v>
      </c>
      <c r="H4233" t="s">
        <v>1511</v>
      </c>
      <c r="I4233" s="2">
        <v>211.16800000000001</v>
      </c>
      <c r="J4233">
        <v>4</v>
      </c>
      <c r="K4233" s="2">
        <v>23.756399999999999</v>
      </c>
      <c r="L4233" s="3">
        <f>(Table1[[#This Row],[Profit]]/Table1[[#This Row],[Sales]])*100</f>
        <v>11.249999999999998</v>
      </c>
    </row>
    <row r="4234" spans="1:12" x14ac:dyDescent="0.3">
      <c r="A4234" t="s">
        <v>4105</v>
      </c>
      <c r="B4234" s="1">
        <v>43864</v>
      </c>
      <c r="C4234" t="s">
        <v>341</v>
      </c>
      <c r="D4234" t="s">
        <v>342</v>
      </c>
      <c r="E4234" t="s">
        <v>14</v>
      </c>
      <c r="F4234" t="s">
        <v>29</v>
      </c>
      <c r="G4234" t="s">
        <v>24</v>
      </c>
      <c r="H4234" t="s">
        <v>126</v>
      </c>
      <c r="I4234" s="2">
        <v>159.584</v>
      </c>
      <c r="J4234">
        <v>2</v>
      </c>
      <c r="K4234" s="2">
        <v>23.7742</v>
      </c>
      <c r="L4234" s="3">
        <f>(Table1[[#This Row],[Profit]]/Table1[[#This Row],[Sales]])*100</f>
        <v>14.897608782835373</v>
      </c>
    </row>
    <row r="4235" spans="1:12" x14ac:dyDescent="0.3">
      <c r="A4235" t="s">
        <v>4427</v>
      </c>
      <c r="B4235" s="1">
        <v>43930</v>
      </c>
      <c r="C4235" t="s">
        <v>3072</v>
      </c>
      <c r="D4235" t="s">
        <v>3073</v>
      </c>
      <c r="E4235" t="s">
        <v>14</v>
      </c>
      <c r="F4235" t="s">
        <v>15</v>
      </c>
      <c r="G4235" t="s">
        <v>24</v>
      </c>
      <c r="H4235" t="s">
        <v>126</v>
      </c>
      <c r="I4235" s="2">
        <v>115.584</v>
      </c>
      <c r="J4235">
        <v>2</v>
      </c>
      <c r="K4235" s="2">
        <v>23.7742</v>
      </c>
      <c r="L4235" s="3">
        <f>(Table1[[#This Row],[Profit]]/Table1[[#This Row],[Sales]])*100</f>
        <v>20.568763842746403</v>
      </c>
    </row>
    <row r="4236" spans="1:12" x14ac:dyDescent="0.3">
      <c r="A4236" t="s">
        <v>2812</v>
      </c>
      <c r="B4236" s="1">
        <v>43727</v>
      </c>
      <c r="C4236" t="s">
        <v>578</v>
      </c>
      <c r="D4236" t="s">
        <v>579</v>
      </c>
      <c r="E4236" t="s">
        <v>14</v>
      </c>
      <c r="F4236" t="s">
        <v>15</v>
      </c>
      <c r="G4236" t="s">
        <v>24</v>
      </c>
      <c r="H4236" t="s">
        <v>979</v>
      </c>
      <c r="I4236" s="2">
        <v>49.53</v>
      </c>
      <c r="J4236">
        <v>3</v>
      </c>
      <c r="K4236" s="2">
        <v>23.7744</v>
      </c>
      <c r="L4236" s="3">
        <f>(Table1[[#This Row],[Profit]]/Table1[[#This Row],[Sales]])*100</f>
        <v>48</v>
      </c>
    </row>
    <row r="4237" spans="1:12" x14ac:dyDescent="0.3">
      <c r="A4237" t="s">
        <v>5904</v>
      </c>
      <c r="B4237" s="1">
        <v>44151</v>
      </c>
      <c r="C4237" t="s">
        <v>475</v>
      </c>
      <c r="D4237" t="s">
        <v>476</v>
      </c>
      <c r="E4237" t="s">
        <v>14</v>
      </c>
      <c r="F4237" t="s">
        <v>23</v>
      </c>
      <c r="G4237" t="s">
        <v>16</v>
      </c>
      <c r="H4237" t="s">
        <v>2558</v>
      </c>
      <c r="I4237" s="2">
        <v>186.92</v>
      </c>
      <c r="J4237">
        <v>2</v>
      </c>
      <c r="K4237" s="2">
        <v>23.7864</v>
      </c>
      <c r="L4237" s="3">
        <f>(Table1[[#This Row],[Profit]]/Table1[[#This Row],[Sales]])*100</f>
        <v>12.725444040231116</v>
      </c>
    </row>
    <row r="4238" spans="1:12" x14ac:dyDescent="0.3">
      <c r="A4238" t="s">
        <v>3599</v>
      </c>
      <c r="B4238" s="1">
        <v>43796</v>
      </c>
      <c r="C4238" t="s">
        <v>471</v>
      </c>
      <c r="D4238" t="s">
        <v>472</v>
      </c>
      <c r="E4238" t="s">
        <v>14</v>
      </c>
      <c r="F4238" t="s">
        <v>23</v>
      </c>
      <c r="G4238" t="s">
        <v>18</v>
      </c>
      <c r="H4238" t="s">
        <v>3600</v>
      </c>
      <c r="I4238" s="2">
        <v>271.99200000000002</v>
      </c>
      <c r="J4238">
        <v>1</v>
      </c>
      <c r="K4238" s="2">
        <v>23.799299999999999</v>
      </c>
      <c r="L4238" s="3">
        <f>(Table1[[#This Row],[Profit]]/Table1[[#This Row],[Sales]])*100</f>
        <v>8.75</v>
      </c>
    </row>
    <row r="4239" spans="1:12" x14ac:dyDescent="0.3">
      <c r="A4239" t="s">
        <v>4651</v>
      </c>
      <c r="B4239" s="1">
        <v>43965</v>
      </c>
      <c r="C4239" t="s">
        <v>3636</v>
      </c>
      <c r="D4239" t="s">
        <v>3637</v>
      </c>
      <c r="E4239" t="s">
        <v>14</v>
      </c>
      <c r="F4239" t="s">
        <v>41</v>
      </c>
      <c r="G4239" t="s">
        <v>24</v>
      </c>
      <c r="H4239" t="s">
        <v>4652</v>
      </c>
      <c r="I4239" s="2">
        <v>130.69</v>
      </c>
      <c r="J4239">
        <v>9</v>
      </c>
      <c r="K4239" s="2">
        <v>23.8581</v>
      </c>
      <c r="L4239" s="3">
        <f>(Table1[[#This Row],[Profit]]/Table1[[#This Row],[Sales]])*100</f>
        <v>18.255490091055169</v>
      </c>
    </row>
    <row r="4240" spans="1:12" x14ac:dyDescent="0.3">
      <c r="A4240" t="s">
        <v>3657</v>
      </c>
      <c r="B4240" s="1">
        <v>43801</v>
      </c>
      <c r="C4240" t="s">
        <v>2307</v>
      </c>
      <c r="D4240" t="s">
        <v>2308</v>
      </c>
      <c r="E4240" t="s">
        <v>14</v>
      </c>
      <c r="F4240" t="s">
        <v>15</v>
      </c>
      <c r="G4240" t="s">
        <v>16</v>
      </c>
      <c r="H4240" t="s">
        <v>2240</v>
      </c>
      <c r="I4240" s="2">
        <v>72.42</v>
      </c>
      <c r="J4240">
        <v>6</v>
      </c>
      <c r="K4240" s="2">
        <v>23.898599999999998</v>
      </c>
      <c r="L4240" s="3">
        <f>(Table1[[#This Row],[Profit]]/Table1[[#This Row],[Sales]])*100</f>
        <v>32.999999999999993</v>
      </c>
    </row>
    <row r="4241" spans="1:12" x14ac:dyDescent="0.3">
      <c r="A4241" t="s">
        <v>4961</v>
      </c>
      <c r="B4241" s="1">
        <v>44018</v>
      </c>
      <c r="C4241" t="s">
        <v>2754</v>
      </c>
      <c r="D4241" t="s">
        <v>2755</v>
      </c>
      <c r="E4241" t="s">
        <v>14</v>
      </c>
      <c r="F4241" t="s">
        <v>41</v>
      </c>
      <c r="G4241" t="s">
        <v>16</v>
      </c>
      <c r="H4241" t="s">
        <v>4962</v>
      </c>
      <c r="I4241" s="2">
        <v>288.24</v>
      </c>
      <c r="J4241">
        <v>1</v>
      </c>
      <c r="K4241" s="2">
        <v>23.923999999999999</v>
      </c>
      <c r="L4241" s="3">
        <f>(Table1[[#This Row],[Profit]]/Table1[[#This Row],[Sales]])*100</f>
        <v>8.3000277546489034</v>
      </c>
    </row>
    <row r="4242" spans="1:12" x14ac:dyDescent="0.3">
      <c r="A4242" t="s">
        <v>6017</v>
      </c>
      <c r="B4242" s="1">
        <v>44160</v>
      </c>
      <c r="C4242" t="s">
        <v>2578</v>
      </c>
      <c r="D4242" t="s">
        <v>2579</v>
      </c>
      <c r="E4242" t="s">
        <v>14</v>
      </c>
      <c r="F4242" t="s">
        <v>41</v>
      </c>
      <c r="G4242" t="s">
        <v>24</v>
      </c>
      <c r="H4242" t="s">
        <v>5704</v>
      </c>
      <c r="I4242" s="2">
        <v>150.87</v>
      </c>
      <c r="J4242">
        <v>9</v>
      </c>
      <c r="K4242" s="2">
        <v>23.946300000000001</v>
      </c>
      <c r="L4242" s="3">
        <f>(Table1[[#This Row],[Profit]]/Table1[[#This Row],[Sales]])*100</f>
        <v>15.872141578842713</v>
      </c>
    </row>
    <row r="4243" spans="1:12" x14ac:dyDescent="0.3">
      <c r="A4243" t="s">
        <v>3077</v>
      </c>
      <c r="B4243" s="1">
        <v>43751</v>
      </c>
      <c r="C4243" t="s">
        <v>3037</v>
      </c>
      <c r="D4243" t="s">
        <v>3038</v>
      </c>
      <c r="E4243" t="s">
        <v>14</v>
      </c>
      <c r="F4243" t="s">
        <v>15</v>
      </c>
      <c r="G4243" t="s">
        <v>24</v>
      </c>
      <c r="H4243" t="s">
        <v>3078</v>
      </c>
      <c r="I4243" s="2">
        <v>99.87</v>
      </c>
      <c r="J4243">
        <v>3</v>
      </c>
      <c r="K4243" s="2">
        <v>23.968800000000002</v>
      </c>
      <c r="L4243" s="3">
        <f>(Table1[[#This Row],[Profit]]/Table1[[#This Row],[Sales]])*100</f>
        <v>24.000000000000004</v>
      </c>
    </row>
    <row r="4244" spans="1:12" x14ac:dyDescent="0.3">
      <c r="A4244" t="s">
        <v>5100</v>
      </c>
      <c r="B4244" s="1">
        <v>44046</v>
      </c>
      <c r="C4244" t="s">
        <v>3554</v>
      </c>
      <c r="D4244" t="s">
        <v>3555</v>
      </c>
      <c r="E4244" t="s">
        <v>14</v>
      </c>
      <c r="F4244" t="s">
        <v>23</v>
      </c>
      <c r="G4244" t="s">
        <v>24</v>
      </c>
      <c r="H4244" t="s">
        <v>3078</v>
      </c>
      <c r="I4244" s="2">
        <v>119.87</v>
      </c>
      <c r="J4244">
        <v>3</v>
      </c>
      <c r="K4244" s="2">
        <v>23.968800000000002</v>
      </c>
      <c r="L4244" s="3">
        <f>(Table1[[#This Row],[Profit]]/Table1[[#This Row],[Sales]])*100</f>
        <v>19.99566196713106</v>
      </c>
    </row>
    <row r="4245" spans="1:12" x14ac:dyDescent="0.3">
      <c r="A4245" t="s">
        <v>5334</v>
      </c>
      <c r="B4245" s="1">
        <v>44083</v>
      </c>
      <c r="C4245" t="s">
        <v>2760</v>
      </c>
      <c r="D4245" t="s">
        <v>2761</v>
      </c>
      <c r="E4245" t="s">
        <v>14</v>
      </c>
      <c r="F4245" t="s">
        <v>23</v>
      </c>
      <c r="G4245" t="s">
        <v>24</v>
      </c>
      <c r="H4245" t="s">
        <v>3078</v>
      </c>
      <c r="I4245" s="2">
        <v>133.87</v>
      </c>
      <c r="J4245">
        <v>3</v>
      </c>
      <c r="K4245" s="2">
        <v>23.968800000000002</v>
      </c>
      <c r="L4245" s="3">
        <f>(Table1[[#This Row],[Profit]]/Table1[[#This Row],[Sales]])*100</f>
        <v>17.904534249645181</v>
      </c>
    </row>
    <row r="4246" spans="1:12" x14ac:dyDescent="0.3">
      <c r="A4246" t="s">
        <v>6018</v>
      </c>
      <c r="B4246" s="1">
        <v>44161</v>
      </c>
      <c r="C4246" t="s">
        <v>719</v>
      </c>
      <c r="D4246" t="s">
        <v>720</v>
      </c>
      <c r="E4246" t="s">
        <v>14</v>
      </c>
      <c r="F4246" t="s">
        <v>15</v>
      </c>
      <c r="G4246" t="s">
        <v>24</v>
      </c>
      <c r="H4246" t="s">
        <v>3977</v>
      </c>
      <c r="I4246" s="2">
        <v>242.136</v>
      </c>
      <c r="J4246">
        <v>7</v>
      </c>
      <c r="K4246" s="2">
        <v>23.977799999999998</v>
      </c>
      <c r="L4246" s="3">
        <f>(Table1[[#This Row],[Profit]]/Table1[[#This Row],[Sales]])*100</f>
        <v>9.9026167112696992</v>
      </c>
    </row>
    <row r="4247" spans="1:12" x14ac:dyDescent="0.3">
      <c r="A4247" t="s">
        <v>5905</v>
      </c>
      <c r="B4247" s="1">
        <v>44151</v>
      </c>
      <c r="C4247" t="s">
        <v>1785</v>
      </c>
      <c r="D4247" t="s">
        <v>1786</v>
      </c>
      <c r="E4247" t="s">
        <v>14</v>
      </c>
      <c r="F4247" t="s">
        <v>23</v>
      </c>
      <c r="G4247" t="s">
        <v>16</v>
      </c>
      <c r="H4247" t="s">
        <v>940</v>
      </c>
      <c r="I4247" s="2">
        <v>145.94</v>
      </c>
      <c r="J4247">
        <v>3</v>
      </c>
      <c r="K4247" s="2">
        <v>23.988</v>
      </c>
      <c r="L4247" s="3">
        <f>(Table1[[#This Row],[Profit]]/Table1[[#This Row],[Sales]])*100</f>
        <v>16.43689187337262</v>
      </c>
    </row>
    <row r="4248" spans="1:12" x14ac:dyDescent="0.3">
      <c r="A4248" t="s">
        <v>5724</v>
      </c>
      <c r="B4248" s="1">
        <v>44132</v>
      </c>
      <c r="C4248" t="s">
        <v>4730</v>
      </c>
      <c r="D4248" t="s">
        <v>4731</v>
      </c>
      <c r="E4248" t="s">
        <v>14</v>
      </c>
      <c r="F4248" t="s">
        <v>15</v>
      </c>
      <c r="G4248" t="s">
        <v>24</v>
      </c>
      <c r="H4248" t="s">
        <v>426</v>
      </c>
      <c r="I4248" s="2">
        <v>162.97999999999999</v>
      </c>
      <c r="J4248">
        <v>2</v>
      </c>
      <c r="K4248" s="2">
        <v>23.99</v>
      </c>
      <c r="L4248" s="3">
        <f>(Table1[[#This Row],[Profit]]/Table1[[#This Row],[Sales]])*100</f>
        <v>14.719597496625353</v>
      </c>
    </row>
    <row r="4249" spans="1:12" x14ac:dyDescent="0.3">
      <c r="A4249" t="s">
        <v>3944</v>
      </c>
      <c r="B4249" s="1">
        <v>43828</v>
      </c>
      <c r="C4249" t="s">
        <v>3945</v>
      </c>
      <c r="D4249" t="s">
        <v>3946</v>
      </c>
      <c r="E4249" t="s">
        <v>14</v>
      </c>
      <c r="F4249" t="s">
        <v>29</v>
      </c>
      <c r="G4249" t="s">
        <v>16</v>
      </c>
      <c r="H4249" t="s">
        <v>484</v>
      </c>
      <c r="I4249" s="2">
        <v>70.56</v>
      </c>
      <c r="J4249">
        <v>6</v>
      </c>
      <c r="K4249" s="2">
        <v>23.990400000000001</v>
      </c>
      <c r="L4249" s="3">
        <f>(Table1[[#This Row],[Profit]]/Table1[[#This Row],[Sales]])*100</f>
        <v>34</v>
      </c>
    </row>
    <row r="4250" spans="1:12" x14ac:dyDescent="0.3">
      <c r="A4250" t="s">
        <v>5882</v>
      </c>
      <c r="B4250" s="1">
        <v>44148</v>
      </c>
      <c r="C4250" t="s">
        <v>3607</v>
      </c>
      <c r="D4250" t="s">
        <v>3608</v>
      </c>
      <c r="E4250" t="s">
        <v>14</v>
      </c>
      <c r="F4250" t="s">
        <v>41</v>
      </c>
      <c r="G4250" t="s">
        <v>18</v>
      </c>
      <c r="H4250" t="s">
        <v>4075</v>
      </c>
      <c r="I4250" s="2">
        <v>253.92</v>
      </c>
      <c r="J4250">
        <v>8</v>
      </c>
      <c r="K4250" s="2">
        <v>23.992000000000001</v>
      </c>
      <c r="L4250" s="3">
        <f>(Table1[[#This Row],[Profit]]/Table1[[#This Row],[Sales]])*100</f>
        <v>9.4486452425960952</v>
      </c>
    </row>
    <row r="4251" spans="1:12" x14ac:dyDescent="0.3">
      <c r="A4251" t="s">
        <v>3075</v>
      </c>
      <c r="B4251" s="1">
        <v>43751</v>
      </c>
      <c r="C4251" t="s">
        <v>2286</v>
      </c>
      <c r="D4251" t="s">
        <v>2287</v>
      </c>
      <c r="E4251" t="s">
        <v>14</v>
      </c>
      <c r="F4251" t="s">
        <v>29</v>
      </c>
      <c r="G4251" t="s">
        <v>18</v>
      </c>
      <c r="H4251" t="s">
        <v>1693</v>
      </c>
      <c r="I4251" s="2">
        <v>191.976</v>
      </c>
      <c r="J4251">
        <v>3</v>
      </c>
      <c r="K4251" s="2">
        <v>23.997</v>
      </c>
      <c r="L4251" s="3">
        <f>(Table1[[#This Row],[Profit]]/Table1[[#This Row],[Sales]])*100</f>
        <v>12.5</v>
      </c>
    </row>
    <row r="4252" spans="1:12" x14ac:dyDescent="0.3">
      <c r="A4252" t="s">
        <v>2810</v>
      </c>
      <c r="B4252" s="1">
        <v>43726</v>
      </c>
      <c r="C4252" t="s">
        <v>1013</v>
      </c>
      <c r="D4252" t="s">
        <v>1014</v>
      </c>
      <c r="E4252" t="s">
        <v>14</v>
      </c>
      <c r="F4252" t="s">
        <v>23</v>
      </c>
      <c r="G4252" t="s">
        <v>18</v>
      </c>
      <c r="H4252" t="s">
        <v>1905</v>
      </c>
      <c r="I4252" s="2">
        <v>239.98400000000001</v>
      </c>
      <c r="J4252">
        <v>2</v>
      </c>
      <c r="K4252" s="2">
        <v>23.9984</v>
      </c>
      <c r="L4252" s="3">
        <f>(Table1[[#This Row],[Profit]]/Table1[[#This Row],[Sales]])*100</f>
        <v>10</v>
      </c>
    </row>
    <row r="4253" spans="1:12" x14ac:dyDescent="0.3">
      <c r="A4253" t="s">
        <v>5918</v>
      </c>
      <c r="B4253" s="1">
        <v>44151</v>
      </c>
      <c r="C4253" t="s">
        <v>2414</v>
      </c>
      <c r="D4253" t="s">
        <v>2415</v>
      </c>
      <c r="E4253" t="s">
        <v>14</v>
      </c>
      <c r="F4253" t="s">
        <v>15</v>
      </c>
      <c r="G4253" t="s">
        <v>18</v>
      </c>
      <c r="H4253" t="s">
        <v>4764</v>
      </c>
      <c r="I4253" s="2">
        <v>182.44</v>
      </c>
      <c r="J4253">
        <v>4</v>
      </c>
      <c r="K4253" s="2">
        <v>24.122399999999999</v>
      </c>
      <c r="L4253" s="3">
        <f>(Table1[[#This Row],[Profit]]/Table1[[#This Row],[Sales]])*100</f>
        <v>13.22210041657531</v>
      </c>
    </row>
    <row r="4254" spans="1:12" x14ac:dyDescent="0.3">
      <c r="A4254" t="s">
        <v>5456</v>
      </c>
      <c r="B4254" s="1">
        <v>44095</v>
      </c>
      <c r="C4254" t="s">
        <v>2690</v>
      </c>
      <c r="D4254" t="s">
        <v>2691</v>
      </c>
      <c r="E4254" t="s">
        <v>14</v>
      </c>
      <c r="F4254" t="s">
        <v>41</v>
      </c>
      <c r="G4254" t="s">
        <v>24</v>
      </c>
      <c r="H4254" t="s">
        <v>1728</v>
      </c>
      <c r="I4254" s="2">
        <v>125.48</v>
      </c>
      <c r="J4254">
        <v>1</v>
      </c>
      <c r="K4254" s="2">
        <v>24.143999999999998</v>
      </c>
      <c r="L4254" s="3">
        <f>(Table1[[#This Row],[Profit]]/Table1[[#This Row],[Sales]])*100</f>
        <v>19.241313356710229</v>
      </c>
    </row>
    <row r="4255" spans="1:12" x14ac:dyDescent="0.3">
      <c r="A4255" t="s">
        <v>3774</v>
      </c>
      <c r="B4255" s="1">
        <v>43810</v>
      </c>
      <c r="C4255" t="s">
        <v>118</v>
      </c>
      <c r="D4255" t="s">
        <v>119</v>
      </c>
      <c r="E4255" t="s">
        <v>14</v>
      </c>
      <c r="F4255" t="s">
        <v>23</v>
      </c>
      <c r="G4255" t="s">
        <v>24</v>
      </c>
      <c r="H4255" t="s">
        <v>3784</v>
      </c>
      <c r="I4255" s="2">
        <v>83.42</v>
      </c>
      <c r="J4255">
        <v>2</v>
      </c>
      <c r="K4255" s="2">
        <v>24.191800000000001</v>
      </c>
      <c r="L4255" s="3">
        <f>(Table1[[#This Row],[Profit]]/Table1[[#This Row],[Sales]])*100</f>
        <v>28.999999999999996</v>
      </c>
    </row>
    <row r="4256" spans="1:12" x14ac:dyDescent="0.3">
      <c r="A4256" t="s">
        <v>2312</v>
      </c>
      <c r="B4256" s="1">
        <v>43690</v>
      </c>
      <c r="C4256" t="s">
        <v>481</v>
      </c>
      <c r="D4256" t="s">
        <v>482</v>
      </c>
      <c r="E4256" t="s">
        <v>14</v>
      </c>
      <c r="F4256" t="s">
        <v>29</v>
      </c>
      <c r="G4256" t="s">
        <v>16</v>
      </c>
      <c r="H4256" t="s">
        <v>2313</v>
      </c>
      <c r="I4256" s="2">
        <v>241.96</v>
      </c>
      <c r="J4256">
        <v>2</v>
      </c>
      <c r="K4256" s="2">
        <v>24.196000000000002</v>
      </c>
      <c r="L4256" s="3">
        <f>(Table1[[#This Row],[Profit]]/Table1[[#This Row],[Sales]])*100</f>
        <v>10</v>
      </c>
    </row>
    <row r="4257" spans="1:12" x14ac:dyDescent="0.3">
      <c r="A4257" t="s">
        <v>3775</v>
      </c>
      <c r="B4257" s="1">
        <v>43810</v>
      </c>
      <c r="C4257" t="s">
        <v>267</v>
      </c>
      <c r="D4257" t="s">
        <v>268</v>
      </c>
      <c r="E4257" t="s">
        <v>14</v>
      </c>
      <c r="F4257" t="s">
        <v>15</v>
      </c>
      <c r="G4257" t="s">
        <v>24</v>
      </c>
      <c r="H4257" t="s">
        <v>3777</v>
      </c>
      <c r="I4257" s="2">
        <v>387.13600000000002</v>
      </c>
      <c r="J4257">
        <v>4</v>
      </c>
      <c r="K4257" s="2">
        <v>24.196000000000002</v>
      </c>
      <c r="L4257" s="3">
        <f>(Table1[[#This Row],[Profit]]/Table1[[#This Row],[Sales]])*100</f>
        <v>6.25</v>
      </c>
    </row>
    <row r="4258" spans="1:12" x14ac:dyDescent="0.3">
      <c r="A4258" t="s">
        <v>5786</v>
      </c>
      <c r="B4258" s="1">
        <v>44140</v>
      </c>
      <c r="C4258" t="s">
        <v>5787</v>
      </c>
      <c r="D4258" t="s">
        <v>5788</v>
      </c>
      <c r="E4258" t="s">
        <v>14</v>
      </c>
      <c r="F4258" t="s">
        <v>15</v>
      </c>
      <c r="G4258" t="s">
        <v>16</v>
      </c>
      <c r="H4258" t="s">
        <v>2777</v>
      </c>
      <c r="I4258" s="2">
        <v>166.124</v>
      </c>
      <c r="J4258">
        <v>2</v>
      </c>
      <c r="K4258" s="2">
        <v>24.2012</v>
      </c>
      <c r="L4258" s="3">
        <f>(Table1[[#This Row],[Profit]]/Table1[[#This Row],[Sales]])*100</f>
        <v>14.568153909128121</v>
      </c>
    </row>
    <row r="4259" spans="1:12" x14ac:dyDescent="0.3">
      <c r="A4259" t="s">
        <v>3524</v>
      </c>
      <c r="B4259" s="1">
        <v>43791</v>
      </c>
      <c r="C4259" t="s">
        <v>3525</v>
      </c>
      <c r="D4259" t="s">
        <v>3526</v>
      </c>
      <c r="E4259" t="s">
        <v>14</v>
      </c>
      <c r="F4259" t="s">
        <v>29</v>
      </c>
      <c r="G4259" t="s">
        <v>24</v>
      </c>
      <c r="H4259" t="s">
        <v>1327</v>
      </c>
      <c r="I4259" s="2">
        <v>49.44</v>
      </c>
      <c r="J4259">
        <v>3</v>
      </c>
      <c r="K4259" s="2">
        <v>24.2256</v>
      </c>
      <c r="L4259" s="3">
        <f>(Table1[[#This Row],[Profit]]/Table1[[#This Row],[Sales]])*100</f>
        <v>49.000000000000007</v>
      </c>
    </row>
    <row r="4260" spans="1:12" x14ac:dyDescent="0.3">
      <c r="A4260" t="s">
        <v>5531</v>
      </c>
      <c r="B4260" s="1">
        <v>44103</v>
      </c>
      <c r="C4260" t="s">
        <v>2516</v>
      </c>
      <c r="D4260" t="s">
        <v>2517</v>
      </c>
      <c r="E4260" t="s">
        <v>14</v>
      </c>
      <c r="F4260" t="s">
        <v>15</v>
      </c>
      <c r="G4260" t="s">
        <v>24</v>
      </c>
      <c r="H4260" t="s">
        <v>392</v>
      </c>
      <c r="I4260" s="2">
        <v>128.55000000000001</v>
      </c>
      <c r="J4260">
        <v>5</v>
      </c>
      <c r="K4260" s="2">
        <v>24.2285</v>
      </c>
      <c r="L4260" s="3">
        <f>(Table1[[#This Row],[Profit]]/Table1[[#This Row],[Sales]])*100</f>
        <v>18.84753014391287</v>
      </c>
    </row>
    <row r="4261" spans="1:12" x14ac:dyDescent="0.3">
      <c r="A4261" t="s">
        <v>1047</v>
      </c>
      <c r="B4261" s="1">
        <v>43572</v>
      </c>
      <c r="C4261" t="s">
        <v>1048</v>
      </c>
      <c r="D4261" t="s">
        <v>1049</v>
      </c>
      <c r="E4261" t="s">
        <v>14</v>
      </c>
      <c r="F4261" t="s">
        <v>23</v>
      </c>
      <c r="G4261" t="s">
        <v>16</v>
      </c>
      <c r="H4261" t="s">
        <v>1050</v>
      </c>
      <c r="I4261" s="2">
        <v>257.49900000000002</v>
      </c>
      <c r="J4261">
        <v>3</v>
      </c>
      <c r="K4261" s="2">
        <v>24.235199999999999</v>
      </c>
      <c r="L4261" s="3">
        <f>(Table1[[#This Row],[Profit]]/Table1[[#This Row],[Sales]])*100</f>
        <v>9.4117647058823515</v>
      </c>
    </row>
    <row r="4262" spans="1:12" x14ac:dyDescent="0.3">
      <c r="A4262" t="s">
        <v>4982</v>
      </c>
      <c r="B4262" s="1">
        <v>44020</v>
      </c>
      <c r="C4262" t="s">
        <v>4983</v>
      </c>
      <c r="D4262" t="s">
        <v>4984</v>
      </c>
      <c r="E4262" t="s">
        <v>14</v>
      </c>
      <c r="F4262" t="s">
        <v>23</v>
      </c>
      <c r="G4262" t="s">
        <v>24</v>
      </c>
      <c r="H4262" t="s">
        <v>234</v>
      </c>
      <c r="I4262" s="2">
        <v>165.76</v>
      </c>
      <c r="J4262">
        <v>2</v>
      </c>
      <c r="K4262" s="2">
        <v>24.269600000000001</v>
      </c>
      <c r="L4262" s="3">
        <f>(Table1[[#This Row],[Profit]]/Table1[[#This Row],[Sales]])*100</f>
        <v>14.641409266409266</v>
      </c>
    </row>
    <row r="4263" spans="1:12" x14ac:dyDescent="0.3">
      <c r="A4263" t="s">
        <v>3837</v>
      </c>
      <c r="B4263" s="1">
        <v>43817</v>
      </c>
      <c r="C4263" t="s">
        <v>3838</v>
      </c>
      <c r="D4263" t="s">
        <v>3839</v>
      </c>
      <c r="E4263" t="s">
        <v>14</v>
      </c>
      <c r="F4263" t="s">
        <v>41</v>
      </c>
      <c r="G4263" t="s">
        <v>24</v>
      </c>
      <c r="H4263" t="s">
        <v>1579</v>
      </c>
      <c r="I4263" s="2">
        <v>194.52799999999999</v>
      </c>
      <c r="J4263">
        <v>2</v>
      </c>
      <c r="K4263" s="2">
        <v>24.315999999999999</v>
      </c>
      <c r="L4263" s="3">
        <f>(Table1[[#This Row],[Profit]]/Table1[[#This Row],[Sales]])*100</f>
        <v>12.5</v>
      </c>
    </row>
    <row r="4264" spans="1:12" x14ac:dyDescent="0.3">
      <c r="A4264" t="s">
        <v>5995</v>
      </c>
      <c r="B4264" s="1">
        <v>44159</v>
      </c>
      <c r="C4264" t="s">
        <v>1554</v>
      </c>
      <c r="D4264" t="s">
        <v>1555</v>
      </c>
      <c r="E4264" t="s">
        <v>14</v>
      </c>
      <c r="F4264" t="s">
        <v>41</v>
      </c>
      <c r="G4264" t="s">
        <v>24</v>
      </c>
      <c r="H4264" t="s">
        <v>3953</v>
      </c>
      <c r="I4264" s="2">
        <v>106.848</v>
      </c>
      <c r="J4264">
        <v>7</v>
      </c>
      <c r="K4264" s="2">
        <v>24.318000000000001</v>
      </c>
      <c r="L4264" s="3">
        <f>(Table1[[#This Row],[Profit]]/Table1[[#This Row],[Sales]])*100</f>
        <v>22.759433962264154</v>
      </c>
    </row>
    <row r="4265" spans="1:12" x14ac:dyDescent="0.3">
      <c r="A4265" t="s">
        <v>5908</v>
      </c>
      <c r="B4265" s="1">
        <v>44151</v>
      </c>
      <c r="C4265" t="s">
        <v>3368</v>
      </c>
      <c r="D4265" t="s">
        <v>3369</v>
      </c>
      <c r="E4265" t="s">
        <v>14</v>
      </c>
      <c r="F4265" t="s">
        <v>23</v>
      </c>
      <c r="G4265" t="s">
        <v>24</v>
      </c>
      <c r="H4265" t="s">
        <v>3782</v>
      </c>
      <c r="I4265" s="2">
        <v>847.28</v>
      </c>
      <c r="J4265">
        <v>8</v>
      </c>
      <c r="K4265" s="2">
        <v>24.3384</v>
      </c>
      <c r="L4265" s="3">
        <f>(Table1[[#This Row],[Profit]]/Table1[[#This Row],[Sales]])*100</f>
        <v>2.8725332829761121</v>
      </c>
    </row>
    <row r="4266" spans="1:12" x14ac:dyDescent="0.3">
      <c r="A4266" t="s">
        <v>4065</v>
      </c>
      <c r="B4266" s="1">
        <v>43856</v>
      </c>
      <c r="C4266" t="s">
        <v>4066</v>
      </c>
      <c r="D4266" t="s">
        <v>4067</v>
      </c>
      <c r="E4266" t="s">
        <v>14</v>
      </c>
      <c r="F4266" t="s">
        <v>41</v>
      </c>
      <c r="G4266" t="s">
        <v>16</v>
      </c>
      <c r="H4266" t="s">
        <v>1708</v>
      </c>
      <c r="I4266" s="2">
        <v>100.72</v>
      </c>
      <c r="J4266">
        <v>4</v>
      </c>
      <c r="K4266" s="2">
        <v>24.460799999999999</v>
      </c>
      <c r="L4266" s="3">
        <f>(Table1[[#This Row],[Profit]]/Table1[[#This Row],[Sales]])*100</f>
        <v>24.285941223193007</v>
      </c>
    </row>
    <row r="4267" spans="1:12" x14ac:dyDescent="0.3">
      <c r="A4267" t="s">
        <v>5434</v>
      </c>
      <c r="B4267" s="1">
        <v>44092</v>
      </c>
      <c r="C4267" t="s">
        <v>3913</v>
      </c>
      <c r="D4267" t="s">
        <v>3914</v>
      </c>
      <c r="E4267" t="s">
        <v>14</v>
      </c>
      <c r="F4267" t="s">
        <v>41</v>
      </c>
      <c r="G4267" t="s">
        <v>24</v>
      </c>
      <c r="H4267" t="s">
        <v>5442</v>
      </c>
      <c r="I4267" s="2">
        <v>137.96</v>
      </c>
      <c r="J4267">
        <v>7</v>
      </c>
      <c r="K4267" s="2">
        <v>24.460799999999999</v>
      </c>
      <c r="L4267" s="3">
        <f>(Table1[[#This Row],[Profit]]/Table1[[#This Row],[Sales]])*100</f>
        <v>17.730356625108726</v>
      </c>
    </row>
    <row r="4268" spans="1:12" x14ac:dyDescent="0.3">
      <c r="A4268" t="s">
        <v>1979</v>
      </c>
      <c r="B4268" s="1">
        <v>43653</v>
      </c>
      <c r="C4268" t="s">
        <v>1480</v>
      </c>
      <c r="D4268" t="s">
        <v>1481</v>
      </c>
      <c r="E4268" t="s">
        <v>14</v>
      </c>
      <c r="F4268" t="s">
        <v>23</v>
      </c>
      <c r="G4268" t="s">
        <v>24</v>
      </c>
      <c r="H4268" t="s">
        <v>1143</v>
      </c>
      <c r="I4268" s="2">
        <v>48.94</v>
      </c>
      <c r="J4268">
        <v>1</v>
      </c>
      <c r="K4268" s="2">
        <v>24.47</v>
      </c>
      <c r="L4268" s="3">
        <f>(Table1[[#This Row],[Profit]]/Table1[[#This Row],[Sales]])*100</f>
        <v>50</v>
      </c>
    </row>
    <row r="4269" spans="1:12" x14ac:dyDescent="0.3">
      <c r="A4269" t="s">
        <v>5495</v>
      </c>
      <c r="B4269" s="1">
        <v>44098</v>
      </c>
      <c r="C4269" t="s">
        <v>2698</v>
      </c>
      <c r="D4269" t="s">
        <v>2699</v>
      </c>
      <c r="E4269" t="s">
        <v>14</v>
      </c>
      <c r="F4269" t="s">
        <v>15</v>
      </c>
      <c r="G4269" t="s">
        <v>16</v>
      </c>
      <c r="H4269" t="s">
        <v>1221</v>
      </c>
      <c r="I4269" s="2">
        <v>129.05600000000001</v>
      </c>
      <c r="J4269">
        <v>3</v>
      </c>
      <c r="K4269" s="2">
        <v>24.4758</v>
      </c>
      <c r="L4269" s="3">
        <f>(Table1[[#This Row],[Profit]]/Table1[[#This Row],[Sales]])*100</f>
        <v>18.965255393007684</v>
      </c>
    </row>
    <row r="4270" spans="1:12" x14ac:dyDescent="0.3">
      <c r="A4270" t="s">
        <v>3505</v>
      </c>
      <c r="B4270" s="1">
        <v>43789</v>
      </c>
      <c r="C4270" t="s">
        <v>3506</v>
      </c>
      <c r="D4270" t="s">
        <v>3507</v>
      </c>
      <c r="E4270" t="s">
        <v>14</v>
      </c>
      <c r="F4270" t="s">
        <v>41</v>
      </c>
      <c r="G4270" t="s">
        <v>18</v>
      </c>
      <c r="H4270" t="s">
        <v>3454</v>
      </c>
      <c r="I4270" s="2">
        <v>244.768</v>
      </c>
      <c r="J4270">
        <v>4</v>
      </c>
      <c r="K4270" s="2">
        <v>24.476800000000001</v>
      </c>
      <c r="L4270" s="3">
        <f>(Table1[[#This Row],[Profit]]/Table1[[#This Row],[Sales]])*100</f>
        <v>10</v>
      </c>
    </row>
    <row r="4271" spans="1:12" x14ac:dyDescent="0.3">
      <c r="A4271" t="s">
        <v>3327</v>
      </c>
      <c r="B4271" s="1">
        <v>43779</v>
      </c>
      <c r="C4271" t="s">
        <v>3328</v>
      </c>
      <c r="D4271" t="s">
        <v>3329</v>
      </c>
      <c r="E4271" t="s">
        <v>14</v>
      </c>
      <c r="F4271" t="s">
        <v>23</v>
      </c>
      <c r="G4271" t="s">
        <v>24</v>
      </c>
      <c r="H4271" t="s">
        <v>1932</v>
      </c>
      <c r="I4271" s="2">
        <v>70.007999999999996</v>
      </c>
      <c r="J4271">
        <v>3</v>
      </c>
      <c r="K4271" s="2">
        <v>24.502800000000001</v>
      </c>
      <c r="L4271" s="3">
        <f>(Table1[[#This Row],[Profit]]/Table1[[#This Row],[Sales]])*100</f>
        <v>35</v>
      </c>
    </row>
    <row r="4272" spans="1:12" x14ac:dyDescent="0.3">
      <c r="A4272" t="s">
        <v>620</v>
      </c>
      <c r="B4272" s="1">
        <v>43537</v>
      </c>
      <c r="C4272" t="s">
        <v>621</v>
      </c>
      <c r="D4272" t="s">
        <v>622</v>
      </c>
      <c r="E4272" t="s">
        <v>14</v>
      </c>
      <c r="F4272" t="s">
        <v>29</v>
      </c>
      <c r="G4272" t="s">
        <v>24</v>
      </c>
      <c r="H4272" t="s">
        <v>623</v>
      </c>
      <c r="I4272" s="2">
        <v>70.08</v>
      </c>
      <c r="J4272">
        <v>5</v>
      </c>
      <c r="K4272" s="2">
        <v>24.527999999999999</v>
      </c>
      <c r="L4272" s="3">
        <f>(Table1[[#This Row],[Profit]]/Table1[[#This Row],[Sales]])*100</f>
        <v>35</v>
      </c>
    </row>
    <row r="4273" spans="1:12" x14ac:dyDescent="0.3">
      <c r="A4273" t="s">
        <v>107</v>
      </c>
      <c r="B4273" s="1">
        <v>43480</v>
      </c>
      <c r="C4273" t="s">
        <v>108</v>
      </c>
      <c r="D4273" t="s">
        <v>109</v>
      </c>
      <c r="E4273" t="s">
        <v>14</v>
      </c>
      <c r="F4273" t="s">
        <v>15</v>
      </c>
      <c r="G4273" t="s">
        <v>24</v>
      </c>
      <c r="H4273" t="s">
        <v>110</v>
      </c>
      <c r="I4273" s="2">
        <v>52.34</v>
      </c>
      <c r="J4273">
        <v>2</v>
      </c>
      <c r="K4273" s="2">
        <v>24.599799999999998</v>
      </c>
      <c r="L4273" s="3">
        <f>(Table1[[#This Row],[Profit]]/Table1[[#This Row],[Sales]])*100</f>
        <v>46.999999999999993</v>
      </c>
    </row>
    <row r="4274" spans="1:12" x14ac:dyDescent="0.3">
      <c r="A4274" t="s">
        <v>6058</v>
      </c>
      <c r="B4274" s="1">
        <v>44166</v>
      </c>
      <c r="C4274" t="s">
        <v>2976</v>
      </c>
      <c r="D4274" t="s">
        <v>2977</v>
      </c>
      <c r="E4274" t="s">
        <v>14</v>
      </c>
      <c r="F4274" t="s">
        <v>29</v>
      </c>
      <c r="G4274" t="s">
        <v>18</v>
      </c>
      <c r="H4274" t="s">
        <v>3881</v>
      </c>
      <c r="I4274" s="2">
        <v>229.8</v>
      </c>
      <c r="J4274">
        <v>5</v>
      </c>
      <c r="K4274" s="2">
        <v>24.727499999999999</v>
      </c>
      <c r="L4274" s="3">
        <f>(Table1[[#This Row],[Profit]]/Table1[[#This Row],[Sales]])*100</f>
        <v>10.760443864229764</v>
      </c>
    </row>
    <row r="4275" spans="1:12" x14ac:dyDescent="0.3">
      <c r="A4275" t="s">
        <v>3277</v>
      </c>
      <c r="B4275" s="1">
        <v>43774</v>
      </c>
      <c r="C4275" t="s">
        <v>3278</v>
      </c>
      <c r="D4275" t="s">
        <v>3279</v>
      </c>
      <c r="E4275" t="s">
        <v>14</v>
      </c>
      <c r="F4275" t="s">
        <v>29</v>
      </c>
      <c r="G4275" t="s">
        <v>24</v>
      </c>
      <c r="H4275" t="s">
        <v>3280</v>
      </c>
      <c r="I4275" s="2">
        <v>51.75</v>
      </c>
      <c r="J4275">
        <v>5</v>
      </c>
      <c r="K4275" s="2">
        <v>24.84</v>
      </c>
      <c r="L4275" s="3">
        <f>(Table1[[#This Row],[Profit]]/Table1[[#This Row],[Sales]])*100</f>
        <v>48</v>
      </c>
    </row>
    <row r="4276" spans="1:12" x14ac:dyDescent="0.3">
      <c r="A4276" t="s">
        <v>5101</v>
      </c>
      <c r="B4276" s="1">
        <v>44046</v>
      </c>
      <c r="C4276" t="s">
        <v>428</v>
      </c>
      <c r="D4276" t="s">
        <v>429</v>
      </c>
      <c r="E4276" t="s">
        <v>14</v>
      </c>
      <c r="F4276" t="s">
        <v>23</v>
      </c>
      <c r="G4276" t="s">
        <v>24</v>
      </c>
      <c r="H4276" t="s">
        <v>839</v>
      </c>
      <c r="I4276" s="2">
        <v>147.75</v>
      </c>
      <c r="J4276">
        <v>5</v>
      </c>
      <c r="K4276" s="2">
        <v>24.84</v>
      </c>
      <c r="L4276" s="3">
        <f>(Table1[[#This Row],[Profit]]/Table1[[#This Row],[Sales]])*100</f>
        <v>16.81218274111675</v>
      </c>
    </row>
    <row r="4277" spans="1:12" x14ac:dyDescent="0.3">
      <c r="A4277" t="s">
        <v>5191</v>
      </c>
      <c r="B4277" s="1">
        <v>44064</v>
      </c>
      <c r="C4277" t="s">
        <v>5192</v>
      </c>
      <c r="D4277" t="s">
        <v>5193</v>
      </c>
      <c r="E4277" t="s">
        <v>14</v>
      </c>
      <c r="F4277" t="s">
        <v>23</v>
      </c>
      <c r="G4277" t="s">
        <v>24</v>
      </c>
      <c r="H4277" t="s">
        <v>2852</v>
      </c>
      <c r="I4277" s="2">
        <v>186.75</v>
      </c>
      <c r="J4277">
        <v>5</v>
      </c>
      <c r="K4277" s="2">
        <v>24.84</v>
      </c>
      <c r="L4277" s="3">
        <f>(Table1[[#This Row],[Profit]]/Table1[[#This Row],[Sales]])*100</f>
        <v>13.301204819277107</v>
      </c>
    </row>
    <row r="4278" spans="1:12" x14ac:dyDescent="0.3">
      <c r="A4278" t="s">
        <v>3630</v>
      </c>
      <c r="B4278" s="1">
        <v>43799</v>
      </c>
      <c r="C4278" t="s">
        <v>3631</v>
      </c>
      <c r="D4278" t="s">
        <v>3632</v>
      </c>
      <c r="E4278" t="s">
        <v>14</v>
      </c>
      <c r="F4278" t="s">
        <v>29</v>
      </c>
      <c r="G4278" t="s">
        <v>24</v>
      </c>
      <c r="H4278" t="s">
        <v>2895</v>
      </c>
      <c r="I4278" s="2">
        <v>496.86</v>
      </c>
      <c r="J4278">
        <v>7</v>
      </c>
      <c r="K4278" s="2">
        <v>24.843</v>
      </c>
      <c r="L4278" s="3">
        <f>(Table1[[#This Row],[Profit]]/Table1[[#This Row],[Sales]])*100</f>
        <v>5</v>
      </c>
    </row>
    <row r="4279" spans="1:12" x14ac:dyDescent="0.3">
      <c r="A4279" t="s">
        <v>2103</v>
      </c>
      <c r="B4279" s="1">
        <v>43664</v>
      </c>
      <c r="C4279" t="s">
        <v>2104</v>
      </c>
      <c r="D4279" t="s">
        <v>2105</v>
      </c>
      <c r="E4279" t="s">
        <v>14</v>
      </c>
      <c r="F4279" t="s">
        <v>15</v>
      </c>
      <c r="G4279" t="s">
        <v>24</v>
      </c>
      <c r="H4279" t="s">
        <v>2106</v>
      </c>
      <c r="I4279" s="2">
        <v>284.08</v>
      </c>
      <c r="J4279">
        <v>10</v>
      </c>
      <c r="K4279" s="2">
        <v>24.856999999999999</v>
      </c>
      <c r="L4279" s="3">
        <f>(Table1[[#This Row],[Profit]]/Table1[[#This Row],[Sales]])*100</f>
        <v>8.75</v>
      </c>
    </row>
    <row r="4280" spans="1:12" x14ac:dyDescent="0.3">
      <c r="A4280" t="s">
        <v>4653</v>
      </c>
      <c r="B4280" s="1">
        <v>43966</v>
      </c>
      <c r="C4280" t="s">
        <v>981</v>
      </c>
      <c r="D4280" t="s">
        <v>982</v>
      </c>
      <c r="E4280" t="s">
        <v>14</v>
      </c>
      <c r="F4280" t="s">
        <v>23</v>
      </c>
      <c r="G4280" t="s">
        <v>16</v>
      </c>
      <c r="H4280" t="s">
        <v>639</v>
      </c>
      <c r="I4280" s="2">
        <v>265.95999999999998</v>
      </c>
      <c r="J4280">
        <v>1</v>
      </c>
      <c r="K4280" s="2">
        <v>24.858000000000001</v>
      </c>
      <c r="L4280" s="3">
        <f>(Table1[[#This Row],[Profit]]/Table1[[#This Row],[Sales]])*100</f>
        <v>9.3465182734245751</v>
      </c>
    </row>
    <row r="4281" spans="1:12" x14ac:dyDescent="0.3">
      <c r="A4281" t="s">
        <v>1103</v>
      </c>
      <c r="B4281" s="1">
        <v>43576</v>
      </c>
      <c r="C4281" t="s">
        <v>960</v>
      </c>
      <c r="D4281" t="s">
        <v>961</v>
      </c>
      <c r="E4281" t="s">
        <v>14</v>
      </c>
      <c r="F4281" t="s">
        <v>15</v>
      </c>
      <c r="G4281" t="s">
        <v>24</v>
      </c>
      <c r="H4281" t="s">
        <v>1105</v>
      </c>
      <c r="I4281" s="2">
        <v>51.84</v>
      </c>
      <c r="J4281">
        <v>8</v>
      </c>
      <c r="K4281" s="2">
        <v>24.883199999999999</v>
      </c>
      <c r="L4281" s="3">
        <f>(Table1[[#This Row],[Profit]]/Table1[[#This Row],[Sales]])*100</f>
        <v>47.999999999999993</v>
      </c>
    </row>
    <row r="4282" spans="1:12" x14ac:dyDescent="0.3">
      <c r="A4282" t="s">
        <v>2143</v>
      </c>
      <c r="B4282" s="1">
        <v>43668</v>
      </c>
      <c r="C4282" t="s">
        <v>80</v>
      </c>
      <c r="D4282" t="s">
        <v>81</v>
      </c>
      <c r="E4282" t="s">
        <v>14</v>
      </c>
      <c r="F4282" t="s">
        <v>15</v>
      </c>
      <c r="G4282" t="s">
        <v>24</v>
      </c>
      <c r="H4282" t="s">
        <v>2144</v>
      </c>
      <c r="I4282" s="2">
        <v>51.84</v>
      </c>
      <c r="J4282">
        <v>8</v>
      </c>
      <c r="K4282" s="2">
        <v>24.883199999999999</v>
      </c>
      <c r="L4282" s="3">
        <f>(Table1[[#This Row],[Profit]]/Table1[[#This Row],[Sales]])*100</f>
        <v>47.999999999999993</v>
      </c>
    </row>
    <row r="4283" spans="1:12" x14ac:dyDescent="0.3">
      <c r="A4283" t="s">
        <v>5975</v>
      </c>
      <c r="B4283" s="1">
        <v>44156</v>
      </c>
      <c r="C4283" t="s">
        <v>1631</v>
      </c>
      <c r="D4283" t="s">
        <v>1632</v>
      </c>
      <c r="E4283" t="s">
        <v>14</v>
      </c>
      <c r="F4283" t="s">
        <v>23</v>
      </c>
      <c r="G4283" t="s">
        <v>24</v>
      </c>
      <c r="H4283" t="s">
        <v>1105</v>
      </c>
      <c r="I4283" s="2">
        <v>100.84</v>
      </c>
      <c r="J4283">
        <v>8</v>
      </c>
      <c r="K4283" s="2">
        <v>24.883199999999999</v>
      </c>
      <c r="L4283" s="3">
        <f>(Table1[[#This Row],[Profit]]/Table1[[#This Row],[Sales]])*100</f>
        <v>24.675922253074177</v>
      </c>
    </row>
    <row r="4284" spans="1:12" x14ac:dyDescent="0.3">
      <c r="A4284" t="s">
        <v>3802</v>
      </c>
      <c r="B4284" s="1">
        <v>43812</v>
      </c>
      <c r="C4284" t="s">
        <v>2179</v>
      </c>
      <c r="D4284" t="s">
        <v>2180</v>
      </c>
      <c r="E4284" t="s">
        <v>14</v>
      </c>
      <c r="F4284" t="s">
        <v>29</v>
      </c>
      <c r="G4284" t="s">
        <v>18</v>
      </c>
      <c r="H4284" t="s">
        <v>3803</v>
      </c>
      <c r="I4284" s="2">
        <v>63.88</v>
      </c>
      <c r="J4284">
        <v>4</v>
      </c>
      <c r="K4284" s="2">
        <v>24.9132</v>
      </c>
      <c r="L4284" s="3">
        <f>(Table1[[#This Row],[Profit]]/Table1[[#This Row],[Sales]])*100</f>
        <v>38.999999999999993</v>
      </c>
    </row>
    <row r="4285" spans="1:12" x14ac:dyDescent="0.3">
      <c r="A4285" t="s">
        <v>4246</v>
      </c>
      <c r="B4285" s="1">
        <v>43901</v>
      </c>
      <c r="C4285" t="s">
        <v>414</v>
      </c>
      <c r="D4285" t="s">
        <v>415</v>
      </c>
      <c r="E4285" t="s">
        <v>14</v>
      </c>
      <c r="F4285" t="s">
        <v>15</v>
      </c>
      <c r="G4285" t="s">
        <v>18</v>
      </c>
      <c r="H4285" t="s">
        <v>3803</v>
      </c>
      <c r="I4285" s="2">
        <v>108.88</v>
      </c>
      <c r="J4285">
        <v>4</v>
      </c>
      <c r="K4285" s="2">
        <v>24.9132</v>
      </c>
      <c r="L4285" s="3">
        <f>(Table1[[#This Row],[Profit]]/Table1[[#This Row],[Sales]])*100</f>
        <v>22.881337252020572</v>
      </c>
    </row>
    <row r="4286" spans="1:12" x14ac:dyDescent="0.3">
      <c r="A4286" t="s">
        <v>2573</v>
      </c>
      <c r="B4286" s="1">
        <v>43712</v>
      </c>
      <c r="C4286" t="s">
        <v>2574</v>
      </c>
      <c r="D4286" t="s">
        <v>2575</v>
      </c>
      <c r="E4286" t="s">
        <v>14</v>
      </c>
      <c r="F4286" t="s">
        <v>15</v>
      </c>
      <c r="G4286" t="s">
        <v>16</v>
      </c>
      <c r="H4286" t="s">
        <v>1069</v>
      </c>
      <c r="I4286" s="2">
        <v>63.94</v>
      </c>
      <c r="J4286">
        <v>1</v>
      </c>
      <c r="K4286" s="2">
        <v>24.936599999999999</v>
      </c>
      <c r="L4286" s="3">
        <f>(Table1[[#This Row],[Profit]]/Table1[[#This Row],[Sales]])*100</f>
        <v>39</v>
      </c>
    </row>
    <row r="4287" spans="1:12" x14ac:dyDescent="0.3">
      <c r="A4287" t="s">
        <v>5935</v>
      </c>
      <c r="B4287" s="1">
        <v>44153</v>
      </c>
      <c r="C4287" t="s">
        <v>1168</v>
      </c>
      <c r="D4287" t="s">
        <v>1169</v>
      </c>
      <c r="E4287" t="s">
        <v>14</v>
      </c>
      <c r="F4287" t="s">
        <v>29</v>
      </c>
      <c r="G4287" t="s">
        <v>24</v>
      </c>
      <c r="H4287" t="s">
        <v>5320</v>
      </c>
      <c r="I4287" s="2">
        <v>142.52000000000001</v>
      </c>
      <c r="J4287">
        <v>6</v>
      </c>
      <c r="K4287" s="2">
        <v>24.980399999999999</v>
      </c>
      <c r="L4287" s="3">
        <f>(Table1[[#This Row],[Profit]]/Table1[[#This Row],[Sales]])*100</f>
        <v>17.527645242772945</v>
      </c>
    </row>
    <row r="4288" spans="1:12" x14ac:dyDescent="0.3">
      <c r="A4288" t="s">
        <v>2139</v>
      </c>
      <c r="B4288" s="1">
        <v>43668</v>
      </c>
      <c r="C4288" t="s">
        <v>2140</v>
      </c>
      <c r="D4288" t="s">
        <v>2141</v>
      </c>
      <c r="E4288" t="s">
        <v>14</v>
      </c>
      <c r="F4288" t="s">
        <v>23</v>
      </c>
      <c r="G4288" t="s">
        <v>24</v>
      </c>
      <c r="H4288" t="s">
        <v>2142</v>
      </c>
      <c r="I4288" s="2">
        <v>86.2</v>
      </c>
      <c r="J4288">
        <v>5</v>
      </c>
      <c r="K4288" s="2">
        <v>24.998000000000001</v>
      </c>
      <c r="L4288" s="3">
        <f>(Table1[[#This Row],[Profit]]/Table1[[#This Row],[Sales]])*100</f>
        <v>28.999999999999996</v>
      </c>
    </row>
    <row r="4289" spans="1:12" x14ac:dyDescent="0.3">
      <c r="A4289" t="s">
        <v>6184</v>
      </c>
      <c r="B4289" s="1">
        <v>44179</v>
      </c>
      <c r="C4289" t="s">
        <v>706</v>
      </c>
      <c r="D4289" t="s">
        <v>707</v>
      </c>
      <c r="E4289" t="s">
        <v>14</v>
      </c>
      <c r="F4289" t="s">
        <v>29</v>
      </c>
      <c r="G4289" t="s">
        <v>24</v>
      </c>
      <c r="H4289" t="s">
        <v>2581</v>
      </c>
      <c r="I4289" s="2">
        <v>407.23200000000003</v>
      </c>
      <c r="J4289">
        <v>6</v>
      </c>
      <c r="K4289" s="2">
        <v>24.9984</v>
      </c>
      <c r="L4289" s="3">
        <f>(Table1[[#This Row],[Profit]]/Table1[[#This Row],[Sales]])*100</f>
        <v>6.1386138613861387</v>
      </c>
    </row>
    <row r="4290" spans="1:12" x14ac:dyDescent="0.3">
      <c r="A4290" t="s">
        <v>5040</v>
      </c>
      <c r="B4290" s="1">
        <v>44033</v>
      </c>
      <c r="C4290" t="s">
        <v>946</v>
      </c>
      <c r="D4290" t="s">
        <v>947</v>
      </c>
      <c r="E4290" t="s">
        <v>14</v>
      </c>
      <c r="F4290" t="s">
        <v>15</v>
      </c>
      <c r="G4290" t="s">
        <v>24</v>
      </c>
      <c r="H4290" t="s">
        <v>3013</v>
      </c>
      <c r="I4290" s="2">
        <v>272.32</v>
      </c>
      <c r="J4290">
        <v>7</v>
      </c>
      <c r="K4290" s="2">
        <v>25.010999999999999</v>
      </c>
      <c r="L4290" s="3">
        <f>(Table1[[#This Row],[Profit]]/Table1[[#This Row],[Sales]])*100</f>
        <v>9.1844153936545236</v>
      </c>
    </row>
    <row r="4291" spans="1:12" x14ac:dyDescent="0.3">
      <c r="A4291" t="s">
        <v>4162</v>
      </c>
      <c r="B4291" s="1">
        <v>43881</v>
      </c>
      <c r="C4291" t="s">
        <v>2186</v>
      </c>
      <c r="D4291" t="s">
        <v>2187</v>
      </c>
      <c r="E4291" t="s">
        <v>14</v>
      </c>
      <c r="F4291" t="s">
        <v>23</v>
      </c>
      <c r="G4291" t="s">
        <v>18</v>
      </c>
      <c r="H4291" t="s">
        <v>4164</v>
      </c>
      <c r="I4291" s="2">
        <v>358.57600000000002</v>
      </c>
      <c r="J4291">
        <v>3</v>
      </c>
      <c r="K4291" s="2">
        <v>25.0182</v>
      </c>
      <c r="L4291" s="3">
        <f>(Table1[[#This Row],[Profit]]/Table1[[#This Row],[Sales]])*100</f>
        <v>6.9770982999419928</v>
      </c>
    </row>
    <row r="4292" spans="1:12" x14ac:dyDescent="0.3">
      <c r="A4292" t="s">
        <v>6128</v>
      </c>
      <c r="B4292" s="1">
        <v>44172</v>
      </c>
      <c r="C4292" t="s">
        <v>2114</v>
      </c>
      <c r="D4292" t="s">
        <v>2115</v>
      </c>
      <c r="E4292" t="s">
        <v>14</v>
      </c>
      <c r="F4292" t="s">
        <v>23</v>
      </c>
      <c r="G4292" t="s">
        <v>24</v>
      </c>
      <c r="H4292" t="s">
        <v>2890</v>
      </c>
      <c r="I4292" s="2">
        <v>159.04</v>
      </c>
      <c r="J4292">
        <v>6</v>
      </c>
      <c r="K4292" s="2">
        <v>25.02</v>
      </c>
      <c r="L4292" s="3">
        <f>(Table1[[#This Row],[Profit]]/Table1[[#This Row],[Sales]])*100</f>
        <v>15.731891348088531</v>
      </c>
    </row>
    <row r="4293" spans="1:12" x14ac:dyDescent="0.3">
      <c r="A4293" t="s">
        <v>5894</v>
      </c>
      <c r="B4293" s="1">
        <v>44149</v>
      </c>
      <c r="C4293" t="s">
        <v>2411</v>
      </c>
      <c r="D4293" t="s">
        <v>2412</v>
      </c>
      <c r="E4293" t="s">
        <v>14</v>
      </c>
      <c r="F4293" t="s">
        <v>15</v>
      </c>
      <c r="G4293" t="s">
        <v>24</v>
      </c>
      <c r="H4293" t="s">
        <v>5106</v>
      </c>
      <c r="I4293" s="2">
        <v>131.36000000000001</v>
      </c>
      <c r="J4293">
        <v>6</v>
      </c>
      <c r="K4293" s="2">
        <v>25.053599999999999</v>
      </c>
      <c r="L4293" s="3">
        <f>(Table1[[#This Row],[Profit]]/Table1[[#This Row],[Sales]])*100</f>
        <v>19.072472594397073</v>
      </c>
    </row>
    <row r="4294" spans="1:12" x14ac:dyDescent="0.3">
      <c r="A4294" t="s">
        <v>1544</v>
      </c>
      <c r="B4294" s="1">
        <v>43613</v>
      </c>
      <c r="C4294" t="s">
        <v>1107</v>
      </c>
      <c r="D4294" t="s">
        <v>1108</v>
      </c>
      <c r="E4294" t="s">
        <v>14</v>
      </c>
      <c r="F4294" t="s">
        <v>29</v>
      </c>
      <c r="G4294" t="s">
        <v>18</v>
      </c>
      <c r="H4294" t="s">
        <v>1545</v>
      </c>
      <c r="I4294" s="2">
        <v>286.39999999999998</v>
      </c>
      <c r="J4294">
        <v>1</v>
      </c>
      <c r="K4294" s="2">
        <v>25.06</v>
      </c>
      <c r="L4294" s="3">
        <f>(Table1[[#This Row],[Profit]]/Table1[[#This Row],[Sales]])*100</f>
        <v>8.75</v>
      </c>
    </row>
    <row r="4295" spans="1:12" x14ac:dyDescent="0.3">
      <c r="A4295" t="s">
        <v>3382</v>
      </c>
      <c r="B4295" s="1">
        <v>43780</v>
      </c>
      <c r="C4295" t="s">
        <v>942</v>
      </c>
      <c r="D4295" t="s">
        <v>943</v>
      </c>
      <c r="E4295" t="s">
        <v>14</v>
      </c>
      <c r="F4295" t="s">
        <v>15</v>
      </c>
      <c r="G4295" t="s">
        <v>24</v>
      </c>
      <c r="H4295" t="s">
        <v>1533</v>
      </c>
      <c r="I4295" s="2">
        <v>92.94</v>
      </c>
      <c r="J4295">
        <v>3</v>
      </c>
      <c r="K4295" s="2">
        <v>25.093800000000002</v>
      </c>
      <c r="L4295" s="3">
        <f>(Table1[[#This Row],[Profit]]/Table1[[#This Row],[Sales]])*100</f>
        <v>27</v>
      </c>
    </row>
    <row r="4296" spans="1:12" x14ac:dyDescent="0.3">
      <c r="A4296" t="s">
        <v>5493</v>
      </c>
      <c r="B4296" s="1">
        <v>44098</v>
      </c>
      <c r="C4296" t="s">
        <v>573</v>
      </c>
      <c r="D4296" t="s">
        <v>574</v>
      </c>
      <c r="E4296" t="s">
        <v>14</v>
      </c>
      <c r="F4296" t="s">
        <v>41</v>
      </c>
      <c r="G4296" t="s">
        <v>18</v>
      </c>
      <c r="H4296" t="s">
        <v>473</v>
      </c>
      <c r="I4296" s="2">
        <v>106.9</v>
      </c>
      <c r="J4296">
        <v>2</v>
      </c>
      <c r="K4296" s="2">
        <v>25.172000000000001</v>
      </c>
      <c r="L4296" s="3">
        <f>(Table1[[#This Row],[Profit]]/Table1[[#This Row],[Sales]])*100</f>
        <v>23.547240411599628</v>
      </c>
    </row>
    <row r="4297" spans="1:12" x14ac:dyDescent="0.3">
      <c r="A4297" t="s">
        <v>3183</v>
      </c>
      <c r="B4297" s="1">
        <v>43765</v>
      </c>
      <c r="C4297" t="s">
        <v>3184</v>
      </c>
      <c r="D4297" t="s">
        <v>3185</v>
      </c>
      <c r="E4297" t="s">
        <v>14</v>
      </c>
      <c r="F4297" t="s">
        <v>23</v>
      </c>
      <c r="G4297" t="s">
        <v>24</v>
      </c>
      <c r="H4297" t="s">
        <v>1483</v>
      </c>
      <c r="I4297" s="2">
        <v>67.135999999999996</v>
      </c>
      <c r="J4297">
        <v>4</v>
      </c>
      <c r="K4297" s="2">
        <v>25.175999999999998</v>
      </c>
      <c r="L4297" s="3">
        <f>(Table1[[#This Row],[Profit]]/Table1[[#This Row],[Sales]])*100</f>
        <v>37.5</v>
      </c>
    </row>
    <row r="4298" spans="1:12" x14ac:dyDescent="0.3">
      <c r="A4298" t="s">
        <v>3467</v>
      </c>
      <c r="B4298" s="1">
        <v>43788</v>
      </c>
      <c r="C4298" t="s">
        <v>128</v>
      </c>
      <c r="D4298" t="s">
        <v>129</v>
      </c>
      <c r="E4298" t="s">
        <v>14</v>
      </c>
      <c r="F4298" t="s">
        <v>29</v>
      </c>
      <c r="G4298" t="s">
        <v>18</v>
      </c>
      <c r="H4298" t="s">
        <v>2120</v>
      </c>
      <c r="I4298" s="2">
        <v>71.959999999999994</v>
      </c>
      <c r="J4298">
        <v>5</v>
      </c>
      <c r="K4298" s="2">
        <v>25.186</v>
      </c>
      <c r="L4298" s="3">
        <f>(Table1[[#This Row],[Profit]]/Table1[[#This Row],[Sales]])*100</f>
        <v>35</v>
      </c>
    </row>
    <row r="4299" spans="1:12" x14ac:dyDescent="0.3">
      <c r="A4299" t="s">
        <v>4171</v>
      </c>
      <c r="B4299" s="1">
        <v>43884</v>
      </c>
      <c r="C4299" t="s">
        <v>4172</v>
      </c>
      <c r="D4299" t="s">
        <v>4173</v>
      </c>
      <c r="E4299" t="s">
        <v>14</v>
      </c>
      <c r="F4299" t="s">
        <v>23</v>
      </c>
      <c r="G4299" t="s">
        <v>18</v>
      </c>
      <c r="H4299" t="s">
        <v>2120</v>
      </c>
      <c r="I4299" s="2">
        <v>884.96</v>
      </c>
      <c r="J4299">
        <v>5</v>
      </c>
      <c r="K4299" s="2">
        <v>25.186</v>
      </c>
      <c r="L4299" s="3">
        <f>(Table1[[#This Row],[Profit]]/Table1[[#This Row],[Sales]])*100</f>
        <v>2.8460043391791716</v>
      </c>
    </row>
    <row r="4300" spans="1:12" x14ac:dyDescent="0.3">
      <c r="A4300" t="s">
        <v>3431</v>
      </c>
      <c r="B4300" s="1">
        <v>43783</v>
      </c>
      <c r="C4300" t="s">
        <v>2720</v>
      </c>
      <c r="D4300" t="s">
        <v>2721</v>
      </c>
      <c r="E4300" t="s">
        <v>14</v>
      </c>
      <c r="F4300" t="s">
        <v>15</v>
      </c>
      <c r="G4300" t="s">
        <v>18</v>
      </c>
      <c r="H4300" t="s">
        <v>2736</v>
      </c>
      <c r="I4300" s="2">
        <v>89.97</v>
      </c>
      <c r="J4300">
        <v>3</v>
      </c>
      <c r="K4300" s="2">
        <v>25.191600000000001</v>
      </c>
      <c r="L4300" s="3">
        <f>(Table1[[#This Row],[Profit]]/Table1[[#This Row],[Sales]])*100</f>
        <v>28.000000000000004</v>
      </c>
    </row>
    <row r="4301" spans="1:12" x14ac:dyDescent="0.3">
      <c r="A4301" t="s">
        <v>3748</v>
      </c>
      <c r="B4301" s="1">
        <v>43808</v>
      </c>
      <c r="C4301" t="s">
        <v>1355</v>
      </c>
      <c r="D4301" t="s">
        <v>1356</v>
      </c>
      <c r="E4301" t="s">
        <v>14</v>
      </c>
      <c r="F4301" t="s">
        <v>29</v>
      </c>
      <c r="G4301" t="s">
        <v>18</v>
      </c>
      <c r="H4301" t="s">
        <v>874</v>
      </c>
      <c r="I4301" s="2">
        <v>59.98</v>
      </c>
      <c r="J4301">
        <v>2</v>
      </c>
      <c r="K4301" s="2">
        <v>25.191600000000001</v>
      </c>
      <c r="L4301" s="3">
        <f>(Table1[[#This Row],[Profit]]/Table1[[#This Row],[Sales]])*100</f>
        <v>42.000000000000007</v>
      </c>
    </row>
    <row r="4302" spans="1:12" x14ac:dyDescent="0.3">
      <c r="A4302" t="s">
        <v>3774</v>
      </c>
      <c r="B4302" s="1">
        <v>43810</v>
      </c>
      <c r="C4302" t="s">
        <v>118</v>
      </c>
      <c r="D4302" t="s">
        <v>119</v>
      </c>
      <c r="E4302" t="s">
        <v>14</v>
      </c>
      <c r="F4302" t="s">
        <v>23</v>
      </c>
      <c r="G4302" t="s">
        <v>18</v>
      </c>
      <c r="H4302" t="s">
        <v>3295</v>
      </c>
      <c r="I4302" s="2">
        <v>119.96</v>
      </c>
      <c r="J4302">
        <v>4</v>
      </c>
      <c r="K4302" s="2">
        <v>25.191600000000001</v>
      </c>
      <c r="L4302" s="3">
        <f>(Table1[[#This Row],[Profit]]/Table1[[#This Row],[Sales]])*100</f>
        <v>21.000000000000004</v>
      </c>
    </row>
    <row r="4303" spans="1:12" x14ac:dyDescent="0.3">
      <c r="A4303" t="s">
        <v>4775</v>
      </c>
      <c r="B4303" s="1">
        <v>43986</v>
      </c>
      <c r="C4303" t="s">
        <v>1259</v>
      </c>
      <c r="D4303" t="s">
        <v>1260</v>
      </c>
      <c r="E4303" t="s">
        <v>14</v>
      </c>
      <c r="F4303" t="s">
        <v>41</v>
      </c>
      <c r="G4303" t="s">
        <v>18</v>
      </c>
      <c r="H4303" t="s">
        <v>4777</v>
      </c>
      <c r="I4303" s="2">
        <v>161.98400000000001</v>
      </c>
      <c r="J4303">
        <v>2</v>
      </c>
      <c r="K4303" s="2">
        <v>25.194400000000002</v>
      </c>
      <c r="L4303" s="3">
        <f>(Table1[[#This Row],[Profit]]/Table1[[#This Row],[Sales]])*100</f>
        <v>15.553634926906362</v>
      </c>
    </row>
    <row r="4304" spans="1:12" x14ac:dyDescent="0.3">
      <c r="A4304" t="s">
        <v>753</v>
      </c>
      <c r="B4304" s="1">
        <v>43548</v>
      </c>
      <c r="C4304" t="s">
        <v>754</v>
      </c>
      <c r="D4304" t="s">
        <v>755</v>
      </c>
      <c r="E4304" t="s">
        <v>14</v>
      </c>
      <c r="F4304" t="s">
        <v>23</v>
      </c>
      <c r="G4304" t="s">
        <v>18</v>
      </c>
      <c r="H4304" t="s">
        <v>756</v>
      </c>
      <c r="I4304" s="2">
        <v>403.16800000000001</v>
      </c>
      <c r="J4304">
        <v>4</v>
      </c>
      <c r="K4304" s="2">
        <v>25.198</v>
      </c>
      <c r="L4304" s="3">
        <f>(Table1[[#This Row],[Profit]]/Table1[[#This Row],[Sales]])*100</f>
        <v>6.25</v>
      </c>
    </row>
    <row r="4305" spans="1:12" x14ac:dyDescent="0.3">
      <c r="A4305" t="s">
        <v>5464</v>
      </c>
      <c r="B4305" s="1">
        <v>44096</v>
      </c>
      <c r="C4305" t="s">
        <v>1465</v>
      </c>
      <c r="D4305" t="s">
        <v>1466</v>
      </c>
      <c r="E4305" t="s">
        <v>14</v>
      </c>
      <c r="F4305" t="s">
        <v>29</v>
      </c>
      <c r="G4305" t="s">
        <v>18</v>
      </c>
      <c r="H4305" t="s">
        <v>5465</v>
      </c>
      <c r="I4305" s="2">
        <v>136.97</v>
      </c>
      <c r="J4305">
        <v>3</v>
      </c>
      <c r="K4305" s="2">
        <v>25.221299999999999</v>
      </c>
      <c r="L4305" s="3">
        <f>(Table1[[#This Row],[Profit]]/Table1[[#This Row],[Sales]])*100</f>
        <v>18.413740235087975</v>
      </c>
    </row>
    <row r="4306" spans="1:12" x14ac:dyDescent="0.3">
      <c r="A4306" t="s">
        <v>4026</v>
      </c>
      <c r="B4306" s="1">
        <v>43846</v>
      </c>
      <c r="C4306" t="s">
        <v>2967</v>
      </c>
      <c r="D4306" t="s">
        <v>2968</v>
      </c>
      <c r="E4306" t="s">
        <v>14</v>
      </c>
      <c r="F4306" t="s">
        <v>29</v>
      </c>
      <c r="G4306" t="s">
        <v>24</v>
      </c>
      <c r="H4306" t="s">
        <v>1316</v>
      </c>
      <c r="I4306" s="2">
        <v>167.07</v>
      </c>
      <c r="J4306">
        <v>7</v>
      </c>
      <c r="K4306" s="2">
        <v>25.2315</v>
      </c>
      <c r="L4306" s="3">
        <f>(Table1[[#This Row],[Profit]]/Table1[[#This Row],[Sales]])*100</f>
        <v>15.102352307416053</v>
      </c>
    </row>
    <row r="4307" spans="1:12" x14ac:dyDescent="0.3">
      <c r="A4307" t="s">
        <v>3776</v>
      </c>
      <c r="B4307" s="1">
        <v>43810</v>
      </c>
      <c r="C4307" t="s">
        <v>2307</v>
      </c>
      <c r="D4307" t="s">
        <v>2308</v>
      </c>
      <c r="E4307" t="s">
        <v>14</v>
      </c>
      <c r="F4307" t="s">
        <v>23</v>
      </c>
      <c r="G4307" t="s">
        <v>16</v>
      </c>
      <c r="H4307" t="s">
        <v>2913</v>
      </c>
      <c r="I4307" s="2">
        <v>403.92</v>
      </c>
      <c r="J4307">
        <v>5</v>
      </c>
      <c r="K4307" s="2">
        <v>25.245000000000001</v>
      </c>
      <c r="L4307" s="3">
        <f>(Table1[[#This Row],[Profit]]/Table1[[#This Row],[Sales]])*100</f>
        <v>6.25</v>
      </c>
    </row>
    <row r="4308" spans="1:12" x14ac:dyDescent="0.3">
      <c r="A4308" t="s">
        <v>3958</v>
      </c>
      <c r="B4308" s="1">
        <v>43829</v>
      </c>
      <c r="C4308" t="s">
        <v>867</v>
      </c>
      <c r="D4308" t="s">
        <v>868</v>
      </c>
      <c r="E4308" t="s">
        <v>14</v>
      </c>
      <c r="F4308" t="s">
        <v>41</v>
      </c>
      <c r="G4308" t="s">
        <v>24</v>
      </c>
      <c r="H4308" t="s">
        <v>1141</v>
      </c>
      <c r="I4308" s="2">
        <v>72.224000000000004</v>
      </c>
      <c r="J4308">
        <v>4</v>
      </c>
      <c r="K4308" s="2">
        <v>25.278400000000001</v>
      </c>
      <c r="L4308" s="3">
        <f>(Table1[[#This Row],[Profit]]/Table1[[#This Row],[Sales]])*100</f>
        <v>35</v>
      </c>
    </row>
    <row r="4309" spans="1:12" x14ac:dyDescent="0.3">
      <c r="A4309" t="s">
        <v>1838</v>
      </c>
      <c r="B4309" s="1">
        <v>43639</v>
      </c>
      <c r="C4309" t="s">
        <v>1839</v>
      </c>
      <c r="D4309" t="s">
        <v>1840</v>
      </c>
      <c r="E4309" t="s">
        <v>14</v>
      </c>
      <c r="F4309" t="s">
        <v>23</v>
      </c>
      <c r="G4309" t="s">
        <v>24</v>
      </c>
      <c r="H4309" t="s">
        <v>1841</v>
      </c>
      <c r="I4309" s="2">
        <v>93.68</v>
      </c>
      <c r="J4309">
        <v>4</v>
      </c>
      <c r="K4309" s="2">
        <v>25.293600000000001</v>
      </c>
      <c r="L4309" s="3">
        <f>(Table1[[#This Row],[Profit]]/Table1[[#This Row],[Sales]])*100</f>
        <v>27</v>
      </c>
    </row>
    <row r="4310" spans="1:12" x14ac:dyDescent="0.3">
      <c r="A4310" t="s">
        <v>4699</v>
      </c>
      <c r="B4310" s="1">
        <v>43973</v>
      </c>
      <c r="C4310" t="s">
        <v>128</v>
      </c>
      <c r="D4310" t="s">
        <v>129</v>
      </c>
      <c r="E4310" t="s">
        <v>14</v>
      </c>
      <c r="F4310" t="s">
        <v>23</v>
      </c>
      <c r="G4310" t="s">
        <v>18</v>
      </c>
      <c r="H4310" t="s">
        <v>4020</v>
      </c>
      <c r="I4310" s="2">
        <v>113.46</v>
      </c>
      <c r="J4310">
        <v>7</v>
      </c>
      <c r="K4310" s="2">
        <v>25.330200000000001</v>
      </c>
      <c r="L4310" s="3">
        <f>(Table1[[#This Row],[Profit]]/Table1[[#This Row],[Sales]])*100</f>
        <v>22.325224748810154</v>
      </c>
    </row>
    <row r="4311" spans="1:12" x14ac:dyDescent="0.3">
      <c r="A4311" t="s">
        <v>2072</v>
      </c>
      <c r="B4311" s="1">
        <v>43663</v>
      </c>
      <c r="C4311" t="s">
        <v>2073</v>
      </c>
      <c r="D4311" t="s">
        <v>2074</v>
      </c>
      <c r="E4311" t="s">
        <v>14</v>
      </c>
      <c r="F4311" t="s">
        <v>29</v>
      </c>
      <c r="G4311" t="s">
        <v>24</v>
      </c>
      <c r="H4311" t="s">
        <v>541</v>
      </c>
      <c r="I4311" s="2">
        <v>51.84</v>
      </c>
      <c r="J4311">
        <v>8</v>
      </c>
      <c r="K4311" s="2">
        <v>25.401599999999998</v>
      </c>
      <c r="L4311" s="3">
        <f>(Table1[[#This Row],[Profit]]/Table1[[#This Row],[Sales]])*100</f>
        <v>48.999999999999993</v>
      </c>
    </row>
    <row r="4312" spans="1:12" x14ac:dyDescent="0.3">
      <c r="A4312" t="s">
        <v>4257</v>
      </c>
      <c r="B4312" s="1">
        <v>43903</v>
      </c>
      <c r="C4312" t="s">
        <v>1677</v>
      </c>
      <c r="D4312" t="s">
        <v>1678</v>
      </c>
      <c r="E4312" t="s">
        <v>14</v>
      </c>
      <c r="F4312" t="s">
        <v>23</v>
      </c>
      <c r="G4312" t="s">
        <v>24</v>
      </c>
      <c r="H4312" t="s">
        <v>3738</v>
      </c>
      <c r="I4312" s="2">
        <v>105.8</v>
      </c>
      <c r="J4312">
        <v>8</v>
      </c>
      <c r="K4312" s="2">
        <v>25.423999999999999</v>
      </c>
      <c r="L4312" s="3">
        <f>(Table1[[#This Row],[Profit]]/Table1[[#This Row],[Sales]])*100</f>
        <v>24.030245746691872</v>
      </c>
    </row>
    <row r="4313" spans="1:12" x14ac:dyDescent="0.3">
      <c r="A4313" t="s">
        <v>5150</v>
      </c>
      <c r="B4313" s="1">
        <v>44058</v>
      </c>
      <c r="C4313" t="s">
        <v>2167</v>
      </c>
      <c r="D4313" t="s">
        <v>2168</v>
      </c>
      <c r="E4313" t="s">
        <v>14</v>
      </c>
      <c r="F4313" t="s">
        <v>15</v>
      </c>
      <c r="G4313" t="s">
        <v>24</v>
      </c>
      <c r="H4313" t="s">
        <v>1113</v>
      </c>
      <c r="I4313" s="2">
        <v>144.84</v>
      </c>
      <c r="J4313">
        <v>2</v>
      </c>
      <c r="K4313" s="2">
        <v>25.438400000000001</v>
      </c>
      <c r="L4313" s="3">
        <f>(Table1[[#This Row],[Profit]]/Table1[[#This Row],[Sales]])*100</f>
        <v>17.563104114885391</v>
      </c>
    </row>
    <row r="4314" spans="1:12" x14ac:dyDescent="0.3">
      <c r="A4314" t="s">
        <v>5523</v>
      </c>
      <c r="B4314" s="1">
        <v>44103</v>
      </c>
      <c r="C4314" t="s">
        <v>356</v>
      </c>
      <c r="D4314" t="s">
        <v>357</v>
      </c>
      <c r="E4314" t="s">
        <v>14</v>
      </c>
      <c r="F4314" t="s">
        <v>23</v>
      </c>
      <c r="G4314" t="s">
        <v>24</v>
      </c>
      <c r="H4314" t="s">
        <v>1113</v>
      </c>
      <c r="I4314" s="2">
        <v>115.84</v>
      </c>
      <c r="J4314">
        <v>2</v>
      </c>
      <c r="K4314" s="2">
        <v>25.438400000000001</v>
      </c>
      <c r="L4314" s="3">
        <f>(Table1[[#This Row],[Profit]]/Table1[[#This Row],[Sales]])*100</f>
        <v>21.959944751381215</v>
      </c>
    </row>
    <row r="4315" spans="1:12" x14ac:dyDescent="0.3">
      <c r="A4315" t="s">
        <v>5129</v>
      </c>
      <c r="B4315" s="1">
        <v>44053</v>
      </c>
      <c r="C4315" t="s">
        <v>2159</v>
      </c>
      <c r="D4315" t="s">
        <v>2160</v>
      </c>
      <c r="E4315" t="s">
        <v>14</v>
      </c>
      <c r="F4315" t="s">
        <v>29</v>
      </c>
      <c r="G4315" t="s">
        <v>16</v>
      </c>
      <c r="H4315" t="s">
        <v>4947</v>
      </c>
      <c r="I4315" s="2">
        <v>139.30000000000001</v>
      </c>
      <c r="J4315">
        <v>2</v>
      </c>
      <c r="K4315" s="2">
        <v>25.472999999999999</v>
      </c>
      <c r="L4315" s="3">
        <f>(Table1[[#This Row],[Profit]]/Table1[[#This Row],[Sales]])*100</f>
        <v>18.286432160804019</v>
      </c>
    </row>
    <row r="4316" spans="1:12" x14ac:dyDescent="0.3">
      <c r="A4316" t="s">
        <v>5031</v>
      </c>
      <c r="B4316" s="1">
        <v>44032</v>
      </c>
      <c r="C4316" t="s">
        <v>1756</v>
      </c>
      <c r="D4316" t="s">
        <v>1757</v>
      </c>
      <c r="E4316" t="s">
        <v>14</v>
      </c>
      <c r="F4316" t="s">
        <v>15</v>
      </c>
      <c r="G4316" t="s">
        <v>16</v>
      </c>
      <c r="H4316" t="s">
        <v>5032</v>
      </c>
      <c r="I4316" s="2">
        <v>194.76400000000001</v>
      </c>
      <c r="J4316">
        <v>2</v>
      </c>
      <c r="K4316" s="2">
        <v>25.474399999999999</v>
      </c>
      <c r="L4316" s="3">
        <f>(Table1[[#This Row],[Profit]]/Table1[[#This Row],[Sales]])*100</f>
        <v>13.079624571276005</v>
      </c>
    </row>
    <row r="4317" spans="1:12" x14ac:dyDescent="0.3">
      <c r="A4317" t="s">
        <v>3194</v>
      </c>
      <c r="B4317" s="1">
        <v>43766</v>
      </c>
      <c r="C4317" t="s">
        <v>1451</v>
      </c>
      <c r="D4317" t="s">
        <v>1452</v>
      </c>
      <c r="E4317" t="s">
        <v>14</v>
      </c>
      <c r="F4317" t="s">
        <v>23</v>
      </c>
      <c r="G4317" t="s">
        <v>24</v>
      </c>
      <c r="H4317" t="s">
        <v>3195</v>
      </c>
      <c r="I4317" s="2">
        <v>50.96</v>
      </c>
      <c r="J4317">
        <v>7</v>
      </c>
      <c r="K4317" s="2">
        <v>25.48</v>
      </c>
      <c r="L4317" s="3">
        <f>(Table1[[#This Row],[Profit]]/Table1[[#This Row],[Sales]])*100</f>
        <v>50</v>
      </c>
    </row>
    <row r="4318" spans="1:12" x14ac:dyDescent="0.3">
      <c r="A4318" t="s">
        <v>3401</v>
      </c>
      <c r="B4318" s="1">
        <v>43781</v>
      </c>
      <c r="C4318" t="s">
        <v>55</v>
      </c>
      <c r="D4318" t="s">
        <v>56</v>
      </c>
      <c r="E4318" t="s">
        <v>14</v>
      </c>
      <c r="F4318" t="s">
        <v>23</v>
      </c>
      <c r="G4318" t="s">
        <v>18</v>
      </c>
      <c r="H4318" t="s">
        <v>2506</v>
      </c>
      <c r="I4318" s="2">
        <v>203.976</v>
      </c>
      <c r="J4318">
        <v>3</v>
      </c>
      <c r="K4318" s="2">
        <v>25.497</v>
      </c>
      <c r="L4318" s="3">
        <f>(Table1[[#This Row],[Profit]]/Table1[[#This Row],[Sales]])*100</f>
        <v>12.5</v>
      </c>
    </row>
    <row r="4319" spans="1:12" x14ac:dyDescent="0.3">
      <c r="A4319" t="s">
        <v>5075</v>
      </c>
      <c r="B4319" s="1">
        <v>44041</v>
      </c>
      <c r="C4319" t="s">
        <v>2263</v>
      </c>
      <c r="D4319" t="s">
        <v>2264</v>
      </c>
      <c r="E4319" t="s">
        <v>14</v>
      </c>
      <c r="F4319" t="s">
        <v>23</v>
      </c>
      <c r="G4319" t="s">
        <v>16</v>
      </c>
      <c r="H4319" t="s">
        <v>17</v>
      </c>
      <c r="I4319" s="2">
        <v>149.96</v>
      </c>
      <c r="J4319">
        <v>2</v>
      </c>
      <c r="K4319" s="2">
        <v>25.511199999999999</v>
      </c>
      <c r="L4319" s="3">
        <f>(Table1[[#This Row],[Profit]]/Table1[[#This Row],[Sales]])*100</f>
        <v>17.01200320085356</v>
      </c>
    </row>
    <row r="4320" spans="1:12" x14ac:dyDescent="0.3">
      <c r="A4320" t="s">
        <v>6122</v>
      </c>
      <c r="B4320" s="1">
        <v>44172</v>
      </c>
      <c r="C4320" t="s">
        <v>3334</v>
      </c>
      <c r="D4320" t="s">
        <v>3335</v>
      </c>
      <c r="E4320" t="s">
        <v>14</v>
      </c>
      <c r="F4320" t="s">
        <v>41</v>
      </c>
      <c r="G4320" t="s">
        <v>16</v>
      </c>
      <c r="H4320" t="s">
        <v>5668</v>
      </c>
      <c r="I4320" s="2">
        <v>123.38</v>
      </c>
      <c r="J4320">
        <v>6</v>
      </c>
      <c r="K4320" s="2">
        <v>25.537800000000001</v>
      </c>
      <c r="L4320" s="3">
        <f>(Table1[[#This Row],[Profit]]/Table1[[#This Row],[Sales]])*100</f>
        <v>20.69849246231156</v>
      </c>
    </row>
    <row r="4321" spans="1:12" x14ac:dyDescent="0.3">
      <c r="A4321" t="s">
        <v>3918</v>
      </c>
      <c r="B4321" s="1">
        <v>43825</v>
      </c>
      <c r="C4321" t="s">
        <v>3373</v>
      </c>
      <c r="D4321" t="s">
        <v>3374</v>
      </c>
      <c r="E4321" t="s">
        <v>14</v>
      </c>
      <c r="F4321" t="s">
        <v>15</v>
      </c>
      <c r="G4321" t="s">
        <v>16</v>
      </c>
      <c r="H4321" t="s">
        <v>1772</v>
      </c>
      <c r="I4321" s="2">
        <v>212.94</v>
      </c>
      <c r="J4321">
        <v>3</v>
      </c>
      <c r="K4321" s="2">
        <v>25.552800000000001</v>
      </c>
      <c r="L4321" s="3">
        <f>(Table1[[#This Row],[Profit]]/Table1[[#This Row],[Sales]])*100</f>
        <v>12.000000000000002</v>
      </c>
    </row>
    <row r="4322" spans="1:12" x14ac:dyDescent="0.3">
      <c r="A4322" t="s">
        <v>4923</v>
      </c>
      <c r="B4322" s="1">
        <v>44012</v>
      </c>
      <c r="C4322" t="s">
        <v>4924</v>
      </c>
      <c r="D4322" t="s">
        <v>4925</v>
      </c>
      <c r="E4322" t="s">
        <v>14</v>
      </c>
      <c r="F4322" t="s">
        <v>23</v>
      </c>
      <c r="G4322" t="s">
        <v>24</v>
      </c>
      <c r="H4322" t="s">
        <v>4438</v>
      </c>
      <c r="I4322" s="2">
        <v>117.792</v>
      </c>
      <c r="J4322">
        <v>3</v>
      </c>
      <c r="K4322" s="2">
        <v>25.579799999999999</v>
      </c>
      <c r="L4322" s="3">
        <f>(Table1[[#This Row],[Profit]]/Table1[[#This Row],[Sales]])*100</f>
        <v>21.716075794621027</v>
      </c>
    </row>
    <row r="4323" spans="1:12" x14ac:dyDescent="0.3">
      <c r="A4323" t="s">
        <v>5573</v>
      </c>
      <c r="B4323" s="1">
        <v>44109</v>
      </c>
      <c r="C4323" t="s">
        <v>5574</v>
      </c>
      <c r="D4323" t="s">
        <v>5575</v>
      </c>
      <c r="E4323" t="s">
        <v>14</v>
      </c>
      <c r="F4323" t="s">
        <v>15</v>
      </c>
      <c r="G4323" t="s">
        <v>24</v>
      </c>
      <c r="H4323" t="s">
        <v>4438</v>
      </c>
      <c r="I4323" s="2">
        <v>182.792</v>
      </c>
      <c r="J4323">
        <v>3</v>
      </c>
      <c r="K4323" s="2">
        <v>25.579799999999999</v>
      </c>
      <c r="L4323" s="3">
        <f>(Table1[[#This Row],[Profit]]/Table1[[#This Row],[Sales]])*100</f>
        <v>13.993938465578362</v>
      </c>
    </row>
    <row r="4324" spans="1:12" x14ac:dyDescent="0.3">
      <c r="A4324" t="s">
        <v>6123</v>
      </c>
      <c r="B4324" s="1">
        <v>44172</v>
      </c>
      <c r="C4324" t="s">
        <v>3818</v>
      </c>
      <c r="D4324" t="s">
        <v>3819</v>
      </c>
      <c r="E4324" t="s">
        <v>14</v>
      </c>
      <c r="F4324" t="s">
        <v>15</v>
      </c>
      <c r="G4324" t="s">
        <v>18</v>
      </c>
      <c r="H4324" t="s">
        <v>507</v>
      </c>
      <c r="I4324" s="2">
        <v>142.98400000000001</v>
      </c>
      <c r="J4324">
        <v>2</v>
      </c>
      <c r="K4324" s="2">
        <v>25.596800000000002</v>
      </c>
      <c r="L4324" s="3">
        <f>(Table1[[#This Row],[Profit]]/Table1[[#This Row],[Sales]])*100</f>
        <v>17.901863145526772</v>
      </c>
    </row>
    <row r="4325" spans="1:12" x14ac:dyDescent="0.3">
      <c r="A4325" t="s">
        <v>4383</v>
      </c>
      <c r="B4325" s="1">
        <v>43921</v>
      </c>
      <c r="C4325" t="s">
        <v>847</v>
      </c>
      <c r="D4325" t="s">
        <v>848</v>
      </c>
      <c r="E4325" t="s">
        <v>14</v>
      </c>
      <c r="F4325" t="s">
        <v>41</v>
      </c>
      <c r="G4325" t="s">
        <v>16</v>
      </c>
      <c r="H4325" t="s">
        <v>2252</v>
      </c>
      <c r="I4325" s="2">
        <v>103</v>
      </c>
      <c r="J4325">
        <v>5</v>
      </c>
      <c r="K4325" s="2">
        <v>25.62</v>
      </c>
      <c r="L4325" s="3">
        <f>(Table1[[#This Row],[Profit]]/Table1[[#This Row],[Sales]])*100</f>
        <v>24.873786407766989</v>
      </c>
    </row>
    <row r="4326" spans="1:12" x14ac:dyDescent="0.3">
      <c r="A4326" t="s">
        <v>1370</v>
      </c>
      <c r="B4326" s="1">
        <v>43600</v>
      </c>
      <c r="C4326" t="s">
        <v>1371</v>
      </c>
      <c r="D4326" t="s">
        <v>1372</v>
      </c>
      <c r="E4326" t="s">
        <v>14</v>
      </c>
      <c r="F4326" t="s">
        <v>41</v>
      </c>
      <c r="G4326" t="s">
        <v>24</v>
      </c>
      <c r="H4326" t="s">
        <v>1373</v>
      </c>
      <c r="I4326" s="2">
        <v>91.96</v>
      </c>
      <c r="J4326">
        <v>4</v>
      </c>
      <c r="K4326" s="2">
        <v>25.748799999999999</v>
      </c>
      <c r="L4326" s="3">
        <f>(Table1[[#This Row],[Profit]]/Table1[[#This Row],[Sales]])*100</f>
        <v>28.000000000000004</v>
      </c>
    </row>
    <row r="4327" spans="1:12" x14ac:dyDescent="0.3">
      <c r="A4327" t="s">
        <v>5525</v>
      </c>
      <c r="B4327" s="1">
        <v>44103</v>
      </c>
      <c r="C4327" t="s">
        <v>4885</v>
      </c>
      <c r="D4327" t="s">
        <v>4886</v>
      </c>
      <c r="E4327" t="s">
        <v>14</v>
      </c>
      <c r="F4327" t="s">
        <v>23</v>
      </c>
      <c r="G4327" t="s">
        <v>24</v>
      </c>
      <c r="H4327" t="s">
        <v>3076</v>
      </c>
      <c r="I4327" s="2">
        <v>149.19999999999999</v>
      </c>
      <c r="J4327">
        <v>5</v>
      </c>
      <c r="K4327" s="2">
        <v>25.792000000000002</v>
      </c>
      <c r="L4327" s="3">
        <f>(Table1[[#This Row],[Profit]]/Table1[[#This Row],[Sales]])*100</f>
        <v>17.286863270777484</v>
      </c>
    </row>
    <row r="4328" spans="1:12" x14ac:dyDescent="0.3">
      <c r="A4328" t="s">
        <v>4755</v>
      </c>
      <c r="B4328" s="1">
        <v>43983</v>
      </c>
      <c r="C4328" t="s">
        <v>1324</v>
      </c>
      <c r="D4328" t="s">
        <v>1325</v>
      </c>
      <c r="E4328" t="s">
        <v>14</v>
      </c>
      <c r="F4328" t="s">
        <v>29</v>
      </c>
      <c r="G4328" t="s">
        <v>24</v>
      </c>
      <c r="H4328" t="s">
        <v>199</v>
      </c>
      <c r="I4328" s="2">
        <v>140.9</v>
      </c>
      <c r="J4328">
        <v>5</v>
      </c>
      <c r="K4328" s="2">
        <v>25.872</v>
      </c>
      <c r="L4328" s="3">
        <f>(Table1[[#This Row],[Profit]]/Table1[[#This Row],[Sales]])*100</f>
        <v>18.361958836053937</v>
      </c>
    </row>
    <row r="4329" spans="1:12" x14ac:dyDescent="0.3">
      <c r="A4329" t="s">
        <v>4616</v>
      </c>
      <c r="B4329" s="1">
        <v>43960</v>
      </c>
      <c r="C4329" t="s">
        <v>3498</v>
      </c>
      <c r="D4329" t="s">
        <v>3499</v>
      </c>
      <c r="E4329" t="s">
        <v>14</v>
      </c>
      <c r="F4329" t="s">
        <v>41</v>
      </c>
      <c r="G4329" t="s">
        <v>16</v>
      </c>
      <c r="H4329" t="s">
        <v>326</v>
      </c>
      <c r="I4329" s="2">
        <v>240</v>
      </c>
      <c r="J4329">
        <v>3</v>
      </c>
      <c r="K4329" s="2">
        <v>25.875</v>
      </c>
      <c r="L4329" s="3">
        <f>(Table1[[#This Row],[Profit]]/Table1[[#This Row],[Sales]])*100</f>
        <v>10.78125</v>
      </c>
    </row>
    <row r="4330" spans="1:12" x14ac:dyDescent="0.3">
      <c r="A4330" t="s">
        <v>5119</v>
      </c>
      <c r="B4330" s="1">
        <v>44050</v>
      </c>
      <c r="C4330" t="s">
        <v>908</v>
      </c>
      <c r="D4330" t="s">
        <v>909</v>
      </c>
      <c r="E4330" t="s">
        <v>14</v>
      </c>
      <c r="F4330" t="s">
        <v>23</v>
      </c>
      <c r="G4330" t="s">
        <v>16</v>
      </c>
      <c r="H4330" t="s">
        <v>5125</v>
      </c>
      <c r="I4330" s="2">
        <v>257.18400000000003</v>
      </c>
      <c r="J4330">
        <v>1</v>
      </c>
      <c r="K4330" s="2">
        <v>25.898</v>
      </c>
      <c r="L4330" s="3">
        <f>(Table1[[#This Row],[Profit]]/Table1[[#This Row],[Sales]])*100</f>
        <v>10.069833271121063</v>
      </c>
    </row>
    <row r="4331" spans="1:12" x14ac:dyDescent="0.3">
      <c r="A4331" t="s">
        <v>4883</v>
      </c>
      <c r="B4331" s="1">
        <v>44006</v>
      </c>
      <c r="C4331" t="s">
        <v>565</v>
      </c>
      <c r="D4331" t="s">
        <v>566</v>
      </c>
      <c r="E4331" t="s">
        <v>14</v>
      </c>
      <c r="F4331" t="s">
        <v>23</v>
      </c>
      <c r="G4331" t="s">
        <v>24</v>
      </c>
      <c r="H4331" t="s">
        <v>1923</v>
      </c>
      <c r="I4331" s="2">
        <v>125.92</v>
      </c>
      <c r="J4331">
        <v>8</v>
      </c>
      <c r="K4331" s="2">
        <v>25.898399999999999</v>
      </c>
      <c r="L4331" s="3">
        <f>(Table1[[#This Row],[Profit]]/Table1[[#This Row],[Sales]])*100</f>
        <v>20.567344345616263</v>
      </c>
    </row>
    <row r="4332" spans="1:12" x14ac:dyDescent="0.3">
      <c r="A4332" t="s">
        <v>3189</v>
      </c>
      <c r="B4332" s="1">
        <v>43766</v>
      </c>
      <c r="C4332" t="s">
        <v>3021</v>
      </c>
      <c r="D4332" t="s">
        <v>3022</v>
      </c>
      <c r="E4332" t="s">
        <v>14</v>
      </c>
      <c r="F4332" t="s">
        <v>23</v>
      </c>
      <c r="G4332" t="s">
        <v>24</v>
      </c>
      <c r="H4332" t="s">
        <v>2056</v>
      </c>
      <c r="I4332" s="2">
        <v>93.06</v>
      </c>
      <c r="J4332">
        <v>6</v>
      </c>
      <c r="K4332" s="2">
        <v>26.056799999999999</v>
      </c>
      <c r="L4332" s="3">
        <f>(Table1[[#This Row],[Profit]]/Table1[[#This Row],[Sales]])*100</f>
        <v>27.999999999999996</v>
      </c>
    </row>
    <row r="4333" spans="1:12" x14ac:dyDescent="0.3">
      <c r="A4333" t="s">
        <v>1412</v>
      </c>
      <c r="B4333" s="1">
        <v>43603</v>
      </c>
      <c r="C4333" t="s">
        <v>435</v>
      </c>
      <c r="D4333" t="s">
        <v>436</v>
      </c>
      <c r="E4333" t="s">
        <v>14</v>
      </c>
      <c r="F4333" t="s">
        <v>23</v>
      </c>
      <c r="G4333" t="s">
        <v>24</v>
      </c>
      <c r="H4333" t="s">
        <v>1413</v>
      </c>
      <c r="I4333" s="2">
        <v>104.28</v>
      </c>
      <c r="J4333">
        <v>3</v>
      </c>
      <c r="K4333" s="2">
        <v>26.07</v>
      </c>
      <c r="L4333" s="3">
        <f>(Table1[[#This Row],[Profit]]/Table1[[#This Row],[Sales]])*100</f>
        <v>25</v>
      </c>
    </row>
    <row r="4334" spans="1:12" x14ac:dyDescent="0.3">
      <c r="A4334" t="s">
        <v>4614</v>
      </c>
      <c r="B4334" s="1">
        <v>43960</v>
      </c>
      <c r="C4334" t="s">
        <v>2520</v>
      </c>
      <c r="D4334" t="s">
        <v>2521</v>
      </c>
      <c r="E4334" t="s">
        <v>14</v>
      </c>
      <c r="F4334" t="s">
        <v>23</v>
      </c>
      <c r="G4334" t="s">
        <v>24</v>
      </c>
      <c r="H4334" t="s">
        <v>1413</v>
      </c>
      <c r="I4334" s="2">
        <v>139.28</v>
      </c>
      <c r="J4334">
        <v>3</v>
      </c>
      <c r="K4334" s="2">
        <v>26.07</v>
      </c>
      <c r="L4334" s="3">
        <f>(Table1[[#This Row],[Profit]]/Table1[[#This Row],[Sales]])*100</f>
        <v>18.717690982194142</v>
      </c>
    </row>
    <row r="4335" spans="1:12" x14ac:dyDescent="0.3">
      <c r="A4335" t="s">
        <v>5386</v>
      </c>
      <c r="B4335" s="1">
        <v>44088</v>
      </c>
      <c r="C4335" t="s">
        <v>89</v>
      </c>
      <c r="D4335" t="s">
        <v>90</v>
      </c>
      <c r="E4335" t="s">
        <v>14</v>
      </c>
      <c r="F4335" t="s">
        <v>23</v>
      </c>
      <c r="G4335" t="s">
        <v>24</v>
      </c>
      <c r="H4335" t="s">
        <v>4437</v>
      </c>
      <c r="I4335" s="2">
        <v>106.7</v>
      </c>
      <c r="J4335">
        <v>9</v>
      </c>
      <c r="K4335" s="2">
        <v>26.082000000000001</v>
      </c>
      <c r="L4335" s="3">
        <f>(Table1[[#This Row],[Profit]]/Table1[[#This Row],[Sales]])*100</f>
        <v>24.444236176194938</v>
      </c>
    </row>
    <row r="4336" spans="1:12" x14ac:dyDescent="0.3">
      <c r="A4336" t="s">
        <v>2801</v>
      </c>
      <c r="B4336" s="1">
        <v>43726</v>
      </c>
      <c r="C4336" t="s">
        <v>2802</v>
      </c>
      <c r="D4336" t="s">
        <v>2803</v>
      </c>
      <c r="E4336" t="s">
        <v>14</v>
      </c>
      <c r="F4336" t="s">
        <v>15</v>
      </c>
      <c r="G4336" t="s">
        <v>16</v>
      </c>
      <c r="H4336" t="s">
        <v>441</v>
      </c>
      <c r="I4336" s="2">
        <v>60.72</v>
      </c>
      <c r="J4336">
        <v>3</v>
      </c>
      <c r="K4336" s="2">
        <v>26.1096</v>
      </c>
      <c r="L4336" s="3">
        <f>(Table1[[#This Row],[Profit]]/Table1[[#This Row],[Sales]])*100</f>
        <v>43</v>
      </c>
    </row>
    <row r="4337" spans="1:12" x14ac:dyDescent="0.3">
      <c r="A4337" t="s">
        <v>4993</v>
      </c>
      <c r="B4337" s="1">
        <v>44022</v>
      </c>
      <c r="C4337" t="s">
        <v>4994</v>
      </c>
      <c r="D4337" t="s">
        <v>4995</v>
      </c>
      <c r="E4337" t="s">
        <v>14</v>
      </c>
      <c r="F4337" t="s">
        <v>29</v>
      </c>
      <c r="G4337" t="s">
        <v>24</v>
      </c>
      <c r="H4337" t="s">
        <v>302</v>
      </c>
      <c r="I4337" s="2">
        <v>325.464</v>
      </c>
      <c r="J4337">
        <v>6</v>
      </c>
      <c r="K4337" s="2">
        <v>26.115600000000001</v>
      </c>
      <c r="L4337" s="3">
        <f>(Table1[[#This Row],[Profit]]/Table1[[#This Row],[Sales]])*100</f>
        <v>8.0241132659833347</v>
      </c>
    </row>
    <row r="4338" spans="1:12" x14ac:dyDescent="0.3">
      <c r="A4338" t="s">
        <v>5122</v>
      </c>
      <c r="B4338" s="1">
        <v>44050</v>
      </c>
      <c r="C4338" t="s">
        <v>3936</v>
      </c>
      <c r="D4338" t="s">
        <v>3937</v>
      </c>
      <c r="E4338" t="s">
        <v>14</v>
      </c>
      <c r="F4338" t="s">
        <v>15</v>
      </c>
      <c r="G4338" t="s">
        <v>24</v>
      </c>
      <c r="H4338" t="s">
        <v>2987</v>
      </c>
      <c r="I4338" s="2">
        <v>133.80000000000001</v>
      </c>
      <c r="J4338">
        <v>10</v>
      </c>
      <c r="K4338" s="2">
        <v>26.2</v>
      </c>
      <c r="L4338" s="3">
        <f>(Table1[[#This Row],[Profit]]/Table1[[#This Row],[Sales]])*100</f>
        <v>19.581464872944693</v>
      </c>
    </row>
    <row r="4339" spans="1:12" x14ac:dyDescent="0.3">
      <c r="A4339" t="s">
        <v>5517</v>
      </c>
      <c r="B4339" s="1">
        <v>44102</v>
      </c>
      <c r="C4339" t="s">
        <v>4044</v>
      </c>
      <c r="D4339" t="s">
        <v>4045</v>
      </c>
      <c r="E4339" t="s">
        <v>14</v>
      </c>
      <c r="F4339" t="s">
        <v>23</v>
      </c>
      <c r="G4339" t="s">
        <v>24</v>
      </c>
      <c r="H4339" t="s">
        <v>1540</v>
      </c>
      <c r="I4339" s="2">
        <v>254.792</v>
      </c>
      <c r="J4339">
        <v>2</v>
      </c>
      <c r="K4339" s="2">
        <v>26.224</v>
      </c>
      <c r="L4339" s="3">
        <f>(Table1[[#This Row],[Profit]]/Table1[[#This Row],[Sales]])*100</f>
        <v>10.292316870231405</v>
      </c>
    </row>
    <row r="4340" spans="1:12" x14ac:dyDescent="0.3">
      <c r="A4340" t="s">
        <v>3296</v>
      </c>
      <c r="B4340" s="1">
        <v>43775</v>
      </c>
      <c r="C4340" t="s">
        <v>2220</v>
      </c>
      <c r="D4340" t="s">
        <v>2221</v>
      </c>
      <c r="E4340" t="s">
        <v>14</v>
      </c>
      <c r="F4340" t="s">
        <v>23</v>
      </c>
      <c r="G4340" t="s">
        <v>16</v>
      </c>
      <c r="H4340" t="s">
        <v>373</v>
      </c>
      <c r="I4340" s="2">
        <v>238.56</v>
      </c>
      <c r="J4340">
        <v>3</v>
      </c>
      <c r="K4340" s="2">
        <v>26.241599999999998</v>
      </c>
      <c r="L4340" s="3">
        <f>(Table1[[#This Row],[Profit]]/Table1[[#This Row],[Sales]])*100</f>
        <v>10.999999999999998</v>
      </c>
    </row>
    <row r="4341" spans="1:12" x14ac:dyDescent="0.3">
      <c r="A4341" t="s">
        <v>4288</v>
      </c>
      <c r="B4341" s="1">
        <v>43908</v>
      </c>
      <c r="C4341" t="s">
        <v>240</v>
      </c>
      <c r="D4341" t="s">
        <v>241</v>
      </c>
      <c r="E4341" t="s">
        <v>14</v>
      </c>
      <c r="F4341" t="s">
        <v>23</v>
      </c>
      <c r="G4341" t="s">
        <v>24</v>
      </c>
      <c r="H4341" t="s">
        <v>2647</v>
      </c>
      <c r="I4341" s="2">
        <v>136.86000000000001</v>
      </c>
      <c r="J4341">
        <v>7</v>
      </c>
      <c r="K4341" s="2">
        <v>26.349399999999999</v>
      </c>
      <c r="L4341" s="3">
        <f>(Table1[[#This Row],[Profit]]/Table1[[#This Row],[Sales]])*100</f>
        <v>19.252813093672362</v>
      </c>
    </row>
    <row r="4342" spans="1:12" x14ac:dyDescent="0.3">
      <c r="A4342" t="s">
        <v>5375</v>
      </c>
      <c r="B4342" s="1">
        <v>44086</v>
      </c>
      <c r="C4342" t="s">
        <v>5376</v>
      </c>
      <c r="D4342" t="s">
        <v>5377</v>
      </c>
      <c r="E4342" t="s">
        <v>14</v>
      </c>
      <c r="F4342" t="s">
        <v>15</v>
      </c>
      <c r="G4342" t="s">
        <v>24</v>
      </c>
      <c r="H4342" t="s">
        <v>2647</v>
      </c>
      <c r="I4342" s="2">
        <v>137.86000000000001</v>
      </c>
      <c r="J4342">
        <v>7</v>
      </c>
      <c r="K4342" s="2">
        <v>26.349399999999999</v>
      </c>
      <c r="L4342" s="3">
        <f>(Table1[[#This Row],[Profit]]/Table1[[#This Row],[Sales]])*100</f>
        <v>19.113158276512401</v>
      </c>
    </row>
    <row r="4343" spans="1:12" x14ac:dyDescent="0.3">
      <c r="A4343" t="s">
        <v>5628</v>
      </c>
      <c r="B4343" s="1">
        <v>44119</v>
      </c>
      <c r="C4343" t="s">
        <v>4994</v>
      </c>
      <c r="D4343" t="s">
        <v>4995</v>
      </c>
      <c r="E4343" t="s">
        <v>14</v>
      </c>
      <c r="F4343" t="s">
        <v>23</v>
      </c>
      <c r="G4343" t="s">
        <v>24</v>
      </c>
      <c r="H4343" t="s">
        <v>5629</v>
      </c>
      <c r="I4343" s="2">
        <v>114.92</v>
      </c>
      <c r="J4343">
        <v>4</v>
      </c>
      <c r="K4343" s="2">
        <v>26.376000000000001</v>
      </c>
      <c r="L4343" s="3">
        <f>(Table1[[#This Row],[Profit]]/Table1[[#This Row],[Sales]])*100</f>
        <v>22.951618517229377</v>
      </c>
    </row>
    <row r="4344" spans="1:12" x14ac:dyDescent="0.3">
      <c r="A4344" t="s">
        <v>1820</v>
      </c>
      <c r="B4344" s="1">
        <v>43636</v>
      </c>
      <c r="C4344" t="s">
        <v>361</v>
      </c>
      <c r="D4344" t="s">
        <v>362</v>
      </c>
      <c r="E4344" t="s">
        <v>14</v>
      </c>
      <c r="F4344" t="s">
        <v>29</v>
      </c>
      <c r="G4344" t="s">
        <v>18</v>
      </c>
      <c r="H4344" t="s">
        <v>874</v>
      </c>
      <c r="I4344" s="2">
        <v>95.968000000000004</v>
      </c>
      <c r="J4344">
        <v>4</v>
      </c>
      <c r="K4344" s="2">
        <v>26.391200000000001</v>
      </c>
      <c r="L4344" s="3">
        <f>(Table1[[#This Row],[Profit]]/Table1[[#This Row],[Sales]])*100</f>
        <v>27.500000000000004</v>
      </c>
    </row>
    <row r="4345" spans="1:12" x14ac:dyDescent="0.3">
      <c r="A4345" t="s">
        <v>4949</v>
      </c>
      <c r="B4345" s="1">
        <v>44015</v>
      </c>
      <c r="C4345" t="s">
        <v>4950</v>
      </c>
      <c r="D4345" t="s">
        <v>4951</v>
      </c>
      <c r="E4345" t="s">
        <v>14</v>
      </c>
      <c r="F4345" t="s">
        <v>23</v>
      </c>
      <c r="G4345" t="s">
        <v>18</v>
      </c>
      <c r="H4345" t="s">
        <v>136</v>
      </c>
      <c r="I4345" s="2">
        <v>144.97999999999999</v>
      </c>
      <c r="J4345">
        <v>2</v>
      </c>
      <c r="K4345" s="2">
        <v>26.391200000000001</v>
      </c>
      <c r="L4345" s="3">
        <f>(Table1[[#This Row],[Profit]]/Table1[[#This Row],[Sales]])*100</f>
        <v>18.203338391502278</v>
      </c>
    </row>
    <row r="4346" spans="1:12" x14ac:dyDescent="0.3">
      <c r="A4346" t="s">
        <v>5452</v>
      </c>
      <c r="B4346" s="1">
        <v>44095</v>
      </c>
      <c r="C4346" t="s">
        <v>5453</v>
      </c>
      <c r="D4346" t="s">
        <v>5454</v>
      </c>
      <c r="E4346" t="s">
        <v>14</v>
      </c>
      <c r="F4346" t="s">
        <v>23</v>
      </c>
      <c r="G4346" t="s">
        <v>18</v>
      </c>
      <c r="H4346" t="s">
        <v>5455</v>
      </c>
      <c r="I4346" s="2">
        <v>122.98</v>
      </c>
      <c r="J4346">
        <v>2</v>
      </c>
      <c r="K4346" s="2">
        <v>26.3934</v>
      </c>
      <c r="L4346" s="3">
        <f>(Table1[[#This Row],[Profit]]/Table1[[#This Row],[Sales]])*100</f>
        <v>21.46153846153846</v>
      </c>
    </row>
    <row r="4347" spans="1:12" x14ac:dyDescent="0.3">
      <c r="A4347" t="s">
        <v>4077</v>
      </c>
      <c r="B4347" s="1">
        <v>43858</v>
      </c>
      <c r="C4347" t="s">
        <v>4078</v>
      </c>
      <c r="D4347" t="s">
        <v>4079</v>
      </c>
      <c r="E4347" t="s">
        <v>14</v>
      </c>
      <c r="F4347" t="s">
        <v>23</v>
      </c>
      <c r="G4347" t="s">
        <v>18</v>
      </c>
      <c r="H4347" t="s">
        <v>1499</v>
      </c>
      <c r="I4347" s="2">
        <v>284.97000000000003</v>
      </c>
      <c r="J4347">
        <v>3</v>
      </c>
      <c r="K4347" s="2">
        <v>26.396699999999999</v>
      </c>
      <c r="L4347" s="3">
        <f>(Table1[[#This Row],[Profit]]/Table1[[#This Row],[Sales]])*100</f>
        <v>9.262975050005263</v>
      </c>
    </row>
    <row r="4348" spans="1:12" x14ac:dyDescent="0.3">
      <c r="A4348" t="s">
        <v>2214</v>
      </c>
      <c r="B4348" s="1">
        <v>43675</v>
      </c>
      <c r="C4348" t="s">
        <v>2215</v>
      </c>
      <c r="D4348" t="s">
        <v>2216</v>
      </c>
      <c r="E4348" t="s">
        <v>14</v>
      </c>
      <c r="F4348" t="s">
        <v>41</v>
      </c>
      <c r="G4348" t="s">
        <v>24</v>
      </c>
      <c r="H4348" t="s">
        <v>2217</v>
      </c>
      <c r="I4348" s="2">
        <v>704.76</v>
      </c>
      <c r="J4348">
        <v>5</v>
      </c>
      <c r="K4348" s="2">
        <v>26.4285</v>
      </c>
      <c r="L4348" s="3">
        <f>(Table1[[#This Row],[Profit]]/Table1[[#This Row],[Sales]])*100</f>
        <v>3.75</v>
      </c>
    </row>
    <row r="4349" spans="1:12" x14ac:dyDescent="0.3">
      <c r="A4349" t="s">
        <v>5318</v>
      </c>
      <c r="B4349" s="1">
        <v>44081</v>
      </c>
      <c r="C4349" t="s">
        <v>5167</v>
      </c>
      <c r="D4349" t="s">
        <v>5168</v>
      </c>
      <c r="E4349" t="s">
        <v>14</v>
      </c>
      <c r="F4349" t="s">
        <v>29</v>
      </c>
      <c r="G4349" t="s">
        <v>24</v>
      </c>
      <c r="H4349" t="s">
        <v>234</v>
      </c>
      <c r="I4349" s="2">
        <v>157.00800000000001</v>
      </c>
      <c r="J4349">
        <v>9</v>
      </c>
      <c r="K4349" s="2">
        <v>26.465399999999999</v>
      </c>
      <c r="L4349" s="3">
        <f>(Table1[[#This Row],[Profit]]/Table1[[#This Row],[Sales]])*100</f>
        <v>16.856083766432281</v>
      </c>
    </row>
    <row r="4350" spans="1:12" x14ac:dyDescent="0.3">
      <c r="A4350" t="s">
        <v>4513</v>
      </c>
      <c r="B4350" s="1">
        <v>43944</v>
      </c>
      <c r="C4350" t="s">
        <v>1929</v>
      </c>
      <c r="D4350" t="s">
        <v>1930</v>
      </c>
      <c r="E4350" t="s">
        <v>14</v>
      </c>
      <c r="F4350" t="s">
        <v>23</v>
      </c>
      <c r="G4350" t="s">
        <v>16</v>
      </c>
      <c r="H4350" t="s">
        <v>82</v>
      </c>
      <c r="I4350" s="2">
        <v>112.36</v>
      </c>
      <c r="J4350">
        <v>7</v>
      </c>
      <c r="K4350" s="2">
        <v>26.544</v>
      </c>
      <c r="L4350" s="3">
        <f>(Table1[[#This Row],[Profit]]/Table1[[#This Row],[Sales]])*100</f>
        <v>23.624065503737985</v>
      </c>
    </row>
    <row r="4351" spans="1:12" x14ac:dyDescent="0.3">
      <c r="A4351" t="s">
        <v>6243</v>
      </c>
      <c r="B4351" s="1">
        <v>44187</v>
      </c>
      <c r="C4351" t="s">
        <v>2244</v>
      </c>
      <c r="D4351" t="s">
        <v>2245</v>
      </c>
      <c r="E4351" t="s">
        <v>14</v>
      </c>
      <c r="F4351" t="s">
        <v>29</v>
      </c>
      <c r="G4351" t="s">
        <v>24</v>
      </c>
      <c r="H4351" t="s">
        <v>2963</v>
      </c>
      <c r="I4351" s="2">
        <v>473.88</v>
      </c>
      <c r="J4351">
        <v>5</v>
      </c>
      <c r="K4351" s="2">
        <v>26.558</v>
      </c>
      <c r="L4351" s="3">
        <f>(Table1[[#This Row],[Profit]]/Table1[[#This Row],[Sales]])*100</f>
        <v>5.604372414957373</v>
      </c>
    </row>
    <row r="4352" spans="1:12" x14ac:dyDescent="0.3">
      <c r="A4352" t="s">
        <v>5224</v>
      </c>
      <c r="B4352" s="1">
        <v>44071</v>
      </c>
      <c r="C4352" t="s">
        <v>3535</v>
      </c>
      <c r="D4352" t="s">
        <v>3536</v>
      </c>
      <c r="E4352" t="s">
        <v>14</v>
      </c>
      <c r="F4352" t="s">
        <v>29</v>
      </c>
      <c r="G4352" t="s">
        <v>24</v>
      </c>
      <c r="H4352" t="s">
        <v>3472</v>
      </c>
      <c r="I4352" s="2">
        <v>109.6</v>
      </c>
      <c r="J4352">
        <v>5</v>
      </c>
      <c r="K4352" s="2">
        <v>26.564</v>
      </c>
      <c r="L4352" s="3">
        <f>(Table1[[#This Row],[Profit]]/Table1[[#This Row],[Sales]])*100</f>
        <v>24.237226277372265</v>
      </c>
    </row>
    <row r="4353" spans="1:12" x14ac:dyDescent="0.3">
      <c r="A4353" t="s">
        <v>4936</v>
      </c>
      <c r="B4353" s="1">
        <v>44015</v>
      </c>
      <c r="C4353" t="s">
        <v>2915</v>
      </c>
      <c r="D4353" t="s">
        <v>2916</v>
      </c>
      <c r="E4353" t="s">
        <v>14</v>
      </c>
      <c r="F4353" t="s">
        <v>15</v>
      </c>
      <c r="G4353" t="s">
        <v>16</v>
      </c>
      <c r="H4353" t="s">
        <v>4423</v>
      </c>
      <c r="I4353" s="2">
        <v>150.30000000000001</v>
      </c>
      <c r="J4353">
        <v>1</v>
      </c>
      <c r="K4353" s="2">
        <v>26.597999999999999</v>
      </c>
      <c r="L4353" s="3">
        <f>(Table1[[#This Row],[Profit]]/Table1[[#This Row],[Sales]])*100</f>
        <v>17.696606786427143</v>
      </c>
    </row>
    <row r="4354" spans="1:12" x14ac:dyDescent="0.3">
      <c r="A4354" t="s">
        <v>2068</v>
      </c>
      <c r="B4354" s="1">
        <v>43663</v>
      </c>
      <c r="C4354" t="s">
        <v>2069</v>
      </c>
      <c r="D4354" t="s">
        <v>2070</v>
      </c>
      <c r="E4354" t="s">
        <v>14</v>
      </c>
      <c r="F4354" t="s">
        <v>15</v>
      </c>
      <c r="G4354" t="s">
        <v>24</v>
      </c>
      <c r="H4354" t="s">
        <v>2071</v>
      </c>
      <c r="I4354" s="2">
        <v>55.48</v>
      </c>
      <c r="J4354">
        <v>1</v>
      </c>
      <c r="K4354" s="2">
        <v>26.630400000000002</v>
      </c>
      <c r="L4354" s="3">
        <f>(Table1[[#This Row],[Profit]]/Table1[[#This Row],[Sales]])*100</f>
        <v>48.000000000000007</v>
      </c>
    </row>
    <row r="4355" spans="1:12" x14ac:dyDescent="0.3">
      <c r="A4355" t="s">
        <v>4893</v>
      </c>
      <c r="B4355" s="1">
        <v>44007</v>
      </c>
      <c r="C4355" t="s">
        <v>2249</v>
      </c>
      <c r="D4355" t="s">
        <v>2250</v>
      </c>
      <c r="E4355" t="s">
        <v>14</v>
      </c>
      <c r="F4355" t="s">
        <v>23</v>
      </c>
      <c r="G4355" t="s">
        <v>24</v>
      </c>
      <c r="H4355" t="s">
        <v>1282</v>
      </c>
      <c r="I4355" s="2">
        <v>113.04</v>
      </c>
      <c r="J4355">
        <v>6</v>
      </c>
      <c r="K4355" s="2">
        <v>26.64</v>
      </c>
      <c r="L4355" s="3">
        <f>(Table1[[#This Row],[Profit]]/Table1[[#This Row],[Sales]])*100</f>
        <v>23.566878980891719</v>
      </c>
    </row>
    <row r="4356" spans="1:12" x14ac:dyDescent="0.3">
      <c r="A4356" t="s">
        <v>3068</v>
      </c>
      <c r="B4356" s="1">
        <v>43751</v>
      </c>
      <c r="C4356" t="s">
        <v>1785</v>
      </c>
      <c r="D4356" t="s">
        <v>1786</v>
      </c>
      <c r="E4356" t="s">
        <v>14</v>
      </c>
      <c r="F4356" t="s">
        <v>23</v>
      </c>
      <c r="G4356" t="s">
        <v>24</v>
      </c>
      <c r="H4356" t="s">
        <v>213</v>
      </c>
      <c r="I4356" s="2">
        <v>76.176000000000002</v>
      </c>
      <c r="J4356">
        <v>3</v>
      </c>
      <c r="K4356" s="2">
        <v>26.6616</v>
      </c>
      <c r="L4356" s="3">
        <f>(Table1[[#This Row],[Profit]]/Table1[[#This Row],[Sales]])*100</f>
        <v>35</v>
      </c>
    </row>
    <row r="4357" spans="1:12" x14ac:dyDescent="0.3">
      <c r="A4357" t="s">
        <v>5549</v>
      </c>
      <c r="B4357" s="1">
        <v>44106</v>
      </c>
      <c r="C4357" t="s">
        <v>1903</v>
      </c>
      <c r="D4357" t="s">
        <v>1904</v>
      </c>
      <c r="E4357" t="s">
        <v>14</v>
      </c>
      <c r="F4357" t="s">
        <v>29</v>
      </c>
      <c r="G4357" t="s">
        <v>24</v>
      </c>
      <c r="H4357" t="s">
        <v>1440</v>
      </c>
      <c r="I4357" s="2">
        <v>139.05000000000001</v>
      </c>
      <c r="J4357">
        <v>3</v>
      </c>
      <c r="K4357" s="2">
        <v>26.702999999999999</v>
      </c>
      <c r="L4357" s="3">
        <f>(Table1[[#This Row],[Profit]]/Table1[[#This Row],[Sales]])*100</f>
        <v>19.203883495145629</v>
      </c>
    </row>
    <row r="4358" spans="1:12" x14ac:dyDescent="0.3">
      <c r="A4358" t="s">
        <v>5434</v>
      </c>
      <c r="B4358" s="1">
        <v>44092</v>
      </c>
      <c r="C4358" t="s">
        <v>3913</v>
      </c>
      <c r="D4358" t="s">
        <v>3914</v>
      </c>
      <c r="E4358" t="s">
        <v>14</v>
      </c>
      <c r="F4358" t="s">
        <v>41</v>
      </c>
      <c r="G4358" t="s">
        <v>18</v>
      </c>
      <c r="H4358" t="s">
        <v>1318</v>
      </c>
      <c r="I4358" s="2">
        <v>136.68</v>
      </c>
      <c r="J4358">
        <v>8</v>
      </c>
      <c r="K4358" s="2">
        <v>26.790400000000002</v>
      </c>
      <c r="L4358" s="3">
        <f>(Table1[[#This Row],[Profit]]/Table1[[#This Row],[Sales]])*100</f>
        <v>19.600819432250514</v>
      </c>
    </row>
    <row r="4359" spans="1:12" x14ac:dyDescent="0.3">
      <c r="A4359" t="s">
        <v>1323</v>
      </c>
      <c r="B4359" s="1">
        <v>43594</v>
      </c>
      <c r="C4359" t="s">
        <v>1324</v>
      </c>
      <c r="D4359" t="s">
        <v>1325</v>
      </c>
      <c r="E4359" t="s">
        <v>14</v>
      </c>
      <c r="F4359" t="s">
        <v>29</v>
      </c>
      <c r="G4359" t="s">
        <v>24</v>
      </c>
      <c r="H4359" t="s">
        <v>1022</v>
      </c>
      <c r="I4359" s="2">
        <v>76.64</v>
      </c>
      <c r="J4359">
        <v>2</v>
      </c>
      <c r="K4359" s="2">
        <v>26.824000000000002</v>
      </c>
      <c r="L4359" s="3">
        <f>(Table1[[#This Row],[Profit]]/Table1[[#This Row],[Sales]])*100</f>
        <v>35</v>
      </c>
    </row>
    <row r="4360" spans="1:12" x14ac:dyDescent="0.3">
      <c r="A4360" t="s">
        <v>3669</v>
      </c>
      <c r="B4360" s="1">
        <v>43801</v>
      </c>
      <c r="C4360" t="s">
        <v>2760</v>
      </c>
      <c r="D4360" t="s">
        <v>2761</v>
      </c>
      <c r="E4360" t="s">
        <v>14</v>
      </c>
      <c r="F4360" t="s">
        <v>23</v>
      </c>
      <c r="G4360" t="s">
        <v>24</v>
      </c>
      <c r="H4360" t="s">
        <v>3670</v>
      </c>
      <c r="I4360" s="2">
        <v>59.7</v>
      </c>
      <c r="J4360">
        <v>3</v>
      </c>
      <c r="K4360" s="2">
        <v>26.864999999999998</v>
      </c>
      <c r="L4360" s="3">
        <f>(Table1[[#This Row],[Profit]]/Table1[[#This Row],[Sales]])*100</f>
        <v>44.999999999999993</v>
      </c>
    </row>
    <row r="4361" spans="1:12" x14ac:dyDescent="0.3">
      <c r="A4361" t="s">
        <v>5754</v>
      </c>
      <c r="B4361" s="1">
        <v>44138</v>
      </c>
      <c r="C4361" t="s">
        <v>1535</v>
      </c>
      <c r="D4361" t="s">
        <v>1536</v>
      </c>
      <c r="E4361" t="s">
        <v>14</v>
      </c>
      <c r="F4361" t="s">
        <v>23</v>
      </c>
      <c r="G4361" t="s">
        <v>16</v>
      </c>
      <c r="H4361" t="s">
        <v>4888</v>
      </c>
      <c r="I4361" s="2">
        <v>325.13600000000002</v>
      </c>
      <c r="J4361">
        <v>4</v>
      </c>
      <c r="K4361" s="2">
        <v>26.874400000000001</v>
      </c>
      <c r="L4361" s="3">
        <f>(Table1[[#This Row],[Profit]]/Table1[[#This Row],[Sales]])*100</f>
        <v>8.265587323458492</v>
      </c>
    </row>
    <row r="4362" spans="1:12" x14ac:dyDescent="0.3">
      <c r="A4362" t="s">
        <v>1585</v>
      </c>
      <c r="B4362" s="1">
        <v>43615</v>
      </c>
      <c r="C4362" t="s">
        <v>942</v>
      </c>
      <c r="D4362" t="s">
        <v>943</v>
      </c>
      <c r="E4362" t="s">
        <v>14</v>
      </c>
      <c r="F4362" t="s">
        <v>41</v>
      </c>
      <c r="G4362" t="s">
        <v>18</v>
      </c>
      <c r="H4362" t="s">
        <v>1587</v>
      </c>
      <c r="I4362" s="2">
        <v>111.98</v>
      </c>
      <c r="J4362">
        <v>2</v>
      </c>
      <c r="K4362" s="2">
        <v>26.8752</v>
      </c>
      <c r="L4362" s="3">
        <f>(Table1[[#This Row],[Profit]]/Table1[[#This Row],[Sales]])*100</f>
        <v>24</v>
      </c>
    </row>
    <row r="4363" spans="1:12" x14ac:dyDescent="0.3">
      <c r="A4363" t="s">
        <v>1344</v>
      </c>
      <c r="B4363" s="1">
        <v>43597</v>
      </c>
      <c r="C4363" t="s">
        <v>1003</v>
      </c>
      <c r="D4363" t="s">
        <v>1004</v>
      </c>
      <c r="E4363" t="s">
        <v>14</v>
      </c>
      <c r="F4363" t="s">
        <v>23</v>
      </c>
      <c r="G4363" t="s">
        <v>24</v>
      </c>
      <c r="H4363" t="s">
        <v>1345</v>
      </c>
      <c r="I4363" s="2">
        <v>54.9</v>
      </c>
      <c r="J4363">
        <v>5</v>
      </c>
      <c r="K4363" s="2">
        <v>26.901</v>
      </c>
      <c r="L4363" s="3">
        <f>(Table1[[#This Row],[Profit]]/Table1[[#This Row],[Sales]])*100</f>
        <v>49</v>
      </c>
    </row>
    <row r="4364" spans="1:12" x14ac:dyDescent="0.3">
      <c r="A4364" t="s">
        <v>6153</v>
      </c>
      <c r="B4364" s="1">
        <v>44174</v>
      </c>
      <c r="C4364" t="s">
        <v>1408</v>
      </c>
      <c r="D4364" t="s">
        <v>1409</v>
      </c>
      <c r="E4364" t="s">
        <v>14</v>
      </c>
      <c r="F4364" t="s">
        <v>29</v>
      </c>
      <c r="G4364" t="s">
        <v>24</v>
      </c>
      <c r="H4364" t="s">
        <v>2402</v>
      </c>
      <c r="I4364" s="2">
        <v>129.9</v>
      </c>
      <c r="J4364">
        <v>5</v>
      </c>
      <c r="K4364" s="2">
        <v>26.901</v>
      </c>
      <c r="L4364" s="3">
        <f>(Table1[[#This Row],[Profit]]/Table1[[#This Row],[Sales]])*100</f>
        <v>20.709006928406463</v>
      </c>
    </row>
    <row r="4365" spans="1:12" x14ac:dyDescent="0.3">
      <c r="A4365" t="s">
        <v>1797</v>
      </c>
      <c r="B4365" s="1">
        <v>43634</v>
      </c>
      <c r="C4365" t="s">
        <v>710</v>
      </c>
      <c r="D4365" t="s">
        <v>711</v>
      </c>
      <c r="E4365" t="s">
        <v>14</v>
      </c>
      <c r="F4365" t="s">
        <v>29</v>
      </c>
      <c r="G4365" t="s">
        <v>24</v>
      </c>
      <c r="H4365" t="s">
        <v>1798</v>
      </c>
      <c r="I4365" s="2">
        <v>76.864000000000004</v>
      </c>
      <c r="J4365">
        <v>2</v>
      </c>
      <c r="K4365" s="2">
        <v>26.9024</v>
      </c>
      <c r="L4365" s="3">
        <f>(Table1[[#This Row],[Profit]]/Table1[[#This Row],[Sales]])*100</f>
        <v>35</v>
      </c>
    </row>
    <row r="4366" spans="1:12" x14ac:dyDescent="0.3">
      <c r="A4366" t="s">
        <v>4643</v>
      </c>
      <c r="B4366" s="1">
        <v>43965</v>
      </c>
      <c r="C4366" t="s">
        <v>380</v>
      </c>
      <c r="D4366" t="s">
        <v>381</v>
      </c>
      <c r="E4366" t="s">
        <v>14</v>
      </c>
      <c r="F4366" t="s">
        <v>29</v>
      </c>
      <c r="G4366" t="s">
        <v>24</v>
      </c>
      <c r="H4366" t="s">
        <v>1798</v>
      </c>
      <c r="I4366" s="2">
        <v>100.864</v>
      </c>
      <c r="J4366">
        <v>2</v>
      </c>
      <c r="K4366" s="2">
        <v>26.9024</v>
      </c>
      <c r="L4366" s="3">
        <f>(Table1[[#This Row],[Profit]]/Table1[[#This Row],[Sales]])*100</f>
        <v>26.671954314720814</v>
      </c>
    </row>
    <row r="4367" spans="1:12" x14ac:dyDescent="0.3">
      <c r="A4367" t="s">
        <v>3661</v>
      </c>
      <c r="B4367" s="1">
        <v>43801</v>
      </c>
      <c r="C4367" t="s">
        <v>3662</v>
      </c>
      <c r="D4367" t="s">
        <v>3663</v>
      </c>
      <c r="E4367" t="s">
        <v>14</v>
      </c>
      <c r="F4367" t="s">
        <v>15</v>
      </c>
      <c r="G4367" t="s">
        <v>24</v>
      </c>
      <c r="H4367" t="s">
        <v>3671</v>
      </c>
      <c r="I4367" s="2">
        <v>54.96</v>
      </c>
      <c r="J4367">
        <v>1</v>
      </c>
      <c r="K4367" s="2">
        <v>26.930399999999999</v>
      </c>
      <c r="L4367" s="3">
        <f>(Table1[[#This Row],[Profit]]/Table1[[#This Row],[Sales]])*100</f>
        <v>49</v>
      </c>
    </row>
    <row r="4368" spans="1:12" x14ac:dyDescent="0.3">
      <c r="A4368" t="s">
        <v>5570</v>
      </c>
      <c r="B4368" s="1">
        <v>44109</v>
      </c>
      <c r="C4368" t="s">
        <v>2363</v>
      </c>
      <c r="D4368" t="s">
        <v>2364</v>
      </c>
      <c r="E4368" t="s">
        <v>14</v>
      </c>
      <c r="F4368" t="s">
        <v>23</v>
      </c>
      <c r="G4368" t="s">
        <v>16</v>
      </c>
      <c r="H4368" t="s">
        <v>5571</v>
      </c>
      <c r="I4368" s="2">
        <v>108.9</v>
      </c>
      <c r="J4368">
        <v>5</v>
      </c>
      <c r="K4368" s="2">
        <v>26.972999999999999</v>
      </c>
      <c r="L4368" s="3">
        <f>(Table1[[#This Row],[Profit]]/Table1[[#This Row],[Sales]])*100</f>
        <v>24.76859504132231</v>
      </c>
    </row>
    <row r="4369" spans="1:12" x14ac:dyDescent="0.3">
      <c r="A4369" t="s">
        <v>5586</v>
      </c>
      <c r="B4369" s="1">
        <v>44111</v>
      </c>
      <c r="C4369" t="s">
        <v>5067</v>
      </c>
      <c r="D4369" t="s">
        <v>5068</v>
      </c>
      <c r="E4369" t="s">
        <v>14</v>
      </c>
      <c r="F4369" t="s">
        <v>23</v>
      </c>
      <c r="G4369" t="s">
        <v>18</v>
      </c>
      <c r="H4369" t="s">
        <v>4953</v>
      </c>
      <c r="I4369" s="2">
        <v>119.92</v>
      </c>
      <c r="J4369">
        <v>10</v>
      </c>
      <c r="K4369" s="2">
        <v>26.972999999999999</v>
      </c>
      <c r="L4369" s="3">
        <f>(Table1[[#This Row],[Profit]]/Table1[[#This Row],[Sales]])*100</f>
        <v>22.492494996664441</v>
      </c>
    </row>
    <row r="4370" spans="1:12" x14ac:dyDescent="0.3">
      <c r="A4370" t="s">
        <v>2600</v>
      </c>
      <c r="B4370" s="1">
        <v>43713</v>
      </c>
      <c r="C4370" t="s">
        <v>1267</v>
      </c>
      <c r="D4370" t="s">
        <v>1268</v>
      </c>
      <c r="E4370" t="s">
        <v>14</v>
      </c>
      <c r="F4370" t="s">
        <v>29</v>
      </c>
      <c r="G4370" t="s">
        <v>24</v>
      </c>
      <c r="H4370" t="s">
        <v>1093</v>
      </c>
      <c r="I4370" s="2">
        <v>107.94</v>
      </c>
      <c r="J4370">
        <v>3</v>
      </c>
      <c r="K4370" s="2">
        <v>26.984999999999999</v>
      </c>
      <c r="L4370" s="3">
        <f>(Table1[[#This Row],[Profit]]/Table1[[#This Row],[Sales]])*100</f>
        <v>25</v>
      </c>
    </row>
    <row r="4371" spans="1:12" x14ac:dyDescent="0.3">
      <c r="A4371" t="s">
        <v>4829</v>
      </c>
      <c r="B4371" s="1">
        <v>43997</v>
      </c>
      <c r="C4371" t="s">
        <v>2237</v>
      </c>
      <c r="D4371" t="s">
        <v>2238</v>
      </c>
      <c r="E4371" t="s">
        <v>14</v>
      </c>
      <c r="F4371" t="s">
        <v>41</v>
      </c>
      <c r="G4371" t="s">
        <v>18</v>
      </c>
      <c r="H4371" t="s">
        <v>4832</v>
      </c>
      <c r="I4371" s="2">
        <v>249.976</v>
      </c>
      <c r="J4371">
        <v>3</v>
      </c>
      <c r="K4371" s="2">
        <v>26.997299999999999</v>
      </c>
      <c r="L4371" s="3">
        <f>(Table1[[#This Row],[Profit]]/Table1[[#This Row],[Sales]])*100</f>
        <v>10.799956795852401</v>
      </c>
    </row>
    <row r="4372" spans="1:12" x14ac:dyDescent="0.3">
      <c r="A4372" t="s">
        <v>3719</v>
      </c>
      <c r="B4372" s="1">
        <v>43805</v>
      </c>
      <c r="C4372" t="s">
        <v>380</v>
      </c>
      <c r="D4372" t="s">
        <v>381</v>
      </c>
      <c r="E4372" t="s">
        <v>14</v>
      </c>
      <c r="F4372" t="s">
        <v>23</v>
      </c>
      <c r="G4372" t="s">
        <v>18</v>
      </c>
      <c r="H4372" t="s">
        <v>3720</v>
      </c>
      <c r="I4372" s="2">
        <v>431.976</v>
      </c>
      <c r="J4372">
        <v>3</v>
      </c>
      <c r="K4372" s="2">
        <v>26.9985</v>
      </c>
      <c r="L4372" s="3">
        <f>(Table1[[#This Row],[Profit]]/Table1[[#This Row],[Sales]])*100</f>
        <v>6.25</v>
      </c>
    </row>
    <row r="4373" spans="1:12" x14ac:dyDescent="0.3">
      <c r="A4373" t="s">
        <v>3436</v>
      </c>
      <c r="B4373" s="1">
        <v>43784</v>
      </c>
      <c r="C4373" t="s">
        <v>1430</v>
      </c>
      <c r="D4373" t="s">
        <v>1431</v>
      </c>
      <c r="E4373" t="s">
        <v>14</v>
      </c>
      <c r="F4373" t="s">
        <v>23</v>
      </c>
      <c r="G4373" t="s">
        <v>18</v>
      </c>
      <c r="H4373" t="s">
        <v>3437</v>
      </c>
      <c r="I4373" s="2">
        <v>361.37599999999998</v>
      </c>
      <c r="J4373">
        <v>2</v>
      </c>
      <c r="K4373" s="2">
        <v>27.103200000000001</v>
      </c>
      <c r="L4373" s="3">
        <f>(Table1[[#This Row],[Profit]]/Table1[[#This Row],[Sales]])*100</f>
        <v>7.5000000000000009</v>
      </c>
    </row>
    <row r="4374" spans="1:12" x14ac:dyDescent="0.3">
      <c r="A4374" t="s">
        <v>5756</v>
      </c>
      <c r="B4374" s="1">
        <v>44138</v>
      </c>
      <c r="C4374" t="s">
        <v>4998</v>
      </c>
      <c r="D4374" t="s">
        <v>4999</v>
      </c>
      <c r="E4374" t="s">
        <v>14</v>
      </c>
      <c r="F4374" t="s">
        <v>41</v>
      </c>
      <c r="G4374" t="s">
        <v>18</v>
      </c>
      <c r="H4374" t="s">
        <v>3437</v>
      </c>
      <c r="I4374" s="2">
        <v>377.37599999999998</v>
      </c>
      <c r="J4374">
        <v>2</v>
      </c>
      <c r="K4374" s="2">
        <v>27.103200000000001</v>
      </c>
      <c r="L4374" s="3">
        <f>(Table1[[#This Row],[Profit]]/Table1[[#This Row],[Sales]])*100</f>
        <v>7.1820147545153912</v>
      </c>
    </row>
    <row r="4375" spans="1:12" x14ac:dyDescent="0.3">
      <c r="A4375" t="s">
        <v>1441</v>
      </c>
      <c r="B4375" s="1">
        <v>43606</v>
      </c>
      <c r="C4375" t="s">
        <v>1355</v>
      </c>
      <c r="D4375" t="s">
        <v>1356</v>
      </c>
      <c r="E4375" t="s">
        <v>14</v>
      </c>
      <c r="F4375" t="s">
        <v>23</v>
      </c>
      <c r="G4375" t="s">
        <v>18</v>
      </c>
      <c r="H4375" t="s">
        <v>1228</v>
      </c>
      <c r="I4375" s="2">
        <v>66.260000000000005</v>
      </c>
      <c r="J4375">
        <v>2</v>
      </c>
      <c r="K4375" s="2">
        <v>27.166599999999999</v>
      </c>
      <c r="L4375" s="3">
        <f>(Table1[[#This Row],[Profit]]/Table1[[#This Row],[Sales]])*100</f>
        <v>41</v>
      </c>
    </row>
    <row r="4376" spans="1:12" x14ac:dyDescent="0.3">
      <c r="A4376" t="s">
        <v>5351</v>
      </c>
      <c r="B4376" s="1">
        <v>44084</v>
      </c>
      <c r="C4376" t="s">
        <v>2827</v>
      </c>
      <c r="D4376" t="s">
        <v>2828</v>
      </c>
      <c r="E4376" t="s">
        <v>14</v>
      </c>
      <c r="F4376" t="s">
        <v>23</v>
      </c>
      <c r="G4376" t="s">
        <v>16</v>
      </c>
      <c r="H4376" t="s">
        <v>2170</v>
      </c>
      <c r="I4376" s="2">
        <v>382.35199999999998</v>
      </c>
      <c r="J4376">
        <v>3</v>
      </c>
      <c r="K4376" s="2">
        <v>27.176400000000001</v>
      </c>
      <c r="L4376" s="3">
        <f>(Table1[[#This Row],[Profit]]/Table1[[#This Row],[Sales]])*100</f>
        <v>7.1076913420094572</v>
      </c>
    </row>
    <row r="4377" spans="1:12" x14ac:dyDescent="0.3">
      <c r="A4377" t="s">
        <v>3718</v>
      </c>
      <c r="B4377" s="1">
        <v>43805</v>
      </c>
      <c r="C4377" t="s">
        <v>1476</v>
      </c>
      <c r="D4377" t="s">
        <v>1477</v>
      </c>
      <c r="E4377" t="s">
        <v>14</v>
      </c>
      <c r="F4377" t="s">
        <v>23</v>
      </c>
      <c r="G4377" t="s">
        <v>18</v>
      </c>
      <c r="H4377" t="s">
        <v>73</v>
      </c>
      <c r="I4377" s="2">
        <v>271.95999999999998</v>
      </c>
      <c r="J4377">
        <v>5</v>
      </c>
      <c r="K4377" s="2">
        <v>27.196000000000002</v>
      </c>
      <c r="L4377" s="3">
        <f>(Table1[[#This Row],[Profit]]/Table1[[#This Row],[Sales]])*100</f>
        <v>10.000000000000002</v>
      </c>
    </row>
    <row r="4378" spans="1:12" x14ac:dyDescent="0.3">
      <c r="A4378" t="s">
        <v>4188</v>
      </c>
      <c r="B4378" s="1">
        <v>43892</v>
      </c>
      <c r="C4378" t="s">
        <v>4189</v>
      </c>
      <c r="D4378" t="s">
        <v>4190</v>
      </c>
      <c r="E4378" t="s">
        <v>14</v>
      </c>
      <c r="F4378" t="s">
        <v>15</v>
      </c>
      <c r="G4378" t="s">
        <v>24</v>
      </c>
      <c r="H4378" t="s">
        <v>242</v>
      </c>
      <c r="I4378" s="2">
        <v>156.96</v>
      </c>
      <c r="J4378">
        <v>7</v>
      </c>
      <c r="K4378" s="2">
        <v>27.241199999999999</v>
      </c>
      <c r="L4378" s="3">
        <f>(Table1[[#This Row],[Profit]]/Table1[[#This Row],[Sales]])*100</f>
        <v>17.355504587155963</v>
      </c>
    </row>
    <row r="4379" spans="1:12" x14ac:dyDescent="0.3">
      <c r="A4379" t="s">
        <v>5163</v>
      </c>
      <c r="B4379" s="1">
        <v>44061</v>
      </c>
      <c r="C4379" t="s">
        <v>4138</v>
      </c>
      <c r="D4379" t="s">
        <v>4139</v>
      </c>
      <c r="E4379" t="s">
        <v>14</v>
      </c>
      <c r="F4379" t="s">
        <v>15</v>
      </c>
      <c r="G4379" t="s">
        <v>16</v>
      </c>
      <c r="H4379" t="s">
        <v>5164</v>
      </c>
      <c r="I4379" s="2">
        <v>111.02</v>
      </c>
      <c r="J4379">
        <v>3</v>
      </c>
      <c r="K4379" s="2">
        <v>27.286200000000001</v>
      </c>
      <c r="L4379" s="3">
        <f>(Table1[[#This Row],[Profit]]/Table1[[#This Row],[Sales]])*100</f>
        <v>24.577733741668169</v>
      </c>
    </row>
    <row r="4380" spans="1:12" x14ac:dyDescent="0.3">
      <c r="A4380" t="s">
        <v>5134</v>
      </c>
      <c r="B4380" s="1">
        <v>44055</v>
      </c>
      <c r="C4380" t="s">
        <v>5135</v>
      </c>
      <c r="D4380" t="s">
        <v>5136</v>
      </c>
      <c r="E4380" t="s">
        <v>14</v>
      </c>
      <c r="F4380" t="s">
        <v>23</v>
      </c>
      <c r="G4380" t="s">
        <v>18</v>
      </c>
      <c r="H4380" t="s">
        <v>518</v>
      </c>
      <c r="I4380" s="2">
        <v>282.62400000000002</v>
      </c>
      <c r="J4380">
        <v>8</v>
      </c>
      <c r="K4380" s="2">
        <v>27.295200000000001</v>
      </c>
      <c r="L4380" s="3">
        <f>(Table1[[#This Row],[Profit]]/Table1[[#This Row],[Sales]])*100</f>
        <v>9.6577785326086953</v>
      </c>
    </row>
    <row r="4381" spans="1:12" x14ac:dyDescent="0.3">
      <c r="A4381" t="s">
        <v>3191</v>
      </c>
      <c r="B4381" s="1">
        <v>43766</v>
      </c>
      <c r="C4381" t="s">
        <v>197</v>
      </c>
      <c r="D4381" t="s">
        <v>198</v>
      </c>
      <c r="E4381" t="s">
        <v>14</v>
      </c>
      <c r="F4381" t="s">
        <v>15</v>
      </c>
      <c r="G4381" t="s">
        <v>24</v>
      </c>
      <c r="H4381" t="s">
        <v>901</v>
      </c>
      <c r="I4381" s="2">
        <v>56.91</v>
      </c>
      <c r="J4381">
        <v>3</v>
      </c>
      <c r="K4381" s="2">
        <v>27.316800000000001</v>
      </c>
      <c r="L4381" s="3">
        <f>(Table1[[#This Row],[Profit]]/Table1[[#This Row],[Sales]])*100</f>
        <v>48.000000000000007</v>
      </c>
    </row>
    <row r="4382" spans="1:12" x14ac:dyDescent="0.3">
      <c r="A4382" t="s">
        <v>5965</v>
      </c>
      <c r="B4382" s="1">
        <v>44155</v>
      </c>
      <c r="C4382" t="s">
        <v>3385</v>
      </c>
      <c r="D4382" t="s">
        <v>3386</v>
      </c>
      <c r="E4382" t="s">
        <v>14</v>
      </c>
      <c r="F4382" t="s">
        <v>23</v>
      </c>
      <c r="G4382" t="s">
        <v>24</v>
      </c>
      <c r="H4382" t="s">
        <v>965</v>
      </c>
      <c r="I4382" s="2">
        <v>122.056</v>
      </c>
      <c r="J4382">
        <v>7</v>
      </c>
      <c r="K4382" s="2">
        <v>27.318200000000001</v>
      </c>
      <c r="L4382" s="3">
        <f>(Table1[[#This Row],[Profit]]/Table1[[#This Row],[Sales]])*100</f>
        <v>22.381693648816938</v>
      </c>
    </row>
    <row r="4383" spans="1:12" x14ac:dyDescent="0.3">
      <c r="A4383" t="s">
        <v>6197</v>
      </c>
      <c r="B4383" s="1">
        <v>44182</v>
      </c>
      <c r="C4383" t="s">
        <v>1589</v>
      </c>
      <c r="D4383" t="s">
        <v>1590</v>
      </c>
      <c r="E4383" t="s">
        <v>14</v>
      </c>
      <c r="F4383" t="s">
        <v>15</v>
      </c>
      <c r="G4383" t="s">
        <v>16</v>
      </c>
      <c r="H4383" t="s">
        <v>2458</v>
      </c>
      <c r="I4383" s="2">
        <v>486.36</v>
      </c>
      <c r="J4383">
        <v>2</v>
      </c>
      <c r="K4383" s="2">
        <v>27.359200000000001</v>
      </c>
      <c r="L4383" s="3">
        <f>(Table1[[#This Row],[Profit]]/Table1[[#This Row],[Sales]])*100</f>
        <v>5.6252981330701539</v>
      </c>
    </row>
    <row r="4384" spans="1:12" x14ac:dyDescent="0.3">
      <c r="A4384" t="s">
        <v>5541</v>
      </c>
      <c r="B4384" s="1">
        <v>44105</v>
      </c>
      <c r="C4384" t="s">
        <v>3691</v>
      </c>
      <c r="D4384" t="s">
        <v>3692</v>
      </c>
      <c r="E4384" t="s">
        <v>14</v>
      </c>
      <c r="F4384" t="s">
        <v>23</v>
      </c>
      <c r="G4384" t="s">
        <v>24</v>
      </c>
      <c r="H4384" t="s">
        <v>3668</v>
      </c>
      <c r="I4384" s="2">
        <v>119.08799999999999</v>
      </c>
      <c r="J4384">
        <v>7</v>
      </c>
      <c r="K4384" s="2">
        <v>27.3672</v>
      </c>
      <c r="L4384" s="3">
        <f>(Table1[[#This Row],[Profit]]/Table1[[#This Row],[Sales]])*100</f>
        <v>22.980652962515116</v>
      </c>
    </row>
    <row r="4385" spans="1:12" x14ac:dyDescent="0.3">
      <c r="A4385" t="s">
        <v>6132</v>
      </c>
      <c r="B4385" s="1">
        <v>44173</v>
      </c>
      <c r="C4385" t="s">
        <v>5720</v>
      </c>
      <c r="D4385" t="s">
        <v>5721</v>
      </c>
      <c r="E4385" t="s">
        <v>14</v>
      </c>
      <c r="F4385" t="s">
        <v>23</v>
      </c>
      <c r="G4385" t="s">
        <v>24</v>
      </c>
      <c r="H4385" t="s">
        <v>1716</v>
      </c>
      <c r="I4385" s="2">
        <v>159.97999999999999</v>
      </c>
      <c r="J4385">
        <v>1</v>
      </c>
      <c r="K4385" s="2">
        <v>27.430199999999999</v>
      </c>
      <c r="L4385" s="3">
        <f>(Table1[[#This Row],[Profit]]/Table1[[#This Row],[Sales]])*100</f>
        <v>17.146018252281536</v>
      </c>
    </row>
    <row r="4386" spans="1:12" x14ac:dyDescent="0.3">
      <c r="A4386" t="s">
        <v>2867</v>
      </c>
      <c r="B4386" s="1">
        <v>43730</v>
      </c>
      <c r="C4386" t="s">
        <v>2720</v>
      </c>
      <c r="D4386" t="s">
        <v>2721</v>
      </c>
      <c r="E4386" t="s">
        <v>14</v>
      </c>
      <c r="F4386" t="s">
        <v>29</v>
      </c>
      <c r="G4386" t="s">
        <v>18</v>
      </c>
      <c r="H4386" t="s">
        <v>1852</v>
      </c>
      <c r="I4386" s="2">
        <v>97.98</v>
      </c>
      <c r="J4386">
        <v>2</v>
      </c>
      <c r="K4386" s="2">
        <v>27.4344</v>
      </c>
      <c r="L4386" s="3">
        <f>(Table1[[#This Row],[Profit]]/Table1[[#This Row],[Sales]])*100</f>
        <v>27.999999999999996</v>
      </c>
    </row>
    <row r="4387" spans="1:12" x14ac:dyDescent="0.3">
      <c r="A4387" t="s">
        <v>4591</v>
      </c>
      <c r="B4387" s="1">
        <v>43957</v>
      </c>
      <c r="C4387" t="s">
        <v>3047</v>
      </c>
      <c r="D4387" t="s">
        <v>3048</v>
      </c>
      <c r="E4387" t="s">
        <v>14</v>
      </c>
      <c r="F4387" t="s">
        <v>23</v>
      </c>
      <c r="G4387" t="s">
        <v>24</v>
      </c>
      <c r="H4387" t="s">
        <v>255</v>
      </c>
      <c r="I4387" s="2">
        <v>122.416</v>
      </c>
      <c r="J4387">
        <v>4</v>
      </c>
      <c r="K4387" s="2">
        <v>27.435199999999998</v>
      </c>
      <c r="L4387" s="3">
        <f>(Table1[[#This Row],[Profit]]/Table1[[#This Row],[Sales]])*100</f>
        <v>22.411449483727615</v>
      </c>
    </row>
    <row r="4388" spans="1:12" x14ac:dyDescent="0.3">
      <c r="A4388" t="s">
        <v>2176</v>
      </c>
      <c r="B4388" s="1">
        <v>43671</v>
      </c>
      <c r="C4388" t="s">
        <v>447</v>
      </c>
      <c r="D4388" t="s">
        <v>448</v>
      </c>
      <c r="E4388" t="s">
        <v>14</v>
      </c>
      <c r="F4388" t="s">
        <v>15</v>
      </c>
      <c r="G4388" t="s">
        <v>24</v>
      </c>
      <c r="H4388" t="s">
        <v>2177</v>
      </c>
      <c r="I4388" s="2">
        <v>243.88</v>
      </c>
      <c r="J4388">
        <v>5</v>
      </c>
      <c r="K4388" s="2">
        <v>27.436499999999999</v>
      </c>
      <c r="L4388" s="3">
        <f>(Table1[[#This Row],[Profit]]/Table1[[#This Row],[Sales]])*100</f>
        <v>11.25</v>
      </c>
    </row>
    <row r="4389" spans="1:12" x14ac:dyDescent="0.3">
      <c r="A4389" t="s">
        <v>5033</v>
      </c>
      <c r="B4389" s="1">
        <v>44032</v>
      </c>
      <c r="C4389" t="s">
        <v>2477</v>
      </c>
      <c r="D4389" t="s">
        <v>2478</v>
      </c>
      <c r="E4389" t="s">
        <v>14</v>
      </c>
      <c r="F4389" t="s">
        <v>29</v>
      </c>
      <c r="G4389" t="s">
        <v>16</v>
      </c>
      <c r="H4389" t="s">
        <v>1537</v>
      </c>
      <c r="I4389" s="2">
        <v>218.94</v>
      </c>
      <c r="J4389">
        <v>3</v>
      </c>
      <c r="K4389" s="2">
        <v>27.440999999999999</v>
      </c>
      <c r="L4389" s="3">
        <f>(Table1[[#This Row],[Profit]]/Table1[[#This Row],[Sales]])*100</f>
        <v>12.533570841326391</v>
      </c>
    </row>
    <row r="4390" spans="1:12" x14ac:dyDescent="0.3">
      <c r="A4390" t="s">
        <v>2564</v>
      </c>
      <c r="B4390" s="1">
        <v>43711</v>
      </c>
      <c r="C4390" t="s">
        <v>950</v>
      </c>
      <c r="D4390" t="s">
        <v>951</v>
      </c>
      <c r="E4390" t="s">
        <v>14</v>
      </c>
      <c r="F4390" t="s">
        <v>15</v>
      </c>
      <c r="G4390" t="s">
        <v>24</v>
      </c>
      <c r="H4390" t="s">
        <v>1695</v>
      </c>
      <c r="I4390" s="2">
        <v>58.48</v>
      </c>
      <c r="J4390">
        <v>8</v>
      </c>
      <c r="K4390" s="2">
        <v>27.485600000000002</v>
      </c>
      <c r="L4390" s="3">
        <f>(Table1[[#This Row],[Profit]]/Table1[[#This Row],[Sales]])*100</f>
        <v>47</v>
      </c>
    </row>
    <row r="4391" spans="1:12" x14ac:dyDescent="0.3">
      <c r="A4391" t="s">
        <v>4642</v>
      </c>
      <c r="B4391" s="1">
        <v>43964</v>
      </c>
      <c r="C4391" t="s">
        <v>1007</v>
      </c>
      <c r="D4391" t="s">
        <v>1008</v>
      </c>
      <c r="E4391" t="s">
        <v>14</v>
      </c>
      <c r="F4391" t="s">
        <v>23</v>
      </c>
      <c r="G4391" t="s">
        <v>24</v>
      </c>
      <c r="H4391" t="s">
        <v>1704</v>
      </c>
      <c r="I4391" s="2">
        <v>142.47999999999999</v>
      </c>
      <c r="J4391">
        <v>8</v>
      </c>
      <c r="K4391" s="2">
        <v>27.485600000000002</v>
      </c>
      <c r="L4391" s="3">
        <f>(Table1[[#This Row],[Profit]]/Table1[[#This Row],[Sales]])*100</f>
        <v>19.290847838293097</v>
      </c>
    </row>
    <row r="4392" spans="1:12" x14ac:dyDescent="0.3">
      <c r="A4392" t="s">
        <v>4538</v>
      </c>
      <c r="B4392" s="1">
        <v>43946</v>
      </c>
      <c r="C4392" t="s">
        <v>4154</v>
      </c>
      <c r="D4392" t="s">
        <v>4155</v>
      </c>
      <c r="E4392" t="s">
        <v>14</v>
      </c>
      <c r="F4392" t="s">
        <v>23</v>
      </c>
      <c r="G4392" t="s">
        <v>24</v>
      </c>
      <c r="H4392" t="s">
        <v>2375</v>
      </c>
      <c r="I4392" s="2">
        <v>164.34399999999999</v>
      </c>
      <c r="J4392">
        <v>3</v>
      </c>
      <c r="K4392" s="2">
        <v>27.504000000000001</v>
      </c>
      <c r="L4392" s="3">
        <f>(Table1[[#This Row],[Profit]]/Table1[[#This Row],[Sales]])*100</f>
        <v>16.735627707734995</v>
      </c>
    </row>
    <row r="4393" spans="1:12" x14ac:dyDescent="0.3">
      <c r="A4393" t="s">
        <v>2192</v>
      </c>
      <c r="B4393" s="1">
        <v>43671</v>
      </c>
      <c r="C4393" t="s">
        <v>1456</v>
      </c>
      <c r="D4393" t="s">
        <v>1457</v>
      </c>
      <c r="E4393" t="s">
        <v>14</v>
      </c>
      <c r="F4393" t="s">
        <v>29</v>
      </c>
      <c r="G4393" t="s">
        <v>16</v>
      </c>
      <c r="H4393" t="s">
        <v>2195</v>
      </c>
      <c r="I4393" s="2">
        <v>95.2</v>
      </c>
      <c r="J4393">
        <v>5</v>
      </c>
      <c r="K4393" s="2">
        <v>27.608000000000001</v>
      </c>
      <c r="L4393" s="3">
        <f>(Table1[[#This Row],[Profit]]/Table1[[#This Row],[Sales]])*100</f>
        <v>28.999999999999996</v>
      </c>
    </row>
    <row r="4394" spans="1:12" x14ac:dyDescent="0.3">
      <c r="A4394" t="s">
        <v>6229</v>
      </c>
      <c r="B4394" s="1">
        <v>44186</v>
      </c>
      <c r="C4394" t="s">
        <v>6230</v>
      </c>
      <c r="D4394" t="s">
        <v>6231</v>
      </c>
      <c r="E4394" t="s">
        <v>14</v>
      </c>
      <c r="F4394" t="s">
        <v>41</v>
      </c>
      <c r="G4394" t="s">
        <v>18</v>
      </c>
      <c r="H4394" t="s">
        <v>2193</v>
      </c>
      <c r="I4394" s="2">
        <v>315</v>
      </c>
      <c r="J4394">
        <v>4</v>
      </c>
      <c r="K4394" s="2">
        <v>27.69</v>
      </c>
      <c r="L4394" s="3">
        <f>(Table1[[#This Row],[Profit]]/Table1[[#This Row],[Sales]])*100</f>
        <v>8.7904761904761894</v>
      </c>
    </row>
    <row r="4395" spans="1:12" x14ac:dyDescent="0.3">
      <c r="A4395" t="s">
        <v>5606</v>
      </c>
      <c r="B4395" s="1">
        <v>44116</v>
      </c>
      <c r="C4395" t="s">
        <v>3535</v>
      </c>
      <c r="D4395" t="s">
        <v>3536</v>
      </c>
      <c r="E4395" t="s">
        <v>14</v>
      </c>
      <c r="F4395" t="s">
        <v>29</v>
      </c>
      <c r="G4395" t="s">
        <v>18</v>
      </c>
      <c r="H4395" t="s">
        <v>2778</v>
      </c>
      <c r="I4395" s="2">
        <v>403.54399999999998</v>
      </c>
      <c r="J4395">
        <v>7</v>
      </c>
      <c r="K4395" s="2">
        <v>27.715800000000002</v>
      </c>
      <c r="L4395" s="3">
        <f>(Table1[[#This Row],[Profit]]/Table1[[#This Row],[Sales]])*100</f>
        <v>6.8680986459964721</v>
      </c>
    </row>
    <row r="4396" spans="1:12" x14ac:dyDescent="0.3">
      <c r="A4396" t="s">
        <v>5730</v>
      </c>
      <c r="B4396" s="1">
        <v>44134</v>
      </c>
      <c r="C4396" t="s">
        <v>4608</v>
      </c>
      <c r="D4396" t="s">
        <v>4609</v>
      </c>
      <c r="E4396" t="s">
        <v>14</v>
      </c>
      <c r="F4396" t="s">
        <v>23</v>
      </c>
      <c r="G4396" t="s">
        <v>24</v>
      </c>
      <c r="H4396" t="s">
        <v>855</v>
      </c>
      <c r="I4396" s="2">
        <v>119.752</v>
      </c>
      <c r="J4396">
        <v>3</v>
      </c>
      <c r="K4396" s="2">
        <v>27.734999999999999</v>
      </c>
      <c r="L4396" s="3">
        <f>(Table1[[#This Row],[Profit]]/Table1[[#This Row],[Sales]])*100</f>
        <v>23.160364753824574</v>
      </c>
    </row>
    <row r="4397" spans="1:12" x14ac:dyDescent="0.3">
      <c r="A4397" t="s">
        <v>230</v>
      </c>
      <c r="B4397" s="1">
        <v>43496</v>
      </c>
      <c r="C4397" t="s">
        <v>231</v>
      </c>
      <c r="D4397" t="s">
        <v>232</v>
      </c>
      <c r="E4397" t="s">
        <v>14</v>
      </c>
      <c r="F4397" t="s">
        <v>23</v>
      </c>
      <c r="G4397" t="s">
        <v>24</v>
      </c>
      <c r="H4397" t="s">
        <v>234</v>
      </c>
      <c r="I4397" s="2">
        <v>56.7</v>
      </c>
      <c r="J4397">
        <v>5</v>
      </c>
      <c r="K4397" s="2">
        <v>27.783000000000001</v>
      </c>
      <c r="L4397" s="3">
        <f>(Table1[[#This Row],[Profit]]/Table1[[#This Row],[Sales]])*100</f>
        <v>49</v>
      </c>
    </row>
    <row r="4398" spans="1:12" x14ac:dyDescent="0.3">
      <c r="A4398" t="s">
        <v>1910</v>
      </c>
      <c r="B4398" s="1">
        <v>43644</v>
      </c>
      <c r="C4398" t="s">
        <v>1911</v>
      </c>
      <c r="D4398" t="s">
        <v>1912</v>
      </c>
      <c r="E4398" t="s">
        <v>14</v>
      </c>
      <c r="F4398" t="s">
        <v>15</v>
      </c>
      <c r="G4398" t="s">
        <v>24</v>
      </c>
      <c r="H4398" t="s">
        <v>1915</v>
      </c>
      <c r="I4398" s="2">
        <v>61.96</v>
      </c>
      <c r="J4398">
        <v>2</v>
      </c>
      <c r="K4398" s="2">
        <v>27.882000000000001</v>
      </c>
      <c r="L4398" s="3">
        <f>(Table1[[#This Row],[Profit]]/Table1[[#This Row],[Sales]])*100</f>
        <v>45</v>
      </c>
    </row>
    <row r="4399" spans="1:12" x14ac:dyDescent="0.3">
      <c r="A4399" t="s">
        <v>3040</v>
      </c>
      <c r="B4399" s="1">
        <v>43746</v>
      </c>
      <c r="C4399" t="s">
        <v>3041</v>
      </c>
      <c r="D4399" t="s">
        <v>3042</v>
      </c>
      <c r="E4399" t="s">
        <v>14</v>
      </c>
      <c r="F4399" t="s">
        <v>23</v>
      </c>
      <c r="G4399" t="s">
        <v>24</v>
      </c>
      <c r="H4399" t="s">
        <v>1960</v>
      </c>
      <c r="I4399" s="2">
        <v>61.96</v>
      </c>
      <c r="J4399">
        <v>2</v>
      </c>
      <c r="K4399" s="2">
        <v>27.882000000000001</v>
      </c>
      <c r="L4399" s="3">
        <f>(Table1[[#This Row],[Profit]]/Table1[[#This Row],[Sales]])*100</f>
        <v>45</v>
      </c>
    </row>
    <row r="4400" spans="1:12" x14ac:dyDescent="0.3">
      <c r="A4400" t="s">
        <v>4306</v>
      </c>
      <c r="B4400" s="1">
        <v>43910</v>
      </c>
      <c r="C4400" t="s">
        <v>1330</v>
      </c>
      <c r="D4400" t="s">
        <v>1331</v>
      </c>
      <c r="E4400" t="s">
        <v>14</v>
      </c>
      <c r="F4400" t="s">
        <v>15</v>
      </c>
      <c r="G4400" t="s">
        <v>24</v>
      </c>
      <c r="H4400" t="s">
        <v>3764</v>
      </c>
      <c r="I4400" s="2">
        <v>145.96</v>
      </c>
      <c r="J4400">
        <v>2</v>
      </c>
      <c r="K4400" s="2">
        <v>27.882000000000001</v>
      </c>
      <c r="L4400" s="3">
        <f>(Table1[[#This Row],[Profit]]/Table1[[#This Row],[Sales]])*100</f>
        <v>19.102493833927102</v>
      </c>
    </row>
    <row r="4401" spans="1:12" x14ac:dyDescent="0.3">
      <c r="A4401" t="s">
        <v>5576</v>
      </c>
      <c r="B4401" s="1">
        <v>44109</v>
      </c>
      <c r="C4401" t="s">
        <v>3714</v>
      </c>
      <c r="D4401" t="s">
        <v>3715</v>
      </c>
      <c r="E4401" t="s">
        <v>14</v>
      </c>
      <c r="F4401" t="s">
        <v>23</v>
      </c>
      <c r="G4401" t="s">
        <v>24</v>
      </c>
      <c r="H4401" t="s">
        <v>1270</v>
      </c>
      <c r="I4401" s="2">
        <v>144.96</v>
      </c>
      <c r="J4401">
        <v>2</v>
      </c>
      <c r="K4401" s="2">
        <v>27.882000000000001</v>
      </c>
      <c r="L4401" s="3">
        <f>(Table1[[#This Row],[Profit]]/Table1[[#This Row],[Sales]])*100</f>
        <v>19.234271523178808</v>
      </c>
    </row>
    <row r="4402" spans="1:12" x14ac:dyDescent="0.3">
      <c r="A4402" t="s">
        <v>3981</v>
      </c>
      <c r="B4402" s="1">
        <v>43832</v>
      </c>
      <c r="C4402" t="s">
        <v>3904</v>
      </c>
      <c r="D4402" t="s">
        <v>3905</v>
      </c>
      <c r="E4402" t="s">
        <v>14</v>
      </c>
      <c r="F4402" t="s">
        <v>29</v>
      </c>
      <c r="G4402" t="s">
        <v>24</v>
      </c>
      <c r="H4402" t="s">
        <v>3221</v>
      </c>
      <c r="I4402" s="2">
        <v>415.14400000000001</v>
      </c>
      <c r="J4402">
        <v>3</v>
      </c>
      <c r="K4402" s="2">
        <v>27.910799999999998</v>
      </c>
      <c r="L4402" s="3">
        <f>(Table1[[#This Row],[Profit]]/Table1[[#This Row],[Sales]])*100</f>
        <v>6.7231611199969166</v>
      </c>
    </row>
    <row r="4403" spans="1:12" x14ac:dyDescent="0.3">
      <c r="A4403" t="s">
        <v>5461</v>
      </c>
      <c r="B4403" s="1">
        <v>44095</v>
      </c>
      <c r="C4403" t="s">
        <v>3047</v>
      </c>
      <c r="D4403" t="s">
        <v>3048</v>
      </c>
      <c r="E4403" t="s">
        <v>14</v>
      </c>
      <c r="F4403" t="s">
        <v>23</v>
      </c>
      <c r="G4403" t="s">
        <v>24</v>
      </c>
      <c r="H4403" t="s">
        <v>4737</v>
      </c>
      <c r="I4403" s="2">
        <v>165.86</v>
      </c>
      <c r="J4403">
        <v>7</v>
      </c>
      <c r="K4403" s="2">
        <v>27.93</v>
      </c>
      <c r="L4403" s="3">
        <f>(Table1[[#This Row],[Profit]]/Table1[[#This Row],[Sales]])*100</f>
        <v>16.839503195466055</v>
      </c>
    </row>
    <row r="4404" spans="1:12" x14ac:dyDescent="0.3">
      <c r="A4404" t="s">
        <v>4279</v>
      </c>
      <c r="B4404" s="1">
        <v>43907</v>
      </c>
      <c r="C4404" t="s">
        <v>4280</v>
      </c>
      <c r="D4404" t="s">
        <v>4281</v>
      </c>
      <c r="E4404" t="s">
        <v>14</v>
      </c>
      <c r="F4404" t="s">
        <v>15</v>
      </c>
      <c r="G4404" t="s">
        <v>24</v>
      </c>
      <c r="H4404" t="s">
        <v>4282</v>
      </c>
      <c r="I4404" s="2">
        <v>127.44</v>
      </c>
      <c r="J4404">
        <v>8</v>
      </c>
      <c r="K4404" s="2">
        <v>27.9344</v>
      </c>
      <c r="L4404" s="3">
        <f>(Table1[[#This Row],[Profit]]/Table1[[#This Row],[Sales]])*100</f>
        <v>21.919648462021343</v>
      </c>
    </row>
    <row r="4405" spans="1:12" x14ac:dyDescent="0.3">
      <c r="A4405" t="s">
        <v>2473</v>
      </c>
      <c r="B4405" s="1">
        <v>43704</v>
      </c>
      <c r="C4405" t="s">
        <v>192</v>
      </c>
      <c r="D4405" t="s">
        <v>193</v>
      </c>
      <c r="E4405" t="s">
        <v>14</v>
      </c>
      <c r="F4405" t="s">
        <v>29</v>
      </c>
      <c r="G4405" t="s">
        <v>24</v>
      </c>
      <c r="H4405" t="s">
        <v>2475</v>
      </c>
      <c r="I4405" s="2">
        <v>79.92</v>
      </c>
      <c r="J4405">
        <v>5</v>
      </c>
      <c r="K4405" s="2">
        <v>27.972000000000001</v>
      </c>
      <c r="L4405" s="3">
        <f>(Table1[[#This Row],[Profit]]/Table1[[#This Row],[Sales]])*100</f>
        <v>35</v>
      </c>
    </row>
    <row r="4406" spans="1:12" x14ac:dyDescent="0.3">
      <c r="A4406" t="s">
        <v>5056</v>
      </c>
      <c r="B4406" s="1">
        <v>44035</v>
      </c>
      <c r="C4406" t="s">
        <v>275</v>
      </c>
      <c r="D4406" t="s">
        <v>276</v>
      </c>
      <c r="E4406" t="s">
        <v>14</v>
      </c>
      <c r="F4406" t="s">
        <v>23</v>
      </c>
      <c r="G4406" t="s">
        <v>24</v>
      </c>
      <c r="H4406" t="s">
        <v>1501</v>
      </c>
      <c r="I4406" s="2">
        <v>165.32</v>
      </c>
      <c r="J4406">
        <v>9</v>
      </c>
      <c r="K4406" s="2">
        <v>27.993600000000001</v>
      </c>
      <c r="L4406" s="3">
        <f>(Table1[[#This Row],[Profit]]/Table1[[#This Row],[Sales]])*100</f>
        <v>16.932978466005324</v>
      </c>
    </row>
    <row r="4407" spans="1:12" x14ac:dyDescent="0.3">
      <c r="A4407" t="s">
        <v>1928</v>
      </c>
      <c r="B4407" s="1">
        <v>43647</v>
      </c>
      <c r="C4407" t="s">
        <v>1929</v>
      </c>
      <c r="D4407" t="s">
        <v>1930</v>
      </c>
      <c r="E4407" t="s">
        <v>14</v>
      </c>
      <c r="F4407" t="s">
        <v>41</v>
      </c>
      <c r="G4407" t="s">
        <v>24</v>
      </c>
      <c r="H4407" t="s">
        <v>1932</v>
      </c>
      <c r="I4407" s="2">
        <v>58.34</v>
      </c>
      <c r="J4407">
        <v>2</v>
      </c>
      <c r="K4407" s="2">
        <v>28.0032</v>
      </c>
      <c r="L4407" s="3">
        <f>(Table1[[#This Row],[Profit]]/Table1[[#This Row],[Sales]])*100</f>
        <v>48</v>
      </c>
    </row>
    <row r="4408" spans="1:12" x14ac:dyDescent="0.3">
      <c r="A4408" t="s">
        <v>4719</v>
      </c>
      <c r="B4408" s="1">
        <v>43978</v>
      </c>
      <c r="C4408" t="s">
        <v>55</v>
      </c>
      <c r="D4408" t="s">
        <v>56</v>
      </c>
      <c r="E4408" t="s">
        <v>14</v>
      </c>
      <c r="F4408" t="s">
        <v>41</v>
      </c>
      <c r="G4408" t="s">
        <v>24</v>
      </c>
      <c r="H4408" t="s">
        <v>1932</v>
      </c>
      <c r="I4408" s="2">
        <v>165.34</v>
      </c>
      <c r="J4408">
        <v>2</v>
      </c>
      <c r="K4408" s="2">
        <v>28.0032</v>
      </c>
      <c r="L4408" s="3">
        <f>(Table1[[#This Row],[Profit]]/Table1[[#This Row],[Sales]])*100</f>
        <v>16.936736421918472</v>
      </c>
    </row>
    <row r="4409" spans="1:12" x14ac:dyDescent="0.3">
      <c r="A4409" t="s">
        <v>1280</v>
      </c>
      <c r="B4409" s="1">
        <v>43592</v>
      </c>
      <c r="C4409" t="s">
        <v>565</v>
      </c>
      <c r="D4409" t="s">
        <v>566</v>
      </c>
      <c r="E4409" t="s">
        <v>14</v>
      </c>
      <c r="F4409" t="s">
        <v>15</v>
      </c>
      <c r="G4409" t="s">
        <v>16</v>
      </c>
      <c r="H4409" t="s">
        <v>1286</v>
      </c>
      <c r="I4409" s="2">
        <v>63.68</v>
      </c>
      <c r="J4409">
        <v>8</v>
      </c>
      <c r="K4409" s="2">
        <v>28.019200000000001</v>
      </c>
      <c r="L4409" s="3">
        <f>(Table1[[#This Row],[Profit]]/Table1[[#This Row],[Sales]])*100</f>
        <v>44</v>
      </c>
    </row>
    <row r="4410" spans="1:12" x14ac:dyDescent="0.3">
      <c r="A4410" t="s">
        <v>6135</v>
      </c>
      <c r="B4410" s="1">
        <v>44173</v>
      </c>
      <c r="C4410" t="s">
        <v>2355</v>
      </c>
      <c r="D4410" t="s">
        <v>2356</v>
      </c>
      <c r="E4410" t="s">
        <v>14</v>
      </c>
      <c r="F4410" t="s">
        <v>29</v>
      </c>
      <c r="G4410" t="s">
        <v>24</v>
      </c>
      <c r="H4410" t="s">
        <v>1830</v>
      </c>
      <c r="I4410" s="2">
        <v>163.06</v>
      </c>
      <c r="J4410">
        <v>2</v>
      </c>
      <c r="K4410" s="2">
        <v>28.087599999999998</v>
      </c>
      <c r="L4410" s="3">
        <f>(Table1[[#This Row],[Profit]]/Table1[[#This Row],[Sales]])*100</f>
        <v>17.225315834662087</v>
      </c>
    </row>
    <row r="4411" spans="1:12" x14ac:dyDescent="0.3">
      <c r="A4411" t="s">
        <v>5966</v>
      </c>
      <c r="B4411" s="1">
        <v>44155</v>
      </c>
      <c r="C4411" t="s">
        <v>960</v>
      </c>
      <c r="D4411" t="s">
        <v>961</v>
      </c>
      <c r="E4411" t="s">
        <v>14</v>
      </c>
      <c r="F4411" t="s">
        <v>15</v>
      </c>
      <c r="G4411" t="s">
        <v>16</v>
      </c>
      <c r="H4411" t="s">
        <v>412</v>
      </c>
      <c r="I4411" s="2">
        <v>127.6</v>
      </c>
      <c r="J4411">
        <v>5</v>
      </c>
      <c r="K4411" s="2">
        <v>28.13</v>
      </c>
      <c r="L4411" s="3">
        <f>(Table1[[#This Row],[Profit]]/Table1[[#This Row],[Sales]])*100</f>
        <v>22.045454545454547</v>
      </c>
    </row>
    <row r="4412" spans="1:12" x14ac:dyDescent="0.3">
      <c r="A4412" t="s">
        <v>3762</v>
      </c>
      <c r="B4412" s="1">
        <v>43809</v>
      </c>
      <c r="C4412" t="s">
        <v>1355</v>
      </c>
      <c r="D4412" t="s">
        <v>1356</v>
      </c>
      <c r="E4412" t="s">
        <v>14</v>
      </c>
      <c r="F4412" t="s">
        <v>23</v>
      </c>
      <c r="G4412" t="s">
        <v>16</v>
      </c>
      <c r="H4412" t="s">
        <v>798</v>
      </c>
      <c r="I4412" s="2">
        <v>321.56799999999998</v>
      </c>
      <c r="J4412">
        <v>2</v>
      </c>
      <c r="K4412" s="2">
        <v>28.1372</v>
      </c>
      <c r="L4412" s="3">
        <f>(Table1[[#This Row],[Profit]]/Table1[[#This Row],[Sales]])*100</f>
        <v>8.75</v>
      </c>
    </row>
    <row r="4413" spans="1:12" x14ac:dyDescent="0.3">
      <c r="A4413" t="s">
        <v>5897</v>
      </c>
      <c r="B4413" s="1">
        <v>44149</v>
      </c>
      <c r="C4413" t="s">
        <v>1259</v>
      </c>
      <c r="D4413" t="s">
        <v>1260</v>
      </c>
      <c r="E4413" t="s">
        <v>14</v>
      </c>
      <c r="F4413" t="s">
        <v>23</v>
      </c>
      <c r="G4413" t="s">
        <v>16</v>
      </c>
      <c r="H4413" t="s">
        <v>798</v>
      </c>
      <c r="I4413" s="2">
        <v>334.56799999999998</v>
      </c>
      <c r="J4413">
        <v>2</v>
      </c>
      <c r="K4413" s="2">
        <v>28.1372</v>
      </c>
      <c r="L4413" s="3">
        <f>(Table1[[#This Row],[Profit]]/Table1[[#This Row],[Sales]])*100</f>
        <v>8.4100093254585016</v>
      </c>
    </row>
    <row r="4414" spans="1:12" x14ac:dyDescent="0.3">
      <c r="A4414" t="s">
        <v>1644</v>
      </c>
      <c r="B4414" s="1">
        <v>43622</v>
      </c>
      <c r="C4414" t="s">
        <v>602</v>
      </c>
      <c r="D4414" t="s">
        <v>603</v>
      </c>
      <c r="E4414" t="s">
        <v>14</v>
      </c>
      <c r="F4414" t="s">
        <v>41</v>
      </c>
      <c r="G4414" t="s">
        <v>24</v>
      </c>
      <c r="H4414" t="s">
        <v>1645</v>
      </c>
      <c r="I4414" s="2">
        <v>59.94</v>
      </c>
      <c r="J4414">
        <v>3</v>
      </c>
      <c r="K4414" s="2">
        <v>28.171800000000001</v>
      </c>
      <c r="L4414" s="3">
        <f>(Table1[[#This Row],[Profit]]/Table1[[#This Row],[Sales]])*100</f>
        <v>47</v>
      </c>
    </row>
    <row r="4415" spans="1:12" x14ac:dyDescent="0.3">
      <c r="A4415" t="s">
        <v>5805</v>
      </c>
      <c r="B4415" s="1">
        <v>44141</v>
      </c>
      <c r="C4415" t="s">
        <v>1661</v>
      </c>
      <c r="D4415" t="s">
        <v>1662</v>
      </c>
      <c r="E4415" t="s">
        <v>14</v>
      </c>
      <c r="F4415" t="s">
        <v>23</v>
      </c>
      <c r="G4415" t="s">
        <v>24</v>
      </c>
      <c r="H4415" t="s">
        <v>1645</v>
      </c>
      <c r="I4415" s="2">
        <v>142.94</v>
      </c>
      <c r="J4415">
        <v>3</v>
      </c>
      <c r="K4415" s="2">
        <v>28.171800000000001</v>
      </c>
      <c r="L4415" s="3">
        <f>(Table1[[#This Row],[Profit]]/Table1[[#This Row],[Sales]])*100</f>
        <v>19.708828879250039</v>
      </c>
    </row>
    <row r="4416" spans="1:12" x14ac:dyDescent="0.3">
      <c r="A4416" t="s">
        <v>4673</v>
      </c>
      <c r="B4416" s="1">
        <v>43970</v>
      </c>
      <c r="C4416" t="s">
        <v>1589</v>
      </c>
      <c r="D4416" t="s">
        <v>1590</v>
      </c>
      <c r="E4416" t="s">
        <v>14</v>
      </c>
      <c r="F4416" t="s">
        <v>23</v>
      </c>
      <c r="G4416" t="s">
        <v>24</v>
      </c>
      <c r="H4416" t="s">
        <v>1421</v>
      </c>
      <c r="I4416" s="2">
        <v>139.16</v>
      </c>
      <c r="J4416">
        <v>2</v>
      </c>
      <c r="K4416" s="2">
        <v>28.176400000000001</v>
      </c>
      <c r="L4416" s="3">
        <f>(Table1[[#This Row],[Profit]]/Table1[[#This Row],[Sales]])*100</f>
        <v>20.247484909456741</v>
      </c>
    </row>
    <row r="4417" spans="1:12" x14ac:dyDescent="0.3">
      <c r="A4417" t="s">
        <v>5524</v>
      </c>
      <c r="B4417" s="1">
        <v>44103</v>
      </c>
      <c r="C4417" t="s">
        <v>1436</v>
      </c>
      <c r="D4417" t="s">
        <v>1437</v>
      </c>
      <c r="E4417" t="s">
        <v>14</v>
      </c>
      <c r="F4417" t="s">
        <v>23</v>
      </c>
      <c r="G4417" t="s">
        <v>24</v>
      </c>
      <c r="H4417" t="s">
        <v>1486</v>
      </c>
      <c r="I4417" s="2">
        <v>109.3</v>
      </c>
      <c r="J4417">
        <v>7</v>
      </c>
      <c r="K4417" s="2">
        <v>28.216999999999999</v>
      </c>
      <c r="L4417" s="3">
        <f>(Table1[[#This Row],[Profit]]/Table1[[#This Row],[Sales]])*100</f>
        <v>25.816102470265324</v>
      </c>
    </row>
    <row r="4418" spans="1:12" x14ac:dyDescent="0.3">
      <c r="A4418" t="s">
        <v>11</v>
      </c>
      <c r="B4418" s="1">
        <v>43466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17</v>
      </c>
      <c r="I4418" s="2">
        <v>73.94</v>
      </c>
      <c r="J4418">
        <v>1</v>
      </c>
      <c r="K4418" s="2">
        <v>28.2668</v>
      </c>
      <c r="L4418" s="3">
        <f>(Table1[[#This Row],[Profit]]/Table1[[#This Row],[Sales]])*100</f>
        <v>38.229375169055992</v>
      </c>
    </row>
    <row r="4419" spans="1:12" x14ac:dyDescent="0.3">
      <c r="A4419" t="s">
        <v>285</v>
      </c>
      <c r="B4419" s="1">
        <v>43501</v>
      </c>
      <c r="C4419" t="s">
        <v>286</v>
      </c>
      <c r="D4419" t="s">
        <v>287</v>
      </c>
      <c r="E4419" t="s">
        <v>14</v>
      </c>
      <c r="F4419" t="s">
        <v>41</v>
      </c>
      <c r="G4419" t="s">
        <v>18</v>
      </c>
      <c r="H4419" t="s">
        <v>294</v>
      </c>
      <c r="I4419" s="2">
        <v>104.85</v>
      </c>
      <c r="J4419">
        <v>3</v>
      </c>
      <c r="K4419" s="2">
        <v>28.3095</v>
      </c>
      <c r="L4419" s="3">
        <f>(Table1[[#This Row],[Profit]]/Table1[[#This Row],[Sales]])*100</f>
        <v>27</v>
      </c>
    </row>
    <row r="4420" spans="1:12" x14ac:dyDescent="0.3">
      <c r="A4420" t="s">
        <v>5450</v>
      </c>
      <c r="B4420" s="1">
        <v>44094</v>
      </c>
      <c r="C4420" t="s">
        <v>1698</v>
      </c>
      <c r="D4420" t="s">
        <v>1699</v>
      </c>
      <c r="E4420" t="s">
        <v>14</v>
      </c>
      <c r="F4420" t="s">
        <v>15</v>
      </c>
      <c r="G4420" t="s">
        <v>18</v>
      </c>
      <c r="H4420" t="s">
        <v>294</v>
      </c>
      <c r="I4420" s="2">
        <v>124.85</v>
      </c>
      <c r="J4420">
        <v>3</v>
      </c>
      <c r="K4420" s="2">
        <v>28.3095</v>
      </c>
      <c r="L4420" s="3">
        <f>(Table1[[#This Row],[Profit]]/Table1[[#This Row],[Sales]])*100</f>
        <v>22.674809771726075</v>
      </c>
    </row>
    <row r="4421" spans="1:12" x14ac:dyDescent="0.3">
      <c r="A4421" t="s">
        <v>4549</v>
      </c>
      <c r="B4421" s="1">
        <v>43951</v>
      </c>
      <c r="C4421" t="s">
        <v>139</v>
      </c>
      <c r="D4421" t="s">
        <v>140</v>
      </c>
      <c r="E4421" t="s">
        <v>14</v>
      </c>
      <c r="F4421" t="s">
        <v>15</v>
      </c>
      <c r="G4421" t="s">
        <v>24</v>
      </c>
      <c r="H4421" t="s">
        <v>4550</v>
      </c>
      <c r="I4421" s="2">
        <v>109.96</v>
      </c>
      <c r="J4421">
        <v>4</v>
      </c>
      <c r="K4421" s="2">
        <v>28.332000000000001</v>
      </c>
      <c r="L4421" s="3">
        <f>(Table1[[#This Row],[Profit]]/Table1[[#This Row],[Sales]])*100</f>
        <v>25.765732993815938</v>
      </c>
    </row>
    <row r="4422" spans="1:12" x14ac:dyDescent="0.3">
      <c r="A4422" t="s">
        <v>434</v>
      </c>
      <c r="B4422" s="1">
        <v>43523</v>
      </c>
      <c r="C4422" t="s">
        <v>435</v>
      </c>
      <c r="D4422" t="s">
        <v>436</v>
      </c>
      <c r="E4422" t="s">
        <v>14</v>
      </c>
      <c r="F4422" t="s">
        <v>29</v>
      </c>
      <c r="G4422" t="s">
        <v>24</v>
      </c>
      <c r="H4422" t="s">
        <v>437</v>
      </c>
      <c r="I4422" s="2">
        <v>56.82</v>
      </c>
      <c r="J4422">
        <v>3</v>
      </c>
      <c r="K4422" s="2">
        <v>28.41</v>
      </c>
      <c r="L4422" s="3">
        <f>(Table1[[#This Row],[Profit]]/Table1[[#This Row],[Sales]])*100</f>
        <v>50</v>
      </c>
    </row>
    <row r="4423" spans="1:12" x14ac:dyDescent="0.3">
      <c r="A4423" t="s">
        <v>4532</v>
      </c>
      <c r="B4423" s="1">
        <v>43946</v>
      </c>
      <c r="C4423" t="s">
        <v>1547</v>
      </c>
      <c r="D4423" t="s">
        <v>1548</v>
      </c>
      <c r="E4423" t="s">
        <v>14</v>
      </c>
      <c r="F4423" t="s">
        <v>23</v>
      </c>
      <c r="G4423" t="s">
        <v>16</v>
      </c>
      <c r="H4423" t="s">
        <v>17</v>
      </c>
      <c r="I4423" s="2">
        <v>367.98099999999999</v>
      </c>
      <c r="J4423">
        <v>7</v>
      </c>
      <c r="K4423" s="2">
        <v>28.4102</v>
      </c>
      <c r="L4423" s="3">
        <f>(Table1[[#This Row],[Profit]]/Table1[[#This Row],[Sales]])*100</f>
        <v>7.7205616594335034</v>
      </c>
    </row>
    <row r="4424" spans="1:12" x14ac:dyDescent="0.3">
      <c r="A4424" t="s">
        <v>2550</v>
      </c>
      <c r="B4424" s="1">
        <v>43710</v>
      </c>
      <c r="C4424" t="s">
        <v>21</v>
      </c>
      <c r="D4424" t="s">
        <v>22</v>
      </c>
      <c r="E4424" t="s">
        <v>14</v>
      </c>
      <c r="F4424" t="s">
        <v>23</v>
      </c>
      <c r="G4424" t="s">
        <v>16</v>
      </c>
      <c r="H4424" t="s">
        <v>2552</v>
      </c>
      <c r="I4424" s="2">
        <v>568.72799999999995</v>
      </c>
      <c r="J4424">
        <v>3</v>
      </c>
      <c r="K4424" s="2">
        <v>28.436399999999999</v>
      </c>
      <c r="L4424" s="3">
        <f>(Table1[[#This Row],[Profit]]/Table1[[#This Row],[Sales]])*100</f>
        <v>5</v>
      </c>
    </row>
    <row r="4425" spans="1:12" x14ac:dyDescent="0.3">
      <c r="A4425" t="s">
        <v>5191</v>
      </c>
      <c r="B4425" s="1">
        <v>44064</v>
      </c>
      <c r="C4425" t="s">
        <v>5192</v>
      </c>
      <c r="D4425" t="s">
        <v>5193</v>
      </c>
      <c r="E4425" t="s">
        <v>14</v>
      </c>
      <c r="F4425" t="s">
        <v>23</v>
      </c>
      <c r="G4425" t="s">
        <v>16</v>
      </c>
      <c r="H4425" t="s">
        <v>2552</v>
      </c>
      <c r="I4425" s="2">
        <v>590.72799999999995</v>
      </c>
      <c r="J4425">
        <v>3</v>
      </c>
      <c r="K4425" s="2">
        <v>28.436399999999999</v>
      </c>
      <c r="L4425" s="3">
        <f>(Table1[[#This Row],[Profit]]/Table1[[#This Row],[Sales]])*100</f>
        <v>4.8137890873633893</v>
      </c>
    </row>
    <row r="4426" spans="1:12" x14ac:dyDescent="0.3">
      <c r="A4426" t="s">
        <v>6186</v>
      </c>
      <c r="B4426" s="1">
        <v>44179</v>
      </c>
      <c r="C4426" t="s">
        <v>876</v>
      </c>
      <c r="D4426" t="s">
        <v>877</v>
      </c>
      <c r="E4426" t="s">
        <v>14</v>
      </c>
      <c r="F4426" t="s">
        <v>29</v>
      </c>
      <c r="G4426" t="s">
        <v>18</v>
      </c>
      <c r="H4426" t="s">
        <v>640</v>
      </c>
      <c r="I4426" s="2">
        <v>197.976</v>
      </c>
      <c r="J4426">
        <v>3</v>
      </c>
      <c r="K4426" s="2">
        <v>28.497</v>
      </c>
      <c r="L4426" s="3">
        <f>(Table1[[#This Row],[Profit]]/Table1[[#This Row],[Sales]])*100</f>
        <v>14.394168990180628</v>
      </c>
    </row>
    <row r="4427" spans="1:12" x14ac:dyDescent="0.3">
      <c r="A4427" t="s">
        <v>20</v>
      </c>
      <c r="B4427" s="1">
        <v>43468</v>
      </c>
      <c r="C4427" t="s">
        <v>21</v>
      </c>
      <c r="D4427" t="s">
        <v>22</v>
      </c>
      <c r="E4427" t="s">
        <v>14</v>
      </c>
      <c r="F4427" t="s">
        <v>23</v>
      </c>
      <c r="G4427" t="s">
        <v>24</v>
      </c>
      <c r="H4427" t="s">
        <v>25</v>
      </c>
      <c r="I4427" s="2">
        <v>114.46</v>
      </c>
      <c r="J4427">
        <v>2</v>
      </c>
      <c r="K4427" s="2">
        <v>28.614999999999998</v>
      </c>
      <c r="L4427" s="3">
        <f>(Table1[[#This Row],[Profit]]/Table1[[#This Row],[Sales]])*100</f>
        <v>25</v>
      </c>
    </row>
    <row r="4428" spans="1:12" x14ac:dyDescent="0.3">
      <c r="A4428" t="s">
        <v>4782</v>
      </c>
      <c r="B4428" s="1">
        <v>43990</v>
      </c>
      <c r="C4428" t="s">
        <v>1368</v>
      </c>
      <c r="D4428" t="s">
        <v>1369</v>
      </c>
      <c r="E4428" t="s">
        <v>14</v>
      </c>
      <c r="F4428" t="s">
        <v>29</v>
      </c>
      <c r="G4428" t="s">
        <v>18</v>
      </c>
      <c r="H4428" t="s">
        <v>2228</v>
      </c>
      <c r="I4428" s="2">
        <v>413.57600000000002</v>
      </c>
      <c r="J4428">
        <v>3</v>
      </c>
      <c r="K4428" s="2">
        <v>28.618200000000002</v>
      </c>
      <c r="L4428" s="3">
        <f>(Table1[[#This Row],[Profit]]/Table1[[#This Row],[Sales]])*100</f>
        <v>6.9196955335899561</v>
      </c>
    </row>
    <row r="4429" spans="1:12" x14ac:dyDescent="0.3">
      <c r="A4429" t="s">
        <v>4717</v>
      </c>
      <c r="B4429" s="1">
        <v>43978</v>
      </c>
      <c r="C4429" t="s">
        <v>2167</v>
      </c>
      <c r="D4429" t="s">
        <v>2168</v>
      </c>
      <c r="E4429" t="s">
        <v>14</v>
      </c>
      <c r="F4429" t="s">
        <v>23</v>
      </c>
      <c r="G4429" t="s">
        <v>24</v>
      </c>
      <c r="H4429" t="s">
        <v>4574</v>
      </c>
      <c r="I4429" s="2">
        <v>515.15</v>
      </c>
      <c r="J4429">
        <v>5</v>
      </c>
      <c r="K4429" s="2">
        <v>28.629000000000001</v>
      </c>
      <c r="L4429" s="3">
        <f>(Table1[[#This Row],[Profit]]/Table1[[#This Row],[Sales]])*100</f>
        <v>5.5574104629719505</v>
      </c>
    </row>
    <row r="4430" spans="1:12" x14ac:dyDescent="0.3">
      <c r="A4430" t="s">
        <v>4782</v>
      </c>
      <c r="B4430" s="1">
        <v>43990</v>
      </c>
      <c r="C4430" t="s">
        <v>1368</v>
      </c>
      <c r="D4430" t="s">
        <v>1369</v>
      </c>
      <c r="E4430" t="s">
        <v>14</v>
      </c>
      <c r="F4430" t="s">
        <v>29</v>
      </c>
      <c r="G4430" t="s">
        <v>24</v>
      </c>
      <c r="H4430" t="s">
        <v>234</v>
      </c>
      <c r="I4430" s="2">
        <v>175.05600000000001</v>
      </c>
      <c r="J4430">
        <v>3</v>
      </c>
      <c r="K4430" s="2">
        <v>28.706399999999999</v>
      </c>
      <c r="L4430" s="3">
        <f>(Table1[[#This Row],[Profit]]/Table1[[#This Row],[Sales]])*100</f>
        <v>16.398409651768574</v>
      </c>
    </row>
    <row r="4431" spans="1:12" x14ac:dyDescent="0.3">
      <c r="A4431" t="s">
        <v>5347</v>
      </c>
      <c r="B4431" s="1">
        <v>44084</v>
      </c>
      <c r="C4431" t="s">
        <v>2179</v>
      </c>
      <c r="D4431" t="s">
        <v>2180</v>
      </c>
      <c r="E4431" t="s">
        <v>14</v>
      </c>
      <c r="F4431" t="s">
        <v>15</v>
      </c>
      <c r="G4431" t="s">
        <v>24</v>
      </c>
      <c r="H4431" t="s">
        <v>3909</v>
      </c>
      <c r="I4431" s="2">
        <v>133.05600000000001</v>
      </c>
      <c r="J4431">
        <v>3</v>
      </c>
      <c r="K4431" s="2">
        <v>28.706399999999999</v>
      </c>
      <c r="L4431" s="3">
        <f>(Table1[[#This Row],[Profit]]/Table1[[#This Row],[Sales]])*100</f>
        <v>21.574675324675322</v>
      </c>
    </row>
    <row r="4432" spans="1:12" x14ac:dyDescent="0.3">
      <c r="A4432" t="s">
        <v>1638</v>
      </c>
      <c r="B4432" s="1">
        <v>43622</v>
      </c>
      <c r="C4432" t="s">
        <v>114</v>
      </c>
      <c r="D4432" t="s">
        <v>115</v>
      </c>
      <c r="E4432" t="s">
        <v>14</v>
      </c>
      <c r="F4432" t="s">
        <v>29</v>
      </c>
      <c r="G4432" t="s">
        <v>18</v>
      </c>
      <c r="H4432" t="s">
        <v>1246</v>
      </c>
      <c r="I4432" s="2">
        <v>328.22399999999999</v>
      </c>
      <c r="J4432">
        <v>4</v>
      </c>
      <c r="K4432" s="2">
        <v>28.7196</v>
      </c>
      <c r="L4432" s="3">
        <f>(Table1[[#This Row],[Profit]]/Table1[[#This Row],[Sales]])*100</f>
        <v>8.75</v>
      </c>
    </row>
    <row r="4433" spans="1:12" x14ac:dyDescent="0.3">
      <c r="A4433" t="s">
        <v>970</v>
      </c>
      <c r="B4433" s="1">
        <v>43567</v>
      </c>
      <c r="C4433" t="s">
        <v>971</v>
      </c>
      <c r="D4433" t="s">
        <v>972</v>
      </c>
      <c r="E4433" t="s">
        <v>14</v>
      </c>
      <c r="F4433" t="s">
        <v>41</v>
      </c>
      <c r="G4433" t="s">
        <v>24</v>
      </c>
      <c r="H4433" t="s">
        <v>975</v>
      </c>
      <c r="I4433" s="2">
        <v>63.9</v>
      </c>
      <c r="J4433">
        <v>5</v>
      </c>
      <c r="K4433" s="2">
        <v>28.754999999999999</v>
      </c>
      <c r="L4433" s="3">
        <f>(Table1[[#This Row],[Profit]]/Table1[[#This Row],[Sales]])*100</f>
        <v>45</v>
      </c>
    </row>
    <row r="4434" spans="1:12" x14ac:dyDescent="0.3">
      <c r="A4434" t="s">
        <v>5688</v>
      </c>
      <c r="B4434" s="1">
        <v>44126</v>
      </c>
      <c r="C4434" t="s">
        <v>2533</v>
      </c>
      <c r="D4434" t="s">
        <v>2534</v>
      </c>
      <c r="E4434" t="s">
        <v>14</v>
      </c>
      <c r="F4434" t="s">
        <v>15</v>
      </c>
      <c r="G4434" t="s">
        <v>24</v>
      </c>
      <c r="H4434" t="s">
        <v>975</v>
      </c>
      <c r="I4434" s="2">
        <v>140.9</v>
      </c>
      <c r="J4434">
        <v>5</v>
      </c>
      <c r="K4434" s="2">
        <v>28.754999999999999</v>
      </c>
      <c r="L4434" s="3">
        <f>(Table1[[#This Row],[Profit]]/Table1[[#This Row],[Sales]])*100</f>
        <v>20.408090844570616</v>
      </c>
    </row>
    <row r="4435" spans="1:12" x14ac:dyDescent="0.3">
      <c r="A4435" t="s">
        <v>5335</v>
      </c>
      <c r="B4435" s="1">
        <v>44083</v>
      </c>
      <c r="C4435" t="s">
        <v>3726</v>
      </c>
      <c r="D4435" t="s">
        <v>3727</v>
      </c>
      <c r="E4435" t="s">
        <v>14</v>
      </c>
      <c r="F4435" t="s">
        <v>15</v>
      </c>
      <c r="G4435" t="s">
        <v>18</v>
      </c>
      <c r="H4435" t="s">
        <v>556</v>
      </c>
      <c r="I4435" s="2">
        <v>136.88</v>
      </c>
      <c r="J4435">
        <v>3</v>
      </c>
      <c r="K4435" s="2">
        <v>28.763999999999999</v>
      </c>
      <c r="L4435" s="3">
        <f>(Table1[[#This Row],[Profit]]/Table1[[#This Row],[Sales]])*100</f>
        <v>21.014026884862655</v>
      </c>
    </row>
    <row r="4436" spans="1:12" x14ac:dyDescent="0.3">
      <c r="A4436" t="s">
        <v>2470</v>
      </c>
      <c r="B4436" s="1">
        <v>43704</v>
      </c>
      <c r="C4436" t="s">
        <v>1769</v>
      </c>
      <c r="D4436" t="s">
        <v>1770</v>
      </c>
      <c r="E4436" t="s">
        <v>14</v>
      </c>
      <c r="F4436" t="s">
        <v>15</v>
      </c>
      <c r="G4436" t="s">
        <v>18</v>
      </c>
      <c r="H4436" t="s">
        <v>1611</v>
      </c>
      <c r="I4436" s="2">
        <v>59.97</v>
      </c>
      <c r="J4436">
        <v>3</v>
      </c>
      <c r="K4436" s="2">
        <v>28.785599999999999</v>
      </c>
      <c r="L4436" s="3">
        <f>(Table1[[#This Row],[Profit]]/Table1[[#This Row],[Sales]])*100</f>
        <v>48</v>
      </c>
    </row>
    <row r="4437" spans="1:12" x14ac:dyDescent="0.3">
      <c r="A4437" t="s">
        <v>4594</v>
      </c>
      <c r="B4437" s="1">
        <v>43957</v>
      </c>
      <c r="C4437" t="s">
        <v>206</v>
      </c>
      <c r="D4437" t="s">
        <v>207</v>
      </c>
      <c r="E4437" t="s">
        <v>14</v>
      </c>
      <c r="F4437" t="s">
        <v>29</v>
      </c>
      <c r="G4437" t="s">
        <v>18</v>
      </c>
      <c r="H4437" t="s">
        <v>920</v>
      </c>
      <c r="I4437" s="2">
        <v>231.96799999999999</v>
      </c>
      <c r="J4437">
        <v>4</v>
      </c>
      <c r="K4437" s="2">
        <v>28.795200000000001</v>
      </c>
      <c r="L4437" s="3">
        <f>(Table1[[#This Row],[Profit]]/Table1[[#This Row],[Sales]])*100</f>
        <v>12.413436336046352</v>
      </c>
    </row>
    <row r="4438" spans="1:12" x14ac:dyDescent="0.3">
      <c r="A4438" t="s">
        <v>4605</v>
      </c>
      <c r="B4438" s="1">
        <v>43958</v>
      </c>
      <c r="C4438" t="s">
        <v>627</v>
      </c>
      <c r="D4438" t="s">
        <v>628</v>
      </c>
      <c r="E4438" t="s">
        <v>14</v>
      </c>
      <c r="F4438" t="s">
        <v>23</v>
      </c>
      <c r="G4438" t="s">
        <v>18</v>
      </c>
      <c r="H4438" t="s">
        <v>4606</v>
      </c>
      <c r="I4438" s="2">
        <v>171.99</v>
      </c>
      <c r="J4438">
        <v>1</v>
      </c>
      <c r="K4438" s="2">
        <v>28.796399999999998</v>
      </c>
      <c r="L4438" s="3">
        <f>(Table1[[#This Row],[Profit]]/Table1[[#This Row],[Sales]])*100</f>
        <v>16.743066457352171</v>
      </c>
    </row>
    <row r="4439" spans="1:12" x14ac:dyDescent="0.3">
      <c r="A4439" t="s">
        <v>5921</v>
      </c>
      <c r="B4439" s="1">
        <v>44152</v>
      </c>
      <c r="C4439" t="s">
        <v>2066</v>
      </c>
      <c r="D4439" t="s">
        <v>2067</v>
      </c>
      <c r="E4439" t="s">
        <v>14</v>
      </c>
      <c r="F4439" t="s">
        <v>41</v>
      </c>
      <c r="G4439" t="s">
        <v>18</v>
      </c>
      <c r="H4439" t="s">
        <v>5582</v>
      </c>
      <c r="I4439" s="2">
        <v>145.99</v>
      </c>
      <c r="J4439">
        <v>1</v>
      </c>
      <c r="K4439" s="2">
        <v>28.796399999999998</v>
      </c>
      <c r="L4439" s="3">
        <f>(Table1[[#This Row],[Profit]]/Table1[[#This Row],[Sales]])*100</f>
        <v>19.724912665251043</v>
      </c>
    </row>
    <row r="4440" spans="1:12" x14ac:dyDescent="0.3">
      <c r="A4440" t="s">
        <v>117</v>
      </c>
      <c r="B4440" s="1">
        <v>43480</v>
      </c>
      <c r="C4440" t="s">
        <v>118</v>
      </c>
      <c r="D4440" t="s">
        <v>119</v>
      </c>
      <c r="E4440" t="s">
        <v>14</v>
      </c>
      <c r="F4440" t="s">
        <v>15</v>
      </c>
      <c r="G4440" t="s">
        <v>24</v>
      </c>
      <c r="H4440" t="s">
        <v>121</v>
      </c>
      <c r="I4440" s="2">
        <v>60.12</v>
      </c>
      <c r="J4440">
        <v>9</v>
      </c>
      <c r="K4440" s="2">
        <v>28.857600000000001</v>
      </c>
      <c r="L4440" s="3">
        <f>(Table1[[#This Row],[Profit]]/Table1[[#This Row],[Sales]])*100</f>
        <v>48.000000000000007</v>
      </c>
    </row>
    <row r="4441" spans="1:12" x14ac:dyDescent="0.3">
      <c r="A4441" t="s">
        <v>2061</v>
      </c>
      <c r="B4441" s="1">
        <v>43662</v>
      </c>
      <c r="C4441" t="s">
        <v>197</v>
      </c>
      <c r="D4441" t="s">
        <v>198</v>
      </c>
      <c r="E4441" t="s">
        <v>14</v>
      </c>
      <c r="F4441" t="s">
        <v>41</v>
      </c>
      <c r="G4441" t="s">
        <v>24</v>
      </c>
      <c r="H4441" t="s">
        <v>2064</v>
      </c>
      <c r="I4441" s="2">
        <v>60.12</v>
      </c>
      <c r="J4441">
        <v>9</v>
      </c>
      <c r="K4441" s="2">
        <v>28.857600000000001</v>
      </c>
      <c r="L4441" s="3">
        <f>(Table1[[#This Row],[Profit]]/Table1[[#This Row],[Sales]])*100</f>
        <v>48.000000000000007</v>
      </c>
    </row>
    <row r="4442" spans="1:12" x14ac:dyDescent="0.3">
      <c r="A4442" t="s">
        <v>3090</v>
      </c>
      <c r="B4442" s="1">
        <v>43753</v>
      </c>
      <c r="C4442" t="s">
        <v>3091</v>
      </c>
      <c r="D4442" t="s">
        <v>3092</v>
      </c>
      <c r="E4442" t="s">
        <v>14</v>
      </c>
      <c r="F4442" t="s">
        <v>23</v>
      </c>
      <c r="G4442" t="s">
        <v>24</v>
      </c>
      <c r="H4442" t="s">
        <v>3094</v>
      </c>
      <c r="I4442" s="2">
        <v>60.12</v>
      </c>
      <c r="J4442">
        <v>9</v>
      </c>
      <c r="K4442" s="2">
        <v>28.857600000000001</v>
      </c>
      <c r="L4442" s="3">
        <f>(Table1[[#This Row],[Profit]]/Table1[[#This Row],[Sales]])*100</f>
        <v>48.000000000000007</v>
      </c>
    </row>
    <row r="4443" spans="1:12" x14ac:dyDescent="0.3">
      <c r="A4443" t="s">
        <v>6129</v>
      </c>
      <c r="B4443" s="1">
        <v>44173</v>
      </c>
      <c r="C4443" t="s">
        <v>3116</v>
      </c>
      <c r="D4443" t="s">
        <v>3117</v>
      </c>
      <c r="E4443" t="s">
        <v>14</v>
      </c>
      <c r="F4443" t="s">
        <v>23</v>
      </c>
      <c r="G4443" t="s">
        <v>24</v>
      </c>
      <c r="H4443" t="s">
        <v>2744</v>
      </c>
      <c r="I4443" s="2">
        <v>101.12</v>
      </c>
      <c r="J4443">
        <v>9</v>
      </c>
      <c r="K4443" s="2">
        <v>28.857600000000001</v>
      </c>
      <c r="L4443" s="3">
        <f>(Table1[[#This Row],[Profit]]/Table1[[#This Row],[Sales]])*100</f>
        <v>28.537974683544302</v>
      </c>
    </row>
    <row r="4444" spans="1:12" x14ac:dyDescent="0.3">
      <c r="A4444" t="s">
        <v>3352</v>
      </c>
      <c r="B4444" s="1">
        <v>43779</v>
      </c>
      <c r="C4444" t="s">
        <v>3353</v>
      </c>
      <c r="D4444" t="s">
        <v>3354</v>
      </c>
      <c r="E4444" t="s">
        <v>14</v>
      </c>
      <c r="F4444" t="s">
        <v>23</v>
      </c>
      <c r="G4444" t="s">
        <v>24</v>
      </c>
      <c r="H4444" t="s">
        <v>3357</v>
      </c>
      <c r="I4444" s="2">
        <v>61.4</v>
      </c>
      <c r="J4444">
        <v>5</v>
      </c>
      <c r="K4444" s="2">
        <v>28.858000000000001</v>
      </c>
      <c r="L4444" s="3">
        <f>(Table1[[#This Row],[Profit]]/Table1[[#This Row],[Sales]])*100</f>
        <v>47</v>
      </c>
    </row>
    <row r="4445" spans="1:12" x14ac:dyDescent="0.3">
      <c r="A4445" t="s">
        <v>5267</v>
      </c>
      <c r="B4445" s="1">
        <v>44077</v>
      </c>
      <c r="C4445" t="s">
        <v>231</v>
      </c>
      <c r="D4445" t="s">
        <v>232</v>
      </c>
      <c r="E4445" t="s">
        <v>14</v>
      </c>
      <c r="F4445" t="s">
        <v>23</v>
      </c>
      <c r="G4445" t="s">
        <v>24</v>
      </c>
      <c r="H4445" t="s">
        <v>122</v>
      </c>
      <c r="I4445" s="2">
        <v>113.56</v>
      </c>
      <c r="J4445">
        <v>5</v>
      </c>
      <c r="K4445" s="2">
        <v>28.896000000000001</v>
      </c>
      <c r="L4445" s="3">
        <f>(Table1[[#This Row],[Profit]]/Table1[[#This Row],[Sales]])*100</f>
        <v>25.44557942937654</v>
      </c>
    </row>
    <row r="4446" spans="1:12" x14ac:dyDescent="0.3">
      <c r="A4446" t="s">
        <v>5024</v>
      </c>
      <c r="B4446" s="1">
        <v>44029</v>
      </c>
      <c r="C4446" t="s">
        <v>49</v>
      </c>
      <c r="D4446" t="s">
        <v>50</v>
      </c>
      <c r="E4446" t="s">
        <v>14</v>
      </c>
      <c r="F4446" t="s">
        <v>23</v>
      </c>
      <c r="G4446" t="s">
        <v>24</v>
      </c>
      <c r="H4446" t="s">
        <v>3953</v>
      </c>
      <c r="I4446" s="2">
        <v>100.9</v>
      </c>
      <c r="J4446">
        <v>5</v>
      </c>
      <c r="K4446" s="2">
        <v>28.95</v>
      </c>
      <c r="L4446" s="3">
        <f>(Table1[[#This Row],[Profit]]/Table1[[#This Row],[Sales]])*100</f>
        <v>28.691774033696728</v>
      </c>
    </row>
    <row r="4447" spans="1:12" x14ac:dyDescent="0.3">
      <c r="A4447" t="s">
        <v>400</v>
      </c>
      <c r="B4447" s="1">
        <v>43517</v>
      </c>
      <c r="C4447" t="s">
        <v>401</v>
      </c>
      <c r="D4447" t="s">
        <v>402</v>
      </c>
      <c r="E4447" t="s">
        <v>14</v>
      </c>
      <c r="F4447" t="s">
        <v>15</v>
      </c>
      <c r="G4447" t="s">
        <v>16</v>
      </c>
      <c r="H4447" t="s">
        <v>403</v>
      </c>
      <c r="I4447" s="2">
        <v>68.95</v>
      </c>
      <c r="J4447">
        <v>5</v>
      </c>
      <c r="K4447" s="2">
        <v>28.959</v>
      </c>
      <c r="L4447" s="3">
        <f>(Table1[[#This Row],[Profit]]/Table1[[#This Row],[Sales]])*100</f>
        <v>42</v>
      </c>
    </row>
    <row r="4448" spans="1:12" x14ac:dyDescent="0.3">
      <c r="A4448" t="s">
        <v>3842</v>
      </c>
      <c r="B4448" s="1">
        <v>43817</v>
      </c>
      <c r="C4448" t="s">
        <v>188</v>
      </c>
      <c r="D4448" t="s">
        <v>189</v>
      </c>
      <c r="E4448" t="s">
        <v>14</v>
      </c>
      <c r="F4448" t="s">
        <v>23</v>
      </c>
      <c r="G4448" t="s">
        <v>24</v>
      </c>
      <c r="H4448" t="s">
        <v>1112</v>
      </c>
      <c r="I4448" s="2">
        <v>579.29999999999995</v>
      </c>
      <c r="J4448">
        <v>5</v>
      </c>
      <c r="K4448" s="2">
        <v>28.965</v>
      </c>
      <c r="L4448" s="3">
        <f>(Table1[[#This Row],[Profit]]/Table1[[#This Row],[Sales]])*100</f>
        <v>5</v>
      </c>
    </row>
    <row r="4449" spans="1:12" x14ac:dyDescent="0.3">
      <c r="A4449" t="s">
        <v>2602</v>
      </c>
      <c r="B4449" s="1">
        <v>43713</v>
      </c>
      <c r="C4449" t="s">
        <v>2603</v>
      </c>
      <c r="D4449" t="s">
        <v>2604</v>
      </c>
      <c r="E4449" t="s">
        <v>14</v>
      </c>
      <c r="F4449" t="s">
        <v>23</v>
      </c>
      <c r="G4449" t="s">
        <v>18</v>
      </c>
      <c r="H4449" t="s">
        <v>2036</v>
      </c>
      <c r="I4449" s="2">
        <v>116</v>
      </c>
      <c r="J4449">
        <v>8</v>
      </c>
      <c r="K4449" s="2">
        <v>29</v>
      </c>
      <c r="L4449" s="3">
        <f>(Table1[[#This Row],[Profit]]/Table1[[#This Row],[Sales]])*100</f>
        <v>25</v>
      </c>
    </row>
    <row r="4450" spans="1:12" x14ac:dyDescent="0.3">
      <c r="A4450" t="s">
        <v>5700</v>
      </c>
      <c r="B4450" s="1">
        <v>44127</v>
      </c>
      <c r="C4450" t="s">
        <v>5701</v>
      </c>
      <c r="D4450" t="s">
        <v>5702</v>
      </c>
      <c r="E4450" t="s">
        <v>14</v>
      </c>
      <c r="F4450" t="s">
        <v>15</v>
      </c>
      <c r="G4450" t="s">
        <v>16</v>
      </c>
      <c r="H4450" t="s">
        <v>3895</v>
      </c>
      <c r="I4450" s="2">
        <v>141.08000000000001</v>
      </c>
      <c r="J4450">
        <v>11</v>
      </c>
      <c r="K4450" s="2">
        <v>29.0136</v>
      </c>
      <c r="L4450" s="3">
        <f>(Table1[[#This Row],[Profit]]/Table1[[#This Row],[Sales]])*100</f>
        <v>20.565352991210659</v>
      </c>
    </row>
    <row r="4451" spans="1:12" x14ac:dyDescent="0.3">
      <c r="A4451" t="s">
        <v>3238</v>
      </c>
      <c r="B4451" s="1">
        <v>43772</v>
      </c>
      <c r="C4451" t="s">
        <v>1894</v>
      </c>
      <c r="D4451" t="s">
        <v>1895</v>
      </c>
      <c r="E4451" t="s">
        <v>14</v>
      </c>
      <c r="F4451" t="s">
        <v>23</v>
      </c>
      <c r="G4451" t="s">
        <v>18</v>
      </c>
      <c r="H4451" t="s">
        <v>3239</v>
      </c>
      <c r="I4451" s="2">
        <v>82.95</v>
      </c>
      <c r="J4451">
        <v>5</v>
      </c>
      <c r="K4451" s="2">
        <v>29.032499999999999</v>
      </c>
      <c r="L4451" s="3">
        <f>(Table1[[#This Row],[Profit]]/Table1[[#This Row],[Sales]])*100</f>
        <v>35</v>
      </c>
    </row>
    <row r="4452" spans="1:12" x14ac:dyDescent="0.3">
      <c r="A4452" t="s">
        <v>5893</v>
      </c>
      <c r="B4452" s="1">
        <v>44148</v>
      </c>
      <c r="C4452" t="s">
        <v>261</v>
      </c>
      <c r="D4452" t="s">
        <v>262</v>
      </c>
      <c r="E4452" t="s">
        <v>14</v>
      </c>
      <c r="F4452" t="s">
        <v>23</v>
      </c>
      <c r="G4452" t="s">
        <v>18</v>
      </c>
      <c r="H4452" t="s">
        <v>3239</v>
      </c>
      <c r="I4452" s="2">
        <v>151.94999999999999</v>
      </c>
      <c r="J4452">
        <v>5</v>
      </c>
      <c r="K4452" s="2">
        <v>29.032499999999999</v>
      </c>
      <c r="L4452" s="3">
        <f>(Table1[[#This Row],[Profit]]/Table1[[#This Row],[Sales]])*100</f>
        <v>19.106614017769001</v>
      </c>
    </row>
    <row r="4453" spans="1:12" x14ac:dyDescent="0.3">
      <c r="A4453" t="s">
        <v>2592</v>
      </c>
      <c r="B4453" s="1">
        <v>43713</v>
      </c>
      <c r="C4453" t="s">
        <v>1038</v>
      </c>
      <c r="D4453" t="s">
        <v>1039</v>
      </c>
      <c r="E4453" t="s">
        <v>14</v>
      </c>
      <c r="F4453" t="s">
        <v>29</v>
      </c>
      <c r="G4453" t="s">
        <v>16</v>
      </c>
      <c r="H4453" t="s">
        <v>2596</v>
      </c>
      <c r="I4453" s="2">
        <v>242.94</v>
      </c>
      <c r="J4453">
        <v>3</v>
      </c>
      <c r="K4453" s="2">
        <v>29.152799999999999</v>
      </c>
      <c r="L4453" s="3">
        <f>(Table1[[#This Row],[Profit]]/Table1[[#This Row],[Sales]])*100</f>
        <v>12</v>
      </c>
    </row>
    <row r="4454" spans="1:12" x14ac:dyDescent="0.3">
      <c r="A4454" t="s">
        <v>6168</v>
      </c>
      <c r="B4454" s="1">
        <v>44176</v>
      </c>
      <c r="C4454" t="s">
        <v>2005</v>
      </c>
      <c r="D4454" t="s">
        <v>2006</v>
      </c>
      <c r="E4454" t="s">
        <v>14</v>
      </c>
      <c r="F4454" t="s">
        <v>15</v>
      </c>
      <c r="G4454" t="s">
        <v>18</v>
      </c>
      <c r="H4454" t="s">
        <v>5041</v>
      </c>
      <c r="I4454" s="2">
        <v>333.98</v>
      </c>
      <c r="J4454">
        <v>2</v>
      </c>
      <c r="K4454" s="2">
        <v>29.245000000000001</v>
      </c>
      <c r="L4454" s="3">
        <f>(Table1[[#This Row],[Profit]]/Table1[[#This Row],[Sales]])*100</f>
        <v>8.7565123660099395</v>
      </c>
    </row>
    <row r="4455" spans="1:12" x14ac:dyDescent="0.3">
      <c r="A4455" t="s">
        <v>3339</v>
      </c>
      <c r="B4455" s="1">
        <v>43779</v>
      </c>
      <c r="C4455" t="s">
        <v>286</v>
      </c>
      <c r="D4455" t="s">
        <v>287</v>
      </c>
      <c r="E4455" t="s">
        <v>14</v>
      </c>
      <c r="F4455" t="s">
        <v>15</v>
      </c>
      <c r="G4455" t="s">
        <v>24</v>
      </c>
      <c r="H4455" t="s">
        <v>2518</v>
      </c>
      <c r="I4455" s="2">
        <v>334.88</v>
      </c>
      <c r="J4455">
        <v>4</v>
      </c>
      <c r="K4455" s="2">
        <v>29.302</v>
      </c>
      <c r="L4455" s="3">
        <f>(Table1[[#This Row],[Profit]]/Table1[[#This Row],[Sales]])*100</f>
        <v>8.75</v>
      </c>
    </row>
    <row r="4456" spans="1:12" x14ac:dyDescent="0.3">
      <c r="A4456" t="s">
        <v>4099</v>
      </c>
      <c r="B4456" s="1">
        <v>43863</v>
      </c>
      <c r="C4456" t="s">
        <v>1183</v>
      </c>
      <c r="D4456" t="s">
        <v>1184</v>
      </c>
      <c r="E4456" t="s">
        <v>14</v>
      </c>
      <c r="F4456" t="s">
        <v>23</v>
      </c>
      <c r="G4456" t="s">
        <v>16</v>
      </c>
      <c r="H4456" t="s">
        <v>1974</v>
      </c>
      <c r="I4456" s="2">
        <v>107.26</v>
      </c>
      <c r="J4456">
        <v>2</v>
      </c>
      <c r="K4456" s="2">
        <v>29.328399999999998</v>
      </c>
      <c r="L4456" s="3">
        <f>(Table1[[#This Row],[Profit]]/Table1[[#This Row],[Sales]])*100</f>
        <v>27.3432780160358</v>
      </c>
    </row>
    <row r="4457" spans="1:12" x14ac:dyDescent="0.3">
      <c r="A4457" t="s">
        <v>3128</v>
      </c>
      <c r="B4457" s="1">
        <v>43759</v>
      </c>
      <c r="C4457" t="s">
        <v>1359</v>
      </c>
      <c r="D4457" t="s">
        <v>1360</v>
      </c>
      <c r="E4457" t="s">
        <v>14</v>
      </c>
      <c r="F4457" t="s">
        <v>15</v>
      </c>
      <c r="G4457" t="s">
        <v>24</v>
      </c>
      <c r="H4457" t="s">
        <v>1121</v>
      </c>
      <c r="I4457" s="2">
        <v>104.79</v>
      </c>
      <c r="J4457">
        <v>7</v>
      </c>
      <c r="K4457" s="2">
        <v>29.341200000000001</v>
      </c>
      <c r="L4457" s="3">
        <f>(Table1[[#This Row],[Profit]]/Table1[[#This Row],[Sales]])*100</f>
        <v>27.999999999999996</v>
      </c>
    </row>
    <row r="4458" spans="1:12" x14ac:dyDescent="0.3">
      <c r="A4458" t="s">
        <v>5188</v>
      </c>
      <c r="B4458" s="1">
        <v>44064</v>
      </c>
      <c r="C4458" t="s">
        <v>139</v>
      </c>
      <c r="D4458" t="s">
        <v>140</v>
      </c>
      <c r="E4458" t="s">
        <v>14</v>
      </c>
      <c r="F4458" t="s">
        <v>23</v>
      </c>
      <c r="G4458" t="s">
        <v>24</v>
      </c>
      <c r="H4458" t="s">
        <v>5189</v>
      </c>
      <c r="I4458" s="2">
        <v>100.88</v>
      </c>
      <c r="J4458">
        <v>1</v>
      </c>
      <c r="K4458" s="2">
        <v>29.358000000000001</v>
      </c>
      <c r="L4458" s="3">
        <f>(Table1[[#This Row],[Profit]]/Table1[[#This Row],[Sales]])*100</f>
        <v>29.101903251387789</v>
      </c>
    </row>
    <row r="4459" spans="1:12" x14ac:dyDescent="0.3">
      <c r="A4459" t="s">
        <v>1138</v>
      </c>
      <c r="B4459" s="1">
        <v>43578</v>
      </c>
      <c r="C4459" t="s">
        <v>1139</v>
      </c>
      <c r="D4459" t="s">
        <v>1140</v>
      </c>
      <c r="E4459" t="s">
        <v>14</v>
      </c>
      <c r="F4459" t="s">
        <v>15</v>
      </c>
      <c r="G4459" t="s">
        <v>24</v>
      </c>
      <c r="H4459" t="s">
        <v>1143</v>
      </c>
      <c r="I4459" s="2">
        <v>78.304000000000002</v>
      </c>
      <c r="J4459">
        <v>2</v>
      </c>
      <c r="K4459" s="2">
        <v>29.364000000000001</v>
      </c>
      <c r="L4459" s="3">
        <f>(Table1[[#This Row],[Profit]]/Table1[[#This Row],[Sales]])*100</f>
        <v>37.5</v>
      </c>
    </row>
    <row r="4460" spans="1:12" x14ac:dyDescent="0.3">
      <c r="A4460" t="s">
        <v>4098</v>
      </c>
      <c r="B4460" s="1">
        <v>43863</v>
      </c>
      <c r="C4460" t="s">
        <v>2270</v>
      </c>
      <c r="D4460" t="s">
        <v>2271</v>
      </c>
      <c r="E4460" t="s">
        <v>14</v>
      </c>
      <c r="F4460" t="s">
        <v>15</v>
      </c>
      <c r="G4460" t="s">
        <v>24</v>
      </c>
      <c r="H4460" t="s">
        <v>3087</v>
      </c>
      <c r="I4460" s="2">
        <v>2109.3040000000001</v>
      </c>
      <c r="J4460">
        <v>2</v>
      </c>
      <c r="K4460" s="2">
        <v>29.364000000000001</v>
      </c>
      <c r="L4460" s="3">
        <f>(Table1[[#This Row],[Profit]]/Table1[[#This Row],[Sales]])*100</f>
        <v>1.3921179687707415</v>
      </c>
    </row>
    <row r="4461" spans="1:12" x14ac:dyDescent="0.3">
      <c r="A4461" t="s">
        <v>5985</v>
      </c>
      <c r="B4461" s="1">
        <v>44158</v>
      </c>
      <c r="C4461" t="s">
        <v>2095</v>
      </c>
      <c r="D4461" t="s">
        <v>2096</v>
      </c>
      <c r="E4461" t="s">
        <v>14</v>
      </c>
      <c r="F4461" t="s">
        <v>29</v>
      </c>
      <c r="G4461" t="s">
        <v>24</v>
      </c>
      <c r="H4461" t="s">
        <v>1143</v>
      </c>
      <c r="I4461" s="2">
        <v>102.304</v>
      </c>
      <c r="J4461">
        <v>2</v>
      </c>
      <c r="K4461" s="2">
        <v>29.364000000000001</v>
      </c>
      <c r="L4461" s="3">
        <f>(Table1[[#This Row],[Profit]]/Table1[[#This Row],[Sales]])*100</f>
        <v>28.702690021895528</v>
      </c>
    </row>
    <row r="4462" spans="1:12" x14ac:dyDescent="0.3">
      <c r="A4462" t="s">
        <v>6085</v>
      </c>
      <c r="B4462" s="1">
        <v>44168</v>
      </c>
      <c r="C4462" t="s">
        <v>4944</v>
      </c>
      <c r="D4462" t="s">
        <v>4945</v>
      </c>
      <c r="E4462" t="s">
        <v>14</v>
      </c>
      <c r="F4462" t="s">
        <v>15</v>
      </c>
      <c r="G4462" t="s">
        <v>24</v>
      </c>
      <c r="H4462" t="s">
        <v>1909</v>
      </c>
      <c r="I4462" s="2">
        <v>116.92</v>
      </c>
      <c r="J4462">
        <v>5</v>
      </c>
      <c r="K4462" s="2">
        <v>29.372</v>
      </c>
      <c r="L4462" s="3">
        <f>(Table1[[#This Row],[Profit]]/Table1[[#This Row],[Sales]])*100</f>
        <v>25.121450564488541</v>
      </c>
    </row>
    <row r="4463" spans="1:12" x14ac:dyDescent="0.3">
      <c r="A4463" t="s">
        <v>6115</v>
      </c>
      <c r="B4463" s="1">
        <v>44170</v>
      </c>
      <c r="C4463" t="s">
        <v>3091</v>
      </c>
      <c r="D4463" t="s">
        <v>3092</v>
      </c>
      <c r="E4463" t="s">
        <v>14</v>
      </c>
      <c r="F4463" t="s">
        <v>23</v>
      </c>
      <c r="G4463" t="s">
        <v>24</v>
      </c>
      <c r="H4463" t="s">
        <v>1909</v>
      </c>
      <c r="I4463" s="2">
        <v>150.91999999999999</v>
      </c>
      <c r="J4463">
        <v>5</v>
      </c>
      <c r="K4463" s="2">
        <v>29.372</v>
      </c>
      <c r="L4463" s="3">
        <f>(Table1[[#This Row],[Profit]]/Table1[[#This Row],[Sales]])*100</f>
        <v>19.461966604823751</v>
      </c>
    </row>
    <row r="4464" spans="1:12" x14ac:dyDescent="0.3">
      <c r="A4464" t="s">
        <v>3140</v>
      </c>
      <c r="B4464" s="1">
        <v>43759</v>
      </c>
      <c r="C4464" t="s">
        <v>1488</v>
      </c>
      <c r="D4464" t="s">
        <v>1489</v>
      </c>
      <c r="E4464" t="s">
        <v>14</v>
      </c>
      <c r="F4464" t="s">
        <v>23</v>
      </c>
      <c r="G4464" t="s">
        <v>24</v>
      </c>
      <c r="H4464" t="s">
        <v>354</v>
      </c>
      <c r="I4464" s="2">
        <v>113.22</v>
      </c>
      <c r="J4464">
        <v>3</v>
      </c>
      <c r="K4464" s="2">
        <v>29.437200000000001</v>
      </c>
      <c r="L4464" s="3">
        <f>(Table1[[#This Row],[Profit]]/Table1[[#This Row],[Sales]])*100</f>
        <v>26</v>
      </c>
    </row>
    <row r="4465" spans="1:12" x14ac:dyDescent="0.3">
      <c r="A4465" t="s">
        <v>6033</v>
      </c>
      <c r="B4465" s="1">
        <v>44163</v>
      </c>
      <c r="C4465" t="s">
        <v>3064</v>
      </c>
      <c r="D4465" t="s">
        <v>3065</v>
      </c>
      <c r="E4465" t="s">
        <v>14</v>
      </c>
      <c r="F4465" t="s">
        <v>23</v>
      </c>
      <c r="G4465" t="s">
        <v>24</v>
      </c>
      <c r="H4465" t="s">
        <v>2083</v>
      </c>
      <c r="I4465" s="2">
        <v>101.65</v>
      </c>
      <c r="J4465">
        <v>5</v>
      </c>
      <c r="K4465" s="2">
        <v>29.445499999999999</v>
      </c>
      <c r="L4465" s="3">
        <f>(Table1[[#This Row],[Profit]]/Table1[[#This Row],[Sales]])*100</f>
        <v>28.967535661583867</v>
      </c>
    </row>
    <row r="4466" spans="1:12" x14ac:dyDescent="0.3">
      <c r="A4466" t="s">
        <v>5444</v>
      </c>
      <c r="B4466" s="1">
        <v>44093</v>
      </c>
      <c r="C4466" t="s">
        <v>257</v>
      </c>
      <c r="D4466" t="s">
        <v>258</v>
      </c>
      <c r="E4466" t="s">
        <v>14</v>
      </c>
      <c r="F4466" t="s">
        <v>23</v>
      </c>
      <c r="G4466" t="s">
        <v>18</v>
      </c>
      <c r="H4466" t="s">
        <v>5127</v>
      </c>
      <c r="I4466" s="2">
        <v>511.92</v>
      </c>
      <c r="J4466">
        <v>2</v>
      </c>
      <c r="K4466" s="2">
        <v>29.495000000000001</v>
      </c>
      <c r="L4466" s="3">
        <f>(Table1[[#This Row],[Profit]]/Table1[[#This Row],[Sales]])*100</f>
        <v>5.761642444131895</v>
      </c>
    </row>
    <row r="4467" spans="1:12" x14ac:dyDescent="0.3">
      <c r="A4467" t="s">
        <v>5111</v>
      </c>
      <c r="B4467" s="1">
        <v>44048</v>
      </c>
      <c r="C4467" t="s">
        <v>2785</v>
      </c>
      <c r="D4467" t="s">
        <v>2786</v>
      </c>
      <c r="E4467" t="s">
        <v>14</v>
      </c>
      <c r="F4467" t="s">
        <v>29</v>
      </c>
      <c r="G4467" t="s">
        <v>18</v>
      </c>
      <c r="H4467" t="s">
        <v>51</v>
      </c>
      <c r="I4467" s="2">
        <v>122.78</v>
      </c>
      <c r="J4467">
        <v>2</v>
      </c>
      <c r="K4467" s="2">
        <v>29.518599999999999</v>
      </c>
      <c r="L4467" s="3">
        <f>(Table1[[#This Row],[Profit]]/Table1[[#This Row],[Sales]])*100</f>
        <v>24.041863495683337</v>
      </c>
    </row>
    <row r="4468" spans="1:12" x14ac:dyDescent="0.3">
      <c r="A4468" t="s">
        <v>3766</v>
      </c>
      <c r="B4468" s="1">
        <v>43809</v>
      </c>
      <c r="C4468" t="s">
        <v>3037</v>
      </c>
      <c r="D4468" t="s">
        <v>3038</v>
      </c>
      <c r="E4468" t="s">
        <v>14</v>
      </c>
      <c r="F4468" t="s">
        <v>15</v>
      </c>
      <c r="G4468" t="s">
        <v>24</v>
      </c>
      <c r="H4468" t="s">
        <v>3767</v>
      </c>
      <c r="I4468" s="2">
        <v>62.82</v>
      </c>
      <c r="J4468">
        <v>9</v>
      </c>
      <c r="K4468" s="2">
        <v>29.525400000000001</v>
      </c>
      <c r="L4468" s="3">
        <f>(Table1[[#This Row],[Profit]]/Table1[[#This Row],[Sales]])*100</f>
        <v>47</v>
      </c>
    </row>
    <row r="4469" spans="1:12" x14ac:dyDescent="0.3">
      <c r="A4469" t="s">
        <v>5037</v>
      </c>
      <c r="B4469" s="1">
        <v>44033</v>
      </c>
      <c r="C4469" t="s">
        <v>2796</v>
      </c>
      <c r="D4469" t="s">
        <v>2797</v>
      </c>
      <c r="E4469" t="s">
        <v>14</v>
      </c>
      <c r="F4469" t="s">
        <v>41</v>
      </c>
      <c r="G4469" t="s">
        <v>24</v>
      </c>
      <c r="H4469" t="s">
        <v>495</v>
      </c>
      <c r="I4469" s="2">
        <v>117.94</v>
      </c>
      <c r="J4469">
        <v>6</v>
      </c>
      <c r="K4469" s="2">
        <v>29.5626</v>
      </c>
      <c r="L4469" s="3">
        <f>(Table1[[#This Row],[Profit]]/Table1[[#This Row],[Sales]])*100</f>
        <v>25.065796167542821</v>
      </c>
    </row>
    <row r="4470" spans="1:12" x14ac:dyDescent="0.3">
      <c r="A4470" t="s">
        <v>4589</v>
      </c>
      <c r="B4470" s="1">
        <v>43957</v>
      </c>
      <c r="C4470" t="s">
        <v>1671</v>
      </c>
      <c r="D4470" t="s">
        <v>1672</v>
      </c>
      <c r="E4470" t="s">
        <v>14</v>
      </c>
      <c r="F4470" t="s">
        <v>15</v>
      </c>
      <c r="G4470" t="s">
        <v>24</v>
      </c>
      <c r="H4470" t="s">
        <v>4590</v>
      </c>
      <c r="I4470" s="2">
        <v>108.2</v>
      </c>
      <c r="J4470">
        <v>4</v>
      </c>
      <c r="K4470" s="2">
        <v>29.6</v>
      </c>
      <c r="L4470" s="3">
        <f>(Table1[[#This Row],[Profit]]/Table1[[#This Row],[Sales]])*100</f>
        <v>27.35674676524954</v>
      </c>
    </row>
    <row r="4471" spans="1:12" x14ac:dyDescent="0.3">
      <c r="A4471" t="s">
        <v>3339</v>
      </c>
      <c r="B4471" s="1">
        <v>43779</v>
      </c>
      <c r="C4471" t="s">
        <v>286</v>
      </c>
      <c r="D4471" t="s">
        <v>287</v>
      </c>
      <c r="E4471" t="s">
        <v>14</v>
      </c>
      <c r="F4471" t="s">
        <v>15</v>
      </c>
      <c r="G4471" t="s">
        <v>16</v>
      </c>
      <c r="H4471" t="s">
        <v>3342</v>
      </c>
      <c r="I4471" s="2">
        <v>148.28800000000001</v>
      </c>
      <c r="J4471">
        <v>7</v>
      </c>
      <c r="K4471" s="2">
        <v>29.657599999999999</v>
      </c>
      <c r="L4471" s="3">
        <f>(Table1[[#This Row],[Profit]]/Table1[[#This Row],[Sales]])*100</f>
        <v>20</v>
      </c>
    </row>
    <row r="4472" spans="1:12" x14ac:dyDescent="0.3">
      <c r="A4472" t="s">
        <v>4829</v>
      </c>
      <c r="B4472" s="1">
        <v>43997</v>
      </c>
      <c r="C4472" t="s">
        <v>2237</v>
      </c>
      <c r="D4472" t="s">
        <v>2238</v>
      </c>
      <c r="E4472" t="s">
        <v>14</v>
      </c>
      <c r="F4472" t="s">
        <v>41</v>
      </c>
      <c r="G4472" t="s">
        <v>24</v>
      </c>
      <c r="H4472" t="s">
        <v>4830</v>
      </c>
      <c r="I4472" s="2">
        <v>125.36</v>
      </c>
      <c r="J4472">
        <v>5</v>
      </c>
      <c r="K4472" s="2">
        <v>29.692</v>
      </c>
      <c r="L4472" s="3">
        <f>(Table1[[#This Row],[Profit]]/Table1[[#This Row],[Sales]])*100</f>
        <v>23.68538608806637</v>
      </c>
    </row>
    <row r="4473" spans="1:12" x14ac:dyDescent="0.3">
      <c r="A4473" t="s">
        <v>6205</v>
      </c>
      <c r="B4473" s="1">
        <v>44183</v>
      </c>
      <c r="C4473" t="s">
        <v>977</v>
      </c>
      <c r="D4473" t="s">
        <v>978</v>
      </c>
      <c r="E4473" t="s">
        <v>14</v>
      </c>
      <c r="F4473" t="s">
        <v>15</v>
      </c>
      <c r="G4473" t="s">
        <v>24</v>
      </c>
      <c r="H4473" t="s">
        <v>2595</v>
      </c>
      <c r="I4473" s="2">
        <v>344.36</v>
      </c>
      <c r="J4473">
        <v>5</v>
      </c>
      <c r="K4473" s="2">
        <v>29.692</v>
      </c>
      <c r="L4473" s="3">
        <f>(Table1[[#This Row],[Profit]]/Table1[[#This Row],[Sales]])*100</f>
        <v>8.622371936345683</v>
      </c>
    </row>
    <row r="4474" spans="1:12" x14ac:dyDescent="0.3">
      <c r="A4474" t="s">
        <v>3601</v>
      </c>
      <c r="B4474" s="1">
        <v>43796</v>
      </c>
      <c r="C4474" t="s">
        <v>3206</v>
      </c>
      <c r="D4474" t="s">
        <v>3207</v>
      </c>
      <c r="E4474" t="s">
        <v>14</v>
      </c>
      <c r="F4474" t="s">
        <v>29</v>
      </c>
      <c r="G4474" t="s">
        <v>24</v>
      </c>
      <c r="H4474" t="s">
        <v>608</v>
      </c>
      <c r="I4474" s="2">
        <v>167.292</v>
      </c>
      <c r="J4474">
        <v>6</v>
      </c>
      <c r="K4474" s="2">
        <v>29.7408</v>
      </c>
      <c r="L4474" s="3">
        <f>(Table1[[#This Row],[Profit]]/Table1[[#This Row],[Sales]])*100</f>
        <v>17.777777777777779</v>
      </c>
    </row>
    <row r="4475" spans="1:12" x14ac:dyDescent="0.3">
      <c r="A4475" t="s">
        <v>1354</v>
      </c>
      <c r="B4475" s="1">
        <v>43599</v>
      </c>
      <c r="C4475" t="s">
        <v>1355</v>
      </c>
      <c r="D4475" t="s">
        <v>1356</v>
      </c>
      <c r="E4475" t="s">
        <v>14</v>
      </c>
      <c r="F4475" t="s">
        <v>15</v>
      </c>
      <c r="G4475" t="s">
        <v>16</v>
      </c>
      <c r="H4475" t="s">
        <v>1357</v>
      </c>
      <c r="I4475" s="2">
        <v>79.384</v>
      </c>
      <c r="J4475">
        <v>1</v>
      </c>
      <c r="K4475" s="2">
        <v>29.768999999999998</v>
      </c>
      <c r="L4475" s="3">
        <f>(Table1[[#This Row],[Profit]]/Table1[[#This Row],[Sales]])*100</f>
        <v>37.5</v>
      </c>
    </row>
    <row r="4476" spans="1:12" x14ac:dyDescent="0.3">
      <c r="A4476" t="s">
        <v>1566</v>
      </c>
      <c r="B4476" s="1">
        <v>43615</v>
      </c>
      <c r="C4476" t="s">
        <v>1430</v>
      </c>
      <c r="D4476" t="s">
        <v>1431</v>
      </c>
      <c r="E4476" t="s">
        <v>14</v>
      </c>
      <c r="F4476" t="s">
        <v>41</v>
      </c>
      <c r="G4476" t="s">
        <v>24</v>
      </c>
      <c r="H4476" t="s">
        <v>839</v>
      </c>
      <c r="I4476" s="2">
        <v>62.1</v>
      </c>
      <c r="J4476">
        <v>6</v>
      </c>
      <c r="K4476" s="2">
        <v>29.808</v>
      </c>
      <c r="L4476" s="3">
        <f>(Table1[[#This Row],[Profit]]/Table1[[#This Row],[Sales]])*100</f>
        <v>48</v>
      </c>
    </row>
    <row r="4477" spans="1:12" x14ac:dyDescent="0.3">
      <c r="A4477" t="s">
        <v>3780</v>
      </c>
      <c r="B4477" s="1">
        <v>43810</v>
      </c>
      <c r="C4477" t="s">
        <v>352</v>
      </c>
      <c r="D4477" t="s">
        <v>353</v>
      </c>
      <c r="E4477" t="s">
        <v>14</v>
      </c>
      <c r="F4477" t="s">
        <v>23</v>
      </c>
      <c r="G4477" t="s">
        <v>18</v>
      </c>
      <c r="H4477" t="s">
        <v>1516</v>
      </c>
      <c r="I4477" s="2">
        <v>119.8</v>
      </c>
      <c r="J4477">
        <v>5</v>
      </c>
      <c r="K4477" s="2">
        <v>29.95</v>
      </c>
      <c r="L4477" s="3">
        <f>(Table1[[#This Row],[Profit]]/Table1[[#This Row],[Sales]])*100</f>
        <v>25</v>
      </c>
    </row>
    <row r="4478" spans="1:12" x14ac:dyDescent="0.3">
      <c r="A4478" t="s">
        <v>5603</v>
      </c>
      <c r="B4478" s="1">
        <v>44116</v>
      </c>
      <c r="C4478" t="s">
        <v>4343</v>
      </c>
      <c r="D4478" t="s">
        <v>4344</v>
      </c>
      <c r="E4478" t="s">
        <v>14</v>
      </c>
      <c r="F4478" t="s">
        <v>23</v>
      </c>
      <c r="G4478" t="s">
        <v>24</v>
      </c>
      <c r="H4478" t="s">
        <v>1753</v>
      </c>
      <c r="I4478" s="2">
        <v>105.872</v>
      </c>
      <c r="J4478">
        <v>3</v>
      </c>
      <c r="K4478" s="2">
        <v>29.952000000000002</v>
      </c>
      <c r="L4478" s="3">
        <f>(Table1[[#This Row],[Profit]]/Table1[[#This Row],[Sales]])*100</f>
        <v>28.290766208251476</v>
      </c>
    </row>
    <row r="4479" spans="1:12" x14ac:dyDescent="0.3">
      <c r="A4479" t="s">
        <v>2651</v>
      </c>
      <c r="B4479" s="1">
        <v>43714</v>
      </c>
      <c r="C4479" t="s">
        <v>2652</v>
      </c>
      <c r="D4479" t="s">
        <v>2653</v>
      </c>
      <c r="E4479" t="s">
        <v>14</v>
      </c>
      <c r="F4479" t="s">
        <v>41</v>
      </c>
      <c r="G4479" t="s">
        <v>24</v>
      </c>
      <c r="H4479" t="s">
        <v>694</v>
      </c>
      <c r="I4479" s="2">
        <v>95.951999999999998</v>
      </c>
      <c r="J4479">
        <v>3</v>
      </c>
      <c r="K4479" s="2">
        <v>29.984999999999999</v>
      </c>
      <c r="L4479" s="3">
        <f>(Table1[[#This Row],[Profit]]/Table1[[#This Row],[Sales]])*100</f>
        <v>31.25</v>
      </c>
    </row>
    <row r="4480" spans="1:12" x14ac:dyDescent="0.3">
      <c r="A4480" t="s">
        <v>6093</v>
      </c>
      <c r="B4480" s="1">
        <v>44169</v>
      </c>
      <c r="C4480" t="s">
        <v>2020</v>
      </c>
      <c r="D4480" t="s">
        <v>2021</v>
      </c>
      <c r="E4480" t="s">
        <v>14</v>
      </c>
      <c r="F4480" t="s">
        <v>29</v>
      </c>
      <c r="G4480" t="s">
        <v>18</v>
      </c>
      <c r="H4480" t="s">
        <v>2081</v>
      </c>
      <c r="I4480" s="2">
        <v>161.80000000000001</v>
      </c>
      <c r="J4480">
        <v>1</v>
      </c>
      <c r="K4480" s="2">
        <v>29.988</v>
      </c>
      <c r="L4480" s="3">
        <f>(Table1[[#This Row],[Profit]]/Table1[[#This Row],[Sales]])*100</f>
        <v>18.533992583436341</v>
      </c>
    </row>
    <row r="4481" spans="1:12" x14ac:dyDescent="0.3">
      <c r="A4481" t="s">
        <v>2226</v>
      </c>
      <c r="B4481" s="1">
        <v>43677</v>
      </c>
      <c r="C4481" t="s">
        <v>1472</v>
      </c>
      <c r="D4481" t="s">
        <v>1473</v>
      </c>
      <c r="E4481" t="s">
        <v>14</v>
      </c>
      <c r="F4481" t="s">
        <v>29</v>
      </c>
      <c r="G4481" t="s">
        <v>16</v>
      </c>
      <c r="H4481" t="s">
        <v>2230</v>
      </c>
      <c r="I4481" s="2">
        <v>272.94</v>
      </c>
      <c r="J4481">
        <v>3</v>
      </c>
      <c r="K4481" s="2">
        <v>30.023399999999999</v>
      </c>
      <c r="L4481" s="3">
        <f>(Table1[[#This Row],[Profit]]/Table1[[#This Row],[Sales]])*100</f>
        <v>11</v>
      </c>
    </row>
    <row r="4482" spans="1:12" x14ac:dyDescent="0.3">
      <c r="A4482" t="s">
        <v>3780</v>
      </c>
      <c r="B4482" s="1">
        <v>43810</v>
      </c>
      <c r="C4482" t="s">
        <v>352</v>
      </c>
      <c r="D4482" t="s">
        <v>353</v>
      </c>
      <c r="E4482" t="s">
        <v>14</v>
      </c>
      <c r="F4482" t="s">
        <v>23</v>
      </c>
      <c r="G4482" t="s">
        <v>18</v>
      </c>
      <c r="H4482" t="s">
        <v>3781</v>
      </c>
      <c r="I4482" s="2">
        <v>300.76799999999997</v>
      </c>
      <c r="J4482">
        <v>4</v>
      </c>
      <c r="K4482" s="2">
        <v>30.076799999999999</v>
      </c>
      <c r="L4482" s="3">
        <f>(Table1[[#This Row],[Profit]]/Table1[[#This Row],[Sales]])*100</f>
        <v>10</v>
      </c>
    </row>
    <row r="4483" spans="1:12" x14ac:dyDescent="0.3">
      <c r="A4483" t="s">
        <v>3080</v>
      </c>
      <c r="B4483" s="1">
        <v>43752</v>
      </c>
      <c r="C4483" t="s">
        <v>1448</v>
      </c>
      <c r="D4483" t="s">
        <v>1449</v>
      </c>
      <c r="E4483" t="s">
        <v>14</v>
      </c>
      <c r="F4483" t="s">
        <v>23</v>
      </c>
      <c r="G4483" t="s">
        <v>18</v>
      </c>
      <c r="H4483" t="s">
        <v>3081</v>
      </c>
      <c r="I4483" s="2">
        <v>177</v>
      </c>
      <c r="J4483">
        <v>3</v>
      </c>
      <c r="K4483" s="2">
        <v>30.09</v>
      </c>
      <c r="L4483" s="3">
        <f>(Table1[[#This Row],[Profit]]/Table1[[#This Row],[Sales]])*100</f>
        <v>17</v>
      </c>
    </row>
    <row r="4484" spans="1:12" x14ac:dyDescent="0.3">
      <c r="A4484" t="s">
        <v>4113</v>
      </c>
      <c r="B4484" s="1">
        <v>43867</v>
      </c>
      <c r="C4484" t="s">
        <v>569</v>
      </c>
      <c r="D4484" t="s">
        <v>570</v>
      </c>
      <c r="E4484" t="s">
        <v>14</v>
      </c>
      <c r="F4484" t="s">
        <v>15</v>
      </c>
      <c r="G4484" t="s">
        <v>16</v>
      </c>
      <c r="H4484" t="s">
        <v>1965</v>
      </c>
      <c r="I4484" s="2">
        <v>256.78399999999999</v>
      </c>
      <c r="J4484">
        <v>1</v>
      </c>
      <c r="K4484" s="2">
        <v>30.097999999999999</v>
      </c>
      <c r="L4484" s="3">
        <f>(Table1[[#This Row],[Profit]]/Table1[[#This Row],[Sales]])*100</f>
        <v>11.721135273225746</v>
      </c>
    </row>
    <row r="4485" spans="1:12" x14ac:dyDescent="0.3">
      <c r="A4485" t="s">
        <v>4513</v>
      </c>
      <c r="B4485" s="1">
        <v>43944</v>
      </c>
      <c r="C4485" t="s">
        <v>1929</v>
      </c>
      <c r="D4485" t="s">
        <v>1930</v>
      </c>
      <c r="E4485" t="s">
        <v>14</v>
      </c>
      <c r="F4485" t="s">
        <v>23</v>
      </c>
      <c r="G4485" t="s">
        <v>24</v>
      </c>
      <c r="H4485" t="s">
        <v>1440</v>
      </c>
      <c r="I4485" s="2">
        <v>113.88</v>
      </c>
      <c r="J4485">
        <v>6</v>
      </c>
      <c r="K4485" s="2">
        <v>30.186</v>
      </c>
      <c r="L4485" s="3">
        <f>(Table1[[#This Row],[Profit]]/Table1[[#This Row],[Sales]])*100</f>
        <v>26.506849315068493</v>
      </c>
    </row>
    <row r="4486" spans="1:12" x14ac:dyDescent="0.3">
      <c r="A4486" t="s">
        <v>2964</v>
      </c>
      <c r="B4486" s="1">
        <v>43737</v>
      </c>
      <c r="C4486" t="s">
        <v>1436</v>
      </c>
      <c r="D4486" t="s">
        <v>1437</v>
      </c>
      <c r="E4486" t="s">
        <v>14</v>
      </c>
      <c r="F4486" t="s">
        <v>41</v>
      </c>
      <c r="G4486" t="s">
        <v>24</v>
      </c>
      <c r="H4486" t="s">
        <v>1740</v>
      </c>
      <c r="I4486" s="2">
        <v>62.94</v>
      </c>
      <c r="J4486">
        <v>3</v>
      </c>
      <c r="K4486" s="2">
        <v>30.211200000000002</v>
      </c>
      <c r="L4486" s="3">
        <f>(Table1[[#This Row],[Profit]]/Table1[[#This Row],[Sales]])*100</f>
        <v>48.000000000000007</v>
      </c>
    </row>
    <row r="4487" spans="1:12" x14ac:dyDescent="0.3">
      <c r="A4487" t="s">
        <v>4973</v>
      </c>
      <c r="B4487" s="1">
        <v>44020</v>
      </c>
      <c r="C4487" t="s">
        <v>4702</v>
      </c>
      <c r="D4487" t="s">
        <v>4703</v>
      </c>
      <c r="E4487" t="s">
        <v>14</v>
      </c>
      <c r="F4487" t="s">
        <v>23</v>
      </c>
      <c r="G4487" t="s">
        <v>24</v>
      </c>
      <c r="H4487" t="s">
        <v>3321</v>
      </c>
      <c r="I4487" s="2">
        <v>122.376</v>
      </c>
      <c r="J4487">
        <v>3</v>
      </c>
      <c r="K4487" s="2">
        <v>30.2316</v>
      </c>
      <c r="L4487" s="3">
        <f>(Table1[[#This Row],[Profit]]/Table1[[#This Row],[Sales]])*100</f>
        <v>24.703863502647579</v>
      </c>
    </row>
    <row r="4488" spans="1:12" x14ac:dyDescent="0.3">
      <c r="A4488" t="s">
        <v>2257</v>
      </c>
      <c r="B4488" s="1">
        <v>43681</v>
      </c>
      <c r="C4488" t="s">
        <v>1444</v>
      </c>
      <c r="D4488" t="s">
        <v>1445</v>
      </c>
      <c r="E4488" t="s">
        <v>14</v>
      </c>
      <c r="F4488" t="s">
        <v>23</v>
      </c>
      <c r="G4488" t="s">
        <v>18</v>
      </c>
      <c r="H4488" t="s">
        <v>2258</v>
      </c>
      <c r="I4488" s="2">
        <v>302.38400000000001</v>
      </c>
      <c r="J4488">
        <v>2</v>
      </c>
      <c r="K4488" s="2">
        <v>30.238399999999999</v>
      </c>
      <c r="L4488" s="3">
        <f>(Table1[[#This Row],[Profit]]/Table1[[#This Row],[Sales]])*100</f>
        <v>10</v>
      </c>
    </row>
    <row r="4489" spans="1:12" x14ac:dyDescent="0.3">
      <c r="A4489" t="s">
        <v>3917</v>
      </c>
      <c r="B4489" s="1">
        <v>43825</v>
      </c>
      <c r="C4489" t="s">
        <v>599</v>
      </c>
      <c r="D4489" t="s">
        <v>600</v>
      </c>
      <c r="E4489" t="s">
        <v>14</v>
      </c>
      <c r="F4489" t="s">
        <v>23</v>
      </c>
      <c r="G4489" t="s">
        <v>18</v>
      </c>
      <c r="H4489" t="s">
        <v>2258</v>
      </c>
      <c r="I4489" s="2">
        <v>302.38400000000001</v>
      </c>
      <c r="J4489">
        <v>2</v>
      </c>
      <c r="K4489" s="2">
        <v>30.238399999999999</v>
      </c>
      <c r="L4489" s="3">
        <f>(Table1[[#This Row],[Profit]]/Table1[[#This Row],[Sales]])*100</f>
        <v>10</v>
      </c>
    </row>
    <row r="4490" spans="1:12" x14ac:dyDescent="0.3">
      <c r="A4490" t="s">
        <v>2829</v>
      </c>
      <c r="B4490" s="1">
        <v>43728</v>
      </c>
      <c r="C4490" t="s">
        <v>2830</v>
      </c>
      <c r="D4490" t="s">
        <v>2831</v>
      </c>
      <c r="E4490" t="s">
        <v>14</v>
      </c>
      <c r="F4490" t="s">
        <v>23</v>
      </c>
      <c r="G4490" t="s">
        <v>24</v>
      </c>
      <c r="H4490" t="s">
        <v>2075</v>
      </c>
      <c r="I4490" s="2">
        <v>65.790000000000006</v>
      </c>
      <c r="J4490">
        <v>9</v>
      </c>
      <c r="K4490" s="2">
        <v>30.263400000000001</v>
      </c>
      <c r="L4490" s="3">
        <f>(Table1[[#This Row],[Profit]]/Table1[[#This Row],[Sales]])*100</f>
        <v>46</v>
      </c>
    </row>
    <row r="4491" spans="1:12" x14ac:dyDescent="0.3">
      <c r="A4491" t="s">
        <v>3877</v>
      </c>
      <c r="B4491" s="1">
        <v>43822</v>
      </c>
      <c r="C4491" t="s">
        <v>633</v>
      </c>
      <c r="D4491" t="s">
        <v>634</v>
      </c>
      <c r="E4491" t="s">
        <v>14</v>
      </c>
      <c r="F4491" t="s">
        <v>23</v>
      </c>
      <c r="G4491" t="s">
        <v>24</v>
      </c>
      <c r="H4491" t="s">
        <v>242</v>
      </c>
      <c r="I4491" s="2">
        <v>61.96</v>
      </c>
      <c r="J4491">
        <v>2</v>
      </c>
      <c r="K4491" s="2">
        <v>30.360399999999998</v>
      </c>
      <c r="L4491" s="3">
        <f>(Table1[[#This Row],[Profit]]/Table1[[#This Row],[Sales]])*100</f>
        <v>49</v>
      </c>
    </row>
    <row r="4492" spans="1:12" x14ac:dyDescent="0.3">
      <c r="A4492" t="s">
        <v>2366</v>
      </c>
      <c r="B4492" s="1">
        <v>43695</v>
      </c>
      <c r="C4492" t="s">
        <v>2367</v>
      </c>
      <c r="D4492" t="s">
        <v>2368</v>
      </c>
      <c r="E4492" t="s">
        <v>14</v>
      </c>
      <c r="F4492" t="s">
        <v>29</v>
      </c>
      <c r="G4492" t="s">
        <v>24</v>
      </c>
      <c r="H4492" t="s">
        <v>2184</v>
      </c>
      <c r="I4492" s="2">
        <v>83.84</v>
      </c>
      <c r="J4492">
        <v>8</v>
      </c>
      <c r="K4492" s="2">
        <v>30.391999999999999</v>
      </c>
      <c r="L4492" s="3">
        <f>(Table1[[#This Row],[Profit]]/Table1[[#This Row],[Sales]])*100</f>
        <v>36.25</v>
      </c>
    </row>
    <row r="4493" spans="1:12" x14ac:dyDescent="0.3">
      <c r="A4493" t="s">
        <v>5033</v>
      </c>
      <c r="B4493" s="1">
        <v>44032</v>
      </c>
      <c r="C4493" t="s">
        <v>2477</v>
      </c>
      <c r="D4493" t="s">
        <v>2478</v>
      </c>
      <c r="E4493" t="s">
        <v>14</v>
      </c>
      <c r="F4493" t="s">
        <v>29</v>
      </c>
      <c r="G4493" t="s">
        <v>24</v>
      </c>
      <c r="H4493" t="s">
        <v>3398</v>
      </c>
      <c r="I4493" s="2">
        <v>144.83000000000001</v>
      </c>
      <c r="J4493">
        <v>7</v>
      </c>
      <c r="K4493" s="2">
        <v>30.414999999999999</v>
      </c>
      <c r="L4493" s="3">
        <f>(Table1[[#This Row],[Profit]]/Table1[[#This Row],[Sales]])*100</f>
        <v>21.000483325277912</v>
      </c>
    </row>
    <row r="4494" spans="1:12" x14ac:dyDescent="0.3">
      <c r="A4494" t="s">
        <v>1459</v>
      </c>
      <c r="B4494" s="1">
        <v>43607</v>
      </c>
      <c r="C4494" t="s">
        <v>1145</v>
      </c>
      <c r="D4494" t="s">
        <v>1146</v>
      </c>
      <c r="E4494" t="s">
        <v>14</v>
      </c>
      <c r="F4494" t="s">
        <v>15</v>
      </c>
      <c r="G4494" t="s">
        <v>18</v>
      </c>
      <c r="H4494" t="s">
        <v>1461</v>
      </c>
      <c r="I4494" s="2">
        <v>95.1</v>
      </c>
      <c r="J4494">
        <v>5</v>
      </c>
      <c r="K4494" s="2">
        <v>30.431999999999999</v>
      </c>
      <c r="L4494" s="3">
        <f>(Table1[[#This Row],[Profit]]/Table1[[#This Row],[Sales]])*100</f>
        <v>32</v>
      </c>
    </row>
    <row r="4495" spans="1:12" x14ac:dyDescent="0.3">
      <c r="A4495" t="s">
        <v>2513</v>
      </c>
      <c r="B4495" s="1">
        <v>43709</v>
      </c>
      <c r="C4495" t="s">
        <v>356</v>
      </c>
      <c r="D4495" t="s">
        <v>357</v>
      </c>
      <c r="E4495" t="s">
        <v>14</v>
      </c>
      <c r="F4495" t="s">
        <v>15</v>
      </c>
      <c r="G4495" t="s">
        <v>18</v>
      </c>
      <c r="H4495" t="s">
        <v>421</v>
      </c>
      <c r="I4495" s="2">
        <v>72.48</v>
      </c>
      <c r="J4495">
        <v>2</v>
      </c>
      <c r="K4495" s="2">
        <v>30.441600000000001</v>
      </c>
      <c r="L4495" s="3">
        <f>(Table1[[#This Row],[Profit]]/Table1[[#This Row],[Sales]])*100</f>
        <v>42</v>
      </c>
    </row>
    <row r="4496" spans="1:12" x14ac:dyDescent="0.3">
      <c r="A4496" t="s">
        <v>2764</v>
      </c>
      <c r="B4496" s="1">
        <v>43724</v>
      </c>
      <c r="C4496" t="s">
        <v>2765</v>
      </c>
      <c r="D4496" t="s">
        <v>2766</v>
      </c>
      <c r="E4496" t="s">
        <v>14</v>
      </c>
      <c r="F4496" t="s">
        <v>41</v>
      </c>
      <c r="G4496" t="s">
        <v>16</v>
      </c>
      <c r="H4496" t="s">
        <v>1861</v>
      </c>
      <c r="I4496" s="2">
        <v>121.78</v>
      </c>
      <c r="J4496">
        <v>2</v>
      </c>
      <c r="K4496" s="2">
        <v>30.445</v>
      </c>
      <c r="L4496" s="3">
        <f>(Table1[[#This Row],[Profit]]/Table1[[#This Row],[Sales]])*100</f>
        <v>25</v>
      </c>
    </row>
    <row r="4497" spans="1:12" x14ac:dyDescent="0.3">
      <c r="A4497" t="s">
        <v>4051</v>
      </c>
      <c r="B4497" s="1">
        <v>43851</v>
      </c>
      <c r="C4497" t="s">
        <v>3309</v>
      </c>
      <c r="D4497" t="s">
        <v>3310</v>
      </c>
      <c r="E4497" t="s">
        <v>14</v>
      </c>
      <c r="F4497" t="s">
        <v>41</v>
      </c>
      <c r="G4497" t="s">
        <v>24</v>
      </c>
      <c r="H4497" t="s">
        <v>302</v>
      </c>
      <c r="I4497" s="2">
        <v>388.20800000000003</v>
      </c>
      <c r="J4497">
        <v>7</v>
      </c>
      <c r="K4497" s="2">
        <v>30.4682</v>
      </c>
      <c r="L4497" s="3">
        <f>(Table1[[#This Row],[Profit]]/Table1[[#This Row],[Sales]])*100</f>
        <v>7.8484214647817661</v>
      </c>
    </row>
    <row r="4498" spans="1:12" x14ac:dyDescent="0.3">
      <c r="A4498" t="s">
        <v>6055</v>
      </c>
      <c r="B4498" s="1">
        <v>44166</v>
      </c>
      <c r="C4498" t="s">
        <v>2695</v>
      </c>
      <c r="D4498" t="s">
        <v>2696</v>
      </c>
      <c r="E4498" t="s">
        <v>14</v>
      </c>
      <c r="F4498" t="s">
        <v>23</v>
      </c>
      <c r="G4498" t="s">
        <v>18</v>
      </c>
      <c r="H4498" t="s">
        <v>619</v>
      </c>
      <c r="I4498" s="2">
        <v>449.36799999999999</v>
      </c>
      <c r="J4498">
        <v>4</v>
      </c>
      <c r="K4498" s="2">
        <v>30.477599999999999</v>
      </c>
      <c r="L4498" s="3">
        <f>(Table1[[#This Row],[Profit]]/Table1[[#This Row],[Sales]])*100</f>
        <v>6.7823253992273598</v>
      </c>
    </row>
    <row r="4499" spans="1:12" x14ac:dyDescent="0.3">
      <c r="A4499" t="s">
        <v>5790</v>
      </c>
      <c r="B4499" s="1">
        <v>44140</v>
      </c>
      <c r="C4499" t="s">
        <v>2678</v>
      </c>
      <c r="D4499" t="s">
        <v>2679</v>
      </c>
      <c r="E4499" t="s">
        <v>14</v>
      </c>
      <c r="F4499" t="s">
        <v>23</v>
      </c>
      <c r="G4499" t="s">
        <v>24</v>
      </c>
      <c r="H4499" t="s">
        <v>4913</v>
      </c>
      <c r="I4499" s="2">
        <v>253.99199999999999</v>
      </c>
      <c r="J4499">
        <v>7</v>
      </c>
      <c r="K4499" s="2">
        <v>30.498999999999999</v>
      </c>
      <c r="L4499" s="3">
        <f>(Table1[[#This Row],[Profit]]/Table1[[#This Row],[Sales]])*100</f>
        <v>12.007858515228827</v>
      </c>
    </row>
    <row r="4500" spans="1:12" x14ac:dyDescent="0.3">
      <c r="A4500" t="s">
        <v>5397</v>
      </c>
      <c r="B4500" s="1">
        <v>44089</v>
      </c>
      <c r="C4500" t="s">
        <v>501</v>
      </c>
      <c r="D4500" t="s">
        <v>502</v>
      </c>
      <c r="E4500" t="s">
        <v>14</v>
      </c>
      <c r="F4500" t="s">
        <v>23</v>
      </c>
      <c r="G4500" t="s">
        <v>24</v>
      </c>
      <c r="H4500" t="s">
        <v>416</v>
      </c>
      <c r="I4500" s="2">
        <v>153.96</v>
      </c>
      <c r="J4500">
        <v>2</v>
      </c>
      <c r="K4500" s="2">
        <v>30.508800000000001</v>
      </c>
      <c r="L4500" s="3">
        <f>(Table1[[#This Row],[Profit]]/Table1[[#This Row],[Sales]])*100</f>
        <v>19.816056118472332</v>
      </c>
    </row>
    <row r="4501" spans="1:12" x14ac:dyDescent="0.3">
      <c r="A4501" t="s">
        <v>3151</v>
      </c>
      <c r="B4501" s="1">
        <v>43760</v>
      </c>
      <c r="C4501" t="s">
        <v>3152</v>
      </c>
      <c r="D4501" t="s">
        <v>3153</v>
      </c>
      <c r="E4501" t="s">
        <v>14</v>
      </c>
      <c r="F4501" t="s">
        <v>23</v>
      </c>
      <c r="G4501" t="s">
        <v>16</v>
      </c>
      <c r="H4501" t="s">
        <v>3154</v>
      </c>
      <c r="I4501" s="2">
        <v>101.94</v>
      </c>
      <c r="J4501">
        <v>3</v>
      </c>
      <c r="K4501" s="2">
        <v>30.582000000000001</v>
      </c>
      <c r="L4501" s="3">
        <f>(Table1[[#This Row],[Profit]]/Table1[[#This Row],[Sales]])*100</f>
        <v>30</v>
      </c>
    </row>
    <row r="4502" spans="1:12" x14ac:dyDescent="0.3">
      <c r="A4502" t="s">
        <v>6232</v>
      </c>
      <c r="B4502" s="1">
        <v>44187</v>
      </c>
      <c r="C4502" t="s">
        <v>2020</v>
      </c>
      <c r="D4502" t="s">
        <v>2021</v>
      </c>
      <c r="E4502" t="s">
        <v>14</v>
      </c>
      <c r="F4502" t="s">
        <v>29</v>
      </c>
      <c r="G4502" t="s">
        <v>18</v>
      </c>
      <c r="H4502" t="s">
        <v>112</v>
      </c>
      <c r="I4502" s="2">
        <v>469.99</v>
      </c>
      <c r="J4502">
        <v>1</v>
      </c>
      <c r="K4502" s="2">
        <v>30.596399999999999</v>
      </c>
      <c r="L4502" s="3">
        <f>(Table1[[#This Row],[Profit]]/Table1[[#This Row],[Sales]])*100</f>
        <v>6.5100108512947079</v>
      </c>
    </row>
    <row r="4503" spans="1:12" x14ac:dyDescent="0.3">
      <c r="A4503" t="s">
        <v>5144</v>
      </c>
      <c r="B4503" s="1">
        <v>44056</v>
      </c>
      <c r="C4503" t="s">
        <v>762</v>
      </c>
      <c r="D4503" t="s">
        <v>763</v>
      </c>
      <c r="E4503" t="s">
        <v>14</v>
      </c>
      <c r="F4503" t="s">
        <v>41</v>
      </c>
      <c r="G4503" t="s">
        <v>24</v>
      </c>
      <c r="H4503" t="s">
        <v>1421</v>
      </c>
      <c r="I4503" s="2">
        <v>314.048</v>
      </c>
      <c r="J4503">
        <v>7</v>
      </c>
      <c r="K4503" s="2">
        <v>30.605399999999999</v>
      </c>
      <c r="L4503" s="3">
        <f>(Table1[[#This Row],[Profit]]/Table1[[#This Row],[Sales]])*100</f>
        <v>9.7454529243937227</v>
      </c>
    </row>
    <row r="4504" spans="1:12" x14ac:dyDescent="0.3">
      <c r="A4504" t="s">
        <v>4391</v>
      </c>
      <c r="B4504" s="1">
        <v>43921</v>
      </c>
      <c r="C4504" t="s">
        <v>1465</v>
      </c>
      <c r="D4504" t="s">
        <v>1466</v>
      </c>
      <c r="E4504" t="s">
        <v>14</v>
      </c>
      <c r="F4504" t="s">
        <v>41</v>
      </c>
      <c r="G4504" t="s">
        <v>24</v>
      </c>
      <c r="H4504" t="s">
        <v>3488</v>
      </c>
      <c r="I4504" s="2">
        <v>156.12</v>
      </c>
      <c r="J4504">
        <v>4</v>
      </c>
      <c r="K4504" s="2">
        <v>30.7776</v>
      </c>
      <c r="L4504" s="3">
        <f>(Table1[[#This Row],[Profit]]/Table1[[#This Row],[Sales]])*100</f>
        <v>19.714066102997695</v>
      </c>
    </row>
    <row r="4505" spans="1:12" x14ac:dyDescent="0.3">
      <c r="A4505" t="s">
        <v>1644</v>
      </c>
      <c r="B4505" s="1">
        <v>43622</v>
      </c>
      <c r="C4505" t="s">
        <v>602</v>
      </c>
      <c r="D4505" t="s">
        <v>603</v>
      </c>
      <c r="E4505" t="s">
        <v>14</v>
      </c>
      <c r="F4505" t="s">
        <v>41</v>
      </c>
      <c r="G4505" t="s">
        <v>24</v>
      </c>
      <c r="H4505" t="s">
        <v>1646</v>
      </c>
      <c r="I4505" s="2">
        <v>64.14</v>
      </c>
      <c r="J4505">
        <v>3</v>
      </c>
      <c r="K4505" s="2">
        <v>30.787199999999999</v>
      </c>
      <c r="L4505" s="3">
        <f>(Table1[[#This Row],[Profit]]/Table1[[#This Row],[Sales]])*100</f>
        <v>48</v>
      </c>
    </row>
    <row r="4506" spans="1:12" x14ac:dyDescent="0.3">
      <c r="A4506" t="s">
        <v>1280</v>
      </c>
      <c r="B4506" s="1">
        <v>43592</v>
      </c>
      <c r="C4506" t="s">
        <v>565</v>
      </c>
      <c r="D4506" t="s">
        <v>566</v>
      </c>
      <c r="E4506" t="s">
        <v>14</v>
      </c>
      <c r="F4506" t="s">
        <v>15</v>
      </c>
      <c r="G4506" t="s">
        <v>24</v>
      </c>
      <c r="H4506" t="s">
        <v>1281</v>
      </c>
      <c r="I4506" s="2">
        <v>85.231999999999999</v>
      </c>
      <c r="J4506">
        <v>7</v>
      </c>
      <c r="K4506" s="2">
        <v>30.896599999999999</v>
      </c>
      <c r="L4506" s="3">
        <f>(Table1[[#This Row],[Profit]]/Table1[[#This Row],[Sales]])*100</f>
        <v>36.25</v>
      </c>
    </row>
    <row r="4507" spans="1:12" x14ac:dyDescent="0.3">
      <c r="A4507" t="s">
        <v>2957</v>
      </c>
      <c r="B4507" s="1">
        <v>43736</v>
      </c>
      <c r="C4507" t="s">
        <v>659</v>
      </c>
      <c r="D4507" t="s">
        <v>660</v>
      </c>
      <c r="E4507" t="s">
        <v>14</v>
      </c>
      <c r="F4507" t="s">
        <v>29</v>
      </c>
      <c r="G4507" t="s">
        <v>24</v>
      </c>
      <c r="H4507" t="s">
        <v>1915</v>
      </c>
      <c r="I4507" s="2">
        <v>99.135999999999996</v>
      </c>
      <c r="J4507">
        <v>4</v>
      </c>
      <c r="K4507" s="2">
        <v>30.98</v>
      </c>
      <c r="L4507" s="3">
        <f>(Table1[[#This Row],[Profit]]/Table1[[#This Row],[Sales]])*100</f>
        <v>31.25</v>
      </c>
    </row>
    <row r="4508" spans="1:12" x14ac:dyDescent="0.3">
      <c r="A4508" t="s">
        <v>5879</v>
      </c>
      <c r="B4508" s="1">
        <v>44148</v>
      </c>
      <c r="C4508" t="s">
        <v>3726</v>
      </c>
      <c r="D4508" t="s">
        <v>3727</v>
      </c>
      <c r="E4508" t="s">
        <v>14</v>
      </c>
      <c r="F4508" t="s">
        <v>15</v>
      </c>
      <c r="G4508" t="s">
        <v>16</v>
      </c>
      <c r="H4508" t="s">
        <v>1658</v>
      </c>
      <c r="I4508" s="2">
        <v>186.95</v>
      </c>
      <c r="J4508">
        <v>3</v>
      </c>
      <c r="K4508" s="2">
        <v>30.99</v>
      </c>
      <c r="L4508" s="3">
        <f>(Table1[[#This Row],[Profit]]/Table1[[#This Row],[Sales]])*100</f>
        <v>16.576624765980206</v>
      </c>
    </row>
    <row r="4509" spans="1:12" x14ac:dyDescent="0.3">
      <c r="A4509" t="s">
        <v>2547</v>
      </c>
      <c r="B4509" s="1">
        <v>43710</v>
      </c>
      <c r="C4509" t="s">
        <v>2548</v>
      </c>
      <c r="D4509" t="s">
        <v>2549</v>
      </c>
      <c r="E4509" t="s">
        <v>14</v>
      </c>
      <c r="F4509" t="s">
        <v>23</v>
      </c>
      <c r="G4509" t="s">
        <v>24</v>
      </c>
      <c r="H4509" t="s">
        <v>1964</v>
      </c>
      <c r="I4509" s="2">
        <v>65.94</v>
      </c>
      <c r="J4509">
        <v>3</v>
      </c>
      <c r="K4509" s="2">
        <v>30.991800000000001</v>
      </c>
      <c r="L4509" s="3">
        <f>(Table1[[#This Row],[Profit]]/Table1[[#This Row],[Sales]])*100</f>
        <v>47</v>
      </c>
    </row>
    <row r="4510" spans="1:12" x14ac:dyDescent="0.3">
      <c r="A4510" t="s">
        <v>1450</v>
      </c>
      <c r="B4510" s="1">
        <v>43606</v>
      </c>
      <c r="C4510" t="s">
        <v>1451</v>
      </c>
      <c r="D4510" t="s">
        <v>1452</v>
      </c>
      <c r="E4510" t="s">
        <v>14</v>
      </c>
      <c r="F4510" t="s">
        <v>29</v>
      </c>
      <c r="G4510" t="s">
        <v>24</v>
      </c>
      <c r="H4510" t="s">
        <v>1454</v>
      </c>
      <c r="I4510" s="2">
        <v>82.656000000000006</v>
      </c>
      <c r="J4510">
        <v>9</v>
      </c>
      <c r="K4510" s="2">
        <v>30.995999999999999</v>
      </c>
      <c r="L4510" s="3">
        <f>(Table1[[#This Row],[Profit]]/Table1[[#This Row],[Sales]])*100</f>
        <v>37.499999999999993</v>
      </c>
    </row>
    <row r="4511" spans="1:12" x14ac:dyDescent="0.3">
      <c r="A4511" t="s">
        <v>2162</v>
      </c>
      <c r="B4511" s="1">
        <v>43670</v>
      </c>
      <c r="C4511" t="s">
        <v>2163</v>
      </c>
      <c r="D4511" t="s">
        <v>2164</v>
      </c>
      <c r="E4511" t="s">
        <v>14</v>
      </c>
      <c r="F4511" t="s">
        <v>15</v>
      </c>
      <c r="G4511" t="s">
        <v>16</v>
      </c>
      <c r="H4511" t="s">
        <v>2165</v>
      </c>
      <c r="I4511" s="2">
        <v>253.76400000000001</v>
      </c>
      <c r="J4511">
        <v>2</v>
      </c>
      <c r="K4511" s="2">
        <v>31.015599999999999</v>
      </c>
      <c r="L4511" s="3">
        <f>(Table1[[#This Row],[Profit]]/Table1[[#This Row],[Sales]])*100</f>
        <v>12.222222222222221</v>
      </c>
    </row>
    <row r="4512" spans="1:12" x14ac:dyDescent="0.3">
      <c r="A4512" t="s">
        <v>2564</v>
      </c>
      <c r="B4512" s="1">
        <v>43711</v>
      </c>
      <c r="C4512" t="s">
        <v>950</v>
      </c>
      <c r="D4512" t="s">
        <v>951</v>
      </c>
      <c r="E4512" t="s">
        <v>14</v>
      </c>
      <c r="F4512" t="s">
        <v>15</v>
      </c>
      <c r="G4512" t="s">
        <v>16</v>
      </c>
      <c r="H4512" t="s">
        <v>2487</v>
      </c>
      <c r="I4512" s="2">
        <v>344.94</v>
      </c>
      <c r="J4512">
        <v>3</v>
      </c>
      <c r="K4512" s="2">
        <v>31.044599999999999</v>
      </c>
      <c r="L4512" s="3">
        <f>(Table1[[#This Row],[Profit]]/Table1[[#This Row],[Sales]])*100</f>
        <v>9</v>
      </c>
    </row>
    <row r="4513" spans="1:12" x14ac:dyDescent="0.3">
      <c r="A4513" t="s">
        <v>3297</v>
      </c>
      <c r="B4513" s="1">
        <v>43775</v>
      </c>
      <c r="C4513" t="s">
        <v>2869</v>
      </c>
      <c r="D4513" t="s">
        <v>2870</v>
      </c>
      <c r="E4513" t="s">
        <v>14</v>
      </c>
      <c r="F4513" t="s">
        <v>41</v>
      </c>
      <c r="G4513" t="s">
        <v>24</v>
      </c>
      <c r="H4513" t="s">
        <v>2071</v>
      </c>
      <c r="I4513" s="2">
        <v>88.768000000000001</v>
      </c>
      <c r="J4513">
        <v>2</v>
      </c>
      <c r="K4513" s="2">
        <v>31.0688</v>
      </c>
      <c r="L4513" s="3">
        <f>(Table1[[#This Row],[Profit]]/Table1[[#This Row],[Sales]])*100</f>
        <v>35</v>
      </c>
    </row>
    <row r="4514" spans="1:12" x14ac:dyDescent="0.3">
      <c r="A4514" t="s">
        <v>6035</v>
      </c>
      <c r="B4514" s="1">
        <v>44163</v>
      </c>
      <c r="C4514" t="s">
        <v>5140</v>
      </c>
      <c r="D4514" t="s">
        <v>5141</v>
      </c>
      <c r="E4514" t="s">
        <v>14</v>
      </c>
      <c r="F4514" t="s">
        <v>23</v>
      </c>
      <c r="G4514" t="s">
        <v>24</v>
      </c>
      <c r="H4514" t="s">
        <v>2071</v>
      </c>
      <c r="I4514" s="2">
        <v>137.768</v>
      </c>
      <c r="J4514">
        <v>2</v>
      </c>
      <c r="K4514" s="2">
        <v>31.0688</v>
      </c>
      <c r="L4514" s="3">
        <f>(Table1[[#This Row],[Profit]]/Table1[[#This Row],[Sales]])*100</f>
        <v>22.551535915452064</v>
      </c>
    </row>
    <row r="4515" spans="1:12" x14ac:dyDescent="0.3">
      <c r="A4515" t="s">
        <v>6054</v>
      </c>
      <c r="B4515" s="1">
        <v>44166</v>
      </c>
      <c r="C4515" t="s">
        <v>1456</v>
      </c>
      <c r="D4515" t="s">
        <v>1457</v>
      </c>
      <c r="E4515" t="s">
        <v>14</v>
      </c>
      <c r="F4515" t="s">
        <v>23</v>
      </c>
      <c r="G4515" t="s">
        <v>16</v>
      </c>
      <c r="H4515" t="s">
        <v>1109</v>
      </c>
      <c r="I4515" s="2">
        <v>106.68</v>
      </c>
      <c r="J4515">
        <v>12</v>
      </c>
      <c r="K4515" s="2">
        <v>31.0992</v>
      </c>
      <c r="L4515" s="3">
        <f>(Table1[[#This Row],[Profit]]/Table1[[#This Row],[Sales]])*100</f>
        <v>29.151856017997744</v>
      </c>
    </row>
    <row r="4516" spans="1:12" x14ac:dyDescent="0.3">
      <c r="A4516" t="s">
        <v>4279</v>
      </c>
      <c r="B4516" s="1">
        <v>43907</v>
      </c>
      <c r="C4516" t="s">
        <v>4280</v>
      </c>
      <c r="D4516" t="s">
        <v>4281</v>
      </c>
      <c r="E4516" t="s">
        <v>14</v>
      </c>
      <c r="F4516" t="s">
        <v>15</v>
      </c>
      <c r="G4516" t="s">
        <v>18</v>
      </c>
      <c r="H4516" t="s">
        <v>2016</v>
      </c>
      <c r="I4516" s="2">
        <v>144.69999999999999</v>
      </c>
      <c r="J4516">
        <v>6</v>
      </c>
      <c r="K4516" s="2">
        <v>31.122</v>
      </c>
      <c r="L4516" s="3">
        <f>(Table1[[#This Row],[Profit]]/Table1[[#This Row],[Sales]])*100</f>
        <v>21.507947477539737</v>
      </c>
    </row>
    <row r="4517" spans="1:12" x14ac:dyDescent="0.3">
      <c r="A4517" t="s">
        <v>5785</v>
      </c>
      <c r="B4517" s="1">
        <v>44140</v>
      </c>
      <c r="C4517" t="s">
        <v>627</v>
      </c>
      <c r="D4517" t="s">
        <v>628</v>
      </c>
      <c r="E4517" t="s">
        <v>14</v>
      </c>
      <c r="F4517" t="s">
        <v>29</v>
      </c>
      <c r="G4517" t="s">
        <v>24</v>
      </c>
      <c r="H4517" t="s">
        <v>3864</v>
      </c>
      <c r="I4517" s="2">
        <v>102.8</v>
      </c>
      <c r="J4517">
        <v>10</v>
      </c>
      <c r="K4517" s="2">
        <v>31.187999999999999</v>
      </c>
      <c r="L4517" s="3">
        <f>(Table1[[#This Row],[Profit]]/Table1[[#This Row],[Sales]])*100</f>
        <v>30.338521400778212</v>
      </c>
    </row>
    <row r="4518" spans="1:12" x14ac:dyDescent="0.3">
      <c r="A4518" t="s">
        <v>3718</v>
      </c>
      <c r="B4518" s="1">
        <v>43805</v>
      </c>
      <c r="C4518" t="s">
        <v>1476</v>
      </c>
      <c r="D4518" t="s">
        <v>1477</v>
      </c>
      <c r="E4518" t="s">
        <v>14</v>
      </c>
      <c r="F4518" t="s">
        <v>23</v>
      </c>
      <c r="G4518" t="s">
        <v>18</v>
      </c>
      <c r="H4518" t="s">
        <v>2556</v>
      </c>
      <c r="I4518" s="2">
        <v>249.584</v>
      </c>
      <c r="J4518">
        <v>2</v>
      </c>
      <c r="K4518" s="2">
        <v>31.198</v>
      </c>
      <c r="L4518" s="3">
        <f>(Table1[[#This Row],[Profit]]/Table1[[#This Row],[Sales]])*100</f>
        <v>12.5</v>
      </c>
    </row>
    <row r="4519" spans="1:12" x14ac:dyDescent="0.3">
      <c r="A4519" t="s">
        <v>3735</v>
      </c>
      <c r="B4519" s="1">
        <v>43807</v>
      </c>
      <c r="C4519" t="s">
        <v>1805</v>
      </c>
      <c r="D4519" t="s">
        <v>1806</v>
      </c>
      <c r="E4519" t="s">
        <v>14</v>
      </c>
      <c r="F4519" t="s">
        <v>41</v>
      </c>
      <c r="G4519" t="s">
        <v>18</v>
      </c>
      <c r="H4519" t="s">
        <v>2556</v>
      </c>
      <c r="I4519" s="2">
        <v>249.584</v>
      </c>
      <c r="J4519">
        <v>2</v>
      </c>
      <c r="K4519" s="2">
        <v>31.198</v>
      </c>
      <c r="L4519" s="3">
        <f>(Table1[[#This Row],[Profit]]/Table1[[#This Row],[Sales]])*100</f>
        <v>12.5</v>
      </c>
    </row>
    <row r="4520" spans="1:12" x14ac:dyDescent="0.3">
      <c r="A4520" t="s">
        <v>5825</v>
      </c>
      <c r="B4520" s="1">
        <v>44144</v>
      </c>
      <c r="C4520" t="s">
        <v>3044</v>
      </c>
      <c r="D4520" t="s">
        <v>3045</v>
      </c>
      <c r="E4520" t="s">
        <v>14</v>
      </c>
      <c r="F4520" t="s">
        <v>41</v>
      </c>
      <c r="G4520" t="s">
        <v>18</v>
      </c>
      <c r="H4520" t="s">
        <v>318</v>
      </c>
      <c r="I4520" s="2">
        <v>36.167999999999999</v>
      </c>
      <c r="J4520">
        <v>4</v>
      </c>
      <c r="K4520" s="2">
        <v>31.198</v>
      </c>
      <c r="L4520" s="3">
        <f>(Table1[[#This Row],[Profit]]/Table1[[#This Row],[Sales]])*100</f>
        <v>86.258571112585713</v>
      </c>
    </row>
    <row r="4521" spans="1:12" x14ac:dyDescent="0.3">
      <c r="A4521" t="s">
        <v>2550</v>
      </c>
      <c r="B4521" s="1">
        <v>43710</v>
      </c>
      <c r="C4521" t="s">
        <v>21</v>
      </c>
      <c r="D4521" t="s">
        <v>22</v>
      </c>
      <c r="E4521" t="s">
        <v>14</v>
      </c>
      <c r="F4521" t="s">
        <v>23</v>
      </c>
      <c r="G4521" t="s">
        <v>16</v>
      </c>
      <c r="H4521" t="s">
        <v>1123</v>
      </c>
      <c r="I4521" s="2">
        <v>94.68</v>
      </c>
      <c r="J4521">
        <v>9</v>
      </c>
      <c r="K4521" s="2">
        <v>31.244399999999999</v>
      </c>
      <c r="L4521" s="3">
        <f>(Table1[[#This Row],[Profit]]/Table1[[#This Row],[Sales]])*100</f>
        <v>32.999999999999993</v>
      </c>
    </row>
    <row r="4522" spans="1:12" x14ac:dyDescent="0.3">
      <c r="A4522" t="s">
        <v>5190</v>
      </c>
      <c r="B4522" s="1">
        <v>44064</v>
      </c>
      <c r="C4522" t="s">
        <v>4906</v>
      </c>
      <c r="D4522" t="s">
        <v>4907</v>
      </c>
      <c r="E4522" t="s">
        <v>14</v>
      </c>
      <c r="F4522" t="s">
        <v>15</v>
      </c>
      <c r="G4522" t="s">
        <v>16</v>
      </c>
      <c r="H4522" t="s">
        <v>3846</v>
      </c>
      <c r="I4522" s="2">
        <v>122.92</v>
      </c>
      <c r="J4522">
        <v>4</v>
      </c>
      <c r="K4522" s="2">
        <v>31.252800000000001</v>
      </c>
      <c r="L4522" s="3">
        <f>(Table1[[#This Row],[Profit]]/Table1[[#This Row],[Sales]])*100</f>
        <v>25.425317279531402</v>
      </c>
    </row>
    <row r="4523" spans="1:12" x14ac:dyDescent="0.3">
      <c r="A4523" t="s">
        <v>5031</v>
      </c>
      <c r="B4523" s="1">
        <v>44032</v>
      </c>
      <c r="C4523" t="s">
        <v>1756</v>
      </c>
      <c r="D4523" t="s">
        <v>1757</v>
      </c>
      <c r="E4523" t="s">
        <v>14</v>
      </c>
      <c r="F4523" t="s">
        <v>15</v>
      </c>
      <c r="G4523" t="s">
        <v>16</v>
      </c>
      <c r="H4523" t="s">
        <v>201</v>
      </c>
      <c r="I4523" s="2">
        <v>232.92</v>
      </c>
      <c r="J4523">
        <v>4</v>
      </c>
      <c r="K4523" s="2">
        <v>31.266400000000001</v>
      </c>
      <c r="L4523" s="3">
        <f>(Table1[[#This Row],[Profit]]/Table1[[#This Row],[Sales]])*100</f>
        <v>13.423664777606046</v>
      </c>
    </row>
    <row r="4524" spans="1:12" x14ac:dyDescent="0.3">
      <c r="A4524" t="s">
        <v>6132</v>
      </c>
      <c r="B4524" s="1">
        <v>44173</v>
      </c>
      <c r="C4524" t="s">
        <v>5720</v>
      </c>
      <c r="D4524" t="s">
        <v>5721</v>
      </c>
      <c r="E4524" t="s">
        <v>14</v>
      </c>
      <c r="F4524" t="s">
        <v>23</v>
      </c>
      <c r="G4524" t="s">
        <v>16</v>
      </c>
      <c r="H4524" t="s">
        <v>4517</v>
      </c>
      <c r="I4524" s="2">
        <v>359.82900000000001</v>
      </c>
      <c r="J4524">
        <v>13</v>
      </c>
      <c r="K4524" s="2">
        <v>31.454799999999999</v>
      </c>
      <c r="L4524" s="3">
        <f>(Table1[[#This Row],[Profit]]/Table1[[#This Row],[Sales]])*100</f>
        <v>8.7415967028783115</v>
      </c>
    </row>
    <row r="4525" spans="1:12" x14ac:dyDescent="0.3">
      <c r="A4525" t="s">
        <v>1263</v>
      </c>
      <c r="B4525" s="1">
        <v>43590</v>
      </c>
      <c r="C4525" t="s">
        <v>554</v>
      </c>
      <c r="D4525" t="s">
        <v>555</v>
      </c>
      <c r="E4525" t="s">
        <v>14</v>
      </c>
      <c r="F4525" t="s">
        <v>41</v>
      </c>
      <c r="G4525" t="s">
        <v>24</v>
      </c>
      <c r="H4525" t="s">
        <v>1264</v>
      </c>
      <c r="I4525" s="2">
        <v>93.248000000000005</v>
      </c>
      <c r="J4525">
        <v>4</v>
      </c>
      <c r="K4525" s="2">
        <v>31.4712</v>
      </c>
      <c r="L4525" s="3">
        <f>(Table1[[#This Row],[Profit]]/Table1[[#This Row],[Sales]])*100</f>
        <v>33.75</v>
      </c>
    </row>
    <row r="4526" spans="1:12" x14ac:dyDescent="0.3">
      <c r="A4526" t="s">
        <v>5446</v>
      </c>
      <c r="B4526" s="1">
        <v>44093</v>
      </c>
      <c r="C4526" t="s">
        <v>1808</v>
      </c>
      <c r="D4526" t="s">
        <v>1809</v>
      </c>
      <c r="E4526" t="s">
        <v>14</v>
      </c>
      <c r="F4526" t="s">
        <v>23</v>
      </c>
      <c r="G4526" t="s">
        <v>18</v>
      </c>
      <c r="H4526" t="s">
        <v>3295</v>
      </c>
      <c r="I4526" s="2">
        <v>177.95</v>
      </c>
      <c r="J4526">
        <v>5</v>
      </c>
      <c r="K4526" s="2">
        <v>31.4895</v>
      </c>
      <c r="L4526" s="3">
        <f>(Table1[[#This Row],[Profit]]/Table1[[#This Row],[Sales]])*100</f>
        <v>17.69570103961787</v>
      </c>
    </row>
    <row r="4527" spans="1:12" x14ac:dyDescent="0.3">
      <c r="A4527" t="s">
        <v>6192</v>
      </c>
      <c r="B4527" s="1">
        <v>44181</v>
      </c>
      <c r="C4527" t="s">
        <v>3348</v>
      </c>
      <c r="D4527" t="s">
        <v>3349</v>
      </c>
      <c r="E4527" t="s">
        <v>14</v>
      </c>
      <c r="F4527" t="s">
        <v>23</v>
      </c>
      <c r="G4527" t="s">
        <v>18</v>
      </c>
      <c r="H4527" t="s">
        <v>3295</v>
      </c>
      <c r="I4527" s="2">
        <v>378.95</v>
      </c>
      <c r="J4527">
        <v>5</v>
      </c>
      <c r="K4527" s="2">
        <v>31.4895</v>
      </c>
      <c r="L4527" s="3">
        <f>(Table1[[#This Row],[Profit]]/Table1[[#This Row],[Sales]])*100</f>
        <v>8.3096714606148563</v>
      </c>
    </row>
    <row r="4528" spans="1:12" x14ac:dyDescent="0.3">
      <c r="A4528" t="s">
        <v>2728</v>
      </c>
      <c r="B4528" s="1">
        <v>43720</v>
      </c>
      <c r="C4528" t="s">
        <v>1970</v>
      </c>
      <c r="D4528" t="s">
        <v>1971</v>
      </c>
      <c r="E4528" t="s">
        <v>14</v>
      </c>
      <c r="F4528" t="s">
        <v>29</v>
      </c>
      <c r="G4528" t="s">
        <v>24</v>
      </c>
      <c r="H4528" t="s">
        <v>1541</v>
      </c>
      <c r="I4528" s="2">
        <v>68.52</v>
      </c>
      <c r="J4528">
        <v>3</v>
      </c>
      <c r="K4528" s="2">
        <v>31.519200000000001</v>
      </c>
      <c r="L4528" s="3">
        <f>(Table1[[#This Row],[Profit]]/Table1[[#This Row],[Sales]])*100</f>
        <v>46</v>
      </c>
    </row>
    <row r="4529" spans="1:12" x14ac:dyDescent="0.3">
      <c r="A4529" t="s">
        <v>4897</v>
      </c>
      <c r="B4529" s="1">
        <v>44008</v>
      </c>
      <c r="C4529" t="s">
        <v>4396</v>
      </c>
      <c r="D4529" t="s">
        <v>4397</v>
      </c>
      <c r="E4529" t="s">
        <v>14</v>
      </c>
      <c r="F4529" t="s">
        <v>15</v>
      </c>
      <c r="G4529" t="s">
        <v>24</v>
      </c>
      <c r="H4529" t="s">
        <v>1541</v>
      </c>
      <c r="I4529" s="2">
        <v>112.52</v>
      </c>
      <c r="J4529">
        <v>3</v>
      </c>
      <c r="K4529" s="2">
        <v>31.519200000000001</v>
      </c>
      <c r="L4529" s="3">
        <f>(Table1[[#This Row],[Profit]]/Table1[[#This Row],[Sales]])*100</f>
        <v>28.012086740135089</v>
      </c>
    </row>
    <row r="4530" spans="1:12" x14ac:dyDescent="0.3">
      <c r="A4530" t="s">
        <v>591</v>
      </c>
      <c r="B4530" s="1">
        <v>43535</v>
      </c>
      <c r="C4530" t="s">
        <v>592</v>
      </c>
      <c r="D4530" t="s">
        <v>593</v>
      </c>
      <c r="E4530" t="s">
        <v>14</v>
      </c>
      <c r="F4530" t="s">
        <v>41</v>
      </c>
      <c r="G4530" t="s">
        <v>16</v>
      </c>
      <c r="H4530" t="s">
        <v>61</v>
      </c>
      <c r="I4530" s="2">
        <v>76.92</v>
      </c>
      <c r="J4530">
        <v>4</v>
      </c>
      <c r="K4530" s="2">
        <v>31.537199999999999</v>
      </c>
      <c r="L4530" s="3">
        <f>(Table1[[#This Row],[Profit]]/Table1[[#This Row],[Sales]])*100</f>
        <v>41</v>
      </c>
    </row>
    <row r="4531" spans="1:12" x14ac:dyDescent="0.3">
      <c r="A4531" t="s">
        <v>102</v>
      </c>
      <c r="B4531" s="1">
        <v>43479</v>
      </c>
      <c r="C4531" t="s">
        <v>103</v>
      </c>
      <c r="D4531" t="s">
        <v>104</v>
      </c>
      <c r="E4531" t="s">
        <v>14</v>
      </c>
      <c r="F4531" t="s">
        <v>41</v>
      </c>
      <c r="G4531" t="s">
        <v>16</v>
      </c>
      <c r="H4531" t="s">
        <v>106</v>
      </c>
      <c r="I4531" s="2">
        <v>315.77600000000001</v>
      </c>
      <c r="J4531">
        <v>8</v>
      </c>
      <c r="K4531" s="2">
        <v>31.5776</v>
      </c>
      <c r="L4531" s="3">
        <f>(Table1[[#This Row],[Profit]]/Table1[[#This Row],[Sales]])*100</f>
        <v>10</v>
      </c>
    </row>
    <row r="4532" spans="1:12" x14ac:dyDescent="0.3">
      <c r="A4532" t="s">
        <v>4904</v>
      </c>
      <c r="B4532" s="1">
        <v>44008</v>
      </c>
      <c r="C4532" t="s">
        <v>4280</v>
      </c>
      <c r="D4532" t="s">
        <v>4281</v>
      </c>
      <c r="E4532" t="s">
        <v>14</v>
      </c>
      <c r="F4532" t="s">
        <v>29</v>
      </c>
      <c r="G4532" t="s">
        <v>16</v>
      </c>
      <c r="H4532" t="s">
        <v>4101</v>
      </c>
      <c r="I4532" s="2">
        <v>536.45000000000005</v>
      </c>
      <c r="J4532">
        <v>5</v>
      </c>
      <c r="K4532" s="2">
        <v>31.587</v>
      </c>
      <c r="L4532" s="3">
        <f>(Table1[[#This Row],[Profit]]/Table1[[#This Row],[Sales]])*100</f>
        <v>5.8881536023860557</v>
      </c>
    </row>
    <row r="4533" spans="1:12" x14ac:dyDescent="0.3">
      <c r="A4533" t="s">
        <v>4987</v>
      </c>
      <c r="B4533" s="1">
        <v>44021</v>
      </c>
      <c r="C4533" t="s">
        <v>4988</v>
      </c>
      <c r="D4533" t="s">
        <v>4989</v>
      </c>
      <c r="E4533" t="s">
        <v>14</v>
      </c>
      <c r="F4533" t="s">
        <v>29</v>
      </c>
      <c r="G4533" t="s">
        <v>16</v>
      </c>
      <c r="H4533" t="s">
        <v>4101</v>
      </c>
      <c r="I4533" s="2">
        <v>536.45000000000005</v>
      </c>
      <c r="J4533">
        <v>5</v>
      </c>
      <c r="K4533" s="2">
        <v>31.587</v>
      </c>
      <c r="L4533" s="3">
        <f>(Table1[[#This Row],[Profit]]/Table1[[#This Row],[Sales]])*100</f>
        <v>5.8881536023860557</v>
      </c>
    </row>
    <row r="4534" spans="1:12" x14ac:dyDescent="0.3">
      <c r="A4534" t="s">
        <v>138</v>
      </c>
      <c r="B4534" s="1">
        <v>43482</v>
      </c>
      <c r="C4534" t="s">
        <v>139</v>
      </c>
      <c r="D4534" t="s">
        <v>140</v>
      </c>
      <c r="E4534" t="s">
        <v>14</v>
      </c>
      <c r="F4534" t="s">
        <v>41</v>
      </c>
      <c r="G4534" t="s">
        <v>18</v>
      </c>
      <c r="H4534" t="s">
        <v>141</v>
      </c>
      <c r="I4534" s="2">
        <v>316</v>
      </c>
      <c r="J4534">
        <v>4</v>
      </c>
      <c r="K4534" s="2">
        <v>31.6</v>
      </c>
      <c r="L4534" s="3">
        <f>(Table1[[#This Row],[Profit]]/Table1[[#This Row],[Sales]])*100</f>
        <v>10</v>
      </c>
    </row>
    <row r="4535" spans="1:12" x14ac:dyDescent="0.3">
      <c r="A4535" t="s">
        <v>3778</v>
      </c>
      <c r="B4535" s="1">
        <v>43810</v>
      </c>
      <c r="C4535" t="s">
        <v>1756</v>
      </c>
      <c r="D4535" t="s">
        <v>1757</v>
      </c>
      <c r="E4535" t="s">
        <v>14</v>
      </c>
      <c r="F4535" t="s">
        <v>23</v>
      </c>
      <c r="G4535" t="s">
        <v>18</v>
      </c>
      <c r="H4535" t="s">
        <v>141</v>
      </c>
      <c r="I4535" s="2">
        <v>316</v>
      </c>
      <c r="J4535">
        <v>4</v>
      </c>
      <c r="K4535" s="2">
        <v>31.6</v>
      </c>
      <c r="L4535" s="3">
        <f>(Table1[[#This Row],[Profit]]/Table1[[#This Row],[Sales]])*100</f>
        <v>10</v>
      </c>
    </row>
    <row r="4536" spans="1:12" x14ac:dyDescent="0.3">
      <c r="A4536" t="s">
        <v>3990</v>
      </c>
      <c r="B4536" s="1">
        <v>43837</v>
      </c>
      <c r="C4536" t="s">
        <v>3662</v>
      </c>
      <c r="D4536" t="s">
        <v>3663</v>
      </c>
      <c r="E4536" t="s">
        <v>14</v>
      </c>
      <c r="F4536" t="s">
        <v>23</v>
      </c>
      <c r="G4536" t="s">
        <v>24</v>
      </c>
      <c r="H4536" t="s">
        <v>3991</v>
      </c>
      <c r="I4536" s="2">
        <v>156.11000000000001</v>
      </c>
      <c r="J4536">
        <v>7</v>
      </c>
      <c r="K4536" s="2">
        <v>31.931899999999999</v>
      </c>
      <c r="L4536" s="3">
        <f>(Table1[[#This Row],[Profit]]/Table1[[#This Row],[Sales]])*100</f>
        <v>20.454743450131314</v>
      </c>
    </row>
    <row r="4537" spans="1:12" x14ac:dyDescent="0.3">
      <c r="A4537" t="s">
        <v>4910</v>
      </c>
      <c r="B4537" s="1">
        <v>44009</v>
      </c>
      <c r="C4537" t="s">
        <v>3278</v>
      </c>
      <c r="D4537" t="s">
        <v>3279</v>
      </c>
      <c r="E4537" t="s">
        <v>14</v>
      </c>
      <c r="F4537" t="s">
        <v>15</v>
      </c>
      <c r="G4537" t="s">
        <v>16</v>
      </c>
      <c r="H4537" t="s">
        <v>561</v>
      </c>
      <c r="I4537" s="2">
        <v>228.64599999999999</v>
      </c>
      <c r="J4537">
        <v>3</v>
      </c>
      <c r="K4537" s="2">
        <v>31.940999999999999</v>
      </c>
      <c r="L4537" s="3">
        <f>(Table1[[#This Row],[Profit]]/Table1[[#This Row],[Sales]])*100</f>
        <v>13.969629908242437</v>
      </c>
    </row>
    <row r="4538" spans="1:12" x14ac:dyDescent="0.3">
      <c r="A4538" t="s">
        <v>936</v>
      </c>
      <c r="B4538" s="1">
        <v>43563</v>
      </c>
      <c r="C4538" t="s">
        <v>937</v>
      </c>
      <c r="D4538" t="s">
        <v>938</v>
      </c>
      <c r="E4538" t="s">
        <v>14</v>
      </c>
      <c r="F4538" t="s">
        <v>41</v>
      </c>
      <c r="G4538" t="s">
        <v>16</v>
      </c>
      <c r="H4538" t="s">
        <v>940</v>
      </c>
      <c r="I4538" s="2">
        <v>159.91999999999999</v>
      </c>
      <c r="J4538">
        <v>4</v>
      </c>
      <c r="K4538" s="2">
        <v>31.984000000000002</v>
      </c>
      <c r="L4538" s="3">
        <f>(Table1[[#This Row],[Profit]]/Table1[[#This Row],[Sales]])*100</f>
        <v>20.000000000000004</v>
      </c>
    </row>
    <row r="4539" spans="1:12" x14ac:dyDescent="0.3">
      <c r="A4539" t="s">
        <v>6135</v>
      </c>
      <c r="B4539" s="1">
        <v>44173</v>
      </c>
      <c r="C4539" t="s">
        <v>2355</v>
      </c>
      <c r="D4539" t="s">
        <v>2356</v>
      </c>
      <c r="E4539" t="s">
        <v>14</v>
      </c>
      <c r="F4539" t="s">
        <v>29</v>
      </c>
      <c r="G4539" t="s">
        <v>18</v>
      </c>
      <c r="H4539" t="s">
        <v>3548</v>
      </c>
      <c r="I4539" s="2">
        <v>201.11</v>
      </c>
      <c r="J4539">
        <v>3</v>
      </c>
      <c r="K4539" s="2">
        <v>32.059800000000003</v>
      </c>
      <c r="L4539" s="3">
        <f>(Table1[[#This Row],[Profit]]/Table1[[#This Row],[Sales]])*100</f>
        <v>15.941425090746359</v>
      </c>
    </row>
    <row r="4540" spans="1:12" x14ac:dyDescent="0.3">
      <c r="A4540" t="s">
        <v>2181</v>
      </c>
      <c r="B4540" s="1">
        <v>43671</v>
      </c>
      <c r="C4540" t="s">
        <v>2182</v>
      </c>
      <c r="D4540" t="s">
        <v>2183</v>
      </c>
      <c r="E4540" t="s">
        <v>14</v>
      </c>
      <c r="F4540" t="s">
        <v>41</v>
      </c>
      <c r="G4540" t="s">
        <v>24</v>
      </c>
      <c r="H4540" t="s">
        <v>2184</v>
      </c>
      <c r="I4540" s="2">
        <v>65.5</v>
      </c>
      <c r="J4540">
        <v>5</v>
      </c>
      <c r="K4540" s="2">
        <v>32.094999999999999</v>
      </c>
      <c r="L4540" s="3">
        <f>(Table1[[#This Row],[Profit]]/Table1[[#This Row],[Sales]])*100</f>
        <v>49</v>
      </c>
    </row>
    <row r="4541" spans="1:12" x14ac:dyDescent="0.3">
      <c r="A4541" t="s">
        <v>3211</v>
      </c>
      <c r="B4541" s="1">
        <v>43767</v>
      </c>
      <c r="C4541" t="s">
        <v>3212</v>
      </c>
      <c r="D4541" t="s">
        <v>3213</v>
      </c>
      <c r="E4541" t="s">
        <v>14</v>
      </c>
      <c r="F4541" t="s">
        <v>29</v>
      </c>
      <c r="G4541" t="s">
        <v>16</v>
      </c>
      <c r="H4541" t="s">
        <v>2894</v>
      </c>
      <c r="I4541" s="2">
        <v>67</v>
      </c>
      <c r="J4541">
        <v>5</v>
      </c>
      <c r="K4541" s="2">
        <v>32.159999999999997</v>
      </c>
      <c r="L4541" s="3">
        <f>(Table1[[#This Row],[Profit]]/Table1[[#This Row],[Sales]])*100</f>
        <v>47.999999999999993</v>
      </c>
    </row>
    <row r="4542" spans="1:12" x14ac:dyDescent="0.3">
      <c r="A4542" t="s">
        <v>4252</v>
      </c>
      <c r="B4542" s="1">
        <v>43902</v>
      </c>
      <c r="C4542" t="s">
        <v>84</v>
      </c>
      <c r="D4542" t="s">
        <v>85</v>
      </c>
      <c r="E4542" t="s">
        <v>14</v>
      </c>
      <c r="F4542" t="s">
        <v>15</v>
      </c>
      <c r="G4542" t="s">
        <v>18</v>
      </c>
      <c r="H4542" t="s">
        <v>1080</v>
      </c>
      <c r="I4542" s="2">
        <v>102.93</v>
      </c>
      <c r="J4542">
        <v>7</v>
      </c>
      <c r="K4542" s="2">
        <v>32.1678</v>
      </c>
      <c r="L4542" s="3">
        <f>(Table1[[#This Row],[Profit]]/Table1[[#This Row],[Sales]])*100</f>
        <v>31.252113086563682</v>
      </c>
    </row>
    <row r="4543" spans="1:12" x14ac:dyDescent="0.3">
      <c r="A4543" t="s">
        <v>3216</v>
      </c>
      <c r="B4543" s="1">
        <v>43768</v>
      </c>
      <c r="C4543" t="s">
        <v>633</v>
      </c>
      <c r="D4543" t="s">
        <v>634</v>
      </c>
      <c r="E4543" t="s">
        <v>14</v>
      </c>
      <c r="F4543" t="s">
        <v>15</v>
      </c>
      <c r="G4543" t="s">
        <v>24</v>
      </c>
      <c r="H4543" t="s">
        <v>1373</v>
      </c>
      <c r="I4543" s="2">
        <v>114.95</v>
      </c>
      <c r="J4543">
        <v>5</v>
      </c>
      <c r="K4543" s="2">
        <v>32.186</v>
      </c>
      <c r="L4543" s="3">
        <f>(Table1[[#This Row],[Profit]]/Table1[[#This Row],[Sales]])*100</f>
        <v>27.999999999999996</v>
      </c>
    </row>
    <row r="4544" spans="1:12" x14ac:dyDescent="0.3">
      <c r="A4544" t="s">
        <v>5557</v>
      </c>
      <c r="B4544" s="1">
        <v>44106</v>
      </c>
      <c r="C4544" t="s">
        <v>4389</v>
      </c>
      <c r="D4544" t="s">
        <v>4390</v>
      </c>
      <c r="E4544" t="s">
        <v>14</v>
      </c>
      <c r="F4544" t="s">
        <v>23</v>
      </c>
      <c r="G4544" t="s">
        <v>18</v>
      </c>
      <c r="H4544" t="s">
        <v>5391</v>
      </c>
      <c r="I4544" s="2">
        <v>380.16</v>
      </c>
      <c r="J4544">
        <v>11</v>
      </c>
      <c r="K4544" s="2">
        <v>32.301499999999997</v>
      </c>
      <c r="L4544" s="3">
        <f>(Table1[[#This Row],[Profit]]/Table1[[#This Row],[Sales]])*100</f>
        <v>8.496817129629628</v>
      </c>
    </row>
    <row r="4545" spans="1:12" x14ac:dyDescent="0.3">
      <c r="A4545" t="s">
        <v>5399</v>
      </c>
      <c r="B4545" s="1">
        <v>44089</v>
      </c>
      <c r="C4545" t="s">
        <v>1691</v>
      </c>
      <c r="D4545" t="s">
        <v>1692</v>
      </c>
      <c r="E4545" t="s">
        <v>14</v>
      </c>
      <c r="F4545" t="s">
        <v>23</v>
      </c>
      <c r="G4545" t="s">
        <v>18</v>
      </c>
      <c r="H4545" t="s">
        <v>2265</v>
      </c>
      <c r="I4545" s="2">
        <v>416.54399999999998</v>
      </c>
      <c r="J4545">
        <v>7</v>
      </c>
      <c r="K4545" s="2">
        <v>32.335099999999997</v>
      </c>
      <c r="L4545" s="3">
        <f>(Table1[[#This Row],[Profit]]/Table1[[#This Row],[Sales]])*100</f>
        <v>7.7627093416301749</v>
      </c>
    </row>
    <row r="4546" spans="1:12" x14ac:dyDescent="0.3">
      <c r="A4546" t="s">
        <v>5225</v>
      </c>
      <c r="B4546" s="1">
        <v>44071</v>
      </c>
      <c r="C4546" t="s">
        <v>2140</v>
      </c>
      <c r="D4546" t="s">
        <v>2141</v>
      </c>
      <c r="E4546" t="s">
        <v>14</v>
      </c>
      <c r="F4546" t="s">
        <v>23</v>
      </c>
      <c r="G4546" t="s">
        <v>24</v>
      </c>
      <c r="H4546" t="s">
        <v>1556</v>
      </c>
      <c r="I4546" s="2">
        <v>143.68</v>
      </c>
      <c r="J4546">
        <v>5</v>
      </c>
      <c r="K4546" s="2">
        <v>32.396000000000001</v>
      </c>
      <c r="L4546" s="3">
        <f>(Table1[[#This Row],[Profit]]/Table1[[#This Row],[Sales]])*100</f>
        <v>22.547327394209354</v>
      </c>
    </row>
    <row r="4547" spans="1:12" x14ac:dyDescent="0.3">
      <c r="A4547" t="s">
        <v>485</v>
      </c>
      <c r="B4547" s="1">
        <v>43527</v>
      </c>
      <c r="C4547" t="s">
        <v>486</v>
      </c>
      <c r="D4547" t="s">
        <v>487</v>
      </c>
      <c r="E4547" t="s">
        <v>14</v>
      </c>
      <c r="F4547" t="s">
        <v>29</v>
      </c>
      <c r="G4547" t="s">
        <v>18</v>
      </c>
      <c r="H4547" t="s">
        <v>490</v>
      </c>
      <c r="I4547" s="2">
        <v>431.976</v>
      </c>
      <c r="J4547">
        <v>3</v>
      </c>
      <c r="K4547" s="2">
        <v>32.398200000000003</v>
      </c>
      <c r="L4547" s="3">
        <f>(Table1[[#This Row],[Profit]]/Table1[[#This Row],[Sales]])*100</f>
        <v>7.5000000000000009</v>
      </c>
    </row>
    <row r="4548" spans="1:12" x14ac:dyDescent="0.3">
      <c r="A4548" t="s">
        <v>406</v>
      </c>
      <c r="B4548" s="1">
        <v>43517</v>
      </c>
      <c r="C4548" t="s">
        <v>407</v>
      </c>
      <c r="D4548" t="s">
        <v>408</v>
      </c>
      <c r="E4548" t="s">
        <v>14</v>
      </c>
      <c r="F4548" t="s">
        <v>41</v>
      </c>
      <c r="G4548" t="s">
        <v>24</v>
      </c>
      <c r="H4548" t="s">
        <v>410</v>
      </c>
      <c r="I4548" s="2">
        <v>432.45600000000002</v>
      </c>
      <c r="J4548">
        <v>3</v>
      </c>
      <c r="K4548" s="2">
        <v>32.434199999999997</v>
      </c>
      <c r="L4548" s="3">
        <f>(Table1[[#This Row],[Profit]]/Table1[[#This Row],[Sales]])*100</f>
        <v>7.4999999999999982</v>
      </c>
    </row>
    <row r="4549" spans="1:12" x14ac:dyDescent="0.3">
      <c r="A4549" t="s">
        <v>102</v>
      </c>
      <c r="B4549" s="1">
        <v>43479</v>
      </c>
      <c r="C4549" t="s">
        <v>103</v>
      </c>
      <c r="D4549" t="s">
        <v>104</v>
      </c>
      <c r="E4549" t="s">
        <v>14</v>
      </c>
      <c r="F4549" t="s">
        <v>41</v>
      </c>
      <c r="G4549" t="s">
        <v>24</v>
      </c>
      <c r="H4549" t="s">
        <v>105</v>
      </c>
      <c r="I4549" s="2">
        <v>89.567999999999998</v>
      </c>
      <c r="J4549">
        <v>2</v>
      </c>
      <c r="K4549" s="2">
        <v>32.468400000000003</v>
      </c>
      <c r="L4549" s="3">
        <f>(Table1[[#This Row],[Profit]]/Table1[[#This Row],[Sales]])*100</f>
        <v>36.250000000000007</v>
      </c>
    </row>
    <row r="4550" spans="1:12" x14ac:dyDescent="0.3">
      <c r="A4550" t="s">
        <v>3339</v>
      </c>
      <c r="B4550" s="1">
        <v>43779</v>
      </c>
      <c r="C4550" t="s">
        <v>286</v>
      </c>
      <c r="D4550" t="s">
        <v>287</v>
      </c>
      <c r="E4550" t="s">
        <v>14</v>
      </c>
      <c r="F4550" t="s">
        <v>15</v>
      </c>
      <c r="G4550" t="s">
        <v>24</v>
      </c>
      <c r="H4550" t="s">
        <v>105</v>
      </c>
      <c r="I4550" s="2">
        <v>89.567999999999998</v>
      </c>
      <c r="J4550">
        <v>2</v>
      </c>
      <c r="K4550" s="2">
        <v>32.468400000000003</v>
      </c>
      <c r="L4550" s="3">
        <f>(Table1[[#This Row],[Profit]]/Table1[[#This Row],[Sales]])*100</f>
        <v>36.250000000000007</v>
      </c>
    </row>
    <row r="4551" spans="1:12" x14ac:dyDescent="0.3">
      <c r="A4551" t="s">
        <v>4210</v>
      </c>
      <c r="B4551" s="1">
        <v>43894</v>
      </c>
      <c r="C4551" t="s">
        <v>1380</v>
      </c>
      <c r="D4551" t="s">
        <v>1381</v>
      </c>
      <c r="E4551" t="s">
        <v>14</v>
      </c>
      <c r="F4551" t="s">
        <v>29</v>
      </c>
      <c r="G4551" t="s">
        <v>24</v>
      </c>
      <c r="H4551" t="s">
        <v>1778</v>
      </c>
      <c r="I4551" s="2">
        <v>134.56800000000001</v>
      </c>
      <c r="J4551">
        <v>2</v>
      </c>
      <c r="K4551" s="2">
        <v>32.468400000000003</v>
      </c>
      <c r="L4551" s="3">
        <f>(Table1[[#This Row],[Profit]]/Table1[[#This Row],[Sales]])*100</f>
        <v>24.127875869448904</v>
      </c>
    </row>
    <row r="4552" spans="1:12" x14ac:dyDescent="0.3">
      <c r="A4552" t="s">
        <v>3733</v>
      </c>
      <c r="B4552" s="1">
        <v>43807</v>
      </c>
      <c r="C4552" t="s">
        <v>1403</v>
      </c>
      <c r="D4552" t="s">
        <v>1404</v>
      </c>
      <c r="E4552" t="s">
        <v>14</v>
      </c>
      <c r="F4552" t="s">
        <v>29</v>
      </c>
      <c r="G4552" t="s">
        <v>16</v>
      </c>
      <c r="H4552" t="s">
        <v>2663</v>
      </c>
      <c r="I4552" s="2">
        <v>405.86</v>
      </c>
      <c r="J4552">
        <v>7</v>
      </c>
      <c r="K4552" s="2">
        <v>32.468800000000002</v>
      </c>
      <c r="L4552" s="3">
        <f>(Table1[[#This Row],[Profit]]/Table1[[#This Row],[Sales]])*100</f>
        <v>8</v>
      </c>
    </row>
    <row r="4553" spans="1:12" x14ac:dyDescent="0.3">
      <c r="A4553" t="s">
        <v>3352</v>
      </c>
      <c r="B4553" s="1">
        <v>43779</v>
      </c>
      <c r="C4553" t="s">
        <v>3353</v>
      </c>
      <c r="D4553" t="s">
        <v>3354</v>
      </c>
      <c r="E4553" t="s">
        <v>14</v>
      </c>
      <c r="F4553" t="s">
        <v>23</v>
      </c>
      <c r="G4553" t="s">
        <v>24</v>
      </c>
      <c r="H4553" t="s">
        <v>1141</v>
      </c>
      <c r="I4553" s="2">
        <v>67.709999999999994</v>
      </c>
      <c r="J4553">
        <v>3</v>
      </c>
      <c r="K4553" s="2">
        <v>32.500799999999998</v>
      </c>
      <c r="L4553" s="3">
        <f>(Table1[[#This Row],[Profit]]/Table1[[#This Row],[Sales]])*100</f>
        <v>48.000000000000007</v>
      </c>
    </row>
    <row r="4554" spans="1:12" x14ac:dyDescent="0.3">
      <c r="A4554" t="s">
        <v>3102</v>
      </c>
      <c r="B4554" s="1">
        <v>43753</v>
      </c>
      <c r="C4554" t="s">
        <v>967</v>
      </c>
      <c r="D4554" t="s">
        <v>968</v>
      </c>
      <c r="E4554" t="s">
        <v>14</v>
      </c>
      <c r="F4554" t="s">
        <v>41</v>
      </c>
      <c r="G4554" t="s">
        <v>24</v>
      </c>
      <c r="H4554" t="s">
        <v>926</v>
      </c>
      <c r="I4554" s="2">
        <v>66.540000000000006</v>
      </c>
      <c r="J4554">
        <v>6</v>
      </c>
      <c r="K4554" s="2">
        <v>32.604599999999998</v>
      </c>
      <c r="L4554" s="3">
        <f>(Table1[[#This Row],[Profit]]/Table1[[#This Row],[Sales]])*100</f>
        <v>48.999999999999993</v>
      </c>
    </row>
    <row r="4555" spans="1:12" x14ac:dyDescent="0.3">
      <c r="A4555" t="s">
        <v>4887</v>
      </c>
      <c r="B4555" s="1">
        <v>44006</v>
      </c>
      <c r="C4555" t="s">
        <v>3554</v>
      </c>
      <c r="D4555" t="s">
        <v>3555</v>
      </c>
      <c r="E4555" t="s">
        <v>14</v>
      </c>
      <c r="F4555" t="s">
        <v>15</v>
      </c>
      <c r="G4555" t="s">
        <v>16</v>
      </c>
      <c r="H4555" t="s">
        <v>4888</v>
      </c>
      <c r="I4555" s="2">
        <v>190.76400000000001</v>
      </c>
      <c r="J4555">
        <v>2</v>
      </c>
      <c r="K4555" s="2">
        <v>32.633200000000002</v>
      </c>
      <c r="L4555" s="3">
        <f>(Table1[[#This Row],[Profit]]/Table1[[#This Row],[Sales]])*100</f>
        <v>17.106581954666499</v>
      </c>
    </row>
    <row r="4556" spans="1:12" x14ac:dyDescent="0.3">
      <c r="A4556" t="s">
        <v>5580</v>
      </c>
      <c r="B4556" s="1">
        <v>44110</v>
      </c>
      <c r="C4556" t="s">
        <v>3581</v>
      </c>
      <c r="D4556" t="s">
        <v>3582</v>
      </c>
      <c r="E4556" t="s">
        <v>14</v>
      </c>
      <c r="F4556" t="s">
        <v>29</v>
      </c>
      <c r="G4556" t="s">
        <v>24</v>
      </c>
      <c r="H4556" t="s">
        <v>453</v>
      </c>
      <c r="I4556" s="2">
        <v>300.33600000000001</v>
      </c>
      <c r="J4556">
        <v>2</v>
      </c>
      <c r="K4556" s="2">
        <v>32.662799999999997</v>
      </c>
      <c r="L4556" s="3">
        <f>(Table1[[#This Row],[Profit]]/Table1[[#This Row],[Sales]])*100</f>
        <v>10.875419530126257</v>
      </c>
    </row>
    <row r="4557" spans="1:12" x14ac:dyDescent="0.3">
      <c r="A4557" t="s">
        <v>6020</v>
      </c>
      <c r="B4557" s="1">
        <v>44161</v>
      </c>
      <c r="C4557" t="s">
        <v>4994</v>
      </c>
      <c r="D4557" t="s">
        <v>4995</v>
      </c>
      <c r="E4557" t="s">
        <v>14</v>
      </c>
      <c r="F4557" t="s">
        <v>15</v>
      </c>
      <c r="G4557" t="s">
        <v>24</v>
      </c>
      <c r="H4557" t="s">
        <v>1932</v>
      </c>
      <c r="I4557" s="2">
        <v>135.34399999999999</v>
      </c>
      <c r="J4557">
        <v>4</v>
      </c>
      <c r="K4557" s="2">
        <v>32.670400000000001</v>
      </c>
      <c r="L4557" s="3">
        <f>(Table1[[#This Row],[Profit]]/Table1[[#This Row],[Sales]])*100</f>
        <v>24.138787090672658</v>
      </c>
    </row>
    <row r="4558" spans="1:12" x14ac:dyDescent="0.3">
      <c r="A4558" t="s">
        <v>5795</v>
      </c>
      <c r="B4558" s="1">
        <v>44141</v>
      </c>
      <c r="C4558" t="s">
        <v>627</v>
      </c>
      <c r="D4558" t="s">
        <v>628</v>
      </c>
      <c r="E4558" t="s">
        <v>14</v>
      </c>
      <c r="F4558" t="s">
        <v>23</v>
      </c>
      <c r="G4558" t="s">
        <v>18</v>
      </c>
      <c r="H4558" t="s">
        <v>1297</v>
      </c>
      <c r="I4558" s="2">
        <v>135.96</v>
      </c>
      <c r="J4558">
        <v>3</v>
      </c>
      <c r="K4558" s="2">
        <v>32.688000000000002</v>
      </c>
      <c r="L4558" s="3">
        <f>(Table1[[#This Row],[Profit]]/Table1[[#This Row],[Sales]])*100</f>
        <v>24.042365401588704</v>
      </c>
    </row>
    <row r="4559" spans="1:12" x14ac:dyDescent="0.3">
      <c r="A4559" t="s">
        <v>5070</v>
      </c>
      <c r="B4559" s="1">
        <v>44039</v>
      </c>
      <c r="C4559" t="s">
        <v>2078</v>
      </c>
      <c r="D4559" t="s">
        <v>2079</v>
      </c>
      <c r="E4559" t="s">
        <v>14</v>
      </c>
      <c r="F4559" t="s">
        <v>23</v>
      </c>
      <c r="G4559" t="s">
        <v>18</v>
      </c>
      <c r="H4559" t="s">
        <v>1305</v>
      </c>
      <c r="I4559" s="2">
        <v>274.95</v>
      </c>
      <c r="J4559">
        <v>5</v>
      </c>
      <c r="K4559" s="2">
        <v>32.893000000000001</v>
      </c>
      <c r="L4559" s="3">
        <f>(Table1[[#This Row],[Profit]]/Table1[[#This Row],[Sales]])*100</f>
        <v>11.963266048372432</v>
      </c>
    </row>
    <row r="4560" spans="1:12" x14ac:dyDescent="0.3">
      <c r="A4560" t="s">
        <v>3090</v>
      </c>
      <c r="B4560" s="1">
        <v>43753</v>
      </c>
      <c r="C4560" t="s">
        <v>3091</v>
      </c>
      <c r="D4560" t="s">
        <v>3092</v>
      </c>
      <c r="E4560" t="s">
        <v>14</v>
      </c>
      <c r="F4560" t="s">
        <v>23</v>
      </c>
      <c r="G4560" t="s">
        <v>24</v>
      </c>
      <c r="H4560" t="s">
        <v>3096</v>
      </c>
      <c r="I4560" s="2">
        <v>71.599999999999994</v>
      </c>
      <c r="J4560">
        <v>8</v>
      </c>
      <c r="K4560" s="2">
        <v>32.936</v>
      </c>
      <c r="L4560" s="3">
        <f>(Table1[[#This Row],[Profit]]/Table1[[#This Row],[Sales]])*100</f>
        <v>46</v>
      </c>
    </row>
    <row r="4561" spans="1:12" x14ac:dyDescent="0.3">
      <c r="A4561" t="s">
        <v>5819</v>
      </c>
      <c r="B4561" s="1">
        <v>44143</v>
      </c>
      <c r="C4561" t="s">
        <v>4491</v>
      </c>
      <c r="D4561" t="s">
        <v>4492</v>
      </c>
      <c r="E4561" t="s">
        <v>14</v>
      </c>
      <c r="F4561" t="s">
        <v>15</v>
      </c>
      <c r="G4561" t="s">
        <v>24</v>
      </c>
      <c r="H4561" t="s">
        <v>5629</v>
      </c>
      <c r="I4561" s="2">
        <v>119.9</v>
      </c>
      <c r="J4561">
        <v>5</v>
      </c>
      <c r="K4561" s="2">
        <v>32.97</v>
      </c>
      <c r="L4561" s="3">
        <f>(Table1[[#This Row],[Profit]]/Table1[[#This Row],[Sales]])*100</f>
        <v>27.497914929107587</v>
      </c>
    </row>
    <row r="4562" spans="1:12" x14ac:dyDescent="0.3">
      <c r="A4562" t="s">
        <v>3399</v>
      </c>
      <c r="B4562" s="1">
        <v>43781</v>
      </c>
      <c r="C4562" t="s">
        <v>989</v>
      </c>
      <c r="D4562" t="s">
        <v>990</v>
      </c>
      <c r="E4562" t="s">
        <v>14</v>
      </c>
      <c r="F4562" t="s">
        <v>15</v>
      </c>
      <c r="G4562" t="s">
        <v>24</v>
      </c>
      <c r="H4562" t="s">
        <v>1916</v>
      </c>
      <c r="I4562" s="2">
        <v>110.096</v>
      </c>
      <c r="J4562">
        <v>2</v>
      </c>
      <c r="K4562" s="2">
        <v>33.028799999999997</v>
      </c>
      <c r="L4562" s="3">
        <f>(Table1[[#This Row],[Profit]]/Table1[[#This Row],[Sales]])*100</f>
        <v>30</v>
      </c>
    </row>
    <row r="4563" spans="1:12" x14ac:dyDescent="0.3">
      <c r="A4563" t="s">
        <v>5515</v>
      </c>
      <c r="B4563" s="1">
        <v>44100</v>
      </c>
      <c r="C4563" t="s">
        <v>2066</v>
      </c>
      <c r="D4563" t="s">
        <v>2067</v>
      </c>
      <c r="E4563" t="s">
        <v>14</v>
      </c>
      <c r="F4563" t="s">
        <v>23</v>
      </c>
      <c r="G4563" t="s">
        <v>24</v>
      </c>
      <c r="H4563" t="s">
        <v>242</v>
      </c>
      <c r="I4563" s="2">
        <v>181.88</v>
      </c>
      <c r="J4563">
        <v>6</v>
      </c>
      <c r="K4563" s="2">
        <v>33.064799999999998</v>
      </c>
      <c r="L4563" s="3">
        <f>(Table1[[#This Row],[Profit]]/Table1[[#This Row],[Sales]])*100</f>
        <v>18.179458983945455</v>
      </c>
    </row>
    <row r="4564" spans="1:12" x14ac:dyDescent="0.3">
      <c r="A4564" t="s">
        <v>5214</v>
      </c>
      <c r="B4564" s="1">
        <v>44070</v>
      </c>
      <c r="C4564" t="s">
        <v>895</v>
      </c>
      <c r="D4564" t="s">
        <v>896</v>
      </c>
      <c r="E4564" t="s">
        <v>14</v>
      </c>
      <c r="F4564" t="s">
        <v>23</v>
      </c>
      <c r="G4564" t="s">
        <v>16</v>
      </c>
      <c r="H4564" t="s">
        <v>1187</v>
      </c>
      <c r="I4564" s="2">
        <v>167.57599999999999</v>
      </c>
      <c r="J4564">
        <v>8</v>
      </c>
      <c r="K4564" s="2">
        <v>33.1584</v>
      </c>
      <c r="L4564" s="3">
        <f>(Table1[[#This Row],[Profit]]/Table1[[#This Row],[Sales]])*100</f>
        <v>19.78708168234115</v>
      </c>
    </row>
    <row r="4565" spans="1:12" x14ac:dyDescent="0.3">
      <c r="A4565" t="s">
        <v>3456</v>
      </c>
      <c r="B4565" s="1">
        <v>43787</v>
      </c>
      <c r="C4565" t="s">
        <v>3457</v>
      </c>
      <c r="D4565" t="s">
        <v>3458</v>
      </c>
      <c r="E4565" t="s">
        <v>14</v>
      </c>
      <c r="F4565" t="s">
        <v>29</v>
      </c>
      <c r="G4565" t="s">
        <v>16</v>
      </c>
      <c r="H4565" t="s">
        <v>681</v>
      </c>
      <c r="I4565" s="2">
        <v>301.95999999999998</v>
      </c>
      <c r="J4565">
        <v>2</v>
      </c>
      <c r="K4565" s="2">
        <v>33.215600000000002</v>
      </c>
      <c r="L4565" s="3">
        <f>(Table1[[#This Row],[Profit]]/Table1[[#This Row],[Sales]])*100</f>
        <v>11.000000000000002</v>
      </c>
    </row>
    <row r="4566" spans="1:12" x14ac:dyDescent="0.3">
      <c r="A4566" t="s">
        <v>4732</v>
      </c>
      <c r="B4566" s="1">
        <v>43979</v>
      </c>
      <c r="C4566" t="s">
        <v>2785</v>
      </c>
      <c r="D4566" t="s">
        <v>2786</v>
      </c>
      <c r="E4566" t="s">
        <v>14</v>
      </c>
      <c r="F4566" t="s">
        <v>41</v>
      </c>
      <c r="G4566" t="s">
        <v>16</v>
      </c>
      <c r="H4566" t="s">
        <v>681</v>
      </c>
      <c r="I4566" s="2">
        <v>323.95999999999998</v>
      </c>
      <c r="J4566">
        <v>2</v>
      </c>
      <c r="K4566" s="2">
        <v>33.215600000000002</v>
      </c>
      <c r="L4566" s="3">
        <f>(Table1[[#This Row],[Profit]]/Table1[[#This Row],[Sales]])*100</f>
        <v>10.252994196814424</v>
      </c>
    </row>
    <row r="4567" spans="1:12" x14ac:dyDescent="0.3">
      <c r="A4567" t="s">
        <v>4496</v>
      </c>
      <c r="B4567" s="1">
        <v>43941</v>
      </c>
      <c r="C4567" t="s">
        <v>1324</v>
      </c>
      <c r="D4567" t="s">
        <v>1325</v>
      </c>
      <c r="E4567" t="s">
        <v>14</v>
      </c>
      <c r="F4567" t="s">
        <v>15</v>
      </c>
      <c r="G4567" t="s">
        <v>24</v>
      </c>
      <c r="H4567" t="s">
        <v>3658</v>
      </c>
      <c r="I4567" s="2">
        <v>348.70400000000001</v>
      </c>
      <c r="J4567">
        <v>1</v>
      </c>
      <c r="K4567" s="2">
        <v>33.270400000000002</v>
      </c>
      <c r="L4567" s="3">
        <f>(Table1[[#This Row],[Profit]]/Table1[[#This Row],[Sales]])*100</f>
        <v>9.5411581169129125</v>
      </c>
    </row>
    <row r="4568" spans="1:12" x14ac:dyDescent="0.3">
      <c r="A4568" t="s">
        <v>5810</v>
      </c>
      <c r="B4568" s="1">
        <v>44142</v>
      </c>
      <c r="C4568" t="s">
        <v>1038</v>
      </c>
      <c r="D4568" t="s">
        <v>1039</v>
      </c>
      <c r="E4568" t="s">
        <v>14</v>
      </c>
      <c r="F4568" t="s">
        <v>15</v>
      </c>
      <c r="G4568" t="s">
        <v>24</v>
      </c>
      <c r="H4568" t="s">
        <v>3103</v>
      </c>
      <c r="I4568" s="2">
        <v>127.94</v>
      </c>
      <c r="J4568">
        <v>7</v>
      </c>
      <c r="K4568" s="2">
        <v>33.310200000000002</v>
      </c>
      <c r="L4568" s="3">
        <f>(Table1[[#This Row],[Profit]]/Table1[[#This Row],[Sales]])*100</f>
        <v>26.035798030326717</v>
      </c>
    </row>
    <row r="4569" spans="1:12" x14ac:dyDescent="0.3">
      <c r="A4569" t="s">
        <v>6217</v>
      </c>
      <c r="B4569" s="1">
        <v>44184</v>
      </c>
      <c r="C4569" t="s">
        <v>2849</v>
      </c>
      <c r="D4569" t="s">
        <v>2850</v>
      </c>
      <c r="E4569" t="s">
        <v>14</v>
      </c>
      <c r="F4569" t="s">
        <v>41</v>
      </c>
      <c r="G4569" t="s">
        <v>24</v>
      </c>
      <c r="H4569" t="s">
        <v>4008</v>
      </c>
      <c r="I4569" s="2">
        <v>2029.62</v>
      </c>
      <c r="J4569">
        <v>2</v>
      </c>
      <c r="K4569" s="2">
        <v>33.312399999999997</v>
      </c>
      <c r="L4569" s="3">
        <f>(Table1[[#This Row],[Profit]]/Table1[[#This Row],[Sales]])*100</f>
        <v>1.6413121668095505</v>
      </c>
    </row>
    <row r="4570" spans="1:12" x14ac:dyDescent="0.3">
      <c r="A4570" t="s">
        <v>387</v>
      </c>
      <c r="B4570" s="1">
        <v>43515</v>
      </c>
      <c r="C4570" t="s">
        <v>380</v>
      </c>
      <c r="D4570" t="s">
        <v>381</v>
      </c>
      <c r="E4570" t="s">
        <v>14</v>
      </c>
      <c r="F4570" t="s">
        <v>23</v>
      </c>
      <c r="G4570" t="s">
        <v>24</v>
      </c>
      <c r="H4570" t="s">
        <v>388</v>
      </c>
      <c r="I4570" s="2">
        <v>70.88</v>
      </c>
      <c r="J4570">
        <v>2</v>
      </c>
      <c r="K4570" s="2">
        <v>33.313600000000001</v>
      </c>
      <c r="L4570" s="3">
        <f>(Table1[[#This Row],[Profit]]/Table1[[#This Row],[Sales]])*100</f>
        <v>47</v>
      </c>
    </row>
    <row r="4571" spans="1:12" x14ac:dyDescent="0.3">
      <c r="A4571" t="s">
        <v>2261</v>
      </c>
      <c r="B4571" s="1">
        <v>43683</v>
      </c>
      <c r="C4571" t="s">
        <v>1430</v>
      </c>
      <c r="D4571" t="s">
        <v>1431</v>
      </c>
      <c r="E4571" t="s">
        <v>14</v>
      </c>
      <c r="F4571" t="s">
        <v>15</v>
      </c>
      <c r="G4571" t="s">
        <v>24</v>
      </c>
      <c r="H4571" t="s">
        <v>234</v>
      </c>
      <c r="I4571" s="2">
        <v>70.88</v>
      </c>
      <c r="J4571">
        <v>2</v>
      </c>
      <c r="K4571" s="2">
        <v>33.313600000000001</v>
      </c>
      <c r="L4571" s="3">
        <f>(Table1[[#This Row],[Profit]]/Table1[[#This Row],[Sales]])*100</f>
        <v>47</v>
      </c>
    </row>
    <row r="4572" spans="1:12" x14ac:dyDescent="0.3">
      <c r="A4572" t="s">
        <v>2226</v>
      </c>
      <c r="B4572" s="1">
        <v>43677</v>
      </c>
      <c r="C4572" t="s">
        <v>1472</v>
      </c>
      <c r="D4572" t="s">
        <v>1473</v>
      </c>
      <c r="E4572" t="s">
        <v>14</v>
      </c>
      <c r="F4572" t="s">
        <v>29</v>
      </c>
      <c r="G4572" t="s">
        <v>18</v>
      </c>
      <c r="H4572" t="s">
        <v>2229</v>
      </c>
      <c r="I4572" s="2">
        <v>118.99</v>
      </c>
      <c r="J4572">
        <v>1</v>
      </c>
      <c r="K4572" s="2">
        <v>33.3172</v>
      </c>
      <c r="L4572" s="3">
        <f>(Table1[[#This Row],[Profit]]/Table1[[#This Row],[Sales]])*100</f>
        <v>28.000000000000004</v>
      </c>
    </row>
    <row r="4573" spans="1:12" x14ac:dyDescent="0.3">
      <c r="A4573" t="s">
        <v>4411</v>
      </c>
      <c r="B4573" s="1">
        <v>43925</v>
      </c>
      <c r="C4573" t="s">
        <v>4044</v>
      </c>
      <c r="D4573" t="s">
        <v>4045</v>
      </c>
      <c r="E4573" t="s">
        <v>14</v>
      </c>
      <c r="F4573" t="s">
        <v>15</v>
      </c>
      <c r="G4573" t="s">
        <v>18</v>
      </c>
      <c r="H4573" t="s">
        <v>2018</v>
      </c>
      <c r="I4573" s="2">
        <v>145.02000000000001</v>
      </c>
      <c r="J4573">
        <v>2</v>
      </c>
      <c r="K4573" s="2">
        <v>33.325600000000001</v>
      </c>
      <c r="L4573" s="3">
        <f>(Table1[[#This Row],[Profit]]/Table1[[#This Row],[Sales]])*100</f>
        <v>22.980002758240243</v>
      </c>
    </row>
    <row r="4574" spans="1:12" x14ac:dyDescent="0.3">
      <c r="A4574" t="s">
        <v>4188</v>
      </c>
      <c r="B4574" s="1">
        <v>43892</v>
      </c>
      <c r="C4574" t="s">
        <v>4189</v>
      </c>
      <c r="D4574" t="s">
        <v>4190</v>
      </c>
      <c r="E4574" t="s">
        <v>14</v>
      </c>
      <c r="F4574" t="s">
        <v>15</v>
      </c>
      <c r="G4574" t="s">
        <v>24</v>
      </c>
      <c r="H4574" t="s">
        <v>234</v>
      </c>
      <c r="I4574" s="2">
        <v>109.04</v>
      </c>
      <c r="J4574">
        <v>6</v>
      </c>
      <c r="K4574" s="2">
        <v>33.339599999999997</v>
      </c>
      <c r="L4574" s="3">
        <f>(Table1[[#This Row],[Profit]]/Table1[[#This Row],[Sales]])*100</f>
        <v>30.575568598679382</v>
      </c>
    </row>
    <row r="4575" spans="1:12" x14ac:dyDescent="0.3">
      <c r="A4575" t="s">
        <v>2241</v>
      </c>
      <c r="B4575" s="1">
        <v>43679</v>
      </c>
      <c r="C4575" t="s">
        <v>1976</v>
      </c>
      <c r="D4575" t="s">
        <v>1977</v>
      </c>
      <c r="E4575" t="s">
        <v>14</v>
      </c>
      <c r="F4575" t="s">
        <v>23</v>
      </c>
      <c r="G4575" t="s">
        <v>18</v>
      </c>
      <c r="H4575" t="s">
        <v>1467</v>
      </c>
      <c r="I4575" s="2">
        <v>333.57600000000002</v>
      </c>
      <c r="J4575">
        <v>3</v>
      </c>
      <c r="K4575" s="2">
        <v>33.357599999999998</v>
      </c>
      <c r="L4575" s="3">
        <f>(Table1[[#This Row],[Profit]]/Table1[[#This Row],[Sales]])*100</f>
        <v>10</v>
      </c>
    </row>
    <row r="4576" spans="1:12" x14ac:dyDescent="0.3">
      <c r="A4576" t="s">
        <v>4542</v>
      </c>
      <c r="B4576" s="1">
        <v>43948</v>
      </c>
      <c r="C4576" t="s">
        <v>1024</v>
      </c>
      <c r="D4576" t="s">
        <v>1025</v>
      </c>
      <c r="E4576" t="s">
        <v>14</v>
      </c>
      <c r="F4576" t="s">
        <v>23</v>
      </c>
      <c r="G4576" t="s">
        <v>24</v>
      </c>
      <c r="H4576" t="s">
        <v>1533</v>
      </c>
      <c r="I4576" s="2">
        <v>169.92</v>
      </c>
      <c r="J4576">
        <v>4</v>
      </c>
      <c r="K4576" s="2">
        <v>33.458399999999997</v>
      </c>
      <c r="L4576" s="3">
        <f>(Table1[[#This Row],[Profit]]/Table1[[#This Row],[Sales]])*100</f>
        <v>19.690677966101696</v>
      </c>
    </row>
    <row r="4577" spans="1:12" x14ac:dyDescent="0.3">
      <c r="A4577" t="s">
        <v>5163</v>
      </c>
      <c r="B4577" s="1">
        <v>44061</v>
      </c>
      <c r="C4577" t="s">
        <v>4138</v>
      </c>
      <c r="D4577" t="s">
        <v>4139</v>
      </c>
      <c r="E4577" t="s">
        <v>14</v>
      </c>
      <c r="F4577" t="s">
        <v>15</v>
      </c>
      <c r="G4577" t="s">
        <v>24</v>
      </c>
      <c r="H4577" t="s">
        <v>1423</v>
      </c>
      <c r="I4577" s="2">
        <v>140.42400000000001</v>
      </c>
      <c r="J4577">
        <v>9</v>
      </c>
      <c r="K4577" s="2">
        <v>33.57</v>
      </c>
      <c r="L4577" s="3">
        <f>(Table1[[#This Row],[Profit]]/Table1[[#This Row],[Sales]])*100</f>
        <v>23.90616988548966</v>
      </c>
    </row>
    <row r="4578" spans="1:12" x14ac:dyDescent="0.3">
      <c r="A4578" t="s">
        <v>1812</v>
      </c>
      <c r="B4578" s="1">
        <v>43636</v>
      </c>
      <c r="C4578" t="s">
        <v>1813</v>
      </c>
      <c r="D4578" t="s">
        <v>1814</v>
      </c>
      <c r="E4578" t="s">
        <v>14</v>
      </c>
      <c r="F4578" t="s">
        <v>15</v>
      </c>
      <c r="G4578" t="s">
        <v>24</v>
      </c>
      <c r="H4578" t="s">
        <v>1816</v>
      </c>
      <c r="I4578" s="2">
        <v>447.69600000000003</v>
      </c>
      <c r="J4578">
        <v>2</v>
      </c>
      <c r="K4578" s="2">
        <v>33.577199999999998</v>
      </c>
      <c r="L4578" s="3">
        <f>(Table1[[#This Row],[Profit]]/Table1[[#This Row],[Sales]])*100</f>
        <v>7.5</v>
      </c>
    </row>
    <row r="4579" spans="1:12" x14ac:dyDescent="0.3">
      <c r="A4579" t="s">
        <v>6223</v>
      </c>
      <c r="B4579" s="1">
        <v>44186</v>
      </c>
      <c r="C4579" t="s">
        <v>261</v>
      </c>
      <c r="D4579" t="s">
        <v>262</v>
      </c>
      <c r="E4579" t="s">
        <v>14</v>
      </c>
      <c r="F4579" t="s">
        <v>23</v>
      </c>
      <c r="G4579" t="s">
        <v>24</v>
      </c>
      <c r="H4579" t="s">
        <v>302</v>
      </c>
      <c r="I4579" s="2">
        <v>334.36</v>
      </c>
      <c r="J4579">
        <v>2</v>
      </c>
      <c r="K4579" s="2">
        <v>33.577199999999998</v>
      </c>
      <c r="L4579" s="3">
        <f>(Table1[[#This Row],[Profit]]/Table1[[#This Row],[Sales]])*100</f>
        <v>10.042229931810025</v>
      </c>
    </row>
    <row r="4580" spans="1:12" x14ac:dyDescent="0.3">
      <c r="A4580" t="s">
        <v>4347</v>
      </c>
      <c r="B4580" s="1">
        <v>43916</v>
      </c>
      <c r="C4580" t="s">
        <v>3679</v>
      </c>
      <c r="D4580" t="s">
        <v>3680</v>
      </c>
      <c r="E4580" t="s">
        <v>14</v>
      </c>
      <c r="F4580" t="s">
        <v>15</v>
      </c>
      <c r="G4580" t="s">
        <v>18</v>
      </c>
      <c r="H4580" t="s">
        <v>2339</v>
      </c>
      <c r="I4580" s="2">
        <v>167.96</v>
      </c>
      <c r="J4580">
        <v>4</v>
      </c>
      <c r="K4580" s="2">
        <v>33.588799999999999</v>
      </c>
      <c r="L4580" s="3">
        <f>(Table1[[#This Row],[Profit]]/Table1[[#This Row],[Sales]])*100</f>
        <v>19.998094784472492</v>
      </c>
    </row>
    <row r="4581" spans="1:12" x14ac:dyDescent="0.3">
      <c r="A4581" t="s">
        <v>5481</v>
      </c>
      <c r="B4581" s="1">
        <v>44097</v>
      </c>
      <c r="C4581" t="s">
        <v>439</v>
      </c>
      <c r="D4581" t="s">
        <v>440</v>
      </c>
      <c r="E4581" t="s">
        <v>14</v>
      </c>
      <c r="F4581" t="s">
        <v>23</v>
      </c>
      <c r="G4581" t="s">
        <v>24</v>
      </c>
      <c r="H4581" t="s">
        <v>5014</v>
      </c>
      <c r="I4581" s="2">
        <v>137.96</v>
      </c>
      <c r="J4581">
        <v>2</v>
      </c>
      <c r="K4581" s="2">
        <v>33.588799999999999</v>
      </c>
      <c r="L4581" s="3">
        <f>(Table1[[#This Row],[Profit]]/Table1[[#This Row],[Sales]])*100</f>
        <v>24.346767178892431</v>
      </c>
    </row>
    <row r="4582" spans="1:12" x14ac:dyDescent="0.3">
      <c r="A4582" t="s">
        <v>5321</v>
      </c>
      <c r="B4582" s="1">
        <v>44082</v>
      </c>
      <c r="C4582" t="s">
        <v>4197</v>
      </c>
      <c r="D4582" t="s">
        <v>4198</v>
      </c>
      <c r="E4582" t="s">
        <v>14</v>
      </c>
      <c r="F4582" t="s">
        <v>15</v>
      </c>
      <c r="G4582" t="s">
        <v>18</v>
      </c>
      <c r="H4582" t="s">
        <v>3627</v>
      </c>
      <c r="I4582" s="2">
        <v>133.83199999999999</v>
      </c>
      <c r="J4582">
        <v>4</v>
      </c>
      <c r="K4582" s="2">
        <v>33.589199999999998</v>
      </c>
      <c r="L4582" s="3">
        <f>(Table1[[#This Row],[Profit]]/Table1[[#This Row],[Sales]])*100</f>
        <v>25.09803335525136</v>
      </c>
    </row>
    <row r="4583" spans="1:12" x14ac:dyDescent="0.3">
      <c r="A4583" t="s">
        <v>474</v>
      </c>
      <c r="B4583" s="1">
        <v>43527</v>
      </c>
      <c r="C4583" t="s">
        <v>475</v>
      </c>
      <c r="D4583" t="s">
        <v>476</v>
      </c>
      <c r="E4583" t="s">
        <v>14</v>
      </c>
      <c r="F4583" t="s">
        <v>29</v>
      </c>
      <c r="G4583" t="s">
        <v>18</v>
      </c>
      <c r="H4583" t="s">
        <v>478</v>
      </c>
      <c r="I4583" s="2">
        <v>287.91000000000003</v>
      </c>
      <c r="J4583">
        <v>3</v>
      </c>
      <c r="K4583" s="2">
        <v>33.589500000000001</v>
      </c>
      <c r="L4583" s="3">
        <f>(Table1[[#This Row],[Profit]]/Table1[[#This Row],[Sales]])*100</f>
        <v>11.666666666666666</v>
      </c>
    </row>
    <row r="4584" spans="1:12" x14ac:dyDescent="0.3">
      <c r="A4584" t="s">
        <v>2719</v>
      </c>
      <c r="B4584" s="1">
        <v>43719</v>
      </c>
      <c r="C4584" t="s">
        <v>2720</v>
      </c>
      <c r="D4584" t="s">
        <v>2721</v>
      </c>
      <c r="E4584" t="s">
        <v>14</v>
      </c>
      <c r="F4584" t="s">
        <v>29</v>
      </c>
      <c r="G4584" t="s">
        <v>24</v>
      </c>
      <c r="H4584" t="s">
        <v>511</v>
      </c>
      <c r="I4584" s="2">
        <v>99.567999999999998</v>
      </c>
      <c r="J4584">
        <v>2</v>
      </c>
      <c r="K4584" s="2">
        <v>33.604199999999999</v>
      </c>
      <c r="L4584" s="3">
        <f>(Table1[[#This Row],[Profit]]/Table1[[#This Row],[Sales]])*100</f>
        <v>33.75</v>
      </c>
    </row>
    <row r="4585" spans="1:12" x14ac:dyDescent="0.3">
      <c r="A4585" t="s">
        <v>4191</v>
      </c>
      <c r="B4585" s="1">
        <v>43892</v>
      </c>
      <c r="C4585" t="s">
        <v>1189</v>
      </c>
      <c r="D4585" t="s">
        <v>1190</v>
      </c>
      <c r="E4585" t="s">
        <v>14</v>
      </c>
      <c r="F4585" t="s">
        <v>23</v>
      </c>
      <c r="G4585" t="s">
        <v>24</v>
      </c>
      <c r="H4585" t="s">
        <v>927</v>
      </c>
      <c r="I4585" s="2">
        <v>128.648</v>
      </c>
      <c r="J4585">
        <v>2</v>
      </c>
      <c r="K4585" s="2">
        <v>33.64</v>
      </c>
      <c r="L4585" s="3">
        <f>(Table1[[#This Row],[Profit]]/Table1[[#This Row],[Sales]])*100</f>
        <v>26.148871338847091</v>
      </c>
    </row>
    <row r="4586" spans="1:12" x14ac:dyDescent="0.3">
      <c r="A4586" t="s">
        <v>4043</v>
      </c>
      <c r="B4586" s="1">
        <v>43851</v>
      </c>
      <c r="C4586" t="s">
        <v>4044</v>
      </c>
      <c r="D4586" t="s">
        <v>4045</v>
      </c>
      <c r="E4586" t="s">
        <v>14</v>
      </c>
      <c r="F4586" t="s">
        <v>23</v>
      </c>
      <c r="G4586" t="s">
        <v>24</v>
      </c>
      <c r="H4586" t="s">
        <v>3351</v>
      </c>
      <c r="I4586" s="2">
        <v>116.696</v>
      </c>
      <c r="J4586">
        <v>6</v>
      </c>
      <c r="K4586" s="2">
        <v>33.647399999999998</v>
      </c>
      <c r="L4586" s="3">
        <f>(Table1[[#This Row],[Profit]]/Table1[[#This Row],[Sales]])*100</f>
        <v>28.833379036128058</v>
      </c>
    </row>
    <row r="4587" spans="1:12" x14ac:dyDescent="0.3">
      <c r="A4587" t="s">
        <v>3082</v>
      </c>
      <c r="B4587" s="1">
        <v>43752</v>
      </c>
      <c r="C4587" t="s">
        <v>3083</v>
      </c>
      <c r="D4587" t="s">
        <v>3084</v>
      </c>
      <c r="E4587" t="s">
        <v>14</v>
      </c>
      <c r="F4587" t="s">
        <v>41</v>
      </c>
      <c r="G4587" t="s">
        <v>24</v>
      </c>
      <c r="H4587" t="s">
        <v>2464</v>
      </c>
      <c r="I4587" s="2">
        <v>93.024000000000001</v>
      </c>
      <c r="J4587">
        <v>3</v>
      </c>
      <c r="K4587" s="2">
        <v>33.721200000000003</v>
      </c>
      <c r="L4587" s="3">
        <f>(Table1[[#This Row],[Profit]]/Table1[[#This Row],[Sales]])*100</f>
        <v>36.250000000000007</v>
      </c>
    </row>
    <row r="4588" spans="1:12" x14ac:dyDescent="0.3">
      <c r="A4588" t="s">
        <v>3077</v>
      </c>
      <c r="B4588" s="1">
        <v>43751</v>
      </c>
      <c r="C4588" t="s">
        <v>3037</v>
      </c>
      <c r="D4588" t="s">
        <v>3038</v>
      </c>
      <c r="E4588" t="s">
        <v>14</v>
      </c>
      <c r="F4588" t="s">
        <v>15</v>
      </c>
      <c r="G4588" t="s">
        <v>16</v>
      </c>
      <c r="H4588" t="s">
        <v>3079</v>
      </c>
      <c r="I4588" s="2">
        <v>82.26</v>
      </c>
      <c r="J4588">
        <v>3</v>
      </c>
      <c r="K4588" s="2">
        <v>33.726599999999998</v>
      </c>
      <c r="L4588" s="3">
        <f>(Table1[[#This Row],[Profit]]/Table1[[#This Row],[Sales]])*100</f>
        <v>40.999999999999993</v>
      </c>
    </row>
    <row r="4589" spans="1:12" x14ac:dyDescent="0.3">
      <c r="A4589" t="s">
        <v>3565</v>
      </c>
      <c r="B4589" s="1">
        <v>43793</v>
      </c>
      <c r="C4589" t="s">
        <v>2197</v>
      </c>
      <c r="D4589" t="s">
        <v>2198</v>
      </c>
      <c r="E4589" t="s">
        <v>14</v>
      </c>
      <c r="F4589" t="s">
        <v>23</v>
      </c>
      <c r="G4589" t="s">
        <v>16</v>
      </c>
      <c r="H4589" t="s">
        <v>3079</v>
      </c>
      <c r="I4589" s="2">
        <v>82.26</v>
      </c>
      <c r="J4589">
        <v>3</v>
      </c>
      <c r="K4589" s="2">
        <v>33.726599999999998</v>
      </c>
      <c r="L4589" s="3">
        <f>(Table1[[#This Row],[Profit]]/Table1[[#This Row],[Sales]])*100</f>
        <v>40.999999999999993</v>
      </c>
    </row>
    <row r="4590" spans="1:12" x14ac:dyDescent="0.3">
      <c r="A4590" t="s">
        <v>1934</v>
      </c>
      <c r="B4590" s="1">
        <v>43647</v>
      </c>
      <c r="C4590" t="s">
        <v>1935</v>
      </c>
      <c r="D4590" t="s">
        <v>1936</v>
      </c>
      <c r="E4590" t="s">
        <v>14</v>
      </c>
      <c r="F4590" t="s">
        <v>15</v>
      </c>
      <c r="G4590" t="s">
        <v>24</v>
      </c>
      <c r="H4590" t="s">
        <v>1939</v>
      </c>
      <c r="I4590" s="2">
        <v>75.06</v>
      </c>
      <c r="J4590">
        <v>9</v>
      </c>
      <c r="K4590" s="2">
        <v>33.777000000000001</v>
      </c>
      <c r="L4590" s="3">
        <f>(Table1[[#This Row],[Profit]]/Table1[[#This Row],[Sales]])*100</f>
        <v>45</v>
      </c>
    </row>
    <row r="4591" spans="1:12" x14ac:dyDescent="0.3">
      <c r="A4591" t="s">
        <v>2499</v>
      </c>
      <c r="B4591" s="1">
        <v>43707</v>
      </c>
      <c r="C4591" t="s">
        <v>2500</v>
      </c>
      <c r="D4591" t="s">
        <v>2501</v>
      </c>
      <c r="E4591" t="s">
        <v>14</v>
      </c>
      <c r="F4591" t="s">
        <v>15</v>
      </c>
      <c r="G4591" t="s">
        <v>24</v>
      </c>
      <c r="H4591" t="s">
        <v>2083</v>
      </c>
      <c r="I4591" s="2">
        <v>100.24</v>
      </c>
      <c r="J4591">
        <v>10</v>
      </c>
      <c r="K4591" s="2">
        <v>33.831000000000003</v>
      </c>
      <c r="L4591" s="3">
        <f>(Table1[[#This Row],[Profit]]/Table1[[#This Row],[Sales]])*100</f>
        <v>33.75</v>
      </c>
    </row>
    <row r="4592" spans="1:12" x14ac:dyDescent="0.3">
      <c r="A4592" t="s">
        <v>1697</v>
      </c>
      <c r="B4592" s="1">
        <v>43627</v>
      </c>
      <c r="C4592" t="s">
        <v>1698</v>
      </c>
      <c r="D4592" t="s">
        <v>1699</v>
      </c>
      <c r="E4592" t="s">
        <v>14</v>
      </c>
      <c r="F4592" t="s">
        <v>23</v>
      </c>
      <c r="G4592" t="s">
        <v>16</v>
      </c>
      <c r="H4592" t="s">
        <v>1700</v>
      </c>
      <c r="I4592" s="2">
        <v>902.71199999999999</v>
      </c>
      <c r="J4592">
        <v>3</v>
      </c>
      <c r="K4592" s="2">
        <v>33.851700000000001</v>
      </c>
      <c r="L4592" s="3">
        <f>(Table1[[#This Row],[Profit]]/Table1[[#This Row],[Sales]])*100</f>
        <v>3.75</v>
      </c>
    </row>
    <row r="4593" spans="1:12" x14ac:dyDescent="0.3">
      <c r="A4593" t="s">
        <v>3917</v>
      </c>
      <c r="B4593" s="1">
        <v>43825</v>
      </c>
      <c r="C4593" t="s">
        <v>599</v>
      </c>
      <c r="D4593" t="s">
        <v>600</v>
      </c>
      <c r="E4593" t="s">
        <v>14</v>
      </c>
      <c r="F4593" t="s">
        <v>23</v>
      </c>
      <c r="G4593" t="s">
        <v>16</v>
      </c>
      <c r="H4593" t="s">
        <v>1700</v>
      </c>
      <c r="I4593" s="2">
        <v>902.71199999999999</v>
      </c>
      <c r="J4593">
        <v>3</v>
      </c>
      <c r="K4593" s="2">
        <v>33.851700000000001</v>
      </c>
      <c r="L4593" s="3">
        <f>(Table1[[#This Row],[Profit]]/Table1[[#This Row],[Sales]])*100</f>
        <v>3.75</v>
      </c>
    </row>
    <row r="4594" spans="1:12" x14ac:dyDescent="0.3">
      <c r="A4594" t="s">
        <v>3669</v>
      </c>
      <c r="B4594" s="1">
        <v>43801</v>
      </c>
      <c r="C4594" t="s">
        <v>2760</v>
      </c>
      <c r="D4594" t="s">
        <v>2761</v>
      </c>
      <c r="E4594" t="s">
        <v>14</v>
      </c>
      <c r="F4594" t="s">
        <v>23</v>
      </c>
      <c r="G4594" t="s">
        <v>24</v>
      </c>
      <c r="H4594" t="s">
        <v>542</v>
      </c>
      <c r="I4594" s="2">
        <v>104.184</v>
      </c>
      <c r="J4594">
        <v>3</v>
      </c>
      <c r="K4594" s="2">
        <v>33.8598</v>
      </c>
      <c r="L4594" s="3">
        <f>(Table1[[#This Row],[Profit]]/Table1[[#This Row],[Sales]])*100</f>
        <v>32.5</v>
      </c>
    </row>
    <row r="4595" spans="1:12" x14ac:dyDescent="0.3">
      <c r="A4595" t="s">
        <v>4744</v>
      </c>
      <c r="B4595" s="1">
        <v>43981</v>
      </c>
      <c r="C4595" t="s">
        <v>428</v>
      </c>
      <c r="D4595" t="s">
        <v>429</v>
      </c>
      <c r="E4595" t="s">
        <v>14</v>
      </c>
      <c r="F4595" t="s">
        <v>41</v>
      </c>
      <c r="G4595" t="s">
        <v>16</v>
      </c>
      <c r="H4595" t="s">
        <v>4745</v>
      </c>
      <c r="I4595" s="2">
        <v>276.95999999999998</v>
      </c>
      <c r="J4595">
        <v>2</v>
      </c>
      <c r="K4595" s="2">
        <v>33.874400000000001</v>
      </c>
      <c r="L4595" s="3">
        <f>(Table1[[#This Row],[Profit]]/Table1[[#This Row],[Sales]])*100</f>
        <v>12.230791450028887</v>
      </c>
    </row>
    <row r="4596" spans="1:12" x14ac:dyDescent="0.3">
      <c r="A4596" t="s">
        <v>2545</v>
      </c>
      <c r="B4596" s="1">
        <v>43710</v>
      </c>
      <c r="C4596" t="s">
        <v>341</v>
      </c>
      <c r="D4596" t="s">
        <v>342</v>
      </c>
      <c r="E4596" t="s">
        <v>14</v>
      </c>
      <c r="F4596" t="s">
        <v>29</v>
      </c>
      <c r="G4596" t="s">
        <v>18</v>
      </c>
      <c r="H4596" t="s">
        <v>51</v>
      </c>
      <c r="I4596" s="2">
        <v>159.56</v>
      </c>
      <c r="J4596">
        <v>5</v>
      </c>
      <c r="K4596" s="2">
        <v>33.906500000000001</v>
      </c>
      <c r="L4596" s="3">
        <f>(Table1[[#This Row],[Profit]]/Table1[[#This Row],[Sales]])*100</f>
        <v>21.25</v>
      </c>
    </row>
    <row r="4597" spans="1:12" x14ac:dyDescent="0.3">
      <c r="A4597" t="s">
        <v>1217</v>
      </c>
      <c r="B4597" s="1">
        <v>43587</v>
      </c>
      <c r="C4597" t="s">
        <v>633</v>
      </c>
      <c r="D4597" t="s">
        <v>634</v>
      </c>
      <c r="E4597" t="s">
        <v>14</v>
      </c>
      <c r="F4597" t="s">
        <v>15</v>
      </c>
      <c r="G4597" t="s">
        <v>24</v>
      </c>
      <c r="H4597" t="s">
        <v>1219</v>
      </c>
      <c r="I4597" s="2">
        <v>90.48</v>
      </c>
      <c r="J4597">
        <v>3</v>
      </c>
      <c r="K4597" s="2">
        <v>33.93</v>
      </c>
      <c r="L4597" s="3">
        <f>(Table1[[#This Row],[Profit]]/Table1[[#This Row],[Sales]])*100</f>
        <v>37.5</v>
      </c>
    </row>
    <row r="4598" spans="1:12" x14ac:dyDescent="0.3">
      <c r="A4598" t="s">
        <v>6130</v>
      </c>
      <c r="B4598" s="1">
        <v>44173</v>
      </c>
      <c r="C4598" t="s">
        <v>1794</v>
      </c>
      <c r="D4598" t="s">
        <v>1795</v>
      </c>
      <c r="E4598" t="s">
        <v>14</v>
      </c>
      <c r="F4598" t="s">
        <v>23</v>
      </c>
      <c r="G4598" t="s">
        <v>24</v>
      </c>
      <c r="H4598" t="s">
        <v>1219</v>
      </c>
      <c r="I4598" s="2">
        <v>104.48</v>
      </c>
      <c r="J4598">
        <v>3</v>
      </c>
      <c r="K4598" s="2">
        <v>33.93</v>
      </c>
      <c r="L4598" s="3">
        <f>(Table1[[#This Row],[Profit]]/Table1[[#This Row],[Sales]])*100</f>
        <v>32.475114854517614</v>
      </c>
    </row>
    <row r="4599" spans="1:12" x14ac:dyDescent="0.3">
      <c r="A4599" t="s">
        <v>6256</v>
      </c>
      <c r="B4599" s="1">
        <v>44189</v>
      </c>
      <c r="C4599" t="s">
        <v>6257</v>
      </c>
      <c r="D4599" t="s">
        <v>6258</v>
      </c>
      <c r="E4599" t="s">
        <v>14</v>
      </c>
      <c r="F4599" t="s">
        <v>23</v>
      </c>
      <c r="G4599" t="s">
        <v>24</v>
      </c>
      <c r="H4599" t="s">
        <v>1219</v>
      </c>
      <c r="I4599" s="2">
        <v>471.48</v>
      </c>
      <c r="J4599">
        <v>3</v>
      </c>
      <c r="K4599" s="2">
        <v>33.93</v>
      </c>
      <c r="L4599" s="3">
        <f>(Table1[[#This Row],[Profit]]/Table1[[#This Row],[Sales]])*100</f>
        <v>7.1964876558920841</v>
      </c>
    </row>
    <row r="4600" spans="1:12" x14ac:dyDescent="0.3">
      <c r="A4600" t="s">
        <v>2774</v>
      </c>
      <c r="B4600" s="1">
        <v>43725</v>
      </c>
      <c r="C4600" t="s">
        <v>75</v>
      </c>
      <c r="D4600" t="s">
        <v>76</v>
      </c>
      <c r="E4600" t="s">
        <v>14</v>
      </c>
      <c r="F4600" t="s">
        <v>15</v>
      </c>
      <c r="G4600" t="s">
        <v>16</v>
      </c>
      <c r="H4600" t="s">
        <v>2775</v>
      </c>
      <c r="I4600" s="2">
        <v>109.48</v>
      </c>
      <c r="J4600">
        <v>2</v>
      </c>
      <c r="K4600" s="2">
        <v>33.938800000000001</v>
      </c>
      <c r="L4600" s="3">
        <f>(Table1[[#This Row],[Profit]]/Table1[[#This Row],[Sales]])*100</f>
        <v>31</v>
      </c>
    </row>
    <row r="4601" spans="1:12" x14ac:dyDescent="0.3">
      <c r="A4601" t="s">
        <v>6133</v>
      </c>
      <c r="B4601" s="1">
        <v>44173</v>
      </c>
      <c r="C4601" t="s">
        <v>2578</v>
      </c>
      <c r="D4601" t="s">
        <v>2579</v>
      </c>
      <c r="E4601" t="s">
        <v>14</v>
      </c>
      <c r="F4601" t="s">
        <v>15</v>
      </c>
      <c r="G4601" t="s">
        <v>16</v>
      </c>
      <c r="H4601" t="s">
        <v>2775</v>
      </c>
      <c r="I4601" s="2">
        <v>143.47999999999999</v>
      </c>
      <c r="J4601">
        <v>2</v>
      </c>
      <c r="K4601" s="2">
        <v>33.938800000000001</v>
      </c>
      <c r="L4601" s="3">
        <f>(Table1[[#This Row],[Profit]]/Table1[[#This Row],[Sales]])*100</f>
        <v>23.654028436018958</v>
      </c>
    </row>
    <row r="4602" spans="1:12" x14ac:dyDescent="0.3">
      <c r="A4602" t="s">
        <v>4499</v>
      </c>
      <c r="B4602" s="1">
        <v>43942</v>
      </c>
      <c r="C4602" t="s">
        <v>3936</v>
      </c>
      <c r="D4602" t="s">
        <v>3937</v>
      </c>
      <c r="E4602" t="s">
        <v>14</v>
      </c>
      <c r="F4602" t="s">
        <v>23</v>
      </c>
      <c r="G4602" t="s">
        <v>16</v>
      </c>
      <c r="H4602" t="s">
        <v>4500</v>
      </c>
      <c r="I4602" s="2">
        <v>185.6</v>
      </c>
      <c r="J4602">
        <v>3</v>
      </c>
      <c r="K4602" s="2">
        <v>34.146000000000001</v>
      </c>
      <c r="L4602" s="3">
        <f>(Table1[[#This Row],[Profit]]/Table1[[#This Row],[Sales]])*100</f>
        <v>18.397629310344829</v>
      </c>
    </row>
    <row r="4603" spans="1:12" x14ac:dyDescent="0.3">
      <c r="A4603" t="s">
        <v>5299</v>
      </c>
      <c r="B4603" s="1">
        <v>44081</v>
      </c>
      <c r="C4603" t="s">
        <v>1894</v>
      </c>
      <c r="D4603" t="s">
        <v>1895</v>
      </c>
      <c r="E4603" t="s">
        <v>14</v>
      </c>
      <c r="F4603" t="s">
        <v>23</v>
      </c>
      <c r="G4603" t="s">
        <v>18</v>
      </c>
      <c r="H4603" t="s">
        <v>5308</v>
      </c>
      <c r="I4603" s="2">
        <v>485.71199999999999</v>
      </c>
      <c r="J4603">
        <v>2</v>
      </c>
      <c r="K4603" s="2">
        <v>34.178400000000003</v>
      </c>
      <c r="L4603" s="3">
        <f>(Table1[[#This Row],[Profit]]/Table1[[#This Row],[Sales]])*100</f>
        <v>7.0367625259412998</v>
      </c>
    </row>
    <row r="4604" spans="1:12" x14ac:dyDescent="0.3">
      <c r="A4604" t="s">
        <v>5434</v>
      </c>
      <c r="B4604" s="1">
        <v>44092</v>
      </c>
      <c r="C4604" t="s">
        <v>3913</v>
      </c>
      <c r="D4604" t="s">
        <v>3914</v>
      </c>
      <c r="E4604" t="s">
        <v>14</v>
      </c>
      <c r="F4604" t="s">
        <v>41</v>
      </c>
      <c r="G4604" t="s">
        <v>24</v>
      </c>
      <c r="H4604" t="s">
        <v>3235</v>
      </c>
      <c r="I4604" s="2">
        <v>155.94</v>
      </c>
      <c r="J4604">
        <v>3</v>
      </c>
      <c r="K4604" s="2">
        <v>34.182000000000002</v>
      </c>
      <c r="L4604" s="3">
        <f>(Table1[[#This Row],[Profit]]/Table1[[#This Row],[Sales]])*100</f>
        <v>21.919969218930362</v>
      </c>
    </row>
    <row r="4605" spans="1:12" x14ac:dyDescent="0.3">
      <c r="A4605" t="s">
        <v>5361</v>
      </c>
      <c r="B4605" s="1">
        <v>44085</v>
      </c>
      <c r="C4605" t="s">
        <v>5362</v>
      </c>
      <c r="D4605" t="s">
        <v>5363</v>
      </c>
      <c r="E4605" t="s">
        <v>14</v>
      </c>
      <c r="F4605" t="s">
        <v>23</v>
      </c>
      <c r="G4605" t="s">
        <v>24</v>
      </c>
      <c r="H4605" t="s">
        <v>725</v>
      </c>
      <c r="I4605" s="2">
        <v>108.28</v>
      </c>
      <c r="J4605">
        <v>11</v>
      </c>
      <c r="K4605" s="2">
        <v>34.214399999999998</v>
      </c>
      <c r="L4605" s="3">
        <f>(Table1[[#This Row],[Profit]]/Table1[[#This Row],[Sales]])*100</f>
        <v>31.598079054303657</v>
      </c>
    </row>
    <row r="4606" spans="1:12" x14ac:dyDescent="0.3">
      <c r="A4606" t="s">
        <v>2871</v>
      </c>
      <c r="B4606" s="1">
        <v>43731</v>
      </c>
      <c r="C4606" t="s">
        <v>2872</v>
      </c>
      <c r="D4606" t="s">
        <v>2873</v>
      </c>
      <c r="E4606" t="s">
        <v>14</v>
      </c>
      <c r="F4606" t="s">
        <v>41</v>
      </c>
      <c r="G4606" t="s">
        <v>24</v>
      </c>
      <c r="H4606" t="s">
        <v>2594</v>
      </c>
      <c r="I4606" s="2">
        <v>118.25</v>
      </c>
      <c r="J4606">
        <v>5</v>
      </c>
      <c r="K4606" s="2">
        <v>34.292499999999997</v>
      </c>
      <c r="L4606" s="3">
        <f>(Table1[[#This Row],[Profit]]/Table1[[#This Row],[Sales]])*100</f>
        <v>28.999999999999996</v>
      </c>
    </row>
    <row r="4607" spans="1:12" x14ac:dyDescent="0.3">
      <c r="A4607" t="s">
        <v>6288</v>
      </c>
      <c r="B4607" s="1">
        <v>44193</v>
      </c>
      <c r="C4607" t="s">
        <v>714</v>
      </c>
      <c r="D4607" t="s">
        <v>715</v>
      </c>
      <c r="E4607" t="s">
        <v>14</v>
      </c>
      <c r="F4607" t="s">
        <v>23</v>
      </c>
      <c r="G4607" t="s">
        <v>24</v>
      </c>
      <c r="H4607" t="s">
        <v>2594</v>
      </c>
      <c r="I4607" s="2">
        <v>453.25</v>
      </c>
      <c r="J4607">
        <v>5</v>
      </c>
      <c r="K4607" s="2">
        <v>34.292499999999997</v>
      </c>
      <c r="L4607" s="3">
        <f>(Table1[[#This Row],[Profit]]/Table1[[#This Row],[Sales]])*100</f>
        <v>7.5659128516271368</v>
      </c>
    </row>
    <row r="4608" spans="1:12" x14ac:dyDescent="0.3">
      <c r="A4608" t="s">
        <v>2050</v>
      </c>
      <c r="B4608" s="1">
        <v>43661</v>
      </c>
      <c r="C4608" t="s">
        <v>2051</v>
      </c>
      <c r="D4608" t="s">
        <v>2052</v>
      </c>
      <c r="E4608" t="s">
        <v>14</v>
      </c>
      <c r="F4608" t="s">
        <v>23</v>
      </c>
      <c r="G4608" t="s">
        <v>24</v>
      </c>
      <c r="H4608" t="s">
        <v>1237</v>
      </c>
      <c r="I4608" s="2">
        <v>105.52</v>
      </c>
      <c r="J4608">
        <v>5</v>
      </c>
      <c r="K4608" s="2">
        <v>34.293999999999997</v>
      </c>
      <c r="L4608" s="3">
        <f>(Table1[[#This Row],[Profit]]/Table1[[#This Row],[Sales]])*100</f>
        <v>32.499999999999993</v>
      </c>
    </row>
    <row r="4609" spans="1:12" x14ac:dyDescent="0.3">
      <c r="A4609" t="s">
        <v>5195</v>
      </c>
      <c r="B4609" s="1">
        <v>44064</v>
      </c>
      <c r="C4609" t="s">
        <v>2875</v>
      </c>
      <c r="D4609" t="s">
        <v>2876</v>
      </c>
      <c r="E4609" t="s">
        <v>14</v>
      </c>
      <c r="F4609" t="s">
        <v>23</v>
      </c>
      <c r="G4609" t="s">
        <v>24</v>
      </c>
      <c r="H4609" t="s">
        <v>4574</v>
      </c>
      <c r="I4609" s="2">
        <v>612.58000000000004</v>
      </c>
      <c r="J4609">
        <v>6</v>
      </c>
      <c r="K4609" s="2">
        <v>34.354799999999997</v>
      </c>
      <c r="L4609" s="3">
        <f>(Table1[[#This Row],[Profit]]/Table1[[#This Row],[Sales]])*100</f>
        <v>5.6082144372979847</v>
      </c>
    </row>
    <row r="4610" spans="1:12" x14ac:dyDescent="0.3">
      <c r="A4610" t="s">
        <v>83</v>
      </c>
      <c r="B4610" s="1">
        <v>43475</v>
      </c>
      <c r="C4610" t="s">
        <v>84</v>
      </c>
      <c r="D4610" t="s">
        <v>85</v>
      </c>
      <c r="E4610" t="s">
        <v>14</v>
      </c>
      <c r="F4610" t="s">
        <v>23</v>
      </c>
      <c r="G4610" t="s">
        <v>16</v>
      </c>
      <c r="H4610" t="s">
        <v>86</v>
      </c>
      <c r="I4610" s="2">
        <v>79.92</v>
      </c>
      <c r="J4610">
        <v>4</v>
      </c>
      <c r="K4610" s="2">
        <v>34.365600000000001</v>
      </c>
      <c r="L4610" s="3">
        <f>(Table1[[#This Row],[Profit]]/Table1[[#This Row],[Sales]])*100</f>
        <v>43</v>
      </c>
    </row>
    <row r="4611" spans="1:12" x14ac:dyDescent="0.3">
      <c r="A4611" t="s">
        <v>3694</v>
      </c>
      <c r="B4611" s="1">
        <v>43803</v>
      </c>
      <c r="C4611" t="s">
        <v>2548</v>
      </c>
      <c r="D4611" t="s">
        <v>2549</v>
      </c>
      <c r="E4611" t="s">
        <v>14</v>
      </c>
      <c r="F4611" t="s">
        <v>15</v>
      </c>
      <c r="G4611" t="s">
        <v>18</v>
      </c>
      <c r="H4611" t="s">
        <v>2514</v>
      </c>
      <c r="I4611" s="2">
        <v>78.150000000000006</v>
      </c>
      <c r="J4611">
        <v>1</v>
      </c>
      <c r="K4611" s="2">
        <v>34.386000000000003</v>
      </c>
      <c r="L4611" s="3">
        <f>(Table1[[#This Row],[Profit]]/Table1[[#This Row],[Sales]])*100</f>
        <v>44</v>
      </c>
    </row>
    <row r="4612" spans="1:12" x14ac:dyDescent="0.3">
      <c r="A4612" t="s">
        <v>4527</v>
      </c>
      <c r="B4612" s="1">
        <v>43945</v>
      </c>
      <c r="C4612" t="s">
        <v>714</v>
      </c>
      <c r="D4612" t="s">
        <v>715</v>
      </c>
      <c r="E4612" t="s">
        <v>14</v>
      </c>
      <c r="F4612" t="s">
        <v>23</v>
      </c>
      <c r="G4612" t="s">
        <v>18</v>
      </c>
      <c r="H4612" t="s">
        <v>1164</v>
      </c>
      <c r="I4612" s="2">
        <v>601</v>
      </c>
      <c r="J4612">
        <v>10</v>
      </c>
      <c r="K4612" s="2">
        <v>34.5</v>
      </c>
      <c r="L4612" s="3">
        <f>(Table1[[#This Row],[Profit]]/Table1[[#This Row],[Sales]])*100</f>
        <v>5.7404326123128113</v>
      </c>
    </row>
    <row r="4613" spans="1:12" x14ac:dyDescent="0.3">
      <c r="A4613" t="s">
        <v>3010</v>
      </c>
      <c r="B4613" s="1">
        <v>43742</v>
      </c>
      <c r="C4613" t="s">
        <v>3011</v>
      </c>
      <c r="D4613" t="s">
        <v>3012</v>
      </c>
      <c r="E4613" t="s">
        <v>14</v>
      </c>
      <c r="F4613" t="s">
        <v>15</v>
      </c>
      <c r="G4613" t="s">
        <v>24</v>
      </c>
      <c r="H4613" t="s">
        <v>3013</v>
      </c>
      <c r="I4613" s="2">
        <v>119.1</v>
      </c>
      <c r="J4613">
        <v>3</v>
      </c>
      <c r="K4613" s="2">
        <v>34.539000000000001</v>
      </c>
      <c r="L4613" s="3">
        <f>(Table1[[#This Row],[Profit]]/Table1[[#This Row],[Sales]])*100</f>
        <v>29.000000000000004</v>
      </c>
    </row>
    <row r="4614" spans="1:12" x14ac:dyDescent="0.3">
      <c r="A4614" t="s">
        <v>5904</v>
      </c>
      <c r="B4614" s="1">
        <v>44151</v>
      </c>
      <c r="C4614" t="s">
        <v>475</v>
      </c>
      <c r="D4614" t="s">
        <v>476</v>
      </c>
      <c r="E4614" t="s">
        <v>14</v>
      </c>
      <c r="F4614" t="s">
        <v>23</v>
      </c>
      <c r="G4614" t="s">
        <v>24</v>
      </c>
      <c r="H4614" t="s">
        <v>3357</v>
      </c>
      <c r="I4614" s="2">
        <v>155.68</v>
      </c>
      <c r="J4614">
        <v>6</v>
      </c>
      <c r="K4614" s="2">
        <v>34.629600000000003</v>
      </c>
      <c r="L4614" s="3">
        <f>(Table1[[#This Row],[Profit]]/Table1[[#This Row],[Sales]])*100</f>
        <v>22.244090441932173</v>
      </c>
    </row>
    <row r="4615" spans="1:12" x14ac:dyDescent="0.3">
      <c r="A4615" t="s">
        <v>5712</v>
      </c>
      <c r="B4615" s="1">
        <v>44131</v>
      </c>
      <c r="C4615" t="s">
        <v>64</v>
      </c>
      <c r="D4615" t="s">
        <v>65</v>
      </c>
      <c r="E4615" t="s">
        <v>14</v>
      </c>
      <c r="F4615" t="s">
        <v>23</v>
      </c>
      <c r="G4615" t="s">
        <v>18</v>
      </c>
      <c r="H4615" t="s">
        <v>1598</v>
      </c>
      <c r="I4615" s="2">
        <v>118.84</v>
      </c>
      <c r="J4615">
        <v>4</v>
      </c>
      <c r="K4615" s="2">
        <v>34.741999999999997</v>
      </c>
      <c r="L4615" s="3">
        <f>(Table1[[#This Row],[Profit]]/Table1[[#This Row],[Sales]])*100</f>
        <v>29.234264557388084</v>
      </c>
    </row>
    <row r="4616" spans="1:12" x14ac:dyDescent="0.3">
      <c r="A4616" t="s">
        <v>6155</v>
      </c>
      <c r="B4616" s="1">
        <v>44175</v>
      </c>
      <c r="C4616" t="s">
        <v>2244</v>
      </c>
      <c r="D4616" t="s">
        <v>2245</v>
      </c>
      <c r="E4616" t="s">
        <v>14</v>
      </c>
      <c r="F4616" t="s">
        <v>23</v>
      </c>
      <c r="G4616" t="s">
        <v>18</v>
      </c>
      <c r="H4616" t="s">
        <v>1598</v>
      </c>
      <c r="I4616" s="2">
        <v>440.84</v>
      </c>
      <c r="J4616">
        <v>4</v>
      </c>
      <c r="K4616" s="2">
        <v>34.741999999999997</v>
      </c>
      <c r="L4616" s="3">
        <f>(Table1[[#This Row],[Profit]]/Table1[[#This Row],[Sales]])*100</f>
        <v>7.8808638054622984</v>
      </c>
    </row>
    <row r="4617" spans="1:12" x14ac:dyDescent="0.3">
      <c r="A4617" t="s">
        <v>6235</v>
      </c>
      <c r="B4617" s="1">
        <v>44187</v>
      </c>
      <c r="C4617" t="s">
        <v>466</v>
      </c>
      <c r="D4617" t="s">
        <v>467</v>
      </c>
      <c r="E4617" t="s">
        <v>14</v>
      </c>
      <c r="F4617" t="s">
        <v>15</v>
      </c>
      <c r="G4617" t="s">
        <v>24</v>
      </c>
      <c r="H4617" t="s">
        <v>1112</v>
      </c>
      <c r="I4617" s="2">
        <v>144.16</v>
      </c>
      <c r="J4617">
        <v>6</v>
      </c>
      <c r="K4617" s="2">
        <v>34.758000000000003</v>
      </c>
      <c r="L4617" s="3">
        <f>(Table1[[#This Row],[Profit]]/Table1[[#This Row],[Sales]])*100</f>
        <v>24.110710321864598</v>
      </c>
    </row>
    <row r="4618" spans="1:12" x14ac:dyDescent="0.3">
      <c r="A4618" t="s">
        <v>6286</v>
      </c>
      <c r="B4618" s="1">
        <v>44193</v>
      </c>
      <c r="C4618" t="s">
        <v>5362</v>
      </c>
      <c r="D4618" t="s">
        <v>5363</v>
      </c>
      <c r="E4618" t="s">
        <v>14</v>
      </c>
      <c r="F4618" t="s">
        <v>15</v>
      </c>
      <c r="G4618" t="s">
        <v>24</v>
      </c>
      <c r="H4618" t="s">
        <v>839</v>
      </c>
      <c r="I4618" s="2">
        <v>292.45</v>
      </c>
      <c r="J4618">
        <v>7</v>
      </c>
      <c r="K4618" s="2">
        <v>34.776000000000003</v>
      </c>
      <c r="L4618" s="3">
        <f>(Table1[[#This Row],[Profit]]/Table1[[#This Row],[Sales]])*100</f>
        <v>11.891263463839973</v>
      </c>
    </row>
    <row r="4619" spans="1:12" x14ac:dyDescent="0.3">
      <c r="A4619" t="s">
        <v>3584</v>
      </c>
      <c r="B4619" s="1">
        <v>43795</v>
      </c>
      <c r="C4619" t="s">
        <v>2051</v>
      </c>
      <c r="D4619" t="s">
        <v>2052</v>
      </c>
      <c r="E4619" t="s">
        <v>14</v>
      </c>
      <c r="F4619" t="s">
        <v>41</v>
      </c>
      <c r="G4619" t="s">
        <v>24</v>
      </c>
      <c r="H4619" t="s">
        <v>234</v>
      </c>
      <c r="I4619" s="2">
        <v>70.98</v>
      </c>
      <c r="J4619">
        <v>7</v>
      </c>
      <c r="K4619" s="2">
        <v>34.780200000000001</v>
      </c>
      <c r="L4619" s="3">
        <f>(Table1[[#This Row],[Profit]]/Table1[[#This Row],[Sales]])*100</f>
        <v>49</v>
      </c>
    </row>
    <row r="4620" spans="1:12" x14ac:dyDescent="0.3">
      <c r="A4620" t="s">
        <v>1225</v>
      </c>
      <c r="B4620" s="1">
        <v>43588</v>
      </c>
      <c r="C4620" t="s">
        <v>1226</v>
      </c>
      <c r="D4620" t="s">
        <v>1227</v>
      </c>
      <c r="E4620" t="s">
        <v>14</v>
      </c>
      <c r="F4620" t="s">
        <v>15</v>
      </c>
      <c r="G4620" t="s">
        <v>18</v>
      </c>
      <c r="H4620" t="s">
        <v>1228</v>
      </c>
      <c r="I4620" s="2">
        <v>132.52000000000001</v>
      </c>
      <c r="J4620">
        <v>5</v>
      </c>
      <c r="K4620" s="2">
        <v>34.786499999999997</v>
      </c>
      <c r="L4620" s="3">
        <f>(Table1[[#This Row],[Profit]]/Table1[[#This Row],[Sales]])*100</f>
        <v>26.249999999999996</v>
      </c>
    </row>
    <row r="4621" spans="1:12" x14ac:dyDescent="0.3">
      <c r="A4621" t="s">
        <v>5299</v>
      </c>
      <c r="B4621" s="1">
        <v>44081</v>
      </c>
      <c r="C4621" t="s">
        <v>1894</v>
      </c>
      <c r="D4621" t="s">
        <v>1895</v>
      </c>
      <c r="E4621" t="s">
        <v>14</v>
      </c>
      <c r="F4621" t="s">
        <v>23</v>
      </c>
      <c r="G4621" t="s">
        <v>16</v>
      </c>
      <c r="H4621" t="s">
        <v>441</v>
      </c>
      <c r="I4621" s="2">
        <v>115.96</v>
      </c>
      <c r="J4621">
        <v>4</v>
      </c>
      <c r="K4621" s="2">
        <v>34.812800000000003</v>
      </c>
      <c r="L4621" s="3">
        <f>(Table1[[#This Row],[Profit]]/Table1[[#This Row],[Sales]])*100</f>
        <v>30.021386685063817</v>
      </c>
    </row>
    <row r="4622" spans="1:12" x14ac:dyDescent="0.3">
      <c r="A4622" t="s">
        <v>2536</v>
      </c>
      <c r="B4622" s="1">
        <v>43710</v>
      </c>
      <c r="C4622" t="s">
        <v>1992</v>
      </c>
      <c r="D4622" t="s">
        <v>1993</v>
      </c>
      <c r="E4622" t="s">
        <v>14</v>
      </c>
      <c r="F4622" t="s">
        <v>41</v>
      </c>
      <c r="G4622" t="s">
        <v>24</v>
      </c>
      <c r="H4622" t="s">
        <v>2537</v>
      </c>
      <c r="I4622" s="2">
        <v>309.45600000000002</v>
      </c>
      <c r="J4622">
        <v>9</v>
      </c>
      <c r="K4622" s="2">
        <v>34.813800000000001</v>
      </c>
      <c r="L4622" s="3">
        <f>(Table1[[#This Row],[Profit]]/Table1[[#This Row],[Sales]])*100</f>
        <v>11.249999999999998</v>
      </c>
    </row>
    <row r="4623" spans="1:12" x14ac:dyDescent="0.3">
      <c r="A4623" t="s">
        <v>4626</v>
      </c>
      <c r="B4623" s="1">
        <v>43963</v>
      </c>
      <c r="C4623" t="s">
        <v>3788</v>
      </c>
      <c r="D4623" t="s">
        <v>3789</v>
      </c>
      <c r="E4623" t="s">
        <v>14</v>
      </c>
      <c r="F4623" t="s">
        <v>15</v>
      </c>
      <c r="G4623" t="s">
        <v>18</v>
      </c>
      <c r="H4623" t="s">
        <v>4627</v>
      </c>
      <c r="I4623" s="2">
        <v>137.4</v>
      </c>
      <c r="J4623">
        <v>5</v>
      </c>
      <c r="K4623" s="2">
        <v>34.96</v>
      </c>
      <c r="L4623" s="3">
        <f>(Table1[[#This Row],[Profit]]/Table1[[#This Row],[Sales]])*100</f>
        <v>25.443959243085878</v>
      </c>
    </row>
    <row r="4624" spans="1:12" x14ac:dyDescent="0.3">
      <c r="A4624" t="s">
        <v>1655</v>
      </c>
      <c r="B4624" s="1">
        <v>43622</v>
      </c>
      <c r="C4624" t="s">
        <v>1656</v>
      </c>
      <c r="D4624" t="s">
        <v>1657</v>
      </c>
      <c r="E4624" t="s">
        <v>14</v>
      </c>
      <c r="F4624" t="s">
        <v>15</v>
      </c>
      <c r="G4624" t="s">
        <v>16</v>
      </c>
      <c r="H4624" t="s">
        <v>696</v>
      </c>
      <c r="I4624" s="2">
        <v>466.32</v>
      </c>
      <c r="J4624">
        <v>3</v>
      </c>
      <c r="K4624" s="2">
        <v>34.973999999999997</v>
      </c>
      <c r="L4624" s="3">
        <f>(Table1[[#This Row],[Profit]]/Table1[[#This Row],[Sales]])*100</f>
        <v>7.5</v>
      </c>
    </row>
    <row r="4625" spans="1:12" x14ac:dyDescent="0.3">
      <c r="A4625" t="s">
        <v>370</v>
      </c>
      <c r="B4625" s="1">
        <v>43512</v>
      </c>
      <c r="C4625" t="s">
        <v>371</v>
      </c>
      <c r="D4625" t="s">
        <v>372</v>
      </c>
      <c r="E4625" t="s">
        <v>14</v>
      </c>
      <c r="F4625" t="s">
        <v>41</v>
      </c>
      <c r="G4625" t="s">
        <v>16</v>
      </c>
      <c r="H4625" t="s">
        <v>373</v>
      </c>
      <c r="I4625" s="2">
        <v>318.08</v>
      </c>
      <c r="J4625">
        <v>4</v>
      </c>
      <c r="K4625" s="2">
        <v>34.988799999999998</v>
      </c>
      <c r="L4625" s="3">
        <f>(Table1[[#This Row],[Profit]]/Table1[[#This Row],[Sales]])*100</f>
        <v>11</v>
      </c>
    </row>
    <row r="4626" spans="1:12" x14ac:dyDescent="0.3">
      <c r="A4626" t="s">
        <v>1129</v>
      </c>
      <c r="B4626" s="1">
        <v>43578</v>
      </c>
      <c r="C4626" t="s">
        <v>1130</v>
      </c>
      <c r="D4626" t="s">
        <v>1131</v>
      </c>
      <c r="E4626" t="s">
        <v>14</v>
      </c>
      <c r="F4626" t="s">
        <v>23</v>
      </c>
      <c r="G4626" t="s">
        <v>18</v>
      </c>
      <c r="H4626" t="s">
        <v>1133</v>
      </c>
      <c r="I4626" s="2">
        <v>99.99</v>
      </c>
      <c r="J4626">
        <v>1</v>
      </c>
      <c r="K4626" s="2">
        <v>34.996499999999997</v>
      </c>
      <c r="L4626" s="3">
        <f>(Table1[[#This Row],[Profit]]/Table1[[#This Row],[Sales]])*100</f>
        <v>35</v>
      </c>
    </row>
    <row r="4627" spans="1:12" x14ac:dyDescent="0.3">
      <c r="A4627" t="s">
        <v>5129</v>
      </c>
      <c r="B4627" s="1">
        <v>44053</v>
      </c>
      <c r="C4627" t="s">
        <v>2159</v>
      </c>
      <c r="D4627" t="s">
        <v>2160</v>
      </c>
      <c r="E4627" t="s">
        <v>14</v>
      </c>
      <c r="F4627" t="s">
        <v>29</v>
      </c>
      <c r="G4627" t="s">
        <v>24</v>
      </c>
      <c r="H4627" t="s">
        <v>242</v>
      </c>
      <c r="I4627" s="2">
        <v>169.08</v>
      </c>
      <c r="J4627">
        <v>6</v>
      </c>
      <c r="K4627" s="2">
        <v>35.04</v>
      </c>
      <c r="L4627" s="3">
        <f>(Table1[[#This Row],[Profit]]/Table1[[#This Row],[Sales]])*100</f>
        <v>20.723917672107873</v>
      </c>
    </row>
    <row r="4628" spans="1:12" x14ac:dyDescent="0.3">
      <c r="A4628" t="s">
        <v>3808</v>
      </c>
      <c r="B4628" s="1">
        <v>43813</v>
      </c>
      <c r="C4628" t="s">
        <v>784</v>
      </c>
      <c r="D4628" t="s">
        <v>785</v>
      </c>
      <c r="E4628" t="s">
        <v>14</v>
      </c>
      <c r="F4628" t="s">
        <v>23</v>
      </c>
      <c r="G4628" t="s">
        <v>24</v>
      </c>
      <c r="H4628" t="s">
        <v>2655</v>
      </c>
      <c r="I4628" s="2">
        <v>134.80000000000001</v>
      </c>
      <c r="J4628">
        <v>10</v>
      </c>
      <c r="K4628" s="2">
        <v>35.048000000000002</v>
      </c>
      <c r="L4628" s="3">
        <f>(Table1[[#This Row],[Profit]]/Table1[[#This Row],[Sales]])*100</f>
        <v>26</v>
      </c>
    </row>
    <row r="4629" spans="1:12" x14ac:dyDescent="0.3">
      <c r="A4629" t="s">
        <v>3630</v>
      </c>
      <c r="B4629" s="1">
        <v>43799</v>
      </c>
      <c r="C4629" t="s">
        <v>3631</v>
      </c>
      <c r="D4629" t="s">
        <v>3632</v>
      </c>
      <c r="E4629" t="s">
        <v>14</v>
      </c>
      <c r="F4629" t="s">
        <v>29</v>
      </c>
      <c r="G4629" t="s">
        <v>16</v>
      </c>
      <c r="H4629" t="s">
        <v>2944</v>
      </c>
      <c r="I4629" s="2">
        <v>389.97</v>
      </c>
      <c r="J4629">
        <v>3</v>
      </c>
      <c r="K4629" s="2">
        <v>35.097299999999997</v>
      </c>
      <c r="L4629" s="3">
        <f>(Table1[[#This Row],[Profit]]/Table1[[#This Row],[Sales]])*100</f>
        <v>8.9999999999999982</v>
      </c>
    </row>
    <row r="4630" spans="1:12" x14ac:dyDescent="0.3">
      <c r="A4630" t="s">
        <v>4805</v>
      </c>
      <c r="B4630" s="1">
        <v>43993</v>
      </c>
      <c r="C4630" t="s">
        <v>871</v>
      </c>
      <c r="D4630" t="s">
        <v>872</v>
      </c>
      <c r="E4630" t="s">
        <v>14</v>
      </c>
      <c r="F4630" t="s">
        <v>23</v>
      </c>
      <c r="G4630" t="s">
        <v>16</v>
      </c>
      <c r="H4630" t="s">
        <v>2804</v>
      </c>
      <c r="I4630" s="2">
        <v>308.79199999999997</v>
      </c>
      <c r="J4630">
        <v>1</v>
      </c>
      <c r="K4630" s="2">
        <v>35.098999999999997</v>
      </c>
      <c r="L4630" s="3">
        <f>(Table1[[#This Row],[Profit]]/Table1[[#This Row],[Sales]])*100</f>
        <v>11.366550946915723</v>
      </c>
    </row>
    <row r="4631" spans="1:12" x14ac:dyDescent="0.3">
      <c r="A4631" t="s">
        <v>3121</v>
      </c>
      <c r="B4631" s="1">
        <v>43758</v>
      </c>
      <c r="C4631" t="s">
        <v>2108</v>
      </c>
      <c r="D4631" t="s">
        <v>2109</v>
      </c>
      <c r="E4631" t="s">
        <v>14</v>
      </c>
      <c r="F4631" t="s">
        <v>29</v>
      </c>
      <c r="G4631" t="s">
        <v>18</v>
      </c>
      <c r="H4631" t="s">
        <v>3122</v>
      </c>
      <c r="I4631" s="2">
        <v>125.7</v>
      </c>
      <c r="J4631">
        <v>6</v>
      </c>
      <c r="K4631" s="2">
        <v>35.195999999999998</v>
      </c>
      <c r="L4631" s="3">
        <f>(Table1[[#This Row],[Profit]]/Table1[[#This Row],[Sales]])*100</f>
        <v>27.999999999999996</v>
      </c>
    </row>
    <row r="4632" spans="1:12" x14ac:dyDescent="0.3">
      <c r="A4632" t="s">
        <v>1744</v>
      </c>
      <c r="B4632" s="1">
        <v>43630</v>
      </c>
      <c r="C4632" t="s">
        <v>1745</v>
      </c>
      <c r="D4632" t="s">
        <v>1746</v>
      </c>
      <c r="E4632" t="s">
        <v>14</v>
      </c>
      <c r="F4632" t="s">
        <v>23</v>
      </c>
      <c r="G4632" t="s">
        <v>16</v>
      </c>
      <c r="H4632" t="s">
        <v>1747</v>
      </c>
      <c r="I4632" s="2">
        <v>599.16499999999996</v>
      </c>
      <c r="J4632">
        <v>5</v>
      </c>
      <c r="K4632" s="2">
        <v>35.244999999999997</v>
      </c>
      <c r="L4632" s="3">
        <f>(Table1[[#This Row],[Profit]]/Table1[[#This Row],[Sales]])*100</f>
        <v>5.8823529411764701</v>
      </c>
    </row>
    <row r="4633" spans="1:12" x14ac:dyDescent="0.3">
      <c r="A4633" t="s">
        <v>1576</v>
      </c>
      <c r="B4633" s="1">
        <v>43615</v>
      </c>
      <c r="C4633" t="s">
        <v>1577</v>
      </c>
      <c r="D4633" t="s">
        <v>1578</v>
      </c>
      <c r="E4633" t="s">
        <v>14</v>
      </c>
      <c r="F4633" t="s">
        <v>29</v>
      </c>
      <c r="G4633" t="s">
        <v>18</v>
      </c>
      <c r="H4633" t="s">
        <v>1583</v>
      </c>
      <c r="I4633" s="2">
        <v>125.99</v>
      </c>
      <c r="J4633">
        <v>1</v>
      </c>
      <c r="K4633" s="2">
        <v>35.277200000000001</v>
      </c>
      <c r="L4633" s="3">
        <f>(Table1[[#This Row],[Profit]]/Table1[[#This Row],[Sales]])*100</f>
        <v>28.000000000000004</v>
      </c>
    </row>
    <row r="4634" spans="1:12" x14ac:dyDescent="0.3">
      <c r="A4634" t="s">
        <v>6056</v>
      </c>
      <c r="B4634" s="1">
        <v>44166</v>
      </c>
      <c r="C4634" t="s">
        <v>1173</v>
      </c>
      <c r="D4634" t="s">
        <v>1174</v>
      </c>
      <c r="E4634" t="s">
        <v>14</v>
      </c>
      <c r="F4634" t="s">
        <v>15</v>
      </c>
      <c r="G4634" t="s">
        <v>24</v>
      </c>
      <c r="H4634" t="s">
        <v>110</v>
      </c>
      <c r="I4634" s="2">
        <v>138.68</v>
      </c>
      <c r="J4634">
        <v>5</v>
      </c>
      <c r="K4634" s="2">
        <v>35.329500000000003</v>
      </c>
      <c r="L4634" s="3">
        <f>(Table1[[#This Row],[Profit]]/Table1[[#This Row],[Sales]])*100</f>
        <v>25.47555523507355</v>
      </c>
    </row>
    <row r="4635" spans="1:12" x14ac:dyDescent="0.3">
      <c r="A4635" t="s">
        <v>4970</v>
      </c>
      <c r="B4635" s="1">
        <v>44020</v>
      </c>
      <c r="C4635" t="s">
        <v>2263</v>
      </c>
      <c r="D4635" t="s">
        <v>2264</v>
      </c>
      <c r="E4635" t="s">
        <v>14</v>
      </c>
      <c r="F4635" t="s">
        <v>23</v>
      </c>
      <c r="G4635" t="s">
        <v>24</v>
      </c>
      <c r="H4635" t="s">
        <v>4971</v>
      </c>
      <c r="I4635" s="2">
        <v>104.18</v>
      </c>
      <c r="J4635">
        <v>6</v>
      </c>
      <c r="K4635" s="2">
        <v>35.334600000000002</v>
      </c>
      <c r="L4635" s="3">
        <f>(Table1[[#This Row],[Profit]]/Table1[[#This Row],[Sales]])*100</f>
        <v>33.916874640046075</v>
      </c>
    </row>
    <row r="4636" spans="1:12" x14ac:dyDescent="0.3">
      <c r="A4636" t="s">
        <v>4514</v>
      </c>
      <c r="B4636" s="1">
        <v>43944</v>
      </c>
      <c r="C4636" t="s">
        <v>3612</v>
      </c>
      <c r="D4636" t="s">
        <v>3613</v>
      </c>
      <c r="E4636" t="s">
        <v>14</v>
      </c>
      <c r="F4636" t="s">
        <v>15</v>
      </c>
      <c r="G4636" t="s">
        <v>24</v>
      </c>
      <c r="H4636" t="s">
        <v>2177</v>
      </c>
      <c r="I4636" s="2">
        <v>163.94</v>
      </c>
      <c r="J4636">
        <v>2</v>
      </c>
      <c r="K4636" s="2">
        <v>35.3626</v>
      </c>
      <c r="L4636" s="3">
        <f>(Table1[[#This Row],[Profit]]/Table1[[#This Row],[Sales]])*100</f>
        <v>21.570452604611443</v>
      </c>
    </row>
    <row r="4637" spans="1:12" x14ac:dyDescent="0.3">
      <c r="A4637" t="s">
        <v>6233</v>
      </c>
      <c r="B4637" s="1">
        <v>44187</v>
      </c>
      <c r="C4637" t="s">
        <v>4491</v>
      </c>
      <c r="D4637" t="s">
        <v>4492</v>
      </c>
      <c r="E4637" t="s">
        <v>14</v>
      </c>
      <c r="F4637" t="s">
        <v>41</v>
      </c>
      <c r="G4637" t="s">
        <v>16</v>
      </c>
      <c r="H4637" t="s">
        <v>561</v>
      </c>
      <c r="I4637" s="2">
        <v>328.96</v>
      </c>
      <c r="J4637">
        <v>2</v>
      </c>
      <c r="K4637" s="2">
        <v>35.49</v>
      </c>
      <c r="L4637" s="3">
        <f>(Table1[[#This Row],[Profit]]/Table1[[#This Row],[Sales]])*100</f>
        <v>10.788545719844359</v>
      </c>
    </row>
    <row r="4638" spans="1:12" x14ac:dyDescent="0.3">
      <c r="A4638" t="s">
        <v>2323</v>
      </c>
      <c r="B4638" s="1">
        <v>43691</v>
      </c>
      <c r="C4638" t="s">
        <v>1003</v>
      </c>
      <c r="D4638" t="s">
        <v>1004</v>
      </c>
      <c r="E4638" t="s">
        <v>14</v>
      </c>
      <c r="F4638" t="s">
        <v>23</v>
      </c>
      <c r="G4638" t="s">
        <v>18</v>
      </c>
      <c r="H4638" t="s">
        <v>2325</v>
      </c>
      <c r="I4638" s="2">
        <v>105.55200000000001</v>
      </c>
      <c r="J4638">
        <v>6</v>
      </c>
      <c r="K4638" s="2">
        <v>35.623800000000003</v>
      </c>
      <c r="L4638" s="3">
        <f>(Table1[[#This Row],[Profit]]/Table1[[#This Row],[Sales]])*100</f>
        <v>33.75</v>
      </c>
    </row>
    <row r="4639" spans="1:12" x14ac:dyDescent="0.3">
      <c r="A4639" t="s">
        <v>4689</v>
      </c>
      <c r="B4639" s="1">
        <v>43971</v>
      </c>
      <c r="C4639" t="s">
        <v>3539</v>
      </c>
      <c r="D4639" t="s">
        <v>3540</v>
      </c>
      <c r="E4639" t="s">
        <v>14</v>
      </c>
      <c r="F4639" t="s">
        <v>29</v>
      </c>
      <c r="G4639" t="s">
        <v>24</v>
      </c>
      <c r="H4639" t="s">
        <v>827</v>
      </c>
      <c r="I4639" s="2">
        <v>174.94</v>
      </c>
      <c r="J4639">
        <v>3</v>
      </c>
      <c r="K4639" s="2">
        <v>35.623800000000003</v>
      </c>
      <c r="L4639" s="3">
        <f>(Table1[[#This Row],[Profit]]/Table1[[#This Row],[Sales]])*100</f>
        <v>20.363438893334859</v>
      </c>
    </row>
    <row r="4640" spans="1:12" x14ac:dyDescent="0.3">
      <c r="A4640" t="s">
        <v>6053</v>
      </c>
      <c r="B4640" s="1">
        <v>44166</v>
      </c>
      <c r="C4640" t="s">
        <v>2616</v>
      </c>
      <c r="D4640" t="s">
        <v>2617</v>
      </c>
      <c r="E4640" t="s">
        <v>14</v>
      </c>
      <c r="F4640" t="s">
        <v>29</v>
      </c>
      <c r="G4640" t="s">
        <v>18</v>
      </c>
      <c r="H4640" t="s">
        <v>2265</v>
      </c>
      <c r="I4640" s="2">
        <v>156.97999999999999</v>
      </c>
      <c r="J4640">
        <v>2</v>
      </c>
      <c r="K4640" s="2">
        <v>35.634599999999999</v>
      </c>
      <c r="L4640" s="3">
        <f>(Table1[[#This Row],[Profit]]/Table1[[#This Row],[Sales]])*100</f>
        <v>22.700089183335457</v>
      </c>
    </row>
    <row r="4641" spans="1:12" x14ac:dyDescent="0.3">
      <c r="A4641" t="s">
        <v>1607</v>
      </c>
      <c r="B4641" s="1">
        <v>43620</v>
      </c>
      <c r="C4641" t="s">
        <v>451</v>
      </c>
      <c r="D4641" t="s">
        <v>452</v>
      </c>
      <c r="E4641" t="s">
        <v>14</v>
      </c>
      <c r="F4641" t="s">
        <v>41</v>
      </c>
      <c r="G4641" t="s">
        <v>24</v>
      </c>
      <c r="H4641" t="s">
        <v>1608</v>
      </c>
      <c r="I4641" s="2">
        <v>75.88</v>
      </c>
      <c r="J4641">
        <v>2</v>
      </c>
      <c r="K4641" s="2">
        <v>35.663600000000002</v>
      </c>
      <c r="L4641" s="3">
        <f>(Table1[[#This Row],[Profit]]/Table1[[#This Row],[Sales]])*100</f>
        <v>47.000000000000007</v>
      </c>
    </row>
    <row r="4642" spans="1:12" x14ac:dyDescent="0.3">
      <c r="A4642" t="s">
        <v>2107</v>
      </c>
      <c r="B4642" s="1">
        <v>43665</v>
      </c>
      <c r="C4642" t="s">
        <v>2108</v>
      </c>
      <c r="D4642" t="s">
        <v>2109</v>
      </c>
      <c r="E4642" t="s">
        <v>14</v>
      </c>
      <c r="F4642" t="s">
        <v>41</v>
      </c>
      <c r="G4642" t="s">
        <v>24</v>
      </c>
      <c r="H4642" t="s">
        <v>1825</v>
      </c>
      <c r="I4642" s="2">
        <v>77.56</v>
      </c>
      <c r="J4642">
        <v>2</v>
      </c>
      <c r="K4642" s="2">
        <v>35.677599999999998</v>
      </c>
      <c r="L4642" s="3">
        <f>(Table1[[#This Row],[Profit]]/Table1[[#This Row],[Sales]])*100</f>
        <v>46</v>
      </c>
    </row>
    <row r="4643" spans="1:12" x14ac:dyDescent="0.3">
      <c r="A4643" t="s">
        <v>2294</v>
      </c>
      <c r="B4643" s="1">
        <v>43688</v>
      </c>
      <c r="C4643" t="s">
        <v>2295</v>
      </c>
      <c r="D4643" t="s">
        <v>2296</v>
      </c>
      <c r="E4643" t="s">
        <v>14</v>
      </c>
      <c r="F4643" t="s">
        <v>29</v>
      </c>
      <c r="G4643" t="s">
        <v>24</v>
      </c>
      <c r="H4643" t="s">
        <v>1825</v>
      </c>
      <c r="I4643" s="2">
        <v>77.56</v>
      </c>
      <c r="J4643">
        <v>2</v>
      </c>
      <c r="K4643" s="2">
        <v>35.677599999999998</v>
      </c>
      <c r="L4643" s="3">
        <f>(Table1[[#This Row],[Profit]]/Table1[[#This Row],[Sales]])*100</f>
        <v>46</v>
      </c>
    </row>
    <row r="4644" spans="1:12" x14ac:dyDescent="0.3">
      <c r="A4644" t="s">
        <v>3255</v>
      </c>
      <c r="B4644" s="1">
        <v>43773</v>
      </c>
      <c r="C4644" t="s">
        <v>1451</v>
      </c>
      <c r="D4644" t="s">
        <v>1452</v>
      </c>
      <c r="E4644" t="s">
        <v>14</v>
      </c>
      <c r="F4644" t="s">
        <v>23</v>
      </c>
      <c r="G4644" t="s">
        <v>16</v>
      </c>
      <c r="H4644" t="s">
        <v>2558</v>
      </c>
      <c r="I4644" s="2">
        <v>209.88</v>
      </c>
      <c r="J4644">
        <v>3</v>
      </c>
      <c r="K4644" s="2">
        <v>35.679600000000001</v>
      </c>
      <c r="L4644" s="3">
        <f>(Table1[[#This Row],[Profit]]/Table1[[#This Row],[Sales]])*100</f>
        <v>17</v>
      </c>
    </row>
    <row r="4645" spans="1:12" x14ac:dyDescent="0.3">
      <c r="A4645" t="s">
        <v>4106</v>
      </c>
      <c r="B4645" s="1">
        <v>43864</v>
      </c>
      <c r="C4645" t="s">
        <v>3862</v>
      </c>
      <c r="D4645" t="s">
        <v>3863</v>
      </c>
      <c r="E4645" t="s">
        <v>14</v>
      </c>
      <c r="F4645" t="s">
        <v>15</v>
      </c>
      <c r="G4645" t="s">
        <v>24</v>
      </c>
      <c r="H4645" t="s">
        <v>1326</v>
      </c>
      <c r="I4645" s="2">
        <v>2298.5520000000001</v>
      </c>
      <c r="J4645">
        <v>2</v>
      </c>
      <c r="K4645" s="2">
        <v>35.694000000000003</v>
      </c>
      <c r="L4645" s="3">
        <f>(Table1[[#This Row],[Profit]]/Table1[[#This Row],[Sales]])*100</f>
        <v>1.552890689442745</v>
      </c>
    </row>
    <row r="4646" spans="1:12" x14ac:dyDescent="0.3">
      <c r="A4646" t="s">
        <v>3635</v>
      </c>
      <c r="B4646" s="1">
        <v>43800</v>
      </c>
      <c r="C4646" t="s">
        <v>3636</v>
      </c>
      <c r="D4646" t="s">
        <v>3637</v>
      </c>
      <c r="E4646" t="s">
        <v>14</v>
      </c>
      <c r="F4646" t="s">
        <v>15</v>
      </c>
      <c r="G4646" t="s">
        <v>18</v>
      </c>
      <c r="H4646" t="s">
        <v>3645</v>
      </c>
      <c r="I4646" s="2">
        <v>137.94</v>
      </c>
      <c r="J4646">
        <v>3</v>
      </c>
      <c r="K4646" s="2">
        <v>35.864400000000003</v>
      </c>
      <c r="L4646" s="3">
        <f>(Table1[[#This Row],[Profit]]/Table1[[#This Row],[Sales]])*100</f>
        <v>26</v>
      </c>
    </row>
    <row r="4647" spans="1:12" x14ac:dyDescent="0.3">
      <c r="A4647" t="s">
        <v>4076</v>
      </c>
      <c r="B4647" s="1">
        <v>43857</v>
      </c>
      <c r="C4647" t="s">
        <v>2543</v>
      </c>
      <c r="D4647" t="s">
        <v>2544</v>
      </c>
      <c r="E4647" t="s">
        <v>14</v>
      </c>
      <c r="F4647" t="s">
        <v>15</v>
      </c>
      <c r="G4647" t="s">
        <v>18</v>
      </c>
      <c r="H4647" t="s">
        <v>3645</v>
      </c>
      <c r="I4647" s="2">
        <v>156.94</v>
      </c>
      <c r="J4647">
        <v>3</v>
      </c>
      <c r="K4647" s="2">
        <v>35.864400000000003</v>
      </c>
      <c r="L4647" s="3">
        <f>(Table1[[#This Row],[Profit]]/Table1[[#This Row],[Sales]])*100</f>
        <v>22.852300242130752</v>
      </c>
    </row>
    <row r="4648" spans="1:12" x14ac:dyDescent="0.3">
      <c r="A4648" t="s">
        <v>5435</v>
      </c>
      <c r="B4648" s="1">
        <v>44092</v>
      </c>
      <c r="C4648" t="s">
        <v>3184</v>
      </c>
      <c r="D4648" t="s">
        <v>3185</v>
      </c>
      <c r="E4648" t="s">
        <v>14</v>
      </c>
      <c r="F4648" t="s">
        <v>29</v>
      </c>
      <c r="G4648" t="s">
        <v>24</v>
      </c>
      <c r="H4648" t="s">
        <v>3722</v>
      </c>
      <c r="I4648" s="2">
        <v>136.84800000000001</v>
      </c>
      <c r="J4648">
        <v>4</v>
      </c>
      <c r="K4648" s="2">
        <v>35.89</v>
      </c>
      <c r="L4648" s="3">
        <f>(Table1[[#This Row],[Profit]]/Table1[[#This Row],[Sales]])*100</f>
        <v>26.226177949257568</v>
      </c>
    </row>
    <row r="4649" spans="1:12" x14ac:dyDescent="0.3">
      <c r="A4649" t="s">
        <v>6034</v>
      </c>
      <c r="B4649" s="1">
        <v>44163</v>
      </c>
      <c r="C4649" t="s">
        <v>2404</v>
      </c>
      <c r="D4649" t="s">
        <v>2405</v>
      </c>
      <c r="E4649" t="s">
        <v>14</v>
      </c>
      <c r="F4649" t="s">
        <v>15</v>
      </c>
      <c r="G4649" t="s">
        <v>24</v>
      </c>
      <c r="H4649" t="s">
        <v>694</v>
      </c>
      <c r="I4649" s="2">
        <v>108.96</v>
      </c>
      <c r="J4649">
        <v>2</v>
      </c>
      <c r="K4649" s="2">
        <v>35.981999999999999</v>
      </c>
      <c r="L4649" s="3">
        <f>(Table1[[#This Row],[Profit]]/Table1[[#This Row],[Sales]])*100</f>
        <v>33.023127753303967</v>
      </c>
    </row>
    <row r="4650" spans="1:12" x14ac:dyDescent="0.3">
      <c r="A4650" t="s">
        <v>1144</v>
      </c>
      <c r="B4650" s="1">
        <v>43578</v>
      </c>
      <c r="C4650" t="s">
        <v>1145</v>
      </c>
      <c r="D4650" t="s">
        <v>1146</v>
      </c>
      <c r="E4650" t="s">
        <v>14</v>
      </c>
      <c r="F4650" t="s">
        <v>23</v>
      </c>
      <c r="G4650" t="s">
        <v>24</v>
      </c>
      <c r="H4650" t="s">
        <v>426</v>
      </c>
      <c r="I4650" s="2">
        <v>71.97</v>
      </c>
      <c r="J4650">
        <v>3</v>
      </c>
      <c r="K4650" s="2">
        <v>35.984999999999999</v>
      </c>
      <c r="L4650" s="3">
        <f>(Table1[[#This Row],[Profit]]/Table1[[#This Row],[Sales]])*100</f>
        <v>50</v>
      </c>
    </row>
    <row r="4651" spans="1:12" x14ac:dyDescent="0.3">
      <c r="A4651" t="s">
        <v>3879</v>
      </c>
      <c r="B4651" s="1">
        <v>43822</v>
      </c>
      <c r="C4651" t="s">
        <v>75</v>
      </c>
      <c r="D4651" t="s">
        <v>76</v>
      </c>
      <c r="E4651" t="s">
        <v>14</v>
      </c>
      <c r="F4651" t="s">
        <v>29</v>
      </c>
      <c r="G4651" t="s">
        <v>18</v>
      </c>
      <c r="H4651" t="s">
        <v>1990</v>
      </c>
      <c r="I4651" s="2">
        <v>287.88</v>
      </c>
      <c r="J4651">
        <v>3</v>
      </c>
      <c r="K4651" s="2">
        <v>35.984999999999999</v>
      </c>
      <c r="L4651" s="3">
        <f>(Table1[[#This Row],[Profit]]/Table1[[#This Row],[Sales]])*100</f>
        <v>12.5</v>
      </c>
    </row>
    <row r="4652" spans="1:12" x14ac:dyDescent="0.3">
      <c r="A4652" t="s">
        <v>5507</v>
      </c>
      <c r="B4652" s="1">
        <v>44099</v>
      </c>
      <c r="C4652" t="s">
        <v>824</v>
      </c>
      <c r="D4652" t="s">
        <v>825</v>
      </c>
      <c r="E4652" t="s">
        <v>14</v>
      </c>
      <c r="F4652" t="s">
        <v>15</v>
      </c>
      <c r="G4652" t="s">
        <v>18</v>
      </c>
      <c r="H4652" t="s">
        <v>136</v>
      </c>
      <c r="I4652" s="2">
        <v>161.96</v>
      </c>
      <c r="J4652">
        <v>5</v>
      </c>
      <c r="K4652" s="2">
        <v>35.988</v>
      </c>
      <c r="L4652" s="3">
        <f>(Table1[[#This Row],[Profit]]/Table1[[#This Row],[Sales]])*100</f>
        <v>22.220301308965176</v>
      </c>
    </row>
    <row r="4653" spans="1:12" x14ac:dyDescent="0.3">
      <c r="A4653" t="s">
        <v>1902</v>
      </c>
      <c r="B4653" s="1">
        <v>43644</v>
      </c>
      <c r="C4653" t="s">
        <v>1903</v>
      </c>
      <c r="D4653" t="s">
        <v>1904</v>
      </c>
      <c r="E4653" t="s">
        <v>14</v>
      </c>
      <c r="F4653" t="s">
        <v>29</v>
      </c>
      <c r="G4653" t="s">
        <v>18</v>
      </c>
      <c r="H4653" t="s">
        <v>1905</v>
      </c>
      <c r="I4653" s="2">
        <v>359.976</v>
      </c>
      <c r="J4653">
        <v>3</v>
      </c>
      <c r="K4653" s="2">
        <v>35.997599999999998</v>
      </c>
      <c r="L4653" s="3">
        <f>(Table1[[#This Row],[Profit]]/Table1[[#This Row],[Sales]])*100</f>
        <v>10</v>
      </c>
    </row>
    <row r="4654" spans="1:12" x14ac:dyDescent="0.3">
      <c r="A4654" t="s">
        <v>4388</v>
      </c>
      <c r="B4654" s="1">
        <v>43921</v>
      </c>
      <c r="C4654" t="s">
        <v>4389</v>
      </c>
      <c r="D4654" t="s">
        <v>4390</v>
      </c>
      <c r="E4654" t="s">
        <v>14</v>
      </c>
      <c r="F4654" t="s">
        <v>15</v>
      </c>
      <c r="G4654" t="s">
        <v>24</v>
      </c>
      <c r="H4654" t="s">
        <v>2347</v>
      </c>
      <c r="I4654" s="2">
        <v>182.04</v>
      </c>
      <c r="J4654">
        <v>8</v>
      </c>
      <c r="K4654" s="2">
        <v>36.019199999999998</v>
      </c>
      <c r="L4654" s="3">
        <f>(Table1[[#This Row],[Profit]]/Table1[[#This Row],[Sales]])*100</f>
        <v>19.786420566908372</v>
      </c>
    </row>
    <row r="4655" spans="1:12" x14ac:dyDescent="0.3">
      <c r="A4655" t="s">
        <v>4763</v>
      </c>
      <c r="B4655" s="1">
        <v>43985</v>
      </c>
      <c r="C4655" t="s">
        <v>4503</v>
      </c>
      <c r="D4655" t="s">
        <v>4504</v>
      </c>
      <c r="E4655" t="s">
        <v>14</v>
      </c>
      <c r="F4655" t="s">
        <v>15</v>
      </c>
      <c r="G4655" t="s">
        <v>18</v>
      </c>
      <c r="H4655" t="s">
        <v>4764</v>
      </c>
      <c r="I4655" s="2">
        <v>111.66</v>
      </c>
      <c r="J4655">
        <v>6</v>
      </c>
      <c r="K4655" s="2">
        <v>36.183599999999998</v>
      </c>
      <c r="L4655" s="3">
        <f>(Table1[[#This Row],[Profit]]/Table1[[#This Row],[Sales]])*100</f>
        <v>32.405158516926384</v>
      </c>
    </row>
    <row r="4656" spans="1:12" x14ac:dyDescent="0.3">
      <c r="A4656" t="s">
        <v>6027</v>
      </c>
      <c r="B4656" s="1">
        <v>44162</v>
      </c>
      <c r="C4656" t="s">
        <v>2373</v>
      </c>
      <c r="D4656" t="s">
        <v>2374</v>
      </c>
      <c r="E4656" t="s">
        <v>14</v>
      </c>
      <c r="F4656" t="s">
        <v>15</v>
      </c>
      <c r="G4656" t="s">
        <v>24</v>
      </c>
      <c r="H4656" t="s">
        <v>4047</v>
      </c>
      <c r="I4656" s="2">
        <v>138.42400000000001</v>
      </c>
      <c r="J4656">
        <v>6</v>
      </c>
      <c r="K4656" s="2">
        <v>36.255600000000001</v>
      </c>
      <c r="L4656" s="3">
        <f>(Table1[[#This Row],[Profit]]/Table1[[#This Row],[Sales]])*100</f>
        <v>26.191700861122346</v>
      </c>
    </row>
    <row r="4657" spans="1:12" x14ac:dyDescent="0.3">
      <c r="A4657" t="s">
        <v>2135</v>
      </c>
      <c r="B4657" s="1">
        <v>43668</v>
      </c>
      <c r="C4657" t="s">
        <v>2078</v>
      </c>
      <c r="D4657" t="s">
        <v>2079</v>
      </c>
      <c r="E4657" t="s">
        <v>14</v>
      </c>
      <c r="F4657" t="s">
        <v>29</v>
      </c>
      <c r="G4657" t="s">
        <v>18</v>
      </c>
      <c r="H4657" t="s">
        <v>2136</v>
      </c>
      <c r="I4657" s="2">
        <v>109.95</v>
      </c>
      <c r="J4657">
        <v>1</v>
      </c>
      <c r="K4657" s="2">
        <v>36.283499999999997</v>
      </c>
      <c r="L4657" s="3">
        <f>(Table1[[#This Row],[Profit]]/Table1[[#This Row],[Sales]])*100</f>
        <v>32.999999999999993</v>
      </c>
    </row>
    <row r="4658" spans="1:12" x14ac:dyDescent="0.3">
      <c r="A4658" t="s">
        <v>4724</v>
      </c>
      <c r="B4658" s="1">
        <v>43979</v>
      </c>
      <c r="C4658" t="s">
        <v>4725</v>
      </c>
      <c r="D4658" t="s">
        <v>4726</v>
      </c>
      <c r="E4658" t="s">
        <v>14</v>
      </c>
      <c r="F4658" t="s">
        <v>15</v>
      </c>
      <c r="G4658" t="s">
        <v>24</v>
      </c>
      <c r="H4658" t="s">
        <v>3784</v>
      </c>
      <c r="I4658" s="2">
        <v>137.13</v>
      </c>
      <c r="J4658">
        <v>3</v>
      </c>
      <c r="K4658" s="2">
        <v>36.287700000000001</v>
      </c>
      <c r="L4658" s="3">
        <f>(Table1[[#This Row],[Profit]]/Table1[[#This Row],[Sales]])*100</f>
        <v>26.462262087070666</v>
      </c>
    </row>
    <row r="4659" spans="1:12" x14ac:dyDescent="0.3">
      <c r="A4659" t="s">
        <v>1234</v>
      </c>
      <c r="B4659" s="1">
        <v>43590</v>
      </c>
      <c r="C4659" t="s">
        <v>1235</v>
      </c>
      <c r="D4659" t="s">
        <v>1236</v>
      </c>
      <c r="E4659" t="s">
        <v>14</v>
      </c>
      <c r="F4659" t="s">
        <v>41</v>
      </c>
      <c r="G4659" t="s">
        <v>24</v>
      </c>
      <c r="H4659" t="s">
        <v>1237</v>
      </c>
      <c r="I4659" s="2">
        <v>79.14</v>
      </c>
      <c r="J4659">
        <v>3</v>
      </c>
      <c r="K4659" s="2">
        <v>36.404400000000003</v>
      </c>
      <c r="L4659" s="3">
        <f>(Table1[[#This Row],[Profit]]/Table1[[#This Row],[Sales]])*100</f>
        <v>46</v>
      </c>
    </row>
    <row r="4660" spans="1:12" x14ac:dyDescent="0.3">
      <c r="A4660" t="s">
        <v>4468</v>
      </c>
      <c r="B4660" s="1">
        <v>43936</v>
      </c>
      <c r="C4660" t="s">
        <v>267</v>
      </c>
      <c r="D4660" t="s">
        <v>268</v>
      </c>
      <c r="E4660" t="s">
        <v>14</v>
      </c>
      <c r="F4660" t="s">
        <v>23</v>
      </c>
      <c r="G4660" t="s">
        <v>24</v>
      </c>
      <c r="H4660" t="s">
        <v>255</v>
      </c>
      <c r="I4660" s="2">
        <v>100.14</v>
      </c>
      <c r="J4660">
        <v>3</v>
      </c>
      <c r="K4660" s="2">
        <v>36.404400000000003</v>
      </c>
      <c r="L4660" s="3">
        <f>(Table1[[#This Row],[Profit]]/Table1[[#This Row],[Sales]])*100</f>
        <v>36.353505092869987</v>
      </c>
    </row>
    <row r="4661" spans="1:12" x14ac:dyDescent="0.3">
      <c r="A4661" t="s">
        <v>366</v>
      </c>
      <c r="B4661" s="1">
        <v>43512</v>
      </c>
      <c r="C4661" t="s">
        <v>367</v>
      </c>
      <c r="D4661" t="s">
        <v>368</v>
      </c>
      <c r="E4661" t="s">
        <v>14</v>
      </c>
      <c r="F4661" t="s">
        <v>15</v>
      </c>
      <c r="G4661" t="s">
        <v>16</v>
      </c>
      <c r="H4661" t="s">
        <v>369</v>
      </c>
      <c r="I4661" s="2">
        <v>227.96</v>
      </c>
      <c r="J4661">
        <v>2</v>
      </c>
      <c r="K4661" s="2">
        <v>36.473599999999998</v>
      </c>
      <c r="L4661" s="3">
        <f>(Table1[[#This Row],[Profit]]/Table1[[#This Row],[Sales]])*100</f>
        <v>15.999999999999998</v>
      </c>
    </row>
    <row r="4662" spans="1:12" x14ac:dyDescent="0.3">
      <c r="A4662" t="s">
        <v>5757</v>
      </c>
      <c r="B4662" s="1">
        <v>44138</v>
      </c>
      <c r="C4662" t="s">
        <v>2504</v>
      </c>
      <c r="D4662" t="s">
        <v>2505</v>
      </c>
      <c r="E4662" t="s">
        <v>14</v>
      </c>
      <c r="F4662" t="s">
        <v>23</v>
      </c>
      <c r="G4662" t="s">
        <v>16</v>
      </c>
      <c r="H4662" t="s">
        <v>3853</v>
      </c>
      <c r="I4662" s="2">
        <v>502.36799999999999</v>
      </c>
      <c r="J4662">
        <v>4</v>
      </c>
      <c r="K4662" s="2">
        <v>36.477600000000002</v>
      </c>
      <c r="L4662" s="3">
        <f>(Table1[[#This Row],[Profit]]/Table1[[#This Row],[Sales]])*100</f>
        <v>7.2611312822472769</v>
      </c>
    </row>
    <row r="4663" spans="1:12" x14ac:dyDescent="0.3">
      <c r="A4663" t="s">
        <v>2470</v>
      </c>
      <c r="B4663" s="1">
        <v>43704</v>
      </c>
      <c r="C4663" t="s">
        <v>1769</v>
      </c>
      <c r="D4663" t="s">
        <v>1770</v>
      </c>
      <c r="E4663" t="s">
        <v>14</v>
      </c>
      <c r="F4663" t="s">
        <v>15</v>
      </c>
      <c r="G4663" t="s">
        <v>24</v>
      </c>
      <c r="H4663" t="s">
        <v>1137</v>
      </c>
      <c r="I4663" s="2">
        <v>81.540000000000006</v>
      </c>
      <c r="J4663">
        <v>9</v>
      </c>
      <c r="K4663" s="2">
        <v>36.692999999999998</v>
      </c>
      <c r="L4663" s="3">
        <f>(Table1[[#This Row],[Profit]]/Table1[[#This Row],[Sales]])*100</f>
        <v>44.999999999999993</v>
      </c>
    </row>
    <row r="4664" spans="1:12" x14ac:dyDescent="0.3">
      <c r="A4664" t="s">
        <v>5941</v>
      </c>
      <c r="B4664" s="1">
        <v>44153</v>
      </c>
      <c r="C4664" t="s">
        <v>345</v>
      </c>
      <c r="D4664" t="s">
        <v>346</v>
      </c>
      <c r="E4664" t="s">
        <v>14</v>
      </c>
      <c r="F4664" t="s">
        <v>15</v>
      </c>
      <c r="G4664" t="s">
        <v>18</v>
      </c>
      <c r="H4664" t="s">
        <v>2670</v>
      </c>
      <c r="I4664" s="2">
        <v>177.95</v>
      </c>
      <c r="J4664">
        <v>5</v>
      </c>
      <c r="K4664" s="2">
        <v>36.725499999999997</v>
      </c>
      <c r="L4664" s="3">
        <f>(Table1[[#This Row],[Profit]]/Table1[[#This Row],[Sales]])*100</f>
        <v>20.638100590053384</v>
      </c>
    </row>
    <row r="4665" spans="1:12" x14ac:dyDescent="0.3">
      <c r="A4665" t="s">
        <v>4514</v>
      </c>
      <c r="B4665" s="1">
        <v>43944</v>
      </c>
      <c r="C4665" t="s">
        <v>3612</v>
      </c>
      <c r="D4665" t="s">
        <v>3613</v>
      </c>
      <c r="E4665" t="s">
        <v>14</v>
      </c>
      <c r="F4665" t="s">
        <v>15</v>
      </c>
      <c r="G4665" t="s">
        <v>24</v>
      </c>
      <c r="H4665" t="s">
        <v>2251</v>
      </c>
      <c r="I4665" s="2">
        <v>139.71</v>
      </c>
      <c r="J4665">
        <v>7</v>
      </c>
      <c r="K4665" s="2">
        <v>36.813000000000002</v>
      </c>
      <c r="L4665" s="3">
        <f>(Table1[[#This Row],[Profit]]/Table1[[#This Row],[Sales]])*100</f>
        <v>26.349581275499251</v>
      </c>
    </row>
    <row r="4666" spans="1:12" x14ac:dyDescent="0.3">
      <c r="A4666" t="s">
        <v>5604</v>
      </c>
      <c r="B4666" s="1">
        <v>44116</v>
      </c>
      <c r="C4666" t="s">
        <v>2104</v>
      </c>
      <c r="D4666" t="s">
        <v>2105</v>
      </c>
      <c r="E4666" t="s">
        <v>14</v>
      </c>
      <c r="F4666" t="s">
        <v>23</v>
      </c>
      <c r="G4666" t="s">
        <v>24</v>
      </c>
      <c r="H4666" t="s">
        <v>3201</v>
      </c>
      <c r="I4666" s="2">
        <v>123.84</v>
      </c>
      <c r="J4666">
        <v>5</v>
      </c>
      <c r="K4666" s="2">
        <v>36.917000000000002</v>
      </c>
      <c r="L4666" s="3">
        <f>(Table1[[#This Row],[Profit]]/Table1[[#This Row],[Sales]])*100</f>
        <v>29.810239018087859</v>
      </c>
    </row>
    <row r="4667" spans="1:12" x14ac:dyDescent="0.3">
      <c r="A4667" t="s">
        <v>3765</v>
      </c>
      <c r="B4667" s="1">
        <v>43809</v>
      </c>
      <c r="C4667" t="s">
        <v>544</v>
      </c>
      <c r="D4667" t="s">
        <v>545</v>
      </c>
      <c r="E4667" t="s">
        <v>14</v>
      </c>
      <c r="F4667" t="s">
        <v>23</v>
      </c>
      <c r="G4667" t="s">
        <v>24</v>
      </c>
      <c r="H4667" t="s">
        <v>1529</v>
      </c>
      <c r="I4667" s="2">
        <v>80.28</v>
      </c>
      <c r="J4667">
        <v>12</v>
      </c>
      <c r="K4667" s="2">
        <v>36.928800000000003</v>
      </c>
      <c r="L4667" s="3">
        <f>(Table1[[#This Row],[Profit]]/Table1[[#This Row],[Sales]])*100</f>
        <v>46</v>
      </c>
    </row>
    <row r="4668" spans="1:12" x14ac:dyDescent="0.3">
      <c r="A4668" t="s">
        <v>6085</v>
      </c>
      <c r="B4668" s="1">
        <v>44168</v>
      </c>
      <c r="C4668" t="s">
        <v>4944</v>
      </c>
      <c r="D4668" t="s">
        <v>4945</v>
      </c>
      <c r="E4668" t="s">
        <v>14</v>
      </c>
      <c r="F4668" t="s">
        <v>15</v>
      </c>
      <c r="G4668" t="s">
        <v>18</v>
      </c>
      <c r="H4668" t="s">
        <v>4418</v>
      </c>
      <c r="I4668" s="2">
        <v>154.99</v>
      </c>
      <c r="J4668">
        <v>1</v>
      </c>
      <c r="K4668" s="2">
        <v>36.987299999999998</v>
      </c>
      <c r="L4668" s="3">
        <f>(Table1[[#This Row],[Profit]]/Table1[[#This Row],[Sales]])*100</f>
        <v>23.864313826698496</v>
      </c>
    </row>
    <row r="4669" spans="1:12" x14ac:dyDescent="0.3">
      <c r="A4669" t="s">
        <v>4644</v>
      </c>
      <c r="B4669" s="1">
        <v>43965</v>
      </c>
      <c r="C4669" t="s">
        <v>3615</v>
      </c>
      <c r="D4669" t="s">
        <v>3616</v>
      </c>
      <c r="E4669" t="s">
        <v>14</v>
      </c>
      <c r="F4669" t="s">
        <v>15</v>
      </c>
      <c r="G4669" t="s">
        <v>24</v>
      </c>
      <c r="H4669" t="s">
        <v>4590</v>
      </c>
      <c r="I4669" s="2">
        <v>171</v>
      </c>
      <c r="J4669">
        <v>5</v>
      </c>
      <c r="K4669" s="2">
        <v>37</v>
      </c>
      <c r="L4669" s="3">
        <f>(Table1[[#This Row],[Profit]]/Table1[[#This Row],[Sales]])*100</f>
        <v>21.637426900584796</v>
      </c>
    </row>
    <row r="4670" spans="1:12" x14ac:dyDescent="0.3">
      <c r="A4670" t="s">
        <v>5245</v>
      </c>
      <c r="B4670" s="1">
        <v>44076</v>
      </c>
      <c r="C4670" t="s">
        <v>5246</v>
      </c>
      <c r="D4670" t="s">
        <v>5247</v>
      </c>
      <c r="E4670" t="s">
        <v>14</v>
      </c>
      <c r="F4670" t="s">
        <v>23</v>
      </c>
      <c r="G4670" t="s">
        <v>24</v>
      </c>
      <c r="H4670" t="s">
        <v>4590</v>
      </c>
      <c r="I4670" s="2">
        <v>113</v>
      </c>
      <c r="J4670">
        <v>5</v>
      </c>
      <c r="K4670" s="2">
        <v>37</v>
      </c>
      <c r="L4670" s="3">
        <f>(Table1[[#This Row],[Profit]]/Table1[[#This Row],[Sales]])*100</f>
        <v>32.743362831858406</v>
      </c>
    </row>
    <row r="4671" spans="1:12" x14ac:dyDescent="0.3">
      <c r="A4671" t="s">
        <v>2656</v>
      </c>
      <c r="B4671" s="1">
        <v>43714</v>
      </c>
      <c r="C4671" t="s">
        <v>888</v>
      </c>
      <c r="D4671" t="s">
        <v>889</v>
      </c>
      <c r="E4671" t="s">
        <v>14</v>
      </c>
      <c r="F4671" t="s">
        <v>29</v>
      </c>
      <c r="G4671" t="s">
        <v>18</v>
      </c>
      <c r="H4671" t="s">
        <v>2657</v>
      </c>
      <c r="I4671" s="2">
        <v>329.584</v>
      </c>
      <c r="J4671">
        <v>2</v>
      </c>
      <c r="K4671" s="2">
        <v>37.078200000000002</v>
      </c>
      <c r="L4671" s="3">
        <f>(Table1[[#This Row],[Profit]]/Table1[[#This Row],[Sales]])*100</f>
        <v>11.25</v>
      </c>
    </row>
    <row r="4672" spans="1:12" x14ac:dyDescent="0.3">
      <c r="A4672" t="s">
        <v>4897</v>
      </c>
      <c r="B4672" s="1">
        <v>44008</v>
      </c>
      <c r="C4672" t="s">
        <v>4396</v>
      </c>
      <c r="D4672" t="s">
        <v>4397</v>
      </c>
      <c r="E4672" t="s">
        <v>14</v>
      </c>
      <c r="F4672" t="s">
        <v>15</v>
      </c>
      <c r="G4672" t="s">
        <v>24</v>
      </c>
      <c r="H4672" t="s">
        <v>462</v>
      </c>
      <c r="I4672" s="2">
        <v>127.36799999999999</v>
      </c>
      <c r="J4672">
        <v>2</v>
      </c>
      <c r="K4672" s="2">
        <v>37.108400000000003</v>
      </c>
      <c r="L4672" s="3">
        <f>(Table1[[#This Row],[Profit]]/Table1[[#This Row],[Sales]])*100</f>
        <v>29.134790528233157</v>
      </c>
    </row>
    <row r="4673" spans="1:12" x14ac:dyDescent="0.3">
      <c r="A4673" t="s">
        <v>2858</v>
      </c>
      <c r="B4673" s="1">
        <v>43730</v>
      </c>
      <c r="C4673" t="s">
        <v>2528</v>
      </c>
      <c r="D4673" t="s">
        <v>2529</v>
      </c>
      <c r="E4673" t="s">
        <v>14</v>
      </c>
      <c r="F4673" t="s">
        <v>15</v>
      </c>
      <c r="G4673" t="s">
        <v>24</v>
      </c>
      <c r="H4673" t="s">
        <v>2859</v>
      </c>
      <c r="I4673" s="2">
        <v>128.34</v>
      </c>
      <c r="J4673">
        <v>6</v>
      </c>
      <c r="K4673" s="2">
        <v>37.218600000000002</v>
      </c>
      <c r="L4673" s="3">
        <f>(Table1[[#This Row],[Profit]]/Table1[[#This Row],[Sales]])*100</f>
        <v>29.000000000000004</v>
      </c>
    </row>
    <row r="4674" spans="1:12" x14ac:dyDescent="0.3">
      <c r="A4674" t="s">
        <v>5177</v>
      </c>
      <c r="B4674" s="1">
        <v>44062</v>
      </c>
      <c r="C4674" t="s">
        <v>1391</v>
      </c>
      <c r="D4674" t="s">
        <v>1392</v>
      </c>
      <c r="E4674" t="s">
        <v>14</v>
      </c>
      <c r="F4674" t="s">
        <v>23</v>
      </c>
      <c r="G4674" t="s">
        <v>24</v>
      </c>
      <c r="H4674" t="s">
        <v>3504</v>
      </c>
      <c r="I4674" s="2">
        <v>116.72</v>
      </c>
      <c r="J4674">
        <v>3</v>
      </c>
      <c r="K4674" s="2">
        <v>37.235999999999997</v>
      </c>
      <c r="L4674" s="3">
        <f>(Table1[[#This Row],[Profit]]/Table1[[#This Row],[Sales]])*100</f>
        <v>31.901987662782727</v>
      </c>
    </row>
    <row r="4675" spans="1:12" x14ac:dyDescent="0.3">
      <c r="A4675" t="s">
        <v>157</v>
      </c>
      <c r="B4675" s="1">
        <v>43487</v>
      </c>
      <c r="C4675" t="s">
        <v>49</v>
      </c>
      <c r="D4675" t="s">
        <v>50</v>
      </c>
      <c r="E4675" t="s">
        <v>14</v>
      </c>
      <c r="F4675" t="s">
        <v>23</v>
      </c>
      <c r="G4675" t="s">
        <v>16</v>
      </c>
      <c r="H4675" t="s">
        <v>158</v>
      </c>
      <c r="I4675" s="2">
        <v>109.9</v>
      </c>
      <c r="J4675">
        <v>5</v>
      </c>
      <c r="K4675" s="2">
        <v>37.366</v>
      </c>
      <c r="L4675" s="3">
        <f>(Table1[[#This Row],[Profit]]/Table1[[#This Row],[Sales]])*100</f>
        <v>34</v>
      </c>
    </row>
    <row r="4676" spans="1:12" x14ac:dyDescent="0.3">
      <c r="A4676" t="s">
        <v>6298</v>
      </c>
      <c r="B4676" s="1">
        <v>44194</v>
      </c>
      <c r="C4676" t="s">
        <v>44</v>
      </c>
      <c r="D4676" t="s">
        <v>45</v>
      </c>
      <c r="E4676" t="s">
        <v>14</v>
      </c>
      <c r="F4676" t="s">
        <v>23</v>
      </c>
      <c r="G4676" t="s">
        <v>16</v>
      </c>
      <c r="H4676" t="s">
        <v>2892</v>
      </c>
      <c r="I4676" s="2">
        <v>419.12</v>
      </c>
      <c r="J4676">
        <v>8</v>
      </c>
      <c r="K4676" s="2">
        <v>37.414400000000001</v>
      </c>
      <c r="L4676" s="3">
        <f>(Table1[[#This Row],[Profit]]/Table1[[#This Row],[Sales]])*100</f>
        <v>8.9268944455048675</v>
      </c>
    </row>
    <row r="4677" spans="1:12" x14ac:dyDescent="0.3">
      <c r="A4677" t="s">
        <v>6010</v>
      </c>
      <c r="B4677" s="1">
        <v>44160</v>
      </c>
      <c r="C4677" t="s">
        <v>702</v>
      </c>
      <c r="D4677" t="s">
        <v>703</v>
      </c>
      <c r="E4677" t="s">
        <v>14</v>
      </c>
      <c r="F4677" t="s">
        <v>29</v>
      </c>
      <c r="G4677" t="s">
        <v>18</v>
      </c>
      <c r="H4677" t="s">
        <v>2030</v>
      </c>
      <c r="I4677" s="2">
        <v>342.96</v>
      </c>
      <c r="J4677">
        <v>5</v>
      </c>
      <c r="K4677" s="2">
        <v>37.494999999999997</v>
      </c>
      <c r="L4677" s="3">
        <f>(Table1[[#This Row],[Profit]]/Table1[[#This Row],[Sales]])*100</f>
        <v>10.932761838115232</v>
      </c>
    </row>
    <row r="4678" spans="1:12" x14ac:dyDescent="0.3">
      <c r="A4678" t="s">
        <v>6281</v>
      </c>
      <c r="B4678" s="1">
        <v>44191</v>
      </c>
      <c r="C4678" t="s">
        <v>888</v>
      </c>
      <c r="D4678" t="s">
        <v>889</v>
      </c>
      <c r="E4678" t="s">
        <v>14</v>
      </c>
      <c r="F4678" t="s">
        <v>29</v>
      </c>
      <c r="G4678" t="s">
        <v>24</v>
      </c>
      <c r="H4678" t="s">
        <v>3620</v>
      </c>
      <c r="I4678" s="2">
        <v>1063.68</v>
      </c>
      <c r="J4678">
        <v>2</v>
      </c>
      <c r="K4678" s="2">
        <v>37.533999999999999</v>
      </c>
      <c r="L4678" s="3">
        <f>(Table1[[#This Row],[Profit]]/Table1[[#This Row],[Sales]])*100</f>
        <v>3.5286928399518649</v>
      </c>
    </row>
    <row r="4679" spans="1:12" x14ac:dyDescent="0.3">
      <c r="A4679" t="s">
        <v>4030</v>
      </c>
      <c r="B4679" s="1">
        <v>43849</v>
      </c>
      <c r="C4679" t="s">
        <v>933</v>
      </c>
      <c r="D4679" t="s">
        <v>934</v>
      </c>
      <c r="E4679" t="s">
        <v>14</v>
      </c>
      <c r="F4679" t="s">
        <v>15</v>
      </c>
      <c r="G4679" t="s">
        <v>24</v>
      </c>
      <c r="H4679" t="s">
        <v>1645</v>
      </c>
      <c r="I4679" s="2">
        <v>101.92</v>
      </c>
      <c r="J4679">
        <v>4</v>
      </c>
      <c r="K4679" s="2">
        <v>37.562399999999997</v>
      </c>
      <c r="L4679" s="3">
        <f>(Table1[[#This Row],[Profit]]/Table1[[#This Row],[Sales]])*100</f>
        <v>36.854788069073777</v>
      </c>
    </row>
    <row r="4680" spans="1:12" x14ac:dyDescent="0.3">
      <c r="A4680" t="s">
        <v>5244</v>
      </c>
      <c r="B4680" s="1">
        <v>44076</v>
      </c>
      <c r="C4680" t="s">
        <v>1769</v>
      </c>
      <c r="D4680" t="s">
        <v>1770</v>
      </c>
      <c r="E4680" t="s">
        <v>14</v>
      </c>
      <c r="F4680" t="s">
        <v>15</v>
      </c>
      <c r="G4680" t="s">
        <v>24</v>
      </c>
      <c r="H4680" t="s">
        <v>1645</v>
      </c>
      <c r="I4680" s="2">
        <v>101.92</v>
      </c>
      <c r="J4680">
        <v>4</v>
      </c>
      <c r="K4680" s="2">
        <v>37.562399999999997</v>
      </c>
      <c r="L4680" s="3">
        <f>(Table1[[#This Row],[Profit]]/Table1[[#This Row],[Sales]])*100</f>
        <v>36.854788069073777</v>
      </c>
    </row>
    <row r="4681" spans="1:12" x14ac:dyDescent="0.3">
      <c r="A4681" t="s">
        <v>470</v>
      </c>
      <c r="B4681" s="1">
        <v>43527</v>
      </c>
      <c r="C4681" t="s">
        <v>471</v>
      </c>
      <c r="D4681" t="s">
        <v>472</v>
      </c>
      <c r="E4681" t="s">
        <v>14</v>
      </c>
      <c r="F4681" t="s">
        <v>29</v>
      </c>
      <c r="G4681" t="s">
        <v>18</v>
      </c>
      <c r="H4681" t="s">
        <v>473</v>
      </c>
      <c r="I4681" s="2">
        <v>134.85</v>
      </c>
      <c r="J4681">
        <v>3</v>
      </c>
      <c r="K4681" s="2">
        <v>37.758000000000003</v>
      </c>
      <c r="L4681" s="3">
        <f>(Table1[[#This Row],[Profit]]/Table1[[#This Row],[Sales]])*100</f>
        <v>28.000000000000004</v>
      </c>
    </row>
    <row r="4682" spans="1:12" x14ac:dyDescent="0.3">
      <c r="A4682" t="s">
        <v>5134</v>
      </c>
      <c r="B4682" s="1">
        <v>44055</v>
      </c>
      <c r="C4682" t="s">
        <v>5135</v>
      </c>
      <c r="D4682" t="s">
        <v>5136</v>
      </c>
      <c r="E4682" t="s">
        <v>14</v>
      </c>
      <c r="F4682" t="s">
        <v>23</v>
      </c>
      <c r="G4682" t="s">
        <v>24</v>
      </c>
      <c r="H4682" t="s">
        <v>1483</v>
      </c>
      <c r="I4682" s="2">
        <v>133.70400000000001</v>
      </c>
      <c r="J4682">
        <v>6</v>
      </c>
      <c r="K4682" s="2">
        <v>37.764000000000003</v>
      </c>
      <c r="L4682" s="3">
        <f>(Table1[[#This Row],[Profit]]/Table1[[#This Row],[Sales]])*100</f>
        <v>28.244480344641897</v>
      </c>
    </row>
    <row r="4683" spans="1:12" x14ac:dyDescent="0.3">
      <c r="A4683" t="s">
        <v>870</v>
      </c>
      <c r="B4683" s="1">
        <v>43559</v>
      </c>
      <c r="C4683" t="s">
        <v>871</v>
      </c>
      <c r="D4683" t="s">
        <v>872</v>
      </c>
      <c r="E4683" t="s">
        <v>14</v>
      </c>
      <c r="F4683" t="s">
        <v>15</v>
      </c>
      <c r="G4683" t="s">
        <v>18</v>
      </c>
      <c r="H4683" t="s">
        <v>874</v>
      </c>
      <c r="I4683" s="2">
        <v>89.97</v>
      </c>
      <c r="J4683">
        <v>3</v>
      </c>
      <c r="K4683" s="2">
        <v>37.787399999999998</v>
      </c>
      <c r="L4683" s="3">
        <f>(Table1[[#This Row],[Profit]]/Table1[[#This Row],[Sales]])*100</f>
        <v>42</v>
      </c>
    </row>
    <row r="4684" spans="1:12" x14ac:dyDescent="0.3">
      <c r="A4684" t="s">
        <v>5423</v>
      </c>
      <c r="B4684" s="1">
        <v>44091</v>
      </c>
      <c r="C4684" t="s">
        <v>2937</v>
      </c>
      <c r="D4684" t="s">
        <v>2938</v>
      </c>
      <c r="E4684" t="s">
        <v>14</v>
      </c>
      <c r="F4684" t="s">
        <v>23</v>
      </c>
      <c r="G4684" t="s">
        <v>18</v>
      </c>
      <c r="H4684" t="s">
        <v>874</v>
      </c>
      <c r="I4684" s="2">
        <v>120.97</v>
      </c>
      <c r="J4684">
        <v>3</v>
      </c>
      <c r="K4684" s="2">
        <v>37.787399999999998</v>
      </c>
      <c r="L4684" s="3">
        <f>(Table1[[#This Row],[Profit]]/Table1[[#This Row],[Sales]])*100</f>
        <v>31.237000909316357</v>
      </c>
    </row>
    <row r="4685" spans="1:12" x14ac:dyDescent="0.3">
      <c r="A4685" t="s">
        <v>6132</v>
      </c>
      <c r="B4685" s="1">
        <v>44173</v>
      </c>
      <c r="C4685" t="s">
        <v>5720</v>
      </c>
      <c r="D4685" t="s">
        <v>5721</v>
      </c>
      <c r="E4685" t="s">
        <v>14</v>
      </c>
      <c r="F4685" t="s">
        <v>23</v>
      </c>
      <c r="G4685" t="s">
        <v>18</v>
      </c>
      <c r="H4685" t="s">
        <v>2317</v>
      </c>
      <c r="I4685" s="2">
        <v>190.95</v>
      </c>
      <c r="J4685">
        <v>5</v>
      </c>
      <c r="K4685" s="2">
        <v>37.789499999999997</v>
      </c>
      <c r="L4685" s="3">
        <f>(Table1[[#This Row],[Profit]]/Table1[[#This Row],[Sales]])*100</f>
        <v>19.790259230164963</v>
      </c>
    </row>
    <row r="4686" spans="1:12" x14ac:dyDescent="0.3">
      <c r="A4686" t="s">
        <v>5191</v>
      </c>
      <c r="B4686" s="1">
        <v>44064</v>
      </c>
      <c r="C4686" t="s">
        <v>5192</v>
      </c>
      <c r="D4686" t="s">
        <v>5193</v>
      </c>
      <c r="E4686" t="s">
        <v>14</v>
      </c>
      <c r="F4686" t="s">
        <v>23</v>
      </c>
      <c r="G4686" t="s">
        <v>18</v>
      </c>
      <c r="H4686" t="s">
        <v>2705</v>
      </c>
      <c r="I4686" s="2">
        <v>450.96800000000002</v>
      </c>
      <c r="J4686">
        <v>4</v>
      </c>
      <c r="K4686" s="2">
        <v>37.797199999999997</v>
      </c>
      <c r="L4686" s="3">
        <f>(Table1[[#This Row],[Profit]]/Table1[[#This Row],[Sales]])*100</f>
        <v>8.3813485657518925</v>
      </c>
    </row>
    <row r="4687" spans="1:12" x14ac:dyDescent="0.3">
      <c r="A4687" t="s">
        <v>5300</v>
      </c>
      <c r="B4687" s="1">
        <v>44081</v>
      </c>
      <c r="C4687" t="s">
        <v>5301</v>
      </c>
      <c r="D4687" t="s">
        <v>5302</v>
      </c>
      <c r="E4687" t="s">
        <v>14</v>
      </c>
      <c r="F4687" t="s">
        <v>29</v>
      </c>
      <c r="G4687" t="s">
        <v>16</v>
      </c>
      <c r="H4687" t="s">
        <v>5305</v>
      </c>
      <c r="I4687" s="2">
        <v>170.3</v>
      </c>
      <c r="J4687">
        <v>5</v>
      </c>
      <c r="K4687" s="2">
        <v>37.884</v>
      </c>
      <c r="L4687" s="3">
        <f>(Table1[[#This Row],[Profit]]/Table1[[#This Row],[Sales]])*100</f>
        <v>22.245449207281268</v>
      </c>
    </row>
    <row r="4688" spans="1:12" x14ac:dyDescent="0.3">
      <c r="A4688" t="s">
        <v>6021</v>
      </c>
      <c r="B4688" s="1">
        <v>44161</v>
      </c>
      <c r="C4688" t="s">
        <v>1384</v>
      </c>
      <c r="D4688" t="s">
        <v>1385</v>
      </c>
      <c r="E4688" t="s">
        <v>14</v>
      </c>
      <c r="F4688" t="s">
        <v>15</v>
      </c>
      <c r="G4688" t="s">
        <v>16</v>
      </c>
      <c r="H4688" t="s">
        <v>5305</v>
      </c>
      <c r="I4688" s="2">
        <v>159.30000000000001</v>
      </c>
      <c r="J4688">
        <v>5</v>
      </c>
      <c r="K4688" s="2">
        <v>37.884</v>
      </c>
      <c r="L4688" s="3">
        <f>(Table1[[#This Row],[Profit]]/Table1[[#This Row],[Sales]])*100</f>
        <v>23.781544256120526</v>
      </c>
    </row>
    <row r="4689" spans="1:12" x14ac:dyDescent="0.3">
      <c r="A4689" t="s">
        <v>1138</v>
      </c>
      <c r="B4689" s="1">
        <v>43578</v>
      </c>
      <c r="C4689" t="s">
        <v>1139</v>
      </c>
      <c r="D4689" t="s">
        <v>1140</v>
      </c>
      <c r="E4689" t="s">
        <v>14</v>
      </c>
      <c r="F4689" t="s">
        <v>15</v>
      </c>
      <c r="G4689" t="s">
        <v>24</v>
      </c>
      <c r="H4689" t="s">
        <v>1141</v>
      </c>
      <c r="I4689" s="2">
        <v>108.336</v>
      </c>
      <c r="J4689">
        <v>6</v>
      </c>
      <c r="K4689" s="2">
        <v>37.9176</v>
      </c>
      <c r="L4689" s="3">
        <f>(Table1[[#This Row],[Profit]]/Table1[[#This Row],[Sales]])*100</f>
        <v>35</v>
      </c>
    </row>
    <row r="4690" spans="1:12" x14ac:dyDescent="0.3">
      <c r="A4690" t="s">
        <v>2829</v>
      </c>
      <c r="B4690" s="1">
        <v>43728</v>
      </c>
      <c r="C4690" t="s">
        <v>2830</v>
      </c>
      <c r="D4690" t="s">
        <v>2831</v>
      </c>
      <c r="E4690" t="s">
        <v>14</v>
      </c>
      <c r="F4690" t="s">
        <v>23</v>
      </c>
      <c r="G4690" t="s">
        <v>24</v>
      </c>
      <c r="H4690" t="s">
        <v>2464</v>
      </c>
      <c r="I4690" s="2">
        <v>77.52</v>
      </c>
      <c r="J4690">
        <v>2</v>
      </c>
      <c r="K4690" s="2">
        <v>37.9848</v>
      </c>
      <c r="L4690" s="3">
        <f>(Table1[[#This Row],[Profit]]/Table1[[#This Row],[Sales]])*100</f>
        <v>49.000000000000007</v>
      </c>
    </row>
    <row r="4691" spans="1:12" x14ac:dyDescent="0.3">
      <c r="A4691" t="s">
        <v>5726</v>
      </c>
      <c r="B4691" s="1">
        <v>44134</v>
      </c>
      <c r="C4691" t="s">
        <v>5727</v>
      </c>
      <c r="D4691" t="s">
        <v>5728</v>
      </c>
      <c r="E4691" t="s">
        <v>14</v>
      </c>
      <c r="F4691" t="s">
        <v>23</v>
      </c>
      <c r="G4691" t="s">
        <v>16</v>
      </c>
      <c r="H4691" t="s">
        <v>2926</v>
      </c>
      <c r="I4691" s="2">
        <v>232.98</v>
      </c>
      <c r="J4691">
        <v>2</v>
      </c>
      <c r="K4691" s="2">
        <v>37.996200000000002</v>
      </c>
      <c r="L4691" s="3">
        <f>(Table1[[#This Row],[Profit]]/Table1[[#This Row],[Sales]])*100</f>
        <v>16.308781869688389</v>
      </c>
    </row>
    <row r="4692" spans="1:12" x14ac:dyDescent="0.3">
      <c r="A4692" t="s">
        <v>3191</v>
      </c>
      <c r="B4692" s="1">
        <v>43766</v>
      </c>
      <c r="C4692" t="s">
        <v>197</v>
      </c>
      <c r="D4692" t="s">
        <v>198</v>
      </c>
      <c r="E4692" t="s">
        <v>14</v>
      </c>
      <c r="F4692" t="s">
        <v>15</v>
      </c>
      <c r="G4692" t="s">
        <v>16</v>
      </c>
      <c r="H4692" t="s">
        <v>412</v>
      </c>
      <c r="I4692" s="2">
        <v>77.599999999999994</v>
      </c>
      <c r="J4692">
        <v>4</v>
      </c>
      <c r="K4692" s="2">
        <v>38.024000000000001</v>
      </c>
      <c r="L4692" s="3">
        <f>(Table1[[#This Row],[Profit]]/Table1[[#This Row],[Sales]])*100</f>
        <v>49.000000000000007</v>
      </c>
    </row>
    <row r="4693" spans="1:12" x14ac:dyDescent="0.3">
      <c r="A4693" t="s">
        <v>4401</v>
      </c>
      <c r="B4693" s="1">
        <v>43922</v>
      </c>
      <c r="C4693" t="s">
        <v>279</v>
      </c>
      <c r="D4693" t="s">
        <v>280</v>
      </c>
      <c r="E4693" t="s">
        <v>14</v>
      </c>
      <c r="F4693" t="s">
        <v>23</v>
      </c>
      <c r="G4693" t="s">
        <v>24</v>
      </c>
      <c r="H4693" t="s">
        <v>3303</v>
      </c>
      <c r="I4693" s="2">
        <v>166.68</v>
      </c>
      <c r="J4693">
        <v>13</v>
      </c>
      <c r="K4693" s="2">
        <v>38.024999999999999</v>
      </c>
      <c r="L4693" s="3">
        <f>(Table1[[#This Row],[Profit]]/Table1[[#This Row],[Sales]])*100</f>
        <v>22.813174946004317</v>
      </c>
    </row>
    <row r="4694" spans="1:12" x14ac:dyDescent="0.3">
      <c r="A4694" t="s">
        <v>733</v>
      </c>
      <c r="B4694" s="1">
        <v>43544</v>
      </c>
      <c r="C4694" t="s">
        <v>734</v>
      </c>
      <c r="D4694" t="s">
        <v>735</v>
      </c>
      <c r="E4694" t="s">
        <v>14</v>
      </c>
      <c r="F4694" t="s">
        <v>41</v>
      </c>
      <c r="G4694" t="s">
        <v>16</v>
      </c>
      <c r="H4694" t="s">
        <v>736</v>
      </c>
      <c r="I4694" s="2">
        <v>86.45</v>
      </c>
      <c r="J4694">
        <v>7</v>
      </c>
      <c r="K4694" s="2">
        <v>38.037999999999997</v>
      </c>
      <c r="L4694" s="3">
        <f>(Table1[[#This Row],[Profit]]/Table1[[#This Row],[Sales]])*100</f>
        <v>43.999999999999993</v>
      </c>
    </row>
    <row r="4695" spans="1:12" x14ac:dyDescent="0.3">
      <c r="A4695" t="s">
        <v>4306</v>
      </c>
      <c r="B4695" s="1">
        <v>43910</v>
      </c>
      <c r="C4695" t="s">
        <v>1330</v>
      </c>
      <c r="D4695" t="s">
        <v>1331</v>
      </c>
      <c r="E4695" t="s">
        <v>14</v>
      </c>
      <c r="F4695" t="s">
        <v>15</v>
      </c>
      <c r="G4695" t="s">
        <v>18</v>
      </c>
      <c r="H4695" t="s">
        <v>2417</v>
      </c>
      <c r="I4695" s="2">
        <v>252</v>
      </c>
      <c r="J4695">
        <v>2</v>
      </c>
      <c r="K4695" s="2">
        <v>38.08</v>
      </c>
      <c r="L4695" s="3">
        <f>(Table1[[#This Row],[Profit]]/Table1[[#This Row],[Sales]])*100</f>
        <v>15.111111111111111</v>
      </c>
    </row>
    <row r="4696" spans="1:12" x14ac:dyDescent="0.3">
      <c r="A4696" t="s">
        <v>5250</v>
      </c>
      <c r="B4696" s="1">
        <v>44076</v>
      </c>
      <c r="C4696" t="s">
        <v>4172</v>
      </c>
      <c r="D4696" t="s">
        <v>4173</v>
      </c>
      <c r="E4696" t="s">
        <v>14</v>
      </c>
      <c r="F4696" t="s">
        <v>15</v>
      </c>
      <c r="G4696" t="s">
        <v>18</v>
      </c>
      <c r="H4696" t="s">
        <v>2417</v>
      </c>
      <c r="I4696" s="2">
        <v>284</v>
      </c>
      <c r="J4696">
        <v>2</v>
      </c>
      <c r="K4696" s="2">
        <v>38.08</v>
      </c>
      <c r="L4696" s="3">
        <f>(Table1[[#This Row],[Profit]]/Table1[[#This Row],[Sales]])*100</f>
        <v>13.408450704225352</v>
      </c>
    </row>
    <row r="4697" spans="1:12" x14ac:dyDescent="0.3">
      <c r="A4697" t="s">
        <v>2017</v>
      </c>
      <c r="B4697" s="1">
        <v>43660</v>
      </c>
      <c r="C4697" t="s">
        <v>899</v>
      </c>
      <c r="D4697" t="s">
        <v>900</v>
      </c>
      <c r="E4697" t="s">
        <v>14</v>
      </c>
      <c r="F4697" t="s">
        <v>23</v>
      </c>
      <c r="G4697" t="s">
        <v>18</v>
      </c>
      <c r="H4697" t="s">
        <v>2018</v>
      </c>
      <c r="I4697" s="2">
        <v>380.86399999999998</v>
      </c>
      <c r="J4697">
        <v>8</v>
      </c>
      <c r="K4697" s="2">
        <v>38.086399999999998</v>
      </c>
      <c r="L4697" s="3">
        <f>(Table1[[#This Row],[Profit]]/Table1[[#This Row],[Sales]])*100</f>
        <v>10</v>
      </c>
    </row>
    <row r="4698" spans="1:12" x14ac:dyDescent="0.3">
      <c r="A4698" t="s">
        <v>5736</v>
      </c>
      <c r="B4698" s="1">
        <v>44135</v>
      </c>
      <c r="C4698" t="s">
        <v>2337</v>
      </c>
      <c r="D4698" t="s">
        <v>2338</v>
      </c>
      <c r="E4698" t="s">
        <v>14</v>
      </c>
      <c r="F4698" t="s">
        <v>29</v>
      </c>
      <c r="G4698" t="s">
        <v>18</v>
      </c>
      <c r="H4698" t="s">
        <v>2228</v>
      </c>
      <c r="I4698" s="2">
        <v>522.76800000000003</v>
      </c>
      <c r="J4698">
        <v>4</v>
      </c>
      <c r="K4698" s="2">
        <v>38.157600000000002</v>
      </c>
      <c r="L4698" s="3">
        <f>(Table1[[#This Row],[Profit]]/Table1[[#This Row],[Sales]])*100</f>
        <v>7.2991460839225049</v>
      </c>
    </row>
    <row r="4699" spans="1:12" x14ac:dyDescent="0.3">
      <c r="A4699" t="s">
        <v>6247</v>
      </c>
      <c r="B4699" s="1">
        <v>44188</v>
      </c>
      <c r="C4699" t="s">
        <v>956</v>
      </c>
      <c r="D4699" t="s">
        <v>957</v>
      </c>
      <c r="E4699" t="s">
        <v>14</v>
      </c>
      <c r="F4699" t="s">
        <v>15</v>
      </c>
      <c r="G4699" t="s">
        <v>16</v>
      </c>
      <c r="H4699" t="s">
        <v>4947</v>
      </c>
      <c r="I4699" s="2">
        <v>390.95</v>
      </c>
      <c r="J4699">
        <v>3</v>
      </c>
      <c r="K4699" s="2">
        <v>38.209499999999998</v>
      </c>
      <c r="L4699" s="3">
        <f>(Table1[[#This Row],[Profit]]/Table1[[#This Row],[Sales]])*100</f>
        <v>9.7735004476275744</v>
      </c>
    </row>
    <row r="4700" spans="1:12" x14ac:dyDescent="0.3">
      <c r="A4700" t="s">
        <v>11</v>
      </c>
      <c r="B4700" s="1">
        <v>43467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t="s">
        <v>17</v>
      </c>
      <c r="I4700" s="2">
        <v>173.94</v>
      </c>
      <c r="J4700">
        <v>3</v>
      </c>
      <c r="K4700" s="2">
        <v>38.266800000000003</v>
      </c>
      <c r="L4700" s="3">
        <f>(Table1[[#This Row],[Profit]]/Table1[[#This Row],[Sales]])*100</f>
        <v>22.000000000000004</v>
      </c>
    </row>
    <row r="4701" spans="1:12" x14ac:dyDescent="0.3">
      <c r="A4701" t="s">
        <v>5745</v>
      </c>
      <c r="B4701" s="1">
        <v>44137</v>
      </c>
      <c r="C4701" t="s">
        <v>1573</v>
      </c>
      <c r="D4701" t="s">
        <v>1574</v>
      </c>
      <c r="E4701" t="s">
        <v>14</v>
      </c>
      <c r="F4701" t="s">
        <v>23</v>
      </c>
      <c r="G4701" t="s">
        <v>24</v>
      </c>
      <c r="H4701" t="s">
        <v>2511</v>
      </c>
      <c r="I4701" s="2">
        <v>170.58</v>
      </c>
      <c r="J4701">
        <v>7</v>
      </c>
      <c r="K4701" s="2">
        <v>38.29</v>
      </c>
      <c r="L4701" s="3">
        <f>(Table1[[#This Row],[Profit]]/Table1[[#This Row],[Sales]])*100</f>
        <v>22.446945714620703</v>
      </c>
    </row>
    <row r="4702" spans="1:12" x14ac:dyDescent="0.3">
      <c r="A4702" t="s">
        <v>2243</v>
      </c>
      <c r="B4702" s="1">
        <v>43680</v>
      </c>
      <c r="C4702" t="s">
        <v>2244</v>
      </c>
      <c r="D4702" t="s">
        <v>2245</v>
      </c>
      <c r="E4702" t="s">
        <v>14</v>
      </c>
      <c r="F4702" t="s">
        <v>29</v>
      </c>
      <c r="G4702" t="s">
        <v>24</v>
      </c>
      <c r="H4702" t="s">
        <v>2246</v>
      </c>
      <c r="I4702" s="2">
        <v>81.540000000000006</v>
      </c>
      <c r="J4702">
        <v>3</v>
      </c>
      <c r="K4702" s="2">
        <v>38.323799999999999</v>
      </c>
      <c r="L4702" s="3">
        <f>(Table1[[#This Row],[Profit]]/Table1[[#This Row],[Sales]])*100</f>
        <v>47</v>
      </c>
    </row>
    <row r="4703" spans="1:12" x14ac:dyDescent="0.3">
      <c r="A4703" t="s">
        <v>3606</v>
      </c>
      <c r="B4703" s="1">
        <v>43796</v>
      </c>
      <c r="C4703" t="s">
        <v>3607</v>
      </c>
      <c r="D4703" t="s">
        <v>3608</v>
      </c>
      <c r="E4703" t="s">
        <v>14</v>
      </c>
      <c r="F4703" t="s">
        <v>15</v>
      </c>
      <c r="G4703" t="s">
        <v>24</v>
      </c>
      <c r="H4703" t="s">
        <v>682</v>
      </c>
      <c r="I4703" s="2">
        <v>79.95</v>
      </c>
      <c r="J4703">
        <v>5</v>
      </c>
      <c r="K4703" s="2">
        <v>38.375999999999998</v>
      </c>
      <c r="L4703" s="3">
        <f>(Table1[[#This Row],[Profit]]/Table1[[#This Row],[Sales]])*100</f>
        <v>47.999999999999993</v>
      </c>
    </row>
    <row r="4704" spans="1:12" x14ac:dyDescent="0.3">
      <c r="A4704" t="s">
        <v>992</v>
      </c>
      <c r="B4704" s="1">
        <v>43569</v>
      </c>
      <c r="C4704" t="s">
        <v>993</v>
      </c>
      <c r="D4704" t="s">
        <v>994</v>
      </c>
      <c r="E4704" t="s">
        <v>14</v>
      </c>
      <c r="F4704" t="s">
        <v>23</v>
      </c>
      <c r="G4704" t="s">
        <v>16</v>
      </c>
      <c r="H4704" t="s">
        <v>995</v>
      </c>
      <c r="I4704" s="2">
        <v>383.8</v>
      </c>
      <c r="J4704">
        <v>5</v>
      </c>
      <c r="K4704" s="2">
        <v>38.380000000000003</v>
      </c>
      <c r="L4704" s="3">
        <f>(Table1[[#This Row],[Profit]]/Table1[[#This Row],[Sales]])*100</f>
        <v>10</v>
      </c>
    </row>
    <row r="4705" spans="1:12" x14ac:dyDescent="0.3">
      <c r="A4705" t="s">
        <v>5825</v>
      </c>
      <c r="B4705" s="1">
        <v>44144</v>
      </c>
      <c r="C4705" t="s">
        <v>3044</v>
      </c>
      <c r="D4705" t="s">
        <v>3045</v>
      </c>
      <c r="E4705" t="s">
        <v>14</v>
      </c>
      <c r="F4705" t="s">
        <v>41</v>
      </c>
      <c r="G4705" t="s">
        <v>18</v>
      </c>
      <c r="H4705" t="s">
        <v>507</v>
      </c>
      <c r="I4705" s="2">
        <v>201.976</v>
      </c>
      <c r="J4705">
        <v>3</v>
      </c>
      <c r="K4705" s="2">
        <v>38.395200000000003</v>
      </c>
      <c r="L4705" s="3">
        <f>(Table1[[#This Row],[Profit]]/Table1[[#This Row],[Sales]])*100</f>
        <v>19.009783340594925</v>
      </c>
    </row>
    <row r="4706" spans="1:12" x14ac:dyDescent="0.3">
      <c r="A4706" t="s">
        <v>5499</v>
      </c>
      <c r="B4706" s="1">
        <v>44098</v>
      </c>
      <c r="C4706" t="s">
        <v>286</v>
      </c>
      <c r="D4706" t="s">
        <v>287</v>
      </c>
      <c r="E4706" t="s">
        <v>14</v>
      </c>
      <c r="F4706" t="s">
        <v>41</v>
      </c>
      <c r="G4706" t="s">
        <v>18</v>
      </c>
      <c r="H4706" t="s">
        <v>4144</v>
      </c>
      <c r="I4706" s="2">
        <v>433.96</v>
      </c>
      <c r="J4706">
        <v>5</v>
      </c>
      <c r="K4706" s="2">
        <v>38.396000000000001</v>
      </c>
      <c r="L4706" s="3">
        <f>(Table1[[#This Row],[Profit]]/Table1[[#This Row],[Sales]])*100</f>
        <v>8.8478200755830034</v>
      </c>
    </row>
    <row r="4707" spans="1:12" x14ac:dyDescent="0.3">
      <c r="A4707" t="s">
        <v>5786</v>
      </c>
      <c r="B4707" s="1">
        <v>44140</v>
      </c>
      <c r="C4707" t="s">
        <v>5787</v>
      </c>
      <c r="D4707" t="s">
        <v>5788</v>
      </c>
      <c r="E4707" t="s">
        <v>14</v>
      </c>
      <c r="F4707" t="s">
        <v>15</v>
      </c>
      <c r="G4707" t="s">
        <v>16</v>
      </c>
      <c r="H4707" t="s">
        <v>4345</v>
      </c>
      <c r="I4707" s="2">
        <v>133.4</v>
      </c>
      <c r="J4707">
        <v>5</v>
      </c>
      <c r="K4707" s="2">
        <v>38.531999999999996</v>
      </c>
      <c r="L4707" s="3">
        <f>(Table1[[#This Row],[Profit]]/Table1[[#This Row],[Sales]])*100</f>
        <v>28.884557721139426</v>
      </c>
    </row>
    <row r="4708" spans="1:12" x14ac:dyDescent="0.3">
      <c r="A4708" t="s">
        <v>4690</v>
      </c>
      <c r="B4708" s="1">
        <v>43971</v>
      </c>
      <c r="C4708" t="s">
        <v>133</v>
      </c>
      <c r="D4708" t="s">
        <v>134</v>
      </c>
      <c r="E4708" t="s">
        <v>14</v>
      </c>
      <c r="F4708" t="s">
        <v>23</v>
      </c>
      <c r="G4708" t="s">
        <v>18</v>
      </c>
      <c r="H4708" t="s">
        <v>3271</v>
      </c>
      <c r="I4708" s="2">
        <v>383.2</v>
      </c>
      <c r="J4708">
        <v>1</v>
      </c>
      <c r="K4708" s="2">
        <v>38.61</v>
      </c>
      <c r="L4708" s="3">
        <f>(Table1[[#This Row],[Profit]]/Table1[[#This Row],[Sales]])*100</f>
        <v>10.075678496868475</v>
      </c>
    </row>
    <row r="4709" spans="1:12" x14ac:dyDescent="0.3">
      <c r="A4709" t="s">
        <v>1959</v>
      </c>
      <c r="B4709" s="1">
        <v>43649</v>
      </c>
      <c r="C4709" t="s">
        <v>956</v>
      </c>
      <c r="D4709" t="s">
        <v>957</v>
      </c>
      <c r="E4709" t="s">
        <v>14</v>
      </c>
      <c r="F4709" t="s">
        <v>15</v>
      </c>
      <c r="G4709" t="s">
        <v>24</v>
      </c>
      <c r="H4709" t="s">
        <v>1960</v>
      </c>
      <c r="I4709" s="2">
        <v>123.92</v>
      </c>
      <c r="J4709">
        <v>5</v>
      </c>
      <c r="K4709" s="2">
        <v>38.725000000000001</v>
      </c>
      <c r="L4709" s="3">
        <f>(Table1[[#This Row],[Profit]]/Table1[[#This Row],[Sales]])*100</f>
        <v>31.25</v>
      </c>
    </row>
    <row r="4710" spans="1:12" x14ac:dyDescent="0.3">
      <c r="A4710" t="s">
        <v>4176</v>
      </c>
      <c r="B4710" s="1">
        <v>43885</v>
      </c>
      <c r="C4710" t="s">
        <v>899</v>
      </c>
      <c r="D4710" t="s">
        <v>900</v>
      </c>
      <c r="E4710" t="s">
        <v>14</v>
      </c>
      <c r="F4710" t="s">
        <v>15</v>
      </c>
      <c r="G4710" t="s">
        <v>24</v>
      </c>
      <c r="H4710" t="s">
        <v>3764</v>
      </c>
      <c r="I4710" s="2">
        <v>152.91999999999999</v>
      </c>
      <c r="J4710">
        <v>5</v>
      </c>
      <c r="K4710" s="2">
        <v>38.725000000000001</v>
      </c>
      <c r="L4710" s="3">
        <f>(Table1[[#This Row],[Profit]]/Table1[[#This Row],[Sales]])*100</f>
        <v>25.323698665969136</v>
      </c>
    </row>
    <row r="4711" spans="1:12" x14ac:dyDescent="0.3">
      <c r="A4711" t="s">
        <v>4663</v>
      </c>
      <c r="B4711" s="1">
        <v>43969</v>
      </c>
      <c r="C4711" t="s">
        <v>257</v>
      </c>
      <c r="D4711" t="s">
        <v>258</v>
      </c>
      <c r="E4711" t="s">
        <v>14</v>
      </c>
      <c r="F4711" t="s">
        <v>23</v>
      </c>
      <c r="G4711" t="s">
        <v>18</v>
      </c>
      <c r="H4711" t="s">
        <v>4664</v>
      </c>
      <c r="I4711" s="2">
        <v>364.70400000000001</v>
      </c>
      <c r="J4711">
        <v>2</v>
      </c>
      <c r="K4711" s="2">
        <v>38.779200000000003</v>
      </c>
      <c r="L4711" s="3">
        <f>(Table1[[#This Row],[Profit]]/Table1[[#This Row],[Sales]])*100</f>
        <v>10.633061331929456</v>
      </c>
    </row>
    <row r="4712" spans="1:12" x14ac:dyDescent="0.3">
      <c r="A4712" t="s">
        <v>5195</v>
      </c>
      <c r="B4712" s="1">
        <v>44064</v>
      </c>
      <c r="C4712" t="s">
        <v>2875</v>
      </c>
      <c r="D4712" t="s">
        <v>2876</v>
      </c>
      <c r="E4712" t="s">
        <v>14</v>
      </c>
      <c r="F4712" t="s">
        <v>23</v>
      </c>
      <c r="G4712" t="s">
        <v>16</v>
      </c>
      <c r="H4712" t="s">
        <v>3583</v>
      </c>
      <c r="I4712" s="2">
        <v>435.70400000000001</v>
      </c>
      <c r="J4712">
        <v>6</v>
      </c>
      <c r="K4712" s="2">
        <v>38.870399999999997</v>
      </c>
      <c r="L4712" s="3">
        <f>(Table1[[#This Row],[Profit]]/Table1[[#This Row],[Sales]])*100</f>
        <v>8.9212860106861527</v>
      </c>
    </row>
    <row r="4713" spans="1:12" x14ac:dyDescent="0.3">
      <c r="A4713" t="s">
        <v>4099</v>
      </c>
      <c r="B4713" s="1">
        <v>43863</v>
      </c>
      <c r="C4713" t="s">
        <v>1183</v>
      </c>
      <c r="D4713" t="s">
        <v>1184</v>
      </c>
      <c r="E4713" t="s">
        <v>14</v>
      </c>
      <c r="F4713" t="s">
        <v>23</v>
      </c>
      <c r="G4713" t="s">
        <v>24</v>
      </c>
      <c r="H4713" t="s">
        <v>4103</v>
      </c>
      <c r="I4713" s="2">
        <v>2178.04</v>
      </c>
      <c r="J4713">
        <v>4</v>
      </c>
      <c r="K4713" s="2">
        <v>38.931199999999997</v>
      </c>
      <c r="L4713" s="3">
        <f>(Table1[[#This Row],[Profit]]/Table1[[#This Row],[Sales]])*100</f>
        <v>1.7874419202585807</v>
      </c>
    </row>
    <row r="4714" spans="1:12" x14ac:dyDescent="0.3">
      <c r="A4714" t="s">
        <v>4129</v>
      </c>
      <c r="B4714" s="1">
        <v>43874</v>
      </c>
      <c r="C4714" t="s">
        <v>3581</v>
      </c>
      <c r="D4714" t="s">
        <v>3582</v>
      </c>
      <c r="E4714" t="s">
        <v>14</v>
      </c>
      <c r="F4714" t="s">
        <v>29</v>
      </c>
      <c r="G4714" t="s">
        <v>24</v>
      </c>
      <c r="H4714" t="s">
        <v>4130</v>
      </c>
      <c r="I4714" s="2">
        <v>116.64</v>
      </c>
      <c r="J4714">
        <v>8</v>
      </c>
      <c r="K4714" s="2">
        <v>38.975200000000001</v>
      </c>
      <c r="L4714" s="3">
        <f>(Table1[[#This Row],[Profit]]/Table1[[#This Row],[Sales]])*100</f>
        <v>33.414951989026065</v>
      </c>
    </row>
    <row r="4715" spans="1:12" x14ac:dyDescent="0.3">
      <c r="A4715" t="s">
        <v>3352</v>
      </c>
      <c r="B4715" s="1">
        <v>43779</v>
      </c>
      <c r="C4715" t="s">
        <v>3353</v>
      </c>
      <c r="D4715" t="s">
        <v>3354</v>
      </c>
      <c r="E4715" t="s">
        <v>14</v>
      </c>
      <c r="F4715" t="s">
        <v>23</v>
      </c>
      <c r="G4715" t="s">
        <v>24</v>
      </c>
      <c r="H4715" t="s">
        <v>3355</v>
      </c>
      <c r="I4715" s="2">
        <v>129.91999999999999</v>
      </c>
      <c r="J4715">
        <v>4</v>
      </c>
      <c r="K4715" s="2">
        <v>38.975999999999999</v>
      </c>
      <c r="L4715" s="3">
        <f>(Table1[[#This Row],[Profit]]/Table1[[#This Row],[Sales]])*100</f>
        <v>30.000000000000004</v>
      </c>
    </row>
    <row r="4716" spans="1:12" x14ac:dyDescent="0.3">
      <c r="A4716" t="s">
        <v>1827</v>
      </c>
      <c r="B4716" s="1">
        <v>43639</v>
      </c>
      <c r="C4716" t="s">
        <v>1828</v>
      </c>
      <c r="D4716" t="s">
        <v>1829</v>
      </c>
      <c r="E4716" t="s">
        <v>14</v>
      </c>
      <c r="F4716" t="s">
        <v>15</v>
      </c>
      <c r="G4716" t="s">
        <v>24</v>
      </c>
      <c r="H4716" t="s">
        <v>986</v>
      </c>
      <c r="I4716" s="2">
        <v>324.89999999999998</v>
      </c>
      <c r="J4716">
        <v>5</v>
      </c>
      <c r="K4716" s="2">
        <v>38.988</v>
      </c>
      <c r="L4716" s="3">
        <f>(Table1[[#This Row],[Profit]]/Table1[[#This Row],[Sales]])*100</f>
        <v>12.000000000000002</v>
      </c>
    </row>
    <row r="4717" spans="1:12" x14ac:dyDescent="0.3">
      <c r="A4717" t="s">
        <v>6157</v>
      </c>
      <c r="B4717" s="1">
        <v>44175</v>
      </c>
      <c r="C4717" t="s">
        <v>44</v>
      </c>
      <c r="D4717" t="s">
        <v>45</v>
      </c>
      <c r="E4717" t="s">
        <v>14</v>
      </c>
      <c r="F4717" t="s">
        <v>23</v>
      </c>
      <c r="G4717" t="s">
        <v>24</v>
      </c>
      <c r="H4717" t="s">
        <v>986</v>
      </c>
      <c r="I4717" s="2">
        <v>526.9</v>
      </c>
      <c r="J4717">
        <v>5</v>
      </c>
      <c r="K4717" s="2">
        <v>38.988</v>
      </c>
      <c r="L4717" s="3">
        <f>(Table1[[#This Row],[Profit]]/Table1[[#This Row],[Sales]])*100</f>
        <v>7.3995065477320185</v>
      </c>
    </row>
    <row r="4718" spans="1:12" x14ac:dyDescent="0.3">
      <c r="A4718" t="s">
        <v>4100</v>
      </c>
      <c r="B4718" s="1">
        <v>43863</v>
      </c>
      <c r="C4718" t="s">
        <v>34</v>
      </c>
      <c r="D4718" t="s">
        <v>35</v>
      </c>
      <c r="E4718" t="s">
        <v>14</v>
      </c>
      <c r="F4718" t="s">
        <v>23</v>
      </c>
      <c r="G4718" t="s">
        <v>18</v>
      </c>
      <c r="H4718" t="s">
        <v>4102</v>
      </c>
      <c r="I4718" s="2">
        <v>253.98400000000001</v>
      </c>
      <c r="J4718">
        <v>2</v>
      </c>
      <c r="K4718" s="2">
        <v>38.997399999999999</v>
      </c>
      <c r="L4718" s="3">
        <f>(Table1[[#This Row],[Profit]]/Table1[[#This Row],[Sales]])*100</f>
        <v>15.354274284994329</v>
      </c>
    </row>
    <row r="4719" spans="1:12" x14ac:dyDescent="0.3">
      <c r="A4719" t="s">
        <v>317</v>
      </c>
      <c r="B4719" s="1">
        <v>43503</v>
      </c>
      <c r="C4719" t="s">
        <v>39</v>
      </c>
      <c r="D4719" t="s">
        <v>40</v>
      </c>
      <c r="E4719" t="s">
        <v>14</v>
      </c>
      <c r="F4719" t="s">
        <v>23</v>
      </c>
      <c r="G4719" t="s">
        <v>18</v>
      </c>
      <c r="H4719" t="s">
        <v>318</v>
      </c>
      <c r="I4719" s="2">
        <v>623.96</v>
      </c>
      <c r="J4719">
        <v>5</v>
      </c>
      <c r="K4719" s="2">
        <v>38.997500000000002</v>
      </c>
      <c r="L4719" s="3">
        <f>(Table1[[#This Row],[Profit]]/Table1[[#This Row],[Sales]])*100</f>
        <v>6.25</v>
      </c>
    </row>
    <row r="4720" spans="1:12" x14ac:dyDescent="0.3">
      <c r="A4720" t="s">
        <v>5239</v>
      </c>
      <c r="B4720" s="1">
        <v>44075</v>
      </c>
      <c r="C4720" t="s">
        <v>1419</v>
      </c>
      <c r="D4720" t="s">
        <v>1420</v>
      </c>
      <c r="E4720" t="s">
        <v>14</v>
      </c>
      <c r="F4720" t="s">
        <v>15</v>
      </c>
      <c r="G4720" t="s">
        <v>16</v>
      </c>
      <c r="H4720" t="s">
        <v>3846</v>
      </c>
      <c r="I4720" s="2">
        <v>145.9</v>
      </c>
      <c r="J4720">
        <v>5</v>
      </c>
      <c r="K4720" s="2">
        <v>39.066000000000003</v>
      </c>
      <c r="L4720" s="3">
        <f>(Table1[[#This Row],[Profit]]/Table1[[#This Row],[Sales]])*100</f>
        <v>26.77587388622344</v>
      </c>
    </row>
    <row r="4721" spans="1:12" x14ac:dyDescent="0.3">
      <c r="A4721" t="s">
        <v>4541</v>
      </c>
      <c r="B4721" s="1">
        <v>43948</v>
      </c>
      <c r="C4721" t="s">
        <v>2791</v>
      </c>
      <c r="D4721" t="s">
        <v>2792</v>
      </c>
      <c r="E4721" t="s">
        <v>14</v>
      </c>
      <c r="F4721" t="s">
        <v>23</v>
      </c>
      <c r="G4721" t="s">
        <v>16</v>
      </c>
      <c r="H4721" t="s">
        <v>3522</v>
      </c>
      <c r="I4721" s="2">
        <v>152.58000000000001</v>
      </c>
      <c r="J4721">
        <v>7</v>
      </c>
      <c r="K4721" s="2">
        <v>39.0824</v>
      </c>
      <c r="L4721" s="3">
        <f>(Table1[[#This Row],[Profit]]/Table1[[#This Row],[Sales]])*100</f>
        <v>25.614366234106694</v>
      </c>
    </row>
    <row r="4722" spans="1:12" x14ac:dyDescent="0.3">
      <c r="A4722" t="s">
        <v>4912</v>
      </c>
      <c r="B4722" s="1">
        <v>44011</v>
      </c>
      <c r="C4722" t="s">
        <v>118</v>
      </c>
      <c r="D4722" t="s">
        <v>119</v>
      </c>
      <c r="E4722" t="s">
        <v>14</v>
      </c>
      <c r="F4722" t="s">
        <v>23</v>
      </c>
      <c r="G4722" t="s">
        <v>24</v>
      </c>
      <c r="H4722" t="s">
        <v>4913</v>
      </c>
      <c r="I4722" s="2">
        <v>172.71</v>
      </c>
      <c r="J4722">
        <v>3</v>
      </c>
      <c r="K4722" s="2">
        <v>39.213000000000001</v>
      </c>
      <c r="L4722" s="3">
        <f>(Table1[[#This Row],[Profit]]/Table1[[#This Row],[Sales]])*100</f>
        <v>22.704533611255862</v>
      </c>
    </row>
    <row r="4723" spans="1:12" x14ac:dyDescent="0.3">
      <c r="A4723" t="s">
        <v>3347</v>
      </c>
      <c r="B4723" s="1">
        <v>43779</v>
      </c>
      <c r="C4723" t="s">
        <v>3348</v>
      </c>
      <c r="D4723" t="s">
        <v>3349</v>
      </c>
      <c r="E4723" t="s">
        <v>14</v>
      </c>
      <c r="F4723" t="s">
        <v>29</v>
      </c>
      <c r="G4723" t="s">
        <v>24</v>
      </c>
      <c r="H4723" t="s">
        <v>2610</v>
      </c>
      <c r="I4723" s="2">
        <v>81.96</v>
      </c>
      <c r="J4723">
        <v>2</v>
      </c>
      <c r="K4723" s="2">
        <v>39.340800000000002</v>
      </c>
      <c r="L4723" s="3">
        <f>(Table1[[#This Row],[Profit]]/Table1[[#This Row],[Sales]])*100</f>
        <v>48.000000000000007</v>
      </c>
    </row>
    <row r="4724" spans="1:12" x14ac:dyDescent="0.3">
      <c r="A4724" t="s">
        <v>3410</v>
      </c>
      <c r="B4724" s="1">
        <v>43782</v>
      </c>
      <c r="C4724" t="s">
        <v>249</v>
      </c>
      <c r="D4724" t="s">
        <v>250</v>
      </c>
      <c r="E4724" t="s">
        <v>14</v>
      </c>
      <c r="F4724" t="s">
        <v>15</v>
      </c>
      <c r="G4724" t="s">
        <v>24</v>
      </c>
      <c r="H4724" t="s">
        <v>3411</v>
      </c>
      <c r="I4724" s="2">
        <v>140.75</v>
      </c>
      <c r="J4724">
        <v>5</v>
      </c>
      <c r="K4724" s="2">
        <v>39.409999999999997</v>
      </c>
      <c r="L4724" s="3">
        <f>(Table1[[#This Row],[Profit]]/Table1[[#This Row],[Sales]])*100</f>
        <v>27.999999999999996</v>
      </c>
    </row>
    <row r="4725" spans="1:12" x14ac:dyDescent="0.3">
      <c r="A4725" t="s">
        <v>1893</v>
      </c>
      <c r="B4725" s="1">
        <v>43642</v>
      </c>
      <c r="C4725" t="s">
        <v>1894</v>
      </c>
      <c r="D4725" t="s">
        <v>1895</v>
      </c>
      <c r="E4725" t="s">
        <v>14</v>
      </c>
      <c r="F4725" t="s">
        <v>41</v>
      </c>
      <c r="G4725" t="s">
        <v>18</v>
      </c>
      <c r="H4725" t="s">
        <v>1896</v>
      </c>
      <c r="I4725" s="2">
        <v>135.94999999999999</v>
      </c>
      <c r="J4725">
        <v>1</v>
      </c>
      <c r="K4725" s="2">
        <v>39.4255</v>
      </c>
      <c r="L4725" s="3">
        <f>(Table1[[#This Row],[Profit]]/Table1[[#This Row],[Sales]])*100</f>
        <v>29.000000000000004</v>
      </c>
    </row>
    <row r="4726" spans="1:12" x14ac:dyDescent="0.3">
      <c r="A4726" t="s">
        <v>2092</v>
      </c>
      <c r="B4726" s="1">
        <v>43664</v>
      </c>
      <c r="C4726" t="s">
        <v>1898</v>
      </c>
      <c r="D4726" t="s">
        <v>1899</v>
      </c>
      <c r="E4726" t="s">
        <v>14</v>
      </c>
      <c r="F4726" t="s">
        <v>41</v>
      </c>
      <c r="G4726" t="s">
        <v>16</v>
      </c>
      <c r="H4726" t="s">
        <v>2093</v>
      </c>
      <c r="I4726" s="2">
        <v>140.81</v>
      </c>
      <c r="J4726">
        <v>1</v>
      </c>
      <c r="K4726" s="2">
        <v>39.4268</v>
      </c>
      <c r="L4726" s="3">
        <f>(Table1[[#This Row],[Profit]]/Table1[[#This Row],[Sales]])*100</f>
        <v>27.999999999999996</v>
      </c>
    </row>
    <row r="4727" spans="1:12" x14ac:dyDescent="0.3">
      <c r="A4727" t="s">
        <v>5849</v>
      </c>
      <c r="B4727" s="1">
        <v>44146</v>
      </c>
      <c r="C4727" t="s">
        <v>3979</v>
      </c>
      <c r="D4727" t="s">
        <v>3980</v>
      </c>
      <c r="E4727" t="s">
        <v>14</v>
      </c>
      <c r="F4727" t="s">
        <v>23</v>
      </c>
      <c r="G4727" t="s">
        <v>24</v>
      </c>
      <c r="H4727" t="s">
        <v>2833</v>
      </c>
      <c r="I4727" s="2">
        <v>162.6</v>
      </c>
      <c r="J4727">
        <v>5</v>
      </c>
      <c r="K4727" s="2">
        <v>39.520000000000003</v>
      </c>
      <c r="L4727" s="3">
        <f>(Table1[[#This Row],[Profit]]/Table1[[#This Row],[Sales]])*100</f>
        <v>24.305043050430509</v>
      </c>
    </row>
    <row r="4728" spans="1:12" x14ac:dyDescent="0.3">
      <c r="A4728" t="s">
        <v>5278</v>
      </c>
      <c r="B4728" s="1">
        <v>44078</v>
      </c>
      <c r="C4728" t="s">
        <v>236</v>
      </c>
      <c r="D4728" t="s">
        <v>237</v>
      </c>
      <c r="E4728" t="s">
        <v>14</v>
      </c>
      <c r="F4728" t="s">
        <v>15</v>
      </c>
      <c r="G4728" t="s">
        <v>18</v>
      </c>
      <c r="H4728" t="s">
        <v>172</v>
      </c>
      <c r="I4728" s="2">
        <v>140.96</v>
      </c>
      <c r="J4728">
        <v>4</v>
      </c>
      <c r="K4728" s="2">
        <v>39.5428</v>
      </c>
      <c r="L4728" s="3">
        <f>(Table1[[#This Row],[Profit]]/Table1[[#This Row],[Sales]])*100</f>
        <v>28.052497162315547</v>
      </c>
    </row>
    <row r="4729" spans="1:12" x14ac:dyDescent="0.3">
      <c r="A4729" t="s">
        <v>5996</v>
      </c>
      <c r="B4729" s="1">
        <v>44159</v>
      </c>
      <c r="C4729" t="s">
        <v>4197</v>
      </c>
      <c r="D4729" t="s">
        <v>4198</v>
      </c>
      <c r="E4729" t="s">
        <v>14</v>
      </c>
      <c r="F4729" t="s">
        <v>41</v>
      </c>
      <c r="G4729" t="s">
        <v>18</v>
      </c>
      <c r="H4729" t="s">
        <v>5304</v>
      </c>
      <c r="I4729" s="2">
        <v>114.1</v>
      </c>
      <c r="J4729">
        <v>2</v>
      </c>
      <c r="K4729" s="2">
        <v>39.549999999999997</v>
      </c>
      <c r="L4729" s="3">
        <f>(Table1[[#This Row],[Profit]]/Table1[[#This Row],[Sales]])*100</f>
        <v>34.662576687116562</v>
      </c>
    </row>
    <row r="4730" spans="1:12" x14ac:dyDescent="0.3">
      <c r="A4730" t="s">
        <v>4372</v>
      </c>
      <c r="B4730" s="1">
        <v>43920</v>
      </c>
      <c r="C4730" t="s">
        <v>4373</v>
      </c>
      <c r="D4730" t="s">
        <v>4374</v>
      </c>
      <c r="E4730" t="s">
        <v>14</v>
      </c>
      <c r="F4730" t="s">
        <v>23</v>
      </c>
      <c r="G4730" t="s">
        <v>16</v>
      </c>
      <c r="H4730" t="s">
        <v>1187</v>
      </c>
      <c r="I4730" s="2">
        <v>121.2</v>
      </c>
      <c r="J4730">
        <v>5</v>
      </c>
      <c r="K4730" s="2">
        <v>39.564</v>
      </c>
      <c r="L4730" s="3">
        <f>(Table1[[#This Row],[Profit]]/Table1[[#This Row],[Sales]])*100</f>
        <v>32.643564356435647</v>
      </c>
    </row>
    <row r="4731" spans="1:12" x14ac:dyDescent="0.3">
      <c r="A4731" t="s">
        <v>327</v>
      </c>
      <c r="B4731" s="1">
        <v>43505</v>
      </c>
      <c r="C4731" t="s">
        <v>328</v>
      </c>
      <c r="D4731" t="s">
        <v>329</v>
      </c>
      <c r="E4731" t="s">
        <v>14</v>
      </c>
      <c r="F4731" t="s">
        <v>23</v>
      </c>
      <c r="G4731" t="s">
        <v>18</v>
      </c>
      <c r="H4731" t="s">
        <v>136</v>
      </c>
      <c r="I4731" s="2">
        <v>89.97</v>
      </c>
      <c r="J4731">
        <v>3</v>
      </c>
      <c r="K4731" s="2">
        <v>39.586799999999997</v>
      </c>
      <c r="L4731" s="3">
        <f>(Table1[[#This Row],[Profit]]/Table1[[#This Row],[Sales]])*100</f>
        <v>43.999999999999993</v>
      </c>
    </row>
    <row r="4732" spans="1:12" x14ac:dyDescent="0.3">
      <c r="A4732" t="s">
        <v>375</v>
      </c>
      <c r="B4732" s="1">
        <v>43512</v>
      </c>
      <c r="C4732" t="s">
        <v>376</v>
      </c>
      <c r="D4732" t="s">
        <v>377</v>
      </c>
      <c r="E4732" t="s">
        <v>14</v>
      </c>
      <c r="F4732" t="s">
        <v>15</v>
      </c>
      <c r="G4732" t="s">
        <v>18</v>
      </c>
      <c r="H4732" t="s">
        <v>136</v>
      </c>
      <c r="I4732" s="2">
        <v>89.97</v>
      </c>
      <c r="J4732">
        <v>3</v>
      </c>
      <c r="K4732" s="2">
        <v>39.586799999999997</v>
      </c>
      <c r="L4732" s="3">
        <f>(Table1[[#This Row],[Profit]]/Table1[[#This Row],[Sales]])*100</f>
        <v>43.999999999999993</v>
      </c>
    </row>
    <row r="4733" spans="1:12" x14ac:dyDescent="0.3">
      <c r="A4733" t="s">
        <v>3879</v>
      </c>
      <c r="B4733" s="1">
        <v>43822</v>
      </c>
      <c r="C4733" t="s">
        <v>75</v>
      </c>
      <c r="D4733" t="s">
        <v>76</v>
      </c>
      <c r="E4733" t="s">
        <v>14</v>
      </c>
      <c r="F4733" t="s">
        <v>29</v>
      </c>
      <c r="G4733" t="s">
        <v>18</v>
      </c>
      <c r="H4733" t="s">
        <v>1791</v>
      </c>
      <c r="I4733" s="2">
        <v>453.57600000000002</v>
      </c>
      <c r="J4733">
        <v>3</v>
      </c>
      <c r="K4733" s="2">
        <v>39.687899999999999</v>
      </c>
      <c r="L4733" s="3">
        <f>(Table1[[#This Row],[Profit]]/Table1[[#This Row],[Sales]])*100</f>
        <v>8.75</v>
      </c>
    </row>
    <row r="4734" spans="1:12" x14ac:dyDescent="0.3">
      <c r="A4734" t="s">
        <v>4592</v>
      </c>
      <c r="B4734" s="1">
        <v>43957</v>
      </c>
      <c r="C4734" t="s">
        <v>589</v>
      </c>
      <c r="D4734" t="s">
        <v>590</v>
      </c>
      <c r="E4734" t="s">
        <v>14</v>
      </c>
      <c r="F4734" t="s">
        <v>41</v>
      </c>
      <c r="G4734" t="s">
        <v>24</v>
      </c>
      <c r="H4734" t="s">
        <v>1830</v>
      </c>
      <c r="I4734" s="2">
        <v>155.12</v>
      </c>
      <c r="J4734">
        <v>5</v>
      </c>
      <c r="K4734" s="2">
        <v>39.689</v>
      </c>
      <c r="L4734" s="3">
        <f>(Table1[[#This Row],[Profit]]/Table1[[#This Row],[Sales]])*100</f>
        <v>25.585997937080968</v>
      </c>
    </row>
    <row r="4735" spans="1:12" x14ac:dyDescent="0.3">
      <c r="A4735" t="s">
        <v>3774</v>
      </c>
      <c r="B4735" s="1">
        <v>43810</v>
      </c>
      <c r="C4735" t="s">
        <v>118</v>
      </c>
      <c r="D4735" t="s">
        <v>119</v>
      </c>
      <c r="E4735" t="s">
        <v>14</v>
      </c>
      <c r="F4735" t="s">
        <v>23</v>
      </c>
      <c r="G4735" t="s">
        <v>24</v>
      </c>
      <c r="H4735" t="s">
        <v>2946</v>
      </c>
      <c r="I4735" s="2">
        <v>122.688</v>
      </c>
      <c r="J4735">
        <v>9</v>
      </c>
      <c r="K4735" s="2">
        <v>39.873600000000003</v>
      </c>
      <c r="L4735" s="3">
        <f>(Table1[[#This Row],[Profit]]/Table1[[#This Row],[Sales]])*100</f>
        <v>32.5</v>
      </c>
    </row>
    <row r="4736" spans="1:12" x14ac:dyDescent="0.3">
      <c r="A4736" t="s">
        <v>5615</v>
      </c>
      <c r="B4736" s="1">
        <v>44117</v>
      </c>
      <c r="C4736" t="s">
        <v>2808</v>
      </c>
      <c r="D4736" t="s">
        <v>2809</v>
      </c>
      <c r="E4736" t="s">
        <v>14</v>
      </c>
      <c r="F4736" t="s">
        <v>23</v>
      </c>
      <c r="G4736" t="s">
        <v>18</v>
      </c>
      <c r="H4736" t="s">
        <v>87</v>
      </c>
      <c r="I4736" s="2">
        <v>239.94</v>
      </c>
      <c r="J4736">
        <v>6</v>
      </c>
      <c r="K4736" s="2">
        <v>39.888599999999997</v>
      </c>
      <c r="L4736" s="3">
        <f>(Table1[[#This Row],[Profit]]/Table1[[#This Row],[Sales]])*100</f>
        <v>16.624406101525381</v>
      </c>
    </row>
    <row r="4737" spans="1:12" x14ac:dyDescent="0.3">
      <c r="A4737" t="s">
        <v>375</v>
      </c>
      <c r="B4737" s="1">
        <v>43512</v>
      </c>
      <c r="C4737" t="s">
        <v>376</v>
      </c>
      <c r="D4737" t="s">
        <v>377</v>
      </c>
      <c r="E4737" t="s">
        <v>14</v>
      </c>
      <c r="F4737" t="s">
        <v>15</v>
      </c>
      <c r="G4737" t="s">
        <v>16</v>
      </c>
      <c r="H4737" t="s">
        <v>378</v>
      </c>
      <c r="I4737" s="2">
        <v>326.64600000000002</v>
      </c>
      <c r="J4737">
        <v>3</v>
      </c>
      <c r="K4737" s="2">
        <v>39.923400000000001</v>
      </c>
      <c r="L4737" s="3">
        <f>(Table1[[#This Row],[Profit]]/Table1[[#This Row],[Sales]])*100</f>
        <v>12.222222222222221</v>
      </c>
    </row>
    <row r="4738" spans="1:12" x14ac:dyDescent="0.3">
      <c r="A4738" t="s">
        <v>4150</v>
      </c>
      <c r="B4738" s="1">
        <v>43878</v>
      </c>
      <c r="C4738" t="s">
        <v>2292</v>
      </c>
      <c r="D4738" t="s">
        <v>2293</v>
      </c>
      <c r="E4738" t="s">
        <v>14</v>
      </c>
      <c r="F4738" t="s">
        <v>15</v>
      </c>
      <c r="G4738" t="s">
        <v>24</v>
      </c>
      <c r="H4738" t="s">
        <v>3078</v>
      </c>
      <c r="I4738" s="2">
        <v>186.45</v>
      </c>
      <c r="J4738">
        <v>5</v>
      </c>
      <c r="K4738" s="2">
        <v>39.948</v>
      </c>
      <c r="L4738" s="3">
        <f>(Table1[[#This Row],[Profit]]/Table1[[#This Row],[Sales]])*100</f>
        <v>21.42558326629123</v>
      </c>
    </row>
    <row r="4739" spans="1:12" x14ac:dyDescent="0.3">
      <c r="A4739" t="s">
        <v>6115</v>
      </c>
      <c r="B4739" s="1">
        <v>44170</v>
      </c>
      <c r="C4739" t="s">
        <v>3091</v>
      </c>
      <c r="D4739" t="s">
        <v>3092</v>
      </c>
      <c r="E4739" t="s">
        <v>14</v>
      </c>
      <c r="F4739" t="s">
        <v>23</v>
      </c>
      <c r="G4739" t="s">
        <v>16</v>
      </c>
      <c r="H4739" t="s">
        <v>940</v>
      </c>
      <c r="I4739" s="2">
        <v>223.9</v>
      </c>
      <c r="J4739">
        <v>5</v>
      </c>
      <c r="K4739" s="2">
        <v>39.979999999999997</v>
      </c>
      <c r="L4739" s="3">
        <f>(Table1[[#This Row],[Profit]]/Table1[[#This Row],[Sales]])*100</f>
        <v>17.856185797230907</v>
      </c>
    </row>
    <row r="4740" spans="1:12" x14ac:dyDescent="0.3">
      <c r="A4740" t="s">
        <v>1037</v>
      </c>
      <c r="B4740" s="1">
        <v>43571</v>
      </c>
      <c r="C4740" t="s">
        <v>1038</v>
      </c>
      <c r="D4740" t="s">
        <v>1039</v>
      </c>
      <c r="E4740" t="s">
        <v>14</v>
      </c>
      <c r="F4740" t="s">
        <v>41</v>
      </c>
      <c r="G4740" t="s">
        <v>24</v>
      </c>
      <c r="H4740" t="s">
        <v>1041</v>
      </c>
      <c r="I4740" s="2">
        <v>123.08799999999999</v>
      </c>
      <c r="J4740">
        <v>7</v>
      </c>
      <c r="K4740" s="2">
        <v>40.003599999999999</v>
      </c>
      <c r="L4740" s="3">
        <f>(Table1[[#This Row],[Profit]]/Table1[[#This Row],[Sales]])*100</f>
        <v>32.5</v>
      </c>
    </row>
    <row r="4741" spans="1:12" x14ac:dyDescent="0.3">
      <c r="A4741" t="s">
        <v>123</v>
      </c>
      <c r="B4741" s="1">
        <v>43480</v>
      </c>
      <c r="C4741" t="s">
        <v>124</v>
      </c>
      <c r="D4741" t="s">
        <v>125</v>
      </c>
      <c r="E4741" t="s">
        <v>14</v>
      </c>
      <c r="F4741" t="s">
        <v>15</v>
      </c>
      <c r="G4741" t="s">
        <v>24</v>
      </c>
      <c r="H4741" t="s">
        <v>126</v>
      </c>
      <c r="I4741" s="2">
        <v>81.98</v>
      </c>
      <c r="J4741">
        <v>2</v>
      </c>
      <c r="K4741" s="2">
        <v>40.170200000000001</v>
      </c>
      <c r="L4741" s="3">
        <f>(Table1[[#This Row],[Profit]]/Table1[[#This Row],[Sales]])*100</f>
        <v>49</v>
      </c>
    </row>
    <row r="4742" spans="1:12" x14ac:dyDescent="0.3">
      <c r="A4742" t="s">
        <v>2693</v>
      </c>
      <c r="B4742" s="1">
        <v>43718</v>
      </c>
      <c r="C4742" t="s">
        <v>569</v>
      </c>
      <c r="D4742" t="s">
        <v>570</v>
      </c>
      <c r="E4742" t="s">
        <v>14</v>
      </c>
      <c r="F4742" t="s">
        <v>23</v>
      </c>
      <c r="G4742" t="s">
        <v>24</v>
      </c>
      <c r="H4742" t="s">
        <v>974</v>
      </c>
      <c r="I4742" s="2">
        <v>81.98</v>
      </c>
      <c r="J4742">
        <v>2</v>
      </c>
      <c r="K4742" s="2">
        <v>40.170200000000001</v>
      </c>
      <c r="L4742" s="3">
        <f>(Table1[[#This Row],[Profit]]/Table1[[#This Row],[Sales]])*100</f>
        <v>49</v>
      </c>
    </row>
    <row r="4743" spans="1:12" x14ac:dyDescent="0.3">
      <c r="A4743" t="s">
        <v>604</v>
      </c>
      <c r="B4743" s="1">
        <v>43536</v>
      </c>
      <c r="C4743" t="s">
        <v>605</v>
      </c>
      <c r="D4743" t="s">
        <v>606</v>
      </c>
      <c r="E4743" t="s">
        <v>14</v>
      </c>
      <c r="F4743" t="s">
        <v>23</v>
      </c>
      <c r="G4743" t="s">
        <v>24</v>
      </c>
      <c r="H4743" t="s">
        <v>608</v>
      </c>
      <c r="I4743" s="2">
        <v>154.9</v>
      </c>
      <c r="J4743">
        <v>5</v>
      </c>
      <c r="K4743" s="2">
        <v>40.274000000000001</v>
      </c>
      <c r="L4743" s="3">
        <f>(Table1[[#This Row],[Profit]]/Table1[[#This Row],[Sales]])*100</f>
        <v>26</v>
      </c>
    </row>
    <row r="4744" spans="1:12" x14ac:dyDescent="0.3">
      <c r="A4744" t="s">
        <v>5250</v>
      </c>
      <c r="B4744" s="1">
        <v>44076</v>
      </c>
      <c r="C4744" t="s">
        <v>4172</v>
      </c>
      <c r="D4744" t="s">
        <v>4173</v>
      </c>
      <c r="E4744" t="s">
        <v>14</v>
      </c>
      <c r="F4744" t="s">
        <v>15</v>
      </c>
      <c r="G4744" t="s">
        <v>18</v>
      </c>
      <c r="H4744" t="s">
        <v>1587</v>
      </c>
      <c r="I4744" s="2">
        <v>177.97</v>
      </c>
      <c r="J4744">
        <v>3</v>
      </c>
      <c r="K4744" s="2">
        <v>40.312800000000003</v>
      </c>
      <c r="L4744" s="3">
        <f>(Table1[[#This Row],[Profit]]/Table1[[#This Row],[Sales]])*100</f>
        <v>22.65145811091757</v>
      </c>
    </row>
    <row r="4745" spans="1:12" x14ac:dyDescent="0.3">
      <c r="A4745" t="s">
        <v>4104</v>
      </c>
      <c r="B4745" s="1">
        <v>43864</v>
      </c>
      <c r="C4745" t="s">
        <v>2937</v>
      </c>
      <c r="D4745" t="s">
        <v>2938</v>
      </c>
      <c r="E4745" t="s">
        <v>14</v>
      </c>
      <c r="F4745" t="s">
        <v>41</v>
      </c>
      <c r="G4745" t="s">
        <v>24</v>
      </c>
      <c r="H4745" t="s">
        <v>2618</v>
      </c>
      <c r="I4745" s="2">
        <v>134.29599999999999</v>
      </c>
      <c r="J4745">
        <v>3</v>
      </c>
      <c r="K4745" s="2">
        <v>40.3536</v>
      </c>
      <c r="L4745" s="3">
        <f>(Table1[[#This Row],[Profit]]/Table1[[#This Row],[Sales]])*100</f>
        <v>30.048251623279921</v>
      </c>
    </row>
    <row r="4746" spans="1:12" x14ac:dyDescent="0.3">
      <c r="A4746" t="s">
        <v>5116</v>
      </c>
      <c r="B4746" s="1">
        <v>44049</v>
      </c>
      <c r="C4746" t="s">
        <v>192</v>
      </c>
      <c r="D4746" t="s">
        <v>193</v>
      </c>
      <c r="E4746" t="s">
        <v>14</v>
      </c>
      <c r="F4746" t="s">
        <v>29</v>
      </c>
      <c r="G4746" t="s">
        <v>24</v>
      </c>
      <c r="H4746" t="s">
        <v>2618</v>
      </c>
      <c r="I4746" s="2">
        <v>144.29599999999999</v>
      </c>
      <c r="J4746">
        <v>3</v>
      </c>
      <c r="K4746" s="2">
        <v>40.3536</v>
      </c>
      <c r="L4746" s="3">
        <f>(Table1[[#This Row],[Profit]]/Table1[[#This Row],[Sales]])*100</f>
        <v>27.965847979153963</v>
      </c>
    </row>
    <row r="4747" spans="1:12" x14ac:dyDescent="0.3">
      <c r="A4747" t="s">
        <v>2169</v>
      </c>
      <c r="B4747" s="1">
        <v>43671</v>
      </c>
      <c r="C4747" t="s">
        <v>1395</v>
      </c>
      <c r="D4747" t="s">
        <v>1396</v>
      </c>
      <c r="E4747" t="s">
        <v>14</v>
      </c>
      <c r="F4747" t="s">
        <v>23</v>
      </c>
      <c r="G4747" t="s">
        <v>24</v>
      </c>
      <c r="H4747" t="s">
        <v>724</v>
      </c>
      <c r="I4747" s="2">
        <v>119.616</v>
      </c>
      <c r="J4747">
        <v>8</v>
      </c>
      <c r="K4747" s="2">
        <v>40.370399999999997</v>
      </c>
      <c r="L4747" s="3">
        <f>(Table1[[#This Row],[Profit]]/Table1[[#This Row],[Sales]])*100</f>
        <v>33.75</v>
      </c>
    </row>
    <row r="4748" spans="1:12" x14ac:dyDescent="0.3">
      <c r="A4748" t="s">
        <v>4083</v>
      </c>
      <c r="B4748" s="1">
        <v>43859</v>
      </c>
      <c r="C4748" t="s">
        <v>2263</v>
      </c>
      <c r="D4748" t="s">
        <v>2264</v>
      </c>
      <c r="E4748" t="s">
        <v>14</v>
      </c>
      <c r="F4748" t="s">
        <v>23</v>
      </c>
      <c r="G4748" t="s">
        <v>24</v>
      </c>
      <c r="H4748" t="s">
        <v>724</v>
      </c>
      <c r="I4748" s="2">
        <v>167.61600000000001</v>
      </c>
      <c r="J4748">
        <v>8</v>
      </c>
      <c r="K4748" s="2">
        <v>40.370399999999997</v>
      </c>
      <c r="L4748" s="3">
        <f>(Table1[[#This Row],[Profit]]/Table1[[#This Row],[Sales]])*100</f>
        <v>24.085051546391746</v>
      </c>
    </row>
    <row r="4749" spans="1:12" x14ac:dyDescent="0.3">
      <c r="A4749" t="s">
        <v>4877</v>
      </c>
      <c r="B4749" s="1">
        <v>44003</v>
      </c>
      <c r="C4749" t="s">
        <v>924</v>
      </c>
      <c r="D4749" t="s">
        <v>925</v>
      </c>
      <c r="E4749" t="s">
        <v>14</v>
      </c>
      <c r="F4749" t="s">
        <v>15</v>
      </c>
      <c r="G4749" t="s">
        <v>24</v>
      </c>
      <c r="H4749" t="s">
        <v>1327</v>
      </c>
      <c r="I4749" s="2">
        <v>131.4</v>
      </c>
      <c r="J4749">
        <v>5</v>
      </c>
      <c r="K4749" s="2">
        <v>40.375999999999998</v>
      </c>
      <c r="L4749" s="3">
        <f>(Table1[[#This Row],[Profit]]/Table1[[#This Row],[Sales]])*100</f>
        <v>30.727549467275487</v>
      </c>
    </row>
    <row r="4750" spans="1:12" x14ac:dyDescent="0.3">
      <c r="A4750" t="s">
        <v>4908</v>
      </c>
      <c r="B4750" s="1">
        <v>44009</v>
      </c>
      <c r="C4750" t="s">
        <v>2411</v>
      </c>
      <c r="D4750" t="s">
        <v>2412</v>
      </c>
      <c r="E4750" t="s">
        <v>14</v>
      </c>
      <c r="F4750" t="s">
        <v>23</v>
      </c>
      <c r="G4750" t="s">
        <v>16</v>
      </c>
      <c r="H4750" t="s">
        <v>4909</v>
      </c>
      <c r="I4750" s="2">
        <v>166.3</v>
      </c>
      <c r="J4750">
        <v>3</v>
      </c>
      <c r="K4750" s="2">
        <v>40.415999999999997</v>
      </c>
      <c r="L4750" s="3">
        <f>(Table1[[#This Row],[Profit]]/Table1[[#This Row],[Sales]])*100</f>
        <v>24.303066746843051</v>
      </c>
    </row>
    <row r="4751" spans="1:12" x14ac:dyDescent="0.3">
      <c r="A4751" t="s">
        <v>6022</v>
      </c>
      <c r="B4751" s="1">
        <v>44161</v>
      </c>
      <c r="C4751" t="s">
        <v>1527</v>
      </c>
      <c r="D4751" t="s">
        <v>1528</v>
      </c>
      <c r="E4751" t="s">
        <v>14</v>
      </c>
      <c r="F4751" t="s">
        <v>29</v>
      </c>
      <c r="G4751" t="s">
        <v>16</v>
      </c>
      <c r="H4751" t="s">
        <v>4909</v>
      </c>
      <c r="I4751" s="2">
        <v>170.3</v>
      </c>
      <c r="J4751">
        <v>3</v>
      </c>
      <c r="K4751" s="2">
        <v>40.415999999999997</v>
      </c>
      <c r="L4751" s="3">
        <f>(Table1[[#This Row],[Profit]]/Table1[[#This Row],[Sales]])*100</f>
        <v>23.732237228420431</v>
      </c>
    </row>
    <row r="4752" spans="1:12" x14ac:dyDescent="0.3">
      <c r="A4752" t="s">
        <v>6130</v>
      </c>
      <c r="B4752" s="1">
        <v>44173</v>
      </c>
      <c r="C4752" t="s">
        <v>1794</v>
      </c>
      <c r="D4752" t="s">
        <v>1795</v>
      </c>
      <c r="E4752" t="s">
        <v>14</v>
      </c>
      <c r="F4752" t="s">
        <v>23</v>
      </c>
      <c r="G4752" t="s">
        <v>24</v>
      </c>
      <c r="H4752" t="s">
        <v>1041</v>
      </c>
      <c r="I4752" s="2">
        <v>114.92</v>
      </c>
      <c r="J4752">
        <v>4</v>
      </c>
      <c r="K4752" s="2">
        <v>40.443199999999997</v>
      </c>
      <c r="L4752" s="3">
        <f>(Table1[[#This Row],[Profit]]/Table1[[#This Row],[Sales]])*100</f>
        <v>35.192481726418372</v>
      </c>
    </row>
    <row r="4753" spans="1:12" x14ac:dyDescent="0.3">
      <c r="A4753" t="s">
        <v>3639</v>
      </c>
      <c r="B4753" s="1">
        <v>43800</v>
      </c>
      <c r="C4753" t="s">
        <v>3502</v>
      </c>
      <c r="D4753" t="s">
        <v>3503</v>
      </c>
      <c r="E4753" t="s">
        <v>14</v>
      </c>
      <c r="F4753" t="s">
        <v>15</v>
      </c>
      <c r="G4753" t="s">
        <v>24</v>
      </c>
      <c r="H4753" t="s">
        <v>71</v>
      </c>
      <c r="I4753" s="2">
        <v>88.08</v>
      </c>
      <c r="J4753">
        <v>6</v>
      </c>
      <c r="K4753" s="2">
        <v>40.516800000000003</v>
      </c>
      <c r="L4753" s="3">
        <f>(Table1[[#This Row],[Profit]]/Table1[[#This Row],[Sales]])*100</f>
        <v>46.000000000000007</v>
      </c>
    </row>
    <row r="4754" spans="1:12" x14ac:dyDescent="0.3">
      <c r="A4754" t="s">
        <v>5824</v>
      </c>
      <c r="B4754" s="1">
        <v>44144</v>
      </c>
      <c r="C4754" t="s">
        <v>2685</v>
      </c>
      <c r="D4754" t="s">
        <v>2686</v>
      </c>
      <c r="E4754" t="s">
        <v>14</v>
      </c>
      <c r="F4754" t="s">
        <v>15</v>
      </c>
      <c r="G4754" t="s">
        <v>16</v>
      </c>
      <c r="H4754" t="s">
        <v>403</v>
      </c>
      <c r="I4754" s="2">
        <v>134.53</v>
      </c>
      <c r="J4754">
        <v>7</v>
      </c>
      <c r="K4754" s="2">
        <v>40.5426</v>
      </c>
      <c r="L4754" s="3">
        <f>(Table1[[#This Row],[Profit]]/Table1[[#This Row],[Sales]])*100</f>
        <v>30.136475135657477</v>
      </c>
    </row>
    <row r="4755" spans="1:12" x14ac:dyDescent="0.3">
      <c r="A4755" t="s">
        <v>4335</v>
      </c>
      <c r="B4755" s="1">
        <v>43915</v>
      </c>
      <c r="C4755" t="s">
        <v>2750</v>
      </c>
      <c r="D4755" t="s">
        <v>2751</v>
      </c>
      <c r="E4755" t="s">
        <v>14</v>
      </c>
      <c r="F4755" t="s">
        <v>29</v>
      </c>
      <c r="G4755" t="s">
        <v>16</v>
      </c>
      <c r="H4755" t="s">
        <v>661</v>
      </c>
      <c r="I4755" s="2">
        <v>406.97</v>
      </c>
      <c r="J4755">
        <v>3</v>
      </c>
      <c r="K4755" s="2">
        <v>40.5867</v>
      </c>
      <c r="L4755" s="3">
        <f>(Table1[[#This Row],[Profit]]/Table1[[#This Row],[Sales]])*100</f>
        <v>9.9728972651546783</v>
      </c>
    </row>
    <row r="4756" spans="1:12" x14ac:dyDescent="0.3">
      <c r="A4756" t="s">
        <v>48</v>
      </c>
      <c r="B4756" s="1">
        <v>43470</v>
      </c>
      <c r="C4756" t="s">
        <v>49</v>
      </c>
      <c r="D4756" t="s">
        <v>50</v>
      </c>
      <c r="E4756" t="s">
        <v>14</v>
      </c>
      <c r="F4756" t="s">
        <v>41</v>
      </c>
      <c r="G4756" t="s">
        <v>18</v>
      </c>
      <c r="H4756" t="s">
        <v>51</v>
      </c>
      <c r="I4756" s="2">
        <v>191.47200000000001</v>
      </c>
      <c r="J4756">
        <v>6</v>
      </c>
      <c r="K4756" s="2">
        <v>40.687800000000003</v>
      </c>
      <c r="L4756" s="3">
        <f>(Table1[[#This Row],[Profit]]/Table1[[#This Row],[Sales]])*100</f>
        <v>21.25</v>
      </c>
    </row>
    <row r="4757" spans="1:12" x14ac:dyDescent="0.3">
      <c r="A4757" t="s">
        <v>3434</v>
      </c>
      <c r="B4757" s="1">
        <v>43784</v>
      </c>
      <c r="C4757" t="s">
        <v>637</v>
      </c>
      <c r="D4757" t="s">
        <v>638</v>
      </c>
      <c r="E4757" t="s">
        <v>14</v>
      </c>
      <c r="F4757" t="s">
        <v>23</v>
      </c>
      <c r="G4757" t="s">
        <v>18</v>
      </c>
      <c r="H4757" t="s">
        <v>1228</v>
      </c>
      <c r="I4757" s="2">
        <v>99.39</v>
      </c>
      <c r="J4757">
        <v>3</v>
      </c>
      <c r="K4757" s="2">
        <v>40.749899999999997</v>
      </c>
      <c r="L4757" s="3">
        <f>(Table1[[#This Row],[Profit]]/Table1[[#This Row],[Sales]])*100</f>
        <v>41</v>
      </c>
    </row>
    <row r="4758" spans="1:12" x14ac:dyDescent="0.3">
      <c r="A4758" t="s">
        <v>6114</v>
      </c>
      <c r="B4758" s="1">
        <v>44170</v>
      </c>
      <c r="C4758" t="s">
        <v>1179</v>
      </c>
      <c r="D4758" t="s">
        <v>1180</v>
      </c>
      <c r="E4758" t="s">
        <v>14</v>
      </c>
      <c r="F4758" t="s">
        <v>29</v>
      </c>
      <c r="G4758" t="s">
        <v>18</v>
      </c>
      <c r="H4758" t="s">
        <v>1228</v>
      </c>
      <c r="I4758" s="2">
        <v>140.38999999999999</v>
      </c>
      <c r="J4758">
        <v>3</v>
      </c>
      <c r="K4758" s="2">
        <v>40.749899999999997</v>
      </c>
      <c r="L4758" s="3">
        <f>(Table1[[#This Row],[Profit]]/Table1[[#This Row],[Sales]])*100</f>
        <v>29.026212693211768</v>
      </c>
    </row>
    <row r="4759" spans="1:12" x14ac:dyDescent="0.3">
      <c r="A4759" t="s">
        <v>2087</v>
      </c>
      <c r="B4759" s="1">
        <v>43664</v>
      </c>
      <c r="C4759" t="s">
        <v>2088</v>
      </c>
      <c r="D4759" t="s">
        <v>2089</v>
      </c>
      <c r="E4759" t="s">
        <v>14</v>
      </c>
      <c r="F4759" t="s">
        <v>23</v>
      </c>
      <c r="G4759" t="s">
        <v>16</v>
      </c>
      <c r="H4759" t="s">
        <v>2003</v>
      </c>
      <c r="I4759" s="2">
        <v>544.00800000000004</v>
      </c>
      <c r="J4759">
        <v>3</v>
      </c>
      <c r="K4759" s="2">
        <v>40.800600000000003</v>
      </c>
      <c r="L4759" s="3">
        <f>(Table1[[#This Row],[Profit]]/Table1[[#This Row],[Sales]])*100</f>
        <v>7.5</v>
      </c>
    </row>
    <row r="4760" spans="1:12" x14ac:dyDescent="0.3">
      <c r="A4760" t="s">
        <v>626</v>
      </c>
      <c r="B4760" s="1">
        <v>43537</v>
      </c>
      <c r="C4760" t="s">
        <v>627</v>
      </c>
      <c r="D4760" t="s">
        <v>628</v>
      </c>
      <c r="E4760" t="s">
        <v>14</v>
      </c>
      <c r="F4760" t="s">
        <v>41</v>
      </c>
      <c r="G4760" t="s">
        <v>16</v>
      </c>
      <c r="H4760" t="s">
        <v>629</v>
      </c>
      <c r="I4760" s="2">
        <v>127.88</v>
      </c>
      <c r="J4760">
        <v>2</v>
      </c>
      <c r="K4760" s="2">
        <v>40.921599999999998</v>
      </c>
      <c r="L4760" s="3">
        <f>(Table1[[#This Row],[Profit]]/Table1[[#This Row],[Sales]])*100</f>
        <v>32</v>
      </c>
    </row>
    <row r="4761" spans="1:12" x14ac:dyDescent="0.3">
      <c r="A4761" t="s">
        <v>2841</v>
      </c>
      <c r="B4761" s="1">
        <v>43728</v>
      </c>
      <c r="C4761" t="s">
        <v>2842</v>
      </c>
      <c r="D4761" t="s">
        <v>2843</v>
      </c>
      <c r="E4761" t="s">
        <v>14</v>
      </c>
      <c r="F4761" t="s">
        <v>23</v>
      </c>
      <c r="G4761" t="s">
        <v>16</v>
      </c>
      <c r="H4761" t="s">
        <v>2497</v>
      </c>
      <c r="I4761" s="2">
        <v>163.88</v>
      </c>
      <c r="J4761">
        <v>2</v>
      </c>
      <c r="K4761" s="2">
        <v>40.97</v>
      </c>
      <c r="L4761" s="3">
        <f>(Table1[[#This Row],[Profit]]/Table1[[#This Row],[Sales]])*100</f>
        <v>25</v>
      </c>
    </row>
    <row r="4762" spans="1:12" x14ac:dyDescent="0.3">
      <c r="A4762" t="s">
        <v>2839</v>
      </c>
      <c r="B4762" s="1">
        <v>43728</v>
      </c>
      <c r="C4762" t="s">
        <v>1616</v>
      </c>
      <c r="D4762" t="s">
        <v>1617</v>
      </c>
      <c r="E4762" t="s">
        <v>14</v>
      </c>
      <c r="F4762" t="s">
        <v>29</v>
      </c>
      <c r="G4762" t="s">
        <v>24</v>
      </c>
      <c r="H4762" t="s">
        <v>2840</v>
      </c>
      <c r="I4762" s="2">
        <v>83.7</v>
      </c>
      <c r="J4762">
        <v>5</v>
      </c>
      <c r="K4762" s="2">
        <v>41.012999999999998</v>
      </c>
      <c r="L4762" s="3">
        <f>(Table1[[#This Row],[Profit]]/Table1[[#This Row],[Sales]])*100</f>
        <v>48.999999999999993</v>
      </c>
    </row>
    <row r="4763" spans="1:12" x14ac:dyDescent="0.3">
      <c r="A4763" t="s">
        <v>2563</v>
      </c>
      <c r="B4763" s="1">
        <v>43711</v>
      </c>
      <c r="C4763" t="s">
        <v>2337</v>
      </c>
      <c r="D4763" t="s">
        <v>2338</v>
      </c>
      <c r="E4763" t="s">
        <v>14</v>
      </c>
      <c r="F4763" t="s">
        <v>41</v>
      </c>
      <c r="G4763" t="s">
        <v>24</v>
      </c>
      <c r="H4763" t="s">
        <v>208</v>
      </c>
      <c r="I4763" s="2">
        <v>87.28</v>
      </c>
      <c r="J4763">
        <v>8</v>
      </c>
      <c r="K4763" s="2">
        <v>41.021599999999999</v>
      </c>
      <c r="L4763" s="3">
        <f>(Table1[[#This Row],[Profit]]/Table1[[#This Row],[Sales]])*100</f>
        <v>47</v>
      </c>
    </row>
    <row r="4764" spans="1:12" x14ac:dyDescent="0.3">
      <c r="A4764" t="s">
        <v>2455</v>
      </c>
      <c r="B4764" s="1">
        <v>43703</v>
      </c>
      <c r="C4764" t="s">
        <v>2456</v>
      </c>
      <c r="D4764" t="s">
        <v>2457</v>
      </c>
      <c r="E4764" t="s">
        <v>14</v>
      </c>
      <c r="F4764" t="s">
        <v>41</v>
      </c>
      <c r="G4764" t="s">
        <v>16</v>
      </c>
      <c r="H4764" t="s">
        <v>2458</v>
      </c>
      <c r="I4764" s="2">
        <v>186.54</v>
      </c>
      <c r="J4764">
        <v>3</v>
      </c>
      <c r="K4764" s="2">
        <v>41.038800000000002</v>
      </c>
      <c r="L4764" s="3">
        <f>(Table1[[#This Row],[Profit]]/Table1[[#This Row],[Sales]])*100</f>
        <v>22.000000000000004</v>
      </c>
    </row>
    <row r="4765" spans="1:12" x14ac:dyDescent="0.3">
      <c r="A4765" t="s">
        <v>6026</v>
      </c>
      <c r="B4765" s="1">
        <v>44162</v>
      </c>
      <c r="C4765" t="s">
        <v>1013</v>
      </c>
      <c r="D4765" t="s">
        <v>1014</v>
      </c>
      <c r="E4765" t="s">
        <v>14</v>
      </c>
      <c r="F4765" t="s">
        <v>23</v>
      </c>
      <c r="G4765" t="s">
        <v>24</v>
      </c>
      <c r="H4765" t="s">
        <v>1740</v>
      </c>
      <c r="I4765" s="2">
        <v>132.488</v>
      </c>
      <c r="J4765">
        <v>7</v>
      </c>
      <c r="K4765" s="2">
        <v>41.120800000000003</v>
      </c>
      <c r="L4765" s="3">
        <f>(Table1[[#This Row],[Profit]]/Table1[[#This Row],[Sales]])*100</f>
        <v>31.037376969989737</v>
      </c>
    </row>
    <row r="4766" spans="1:12" x14ac:dyDescent="0.3">
      <c r="A4766" t="s">
        <v>5466</v>
      </c>
      <c r="B4766" s="1">
        <v>44096</v>
      </c>
      <c r="C4766" t="s">
        <v>1173</v>
      </c>
      <c r="D4766" t="s">
        <v>1174</v>
      </c>
      <c r="E4766" t="s">
        <v>14</v>
      </c>
      <c r="F4766" t="s">
        <v>29</v>
      </c>
      <c r="G4766" t="s">
        <v>16</v>
      </c>
      <c r="H4766" t="s">
        <v>4517</v>
      </c>
      <c r="I4766" s="2">
        <v>252.96</v>
      </c>
      <c r="J4766">
        <v>2</v>
      </c>
      <c r="K4766" s="2">
        <v>41.133200000000002</v>
      </c>
      <c r="L4766" s="3">
        <f>(Table1[[#This Row],[Profit]]/Table1[[#This Row],[Sales]])*100</f>
        <v>16.26075268817204</v>
      </c>
    </row>
    <row r="4767" spans="1:12" x14ac:dyDescent="0.3">
      <c r="A4767" t="s">
        <v>6057</v>
      </c>
      <c r="B4767" s="1">
        <v>44166</v>
      </c>
      <c r="C4767" t="s">
        <v>4011</v>
      </c>
      <c r="D4767" t="s">
        <v>4012</v>
      </c>
      <c r="E4767" t="s">
        <v>14</v>
      </c>
      <c r="F4767" t="s">
        <v>23</v>
      </c>
      <c r="G4767" t="s">
        <v>16</v>
      </c>
      <c r="H4767" t="s">
        <v>3519</v>
      </c>
      <c r="I4767" s="2">
        <v>153.96</v>
      </c>
      <c r="J4767">
        <v>2</v>
      </c>
      <c r="K4767" s="2">
        <v>41.168399999999998</v>
      </c>
      <c r="L4767" s="3">
        <f>(Table1[[#This Row],[Profit]]/Table1[[#This Row],[Sales]])*100</f>
        <v>26.739672642244738</v>
      </c>
    </row>
    <row r="4768" spans="1:12" x14ac:dyDescent="0.3">
      <c r="A4768" t="s">
        <v>2077</v>
      </c>
      <c r="B4768" s="1">
        <v>43663</v>
      </c>
      <c r="C4768" t="s">
        <v>2078</v>
      </c>
      <c r="D4768" t="s">
        <v>2079</v>
      </c>
      <c r="E4768" t="s">
        <v>14</v>
      </c>
      <c r="F4768" t="s">
        <v>23</v>
      </c>
      <c r="G4768" t="s">
        <v>24</v>
      </c>
      <c r="H4768" t="s">
        <v>2083</v>
      </c>
      <c r="I4768" s="2">
        <v>87.71</v>
      </c>
      <c r="J4768">
        <v>7</v>
      </c>
      <c r="K4768" s="2">
        <v>41.223700000000001</v>
      </c>
      <c r="L4768" s="3">
        <f>(Table1[[#This Row],[Profit]]/Table1[[#This Row],[Sales]])*100</f>
        <v>47</v>
      </c>
    </row>
    <row r="4769" spans="1:12" x14ac:dyDescent="0.3">
      <c r="A4769" t="s">
        <v>3238</v>
      </c>
      <c r="B4769" s="1">
        <v>43772</v>
      </c>
      <c r="C4769" t="s">
        <v>1894</v>
      </c>
      <c r="D4769" t="s">
        <v>1895</v>
      </c>
      <c r="E4769" t="s">
        <v>14</v>
      </c>
      <c r="F4769" t="s">
        <v>23</v>
      </c>
      <c r="G4769" t="s">
        <v>24</v>
      </c>
      <c r="H4769" t="s">
        <v>2629</v>
      </c>
      <c r="I4769" s="2">
        <v>87.71</v>
      </c>
      <c r="J4769">
        <v>7</v>
      </c>
      <c r="K4769" s="2">
        <v>41.223700000000001</v>
      </c>
      <c r="L4769" s="3">
        <f>(Table1[[#This Row],[Profit]]/Table1[[#This Row],[Sales]])*100</f>
        <v>47</v>
      </c>
    </row>
    <row r="4770" spans="1:12" x14ac:dyDescent="0.3">
      <c r="A4770" t="s">
        <v>3196</v>
      </c>
      <c r="B4770" s="1">
        <v>43766</v>
      </c>
      <c r="C4770" t="s">
        <v>356</v>
      </c>
      <c r="D4770" t="s">
        <v>357</v>
      </c>
      <c r="E4770" t="s">
        <v>14</v>
      </c>
      <c r="F4770" t="s">
        <v>41</v>
      </c>
      <c r="G4770" t="s">
        <v>16</v>
      </c>
      <c r="H4770" t="s">
        <v>3198</v>
      </c>
      <c r="I4770" s="2">
        <v>165.048</v>
      </c>
      <c r="J4770">
        <v>3</v>
      </c>
      <c r="K4770" s="2">
        <v>41.262</v>
      </c>
      <c r="L4770" s="3">
        <f>(Table1[[#This Row],[Profit]]/Table1[[#This Row],[Sales]])*100</f>
        <v>25</v>
      </c>
    </row>
    <row r="4771" spans="1:12" x14ac:dyDescent="0.3">
      <c r="A4771" t="s">
        <v>4593</v>
      </c>
      <c r="B4771" s="1">
        <v>43957</v>
      </c>
      <c r="C4771" t="s">
        <v>3904</v>
      </c>
      <c r="D4771" t="s">
        <v>3905</v>
      </c>
      <c r="E4771" t="s">
        <v>14</v>
      </c>
      <c r="F4771" t="s">
        <v>23</v>
      </c>
      <c r="G4771" t="s">
        <v>24</v>
      </c>
      <c r="H4771" t="s">
        <v>1063</v>
      </c>
      <c r="I4771" s="2">
        <v>188.94</v>
      </c>
      <c r="J4771">
        <v>3</v>
      </c>
      <c r="K4771" s="2">
        <v>41.293799999999997</v>
      </c>
      <c r="L4771" s="3">
        <f>(Table1[[#This Row],[Profit]]/Table1[[#This Row],[Sales]])*100</f>
        <v>21.855509685614479</v>
      </c>
    </row>
    <row r="4772" spans="1:12" x14ac:dyDescent="0.3">
      <c r="A4772" t="s">
        <v>6135</v>
      </c>
      <c r="B4772" s="1">
        <v>44173</v>
      </c>
      <c r="C4772" t="s">
        <v>2355</v>
      </c>
      <c r="D4772" t="s">
        <v>2356</v>
      </c>
      <c r="E4772" t="s">
        <v>14</v>
      </c>
      <c r="F4772" t="s">
        <v>29</v>
      </c>
      <c r="G4772" t="s">
        <v>16</v>
      </c>
      <c r="H4772" t="s">
        <v>2487</v>
      </c>
      <c r="I4772" s="2">
        <v>500.92</v>
      </c>
      <c r="J4772">
        <v>4</v>
      </c>
      <c r="K4772" s="2">
        <v>41.392800000000001</v>
      </c>
      <c r="L4772" s="3">
        <f>(Table1[[#This Row],[Profit]]/Table1[[#This Row],[Sales]])*100</f>
        <v>8.2633554260161315</v>
      </c>
    </row>
    <row r="4773" spans="1:12" x14ac:dyDescent="0.3">
      <c r="A4773" t="s">
        <v>5228</v>
      </c>
      <c r="B4773" s="1">
        <v>44072</v>
      </c>
      <c r="C4773" t="s">
        <v>4601</v>
      </c>
      <c r="D4773" t="s">
        <v>4602</v>
      </c>
      <c r="E4773" t="s">
        <v>14</v>
      </c>
      <c r="F4773" t="s">
        <v>23</v>
      </c>
      <c r="G4773" t="s">
        <v>16</v>
      </c>
      <c r="H4773" t="s">
        <v>106</v>
      </c>
      <c r="I4773" s="2">
        <v>180.02</v>
      </c>
      <c r="J4773">
        <v>3</v>
      </c>
      <c r="K4773" s="2">
        <v>41.445599999999999</v>
      </c>
      <c r="L4773" s="3">
        <f>(Table1[[#This Row],[Profit]]/Table1[[#This Row],[Sales]])*100</f>
        <v>23.022775247194755</v>
      </c>
    </row>
    <row r="4774" spans="1:12" x14ac:dyDescent="0.3">
      <c r="A4774" t="s">
        <v>1167</v>
      </c>
      <c r="B4774" s="1">
        <v>43583</v>
      </c>
      <c r="C4774" t="s">
        <v>1168</v>
      </c>
      <c r="D4774" t="s">
        <v>1169</v>
      </c>
      <c r="E4774" t="s">
        <v>14</v>
      </c>
      <c r="F4774" t="s">
        <v>29</v>
      </c>
      <c r="G4774" t="s">
        <v>18</v>
      </c>
      <c r="H4774" t="s">
        <v>1170</v>
      </c>
      <c r="I4774" s="2">
        <v>369.57600000000002</v>
      </c>
      <c r="J4774">
        <v>3</v>
      </c>
      <c r="K4774" s="2">
        <v>41.577300000000001</v>
      </c>
      <c r="L4774" s="3">
        <f>(Table1[[#This Row],[Profit]]/Table1[[#This Row],[Sales]])*100</f>
        <v>11.25</v>
      </c>
    </row>
    <row r="4775" spans="1:12" x14ac:dyDescent="0.3">
      <c r="A4775" t="s">
        <v>6197</v>
      </c>
      <c r="B4775" s="1">
        <v>44182</v>
      </c>
      <c r="C4775" t="s">
        <v>1589</v>
      </c>
      <c r="D4775" t="s">
        <v>1590</v>
      </c>
      <c r="E4775" t="s">
        <v>14</v>
      </c>
      <c r="F4775" t="s">
        <v>15</v>
      </c>
      <c r="G4775" t="s">
        <v>24</v>
      </c>
      <c r="H4775" t="s">
        <v>2125</v>
      </c>
      <c r="I4775" s="2">
        <v>499.72</v>
      </c>
      <c r="J4775">
        <v>2</v>
      </c>
      <c r="K4775" s="2">
        <v>41.68</v>
      </c>
      <c r="L4775" s="3">
        <f>(Table1[[#This Row],[Profit]]/Table1[[#This Row],[Sales]])*100</f>
        <v>8.3406707756343561</v>
      </c>
    </row>
    <row r="4776" spans="1:12" x14ac:dyDescent="0.3">
      <c r="A4776" t="s">
        <v>5397</v>
      </c>
      <c r="B4776" s="1">
        <v>44089</v>
      </c>
      <c r="C4776" t="s">
        <v>501</v>
      </c>
      <c r="D4776" t="s">
        <v>502</v>
      </c>
      <c r="E4776" t="s">
        <v>14</v>
      </c>
      <c r="F4776" t="s">
        <v>23</v>
      </c>
      <c r="G4776" t="s">
        <v>24</v>
      </c>
      <c r="H4776" t="s">
        <v>4293</v>
      </c>
      <c r="I4776" s="2">
        <v>139.30000000000001</v>
      </c>
      <c r="J4776">
        <v>10</v>
      </c>
      <c r="K4776" s="2">
        <v>41.706000000000003</v>
      </c>
      <c r="L4776" s="3">
        <f>(Table1[[#This Row],[Profit]]/Table1[[#This Row],[Sales]])*100</f>
        <v>29.939698492462313</v>
      </c>
    </row>
    <row r="4777" spans="1:12" x14ac:dyDescent="0.3">
      <c r="A4777" t="s">
        <v>6273</v>
      </c>
      <c r="B4777" s="1">
        <v>44190</v>
      </c>
      <c r="C4777" t="s">
        <v>714</v>
      </c>
      <c r="D4777" t="s">
        <v>715</v>
      </c>
      <c r="E4777" t="s">
        <v>14</v>
      </c>
      <c r="F4777" t="s">
        <v>15</v>
      </c>
      <c r="G4777" t="s">
        <v>18</v>
      </c>
      <c r="H4777" t="s">
        <v>3086</v>
      </c>
      <c r="I4777" s="2">
        <v>349.928</v>
      </c>
      <c r="J4777">
        <v>7</v>
      </c>
      <c r="K4777" s="2">
        <v>41.718600000000002</v>
      </c>
      <c r="L4777" s="3">
        <f>(Table1[[#This Row],[Profit]]/Table1[[#This Row],[Sales]])*100</f>
        <v>11.922052536521798</v>
      </c>
    </row>
    <row r="4778" spans="1:12" x14ac:dyDescent="0.3">
      <c r="A4778" t="s">
        <v>4110</v>
      </c>
      <c r="B4778" s="1">
        <v>43866</v>
      </c>
      <c r="C4778" t="s">
        <v>672</v>
      </c>
      <c r="D4778" t="s">
        <v>673</v>
      </c>
      <c r="E4778" t="s">
        <v>14</v>
      </c>
      <c r="F4778" t="s">
        <v>23</v>
      </c>
      <c r="G4778" t="s">
        <v>18</v>
      </c>
      <c r="H4778" t="s">
        <v>2599</v>
      </c>
      <c r="I4778" s="2">
        <v>2399.1999999999998</v>
      </c>
      <c r="J4778">
        <v>5</v>
      </c>
      <c r="K4778" s="2">
        <v>41.76</v>
      </c>
      <c r="L4778" s="3">
        <f>(Table1[[#This Row],[Profit]]/Table1[[#This Row],[Sales]])*100</f>
        <v>1.7405801933977993</v>
      </c>
    </row>
    <row r="4779" spans="1:12" x14ac:dyDescent="0.3">
      <c r="A4779" t="s">
        <v>3800</v>
      </c>
      <c r="B4779" s="1">
        <v>43812</v>
      </c>
      <c r="C4779" t="s">
        <v>509</v>
      </c>
      <c r="D4779" t="s">
        <v>510</v>
      </c>
      <c r="E4779" t="s">
        <v>14</v>
      </c>
      <c r="F4779" t="s">
        <v>23</v>
      </c>
      <c r="G4779" t="s">
        <v>16</v>
      </c>
      <c r="H4779" t="s">
        <v>3801</v>
      </c>
      <c r="I4779" s="2">
        <v>1114.2719999999999</v>
      </c>
      <c r="J4779">
        <v>4</v>
      </c>
      <c r="K4779" s="2">
        <v>41.785200000000003</v>
      </c>
      <c r="L4779" s="3">
        <f>(Table1[[#This Row],[Profit]]/Table1[[#This Row],[Sales]])*100</f>
        <v>3.7500000000000004</v>
      </c>
    </row>
    <row r="4780" spans="1:12" x14ac:dyDescent="0.3">
      <c r="A4780" t="s">
        <v>4902</v>
      </c>
      <c r="B4780" s="1">
        <v>44008</v>
      </c>
      <c r="C4780" t="s">
        <v>475</v>
      </c>
      <c r="D4780" t="s">
        <v>476</v>
      </c>
      <c r="E4780" t="s">
        <v>14</v>
      </c>
      <c r="F4780" t="s">
        <v>15</v>
      </c>
      <c r="G4780" t="s">
        <v>18</v>
      </c>
      <c r="H4780" t="s">
        <v>1654</v>
      </c>
      <c r="I4780" s="2">
        <v>368.2</v>
      </c>
      <c r="J4780">
        <v>3</v>
      </c>
      <c r="K4780" s="2">
        <v>41.79</v>
      </c>
      <c r="L4780" s="3">
        <f>(Table1[[#This Row],[Profit]]/Table1[[#This Row],[Sales]])*100</f>
        <v>11.34980988593156</v>
      </c>
    </row>
    <row r="4781" spans="1:12" x14ac:dyDescent="0.3">
      <c r="A4781" t="s">
        <v>1721</v>
      </c>
      <c r="B4781" s="1">
        <v>43628</v>
      </c>
      <c r="C4781" t="s">
        <v>178</v>
      </c>
      <c r="D4781" t="s">
        <v>179</v>
      </c>
      <c r="E4781" t="s">
        <v>14</v>
      </c>
      <c r="F4781" t="s">
        <v>15</v>
      </c>
      <c r="G4781" t="s">
        <v>24</v>
      </c>
      <c r="H4781" t="s">
        <v>1722</v>
      </c>
      <c r="I4781" s="2">
        <v>92.94</v>
      </c>
      <c r="J4781">
        <v>3</v>
      </c>
      <c r="K4781" s="2">
        <v>41.823</v>
      </c>
      <c r="L4781" s="3">
        <f>(Table1[[#This Row],[Profit]]/Table1[[#This Row],[Sales]])*100</f>
        <v>45</v>
      </c>
    </row>
    <row r="4782" spans="1:12" x14ac:dyDescent="0.3">
      <c r="A4782" t="s">
        <v>6111</v>
      </c>
      <c r="B4782" s="1">
        <v>44170</v>
      </c>
      <c r="C4782" t="s">
        <v>6112</v>
      </c>
      <c r="D4782" t="s">
        <v>6113</v>
      </c>
      <c r="E4782" t="s">
        <v>14</v>
      </c>
      <c r="F4782" t="s">
        <v>23</v>
      </c>
      <c r="G4782" t="s">
        <v>24</v>
      </c>
      <c r="H4782" t="s">
        <v>1915</v>
      </c>
      <c r="I4782" s="2">
        <v>107.94</v>
      </c>
      <c r="J4782">
        <v>3</v>
      </c>
      <c r="K4782" s="2">
        <v>41.823</v>
      </c>
      <c r="L4782" s="3">
        <f>(Table1[[#This Row],[Profit]]/Table1[[#This Row],[Sales]])*100</f>
        <v>38.746525847693164</v>
      </c>
    </row>
    <row r="4783" spans="1:12" x14ac:dyDescent="0.3">
      <c r="A4783" t="s">
        <v>4806</v>
      </c>
      <c r="B4783" s="1">
        <v>43993</v>
      </c>
      <c r="C4783" t="s">
        <v>1000</v>
      </c>
      <c r="D4783" t="s">
        <v>1001</v>
      </c>
      <c r="E4783" t="s">
        <v>14</v>
      </c>
      <c r="F4783" t="s">
        <v>23</v>
      </c>
      <c r="G4783" t="s">
        <v>16</v>
      </c>
      <c r="H4783" t="s">
        <v>4808</v>
      </c>
      <c r="I4783" s="2">
        <v>195.42</v>
      </c>
      <c r="J4783">
        <v>3</v>
      </c>
      <c r="K4783" s="2">
        <v>41.860799999999998</v>
      </c>
      <c r="L4783" s="3">
        <f>(Table1[[#This Row],[Profit]]/Table1[[#This Row],[Sales]])*100</f>
        <v>21.420939514891003</v>
      </c>
    </row>
    <row r="4784" spans="1:12" x14ac:dyDescent="0.3">
      <c r="A4784" t="s">
        <v>1539</v>
      </c>
      <c r="B4784" s="1">
        <v>43613</v>
      </c>
      <c r="C4784" t="s">
        <v>1292</v>
      </c>
      <c r="D4784" t="s">
        <v>1293</v>
      </c>
      <c r="E4784" t="s">
        <v>14</v>
      </c>
      <c r="F4784" t="s">
        <v>23</v>
      </c>
      <c r="G4784" t="s">
        <v>18</v>
      </c>
      <c r="H4784" t="s">
        <v>1542</v>
      </c>
      <c r="I4784" s="2">
        <v>558.4</v>
      </c>
      <c r="J4784">
        <v>2</v>
      </c>
      <c r="K4784" s="2">
        <v>41.88</v>
      </c>
      <c r="L4784" s="3">
        <f>(Table1[[#This Row],[Profit]]/Table1[[#This Row],[Sales]])*100</f>
        <v>7.5000000000000009</v>
      </c>
    </row>
    <row r="4785" spans="1:12" x14ac:dyDescent="0.3">
      <c r="A4785" t="s">
        <v>3322</v>
      </c>
      <c r="B4785" s="1">
        <v>43777</v>
      </c>
      <c r="C4785" t="s">
        <v>3323</v>
      </c>
      <c r="D4785" t="s">
        <v>3324</v>
      </c>
      <c r="E4785" t="s">
        <v>14</v>
      </c>
      <c r="F4785" t="s">
        <v>41</v>
      </c>
      <c r="G4785" t="s">
        <v>16</v>
      </c>
      <c r="H4785" t="s">
        <v>952</v>
      </c>
      <c r="I4785" s="2">
        <v>261.95999999999998</v>
      </c>
      <c r="J4785">
        <v>2</v>
      </c>
      <c r="K4785" s="2">
        <v>41.913600000000002</v>
      </c>
      <c r="L4785" s="3">
        <f>(Table1[[#This Row],[Profit]]/Table1[[#This Row],[Sales]])*100</f>
        <v>16.000000000000004</v>
      </c>
    </row>
    <row r="4786" spans="1:12" x14ac:dyDescent="0.3">
      <c r="A4786" t="s">
        <v>4816</v>
      </c>
      <c r="B4786" s="1">
        <v>43994</v>
      </c>
      <c r="C4786" t="s">
        <v>795</v>
      </c>
      <c r="D4786" t="s">
        <v>796</v>
      </c>
      <c r="E4786" t="s">
        <v>14</v>
      </c>
      <c r="F4786" t="s">
        <v>41</v>
      </c>
      <c r="G4786" t="s">
        <v>24</v>
      </c>
      <c r="H4786" t="s">
        <v>2833</v>
      </c>
      <c r="I4786" s="2">
        <v>126.2</v>
      </c>
      <c r="J4786">
        <v>3</v>
      </c>
      <c r="K4786" s="2">
        <v>41.951999999999998</v>
      </c>
      <c r="L4786" s="3">
        <f>(Table1[[#This Row],[Profit]]/Table1[[#This Row],[Sales]])*100</f>
        <v>33.242472266244057</v>
      </c>
    </row>
    <row r="4787" spans="1:12" x14ac:dyDescent="0.3">
      <c r="A4787" t="s">
        <v>6139</v>
      </c>
      <c r="B4787" s="1">
        <v>44174</v>
      </c>
      <c r="C4787" t="s">
        <v>774</v>
      </c>
      <c r="D4787" t="s">
        <v>775</v>
      </c>
      <c r="E4787" t="s">
        <v>14</v>
      </c>
      <c r="F4787" t="s">
        <v>29</v>
      </c>
      <c r="G4787" t="s">
        <v>18</v>
      </c>
      <c r="H4787" t="s">
        <v>4627</v>
      </c>
      <c r="I4787" s="2">
        <v>123.88</v>
      </c>
      <c r="J4787">
        <v>6</v>
      </c>
      <c r="K4787" s="2">
        <v>41.951999999999998</v>
      </c>
      <c r="L4787" s="3">
        <f>(Table1[[#This Row],[Profit]]/Table1[[#This Row],[Sales]])*100</f>
        <v>33.865030674846622</v>
      </c>
    </row>
    <row r="4788" spans="1:12" x14ac:dyDescent="0.3">
      <c r="A4788" t="s">
        <v>2733</v>
      </c>
      <c r="B4788" s="1">
        <v>43721</v>
      </c>
      <c r="C4788" t="s">
        <v>2734</v>
      </c>
      <c r="D4788" t="s">
        <v>2735</v>
      </c>
      <c r="E4788" t="s">
        <v>14</v>
      </c>
      <c r="F4788" t="s">
        <v>29</v>
      </c>
      <c r="G4788" t="s">
        <v>18</v>
      </c>
      <c r="H4788" t="s">
        <v>2736</v>
      </c>
      <c r="I4788" s="2">
        <v>149.94999999999999</v>
      </c>
      <c r="J4788">
        <v>5</v>
      </c>
      <c r="K4788" s="2">
        <v>41.985999999999997</v>
      </c>
      <c r="L4788" s="3">
        <f>(Table1[[#This Row],[Profit]]/Table1[[#This Row],[Sales]])*100</f>
        <v>28.000000000000004</v>
      </c>
    </row>
    <row r="4789" spans="1:12" x14ac:dyDescent="0.3">
      <c r="A4789" t="s">
        <v>4439</v>
      </c>
      <c r="B4789" s="1">
        <v>43931</v>
      </c>
      <c r="C4789" t="s">
        <v>648</v>
      </c>
      <c r="D4789" t="s">
        <v>649</v>
      </c>
      <c r="E4789" t="s">
        <v>14</v>
      </c>
      <c r="F4789" t="s">
        <v>15</v>
      </c>
      <c r="G4789" t="s">
        <v>18</v>
      </c>
      <c r="H4789" t="s">
        <v>2432</v>
      </c>
      <c r="I4789" s="2">
        <v>120.99</v>
      </c>
      <c r="J4789">
        <v>1</v>
      </c>
      <c r="K4789" s="2">
        <v>41.995800000000003</v>
      </c>
      <c r="L4789" s="3">
        <f>(Table1[[#This Row],[Profit]]/Table1[[#This Row],[Sales]])*100</f>
        <v>34.710141333994549</v>
      </c>
    </row>
    <row r="4790" spans="1:12" x14ac:dyDescent="0.3">
      <c r="A4790" t="s">
        <v>2592</v>
      </c>
      <c r="B4790" s="1">
        <v>43713</v>
      </c>
      <c r="C4790" t="s">
        <v>1038</v>
      </c>
      <c r="D4790" t="s">
        <v>1039</v>
      </c>
      <c r="E4790" t="s">
        <v>14</v>
      </c>
      <c r="F4790" t="s">
        <v>29</v>
      </c>
      <c r="G4790" t="s">
        <v>24</v>
      </c>
      <c r="H4790" t="s">
        <v>2595</v>
      </c>
      <c r="I4790" s="2">
        <v>91.36</v>
      </c>
      <c r="J4790">
        <v>4</v>
      </c>
      <c r="K4790" s="2">
        <v>42.025599999999997</v>
      </c>
      <c r="L4790" s="3">
        <f>(Table1[[#This Row],[Profit]]/Table1[[#This Row],[Sales]])*100</f>
        <v>46</v>
      </c>
    </row>
    <row r="4791" spans="1:12" x14ac:dyDescent="0.3">
      <c r="A4791" t="s">
        <v>5555</v>
      </c>
      <c r="B4791" s="1">
        <v>44106</v>
      </c>
      <c r="C4791" t="s">
        <v>414</v>
      </c>
      <c r="D4791" t="s">
        <v>415</v>
      </c>
      <c r="E4791" t="s">
        <v>14</v>
      </c>
      <c r="F4791" t="s">
        <v>23</v>
      </c>
      <c r="G4791" t="s">
        <v>24</v>
      </c>
      <c r="H4791" t="s">
        <v>1098</v>
      </c>
      <c r="I4791" s="2">
        <v>145.12</v>
      </c>
      <c r="J4791">
        <v>5</v>
      </c>
      <c r="K4791" s="2">
        <v>42.045000000000002</v>
      </c>
      <c r="L4791" s="3">
        <f>(Table1[[#This Row],[Profit]]/Table1[[#This Row],[Sales]])*100</f>
        <v>28.972574421168691</v>
      </c>
    </row>
    <row r="4792" spans="1:12" x14ac:dyDescent="0.3">
      <c r="A4792" t="s">
        <v>4625</v>
      </c>
      <c r="B4792" s="1">
        <v>43963</v>
      </c>
      <c r="C4792" t="s">
        <v>1631</v>
      </c>
      <c r="D4792" t="s">
        <v>1632</v>
      </c>
      <c r="E4792" t="s">
        <v>14</v>
      </c>
      <c r="F4792" t="s">
        <v>15</v>
      </c>
      <c r="G4792" t="s">
        <v>24</v>
      </c>
      <c r="H4792" t="s">
        <v>623</v>
      </c>
      <c r="I4792" s="2">
        <v>133.6</v>
      </c>
      <c r="J4792">
        <v>5</v>
      </c>
      <c r="K4792" s="2">
        <v>42.048000000000002</v>
      </c>
      <c r="L4792" s="3">
        <f>(Table1[[#This Row],[Profit]]/Table1[[#This Row],[Sales]])*100</f>
        <v>31.473053892215567</v>
      </c>
    </row>
    <row r="4793" spans="1:12" x14ac:dyDescent="0.3">
      <c r="A4793" t="s">
        <v>3327</v>
      </c>
      <c r="B4793" s="1">
        <v>43779</v>
      </c>
      <c r="C4793" t="s">
        <v>3328</v>
      </c>
      <c r="D4793" t="s">
        <v>3329</v>
      </c>
      <c r="E4793" t="s">
        <v>14</v>
      </c>
      <c r="F4793" t="s">
        <v>23</v>
      </c>
      <c r="G4793" t="s">
        <v>24</v>
      </c>
      <c r="H4793" t="s">
        <v>3330</v>
      </c>
      <c r="I4793" s="2">
        <v>155.82</v>
      </c>
      <c r="J4793">
        <v>7</v>
      </c>
      <c r="K4793" s="2">
        <v>42.071399999999997</v>
      </c>
      <c r="L4793" s="3">
        <f>(Table1[[#This Row],[Profit]]/Table1[[#This Row],[Sales]])*100</f>
        <v>27</v>
      </c>
    </row>
    <row r="4794" spans="1:12" x14ac:dyDescent="0.3">
      <c r="A4794" t="s">
        <v>4046</v>
      </c>
      <c r="B4794" s="1">
        <v>43851</v>
      </c>
      <c r="C4794" t="s">
        <v>2414</v>
      </c>
      <c r="D4794" t="s">
        <v>2415</v>
      </c>
      <c r="E4794" t="s">
        <v>14</v>
      </c>
      <c r="F4794" t="s">
        <v>29</v>
      </c>
      <c r="G4794" t="s">
        <v>24</v>
      </c>
      <c r="H4794" t="s">
        <v>4047</v>
      </c>
      <c r="I4794" s="2">
        <v>109.52</v>
      </c>
      <c r="J4794">
        <v>4</v>
      </c>
      <c r="K4794" s="2">
        <v>42.074399999999997</v>
      </c>
      <c r="L4794" s="3">
        <f>(Table1[[#This Row],[Profit]]/Table1[[#This Row],[Sales]])*100</f>
        <v>38.417092768444114</v>
      </c>
    </row>
    <row r="4795" spans="1:12" x14ac:dyDescent="0.3">
      <c r="A4795" t="s">
        <v>4229</v>
      </c>
      <c r="B4795" s="1">
        <v>43897</v>
      </c>
      <c r="C4795" t="s">
        <v>3818</v>
      </c>
      <c r="D4795" t="s">
        <v>3819</v>
      </c>
      <c r="E4795" t="s">
        <v>14</v>
      </c>
      <c r="F4795" t="s">
        <v>15</v>
      </c>
      <c r="G4795" t="s">
        <v>24</v>
      </c>
      <c r="H4795" t="s">
        <v>1830</v>
      </c>
      <c r="I4795" s="2">
        <v>106.59</v>
      </c>
      <c r="J4795">
        <v>3</v>
      </c>
      <c r="K4795" s="2">
        <v>42.131399999999999</v>
      </c>
      <c r="L4795" s="3">
        <f>(Table1[[#This Row],[Profit]]/Table1[[#This Row],[Sales]])*100</f>
        <v>39.526597241767519</v>
      </c>
    </row>
    <row r="4796" spans="1:12" x14ac:dyDescent="0.3">
      <c r="A4796" t="s">
        <v>1287</v>
      </c>
      <c r="B4796" s="1">
        <v>43593</v>
      </c>
      <c r="C4796" t="s">
        <v>1288</v>
      </c>
      <c r="D4796" t="s">
        <v>1289</v>
      </c>
      <c r="E4796" t="s">
        <v>14</v>
      </c>
      <c r="F4796" t="s">
        <v>15</v>
      </c>
      <c r="G4796" t="s">
        <v>16</v>
      </c>
      <c r="H4796" t="s">
        <v>1290</v>
      </c>
      <c r="I4796" s="2">
        <v>211.96</v>
      </c>
      <c r="J4796">
        <v>2</v>
      </c>
      <c r="K4796" s="2">
        <v>42.392000000000003</v>
      </c>
      <c r="L4796" s="3">
        <f>(Table1[[#This Row],[Profit]]/Table1[[#This Row],[Sales]])*100</f>
        <v>20</v>
      </c>
    </row>
    <row r="4797" spans="1:12" x14ac:dyDescent="0.3">
      <c r="A4797" t="s">
        <v>5191</v>
      </c>
      <c r="B4797" s="1">
        <v>44064</v>
      </c>
      <c r="C4797" t="s">
        <v>5192</v>
      </c>
      <c r="D4797" t="s">
        <v>5193</v>
      </c>
      <c r="E4797" t="s">
        <v>14</v>
      </c>
      <c r="F4797" t="s">
        <v>23</v>
      </c>
      <c r="G4797" t="s">
        <v>24</v>
      </c>
      <c r="H4797" t="s">
        <v>690</v>
      </c>
      <c r="I4797" s="2">
        <v>154.14400000000001</v>
      </c>
      <c r="J4797">
        <v>9</v>
      </c>
      <c r="K4797" s="2">
        <v>42.464700000000001</v>
      </c>
      <c r="L4797" s="3">
        <f>(Table1[[#This Row],[Profit]]/Table1[[#This Row],[Sales]])*100</f>
        <v>27.548720676769772</v>
      </c>
    </row>
    <row r="4798" spans="1:12" x14ac:dyDescent="0.3">
      <c r="A4798" t="s">
        <v>2503</v>
      </c>
      <c r="B4798" s="1">
        <v>43707</v>
      </c>
      <c r="C4798" t="s">
        <v>2504</v>
      </c>
      <c r="D4798" t="s">
        <v>2505</v>
      </c>
      <c r="E4798" t="s">
        <v>14</v>
      </c>
      <c r="F4798" t="s">
        <v>23</v>
      </c>
      <c r="G4798" t="s">
        <v>18</v>
      </c>
      <c r="H4798" t="s">
        <v>2506</v>
      </c>
      <c r="I4798" s="2">
        <v>339.96</v>
      </c>
      <c r="J4798">
        <v>5</v>
      </c>
      <c r="K4798" s="2">
        <v>42.494999999999997</v>
      </c>
      <c r="L4798" s="3">
        <f>(Table1[[#This Row],[Profit]]/Table1[[#This Row],[Sales]])*100</f>
        <v>12.5</v>
      </c>
    </row>
    <row r="4799" spans="1:12" x14ac:dyDescent="0.3">
      <c r="A4799" t="s">
        <v>4681</v>
      </c>
      <c r="B4799" s="1">
        <v>43970</v>
      </c>
      <c r="C4799" t="s">
        <v>871</v>
      </c>
      <c r="D4799" t="s">
        <v>872</v>
      </c>
      <c r="E4799" t="s">
        <v>14</v>
      </c>
      <c r="F4799" t="s">
        <v>23</v>
      </c>
      <c r="G4799" t="s">
        <v>16</v>
      </c>
      <c r="H4799" t="s">
        <v>561</v>
      </c>
      <c r="I4799" s="2">
        <v>704.40800000000002</v>
      </c>
      <c r="J4799">
        <v>12</v>
      </c>
      <c r="K4799" s="2">
        <v>42.588000000000001</v>
      </c>
      <c r="L4799" s="3">
        <f>(Table1[[#This Row],[Profit]]/Table1[[#This Row],[Sales]])*100</f>
        <v>6.0459279281325591</v>
      </c>
    </row>
    <row r="4800" spans="1:12" x14ac:dyDescent="0.3">
      <c r="A4800" t="s">
        <v>5675</v>
      </c>
      <c r="B4800" s="1">
        <v>44125</v>
      </c>
      <c r="C4800" t="s">
        <v>5676</v>
      </c>
      <c r="D4800" t="s">
        <v>5677</v>
      </c>
      <c r="E4800" t="s">
        <v>14</v>
      </c>
      <c r="F4800" t="s">
        <v>41</v>
      </c>
      <c r="G4800" t="s">
        <v>16</v>
      </c>
      <c r="H4800" t="s">
        <v>3758</v>
      </c>
      <c r="I4800" s="2">
        <v>717.952</v>
      </c>
      <c r="J4800">
        <v>3</v>
      </c>
      <c r="K4800" s="2">
        <v>42.747</v>
      </c>
      <c r="L4800" s="3">
        <f>(Table1[[#This Row],[Profit]]/Table1[[#This Row],[Sales]])*100</f>
        <v>5.9540192101978962</v>
      </c>
    </row>
    <row r="4801" spans="1:12" x14ac:dyDescent="0.3">
      <c r="A4801" t="s">
        <v>181</v>
      </c>
      <c r="B4801" s="1">
        <v>43488</v>
      </c>
      <c r="C4801" t="s">
        <v>182</v>
      </c>
      <c r="D4801" t="s">
        <v>183</v>
      </c>
      <c r="E4801" t="s">
        <v>14</v>
      </c>
      <c r="F4801" t="s">
        <v>15</v>
      </c>
      <c r="G4801" t="s">
        <v>18</v>
      </c>
      <c r="H4801" t="s">
        <v>184</v>
      </c>
      <c r="I4801" s="2">
        <v>99.98</v>
      </c>
      <c r="J4801">
        <v>2</v>
      </c>
      <c r="K4801" s="2">
        <v>42.991399999999999</v>
      </c>
      <c r="L4801" s="3">
        <f>(Table1[[#This Row],[Profit]]/Table1[[#This Row],[Sales]])*100</f>
        <v>43</v>
      </c>
    </row>
    <row r="4802" spans="1:12" x14ac:dyDescent="0.3">
      <c r="A4802" t="s">
        <v>4201</v>
      </c>
      <c r="B4802" s="1">
        <v>43893</v>
      </c>
      <c r="C4802" t="s">
        <v>3064</v>
      </c>
      <c r="D4802" t="s">
        <v>3065</v>
      </c>
      <c r="E4802" t="s">
        <v>14</v>
      </c>
      <c r="F4802" t="s">
        <v>29</v>
      </c>
      <c r="G4802" t="s">
        <v>18</v>
      </c>
      <c r="H4802" t="s">
        <v>184</v>
      </c>
      <c r="I4802" s="2">
        <v>125.98</v>
      </c>
      <c r="J4802">
        <v>2</v>
      </c>
      <c r="K4802" s="2">
        <v>42.991399999999999</v>
      </c>
      <c r="L4802" s="3">
        <f>(Table1[[#This Row],[Profit]]/Table1[[#This Row],[Sales]])*100</f>
        <v>34.125575488172721</v>
      </c>
    </row>
    <row r="4803" spans="1:12" x14ac:dyDescent="0.3">
      <c r="A4803" t="s">
        <v>2117</v>
      </c>
      <c r="B4803" s="1">
        <v>43666</v>
      </c>
      <c r="C4803" t="s">
        <v>2118</v>
      </c>
      <c r="D4803" t="s">
        <v>2119</v>
      </c>
      <c r="E4803" t="s">
        <v>14</v>
      </c>
      <c r="F4803" t="s">
        <v>15</v>
      </c>
      <c r="G4803" t="s">
        <v>18</v>
      </c>
      <c r="H4803" t="s">
        <v>2120</v>
      </c>
      <c r="I4803" s="2">
        <v>89.95</v>
      </c>
      <c r="J4803">
        <v>5</v>
      </c>
      <c r="K4803" s="2">
        <v>43.176000000000002</v>
      </c>
      <c r="L4803" s="3">
        <f>(Table1[[#This Row],[Profit]]/Table1[[#This Row],[Sales]])*100</f>
        <v>48</v>
      </c>
    </row>
    <row r="4804" spans="1:12" x14ac:dyDescent="0.3">
      <c r="A4804" t="s">
        <v>5083</v>
      </c>
      <c r="B4804" s="1">
        <v>44042</v>
      </c>
      <c r="C4804" t="s">
        <v>1929</v>
      </c>
      <c r="D4804" t="s">
        <v>1930</v>
      </c>
      <c r="E4804" t="s">
        <v>14</v>
      </c>
      <c r="F4804" t="s">
        <v>15</v>
      </c>
      <c r="G4804" t="s">
        <v>18</v>
      </c>
      <c r="H4804" t="s">
        <v>2120</v>
      </c>
      <c r="I4804" s="2">
        <v>173.95</v>
      </c>
      <c r="J4804">
        <v>5</v>
      </c>
      <c r="K4804" s="2">
        <v>43.176000000000002</v>
      </c>
      <c r="L4804" s="3">
        <f>(Table1[[#This Row],[Profit]]/Table1[[#This Row],[Sales]])*100</f>
        <v>24.820925553319924</v>
      </c>
    </row>
    <row r="4805" spans="1:12" x14ac:dyDescent="0.3">
      <c r="A4805" t="s">
        <v>6019</v>
      </c>
      <c r="B4805" s="1">
        <v>44161</v>
      </c>
      <c r="C4805" t="s">
        <v>1119</v>
      </c>
      <c r="D4805" t="s">
        <v>1120</v>
      </c>
      <c r="E4805" t="s">
        <v>14</v>
      </c>
      <c r="F4805" t="s">
        <v>29</v>
      </c>
      <c r="G4805" t="s">
        <v>18</v>
      </c>
      <c r="H4805" t="s">
        <v>4777</v>
      </c>
      <c r="I4805" s="2">
        <v>116.98</v>
      </c>
      <c r="J4805">
        <v>2</v>
      </c>
      <c r="K4805" s="2">
        <v>43.190399999999997</v>
      </c>
      <c r="L4805" s="3">
        <f>(Table1[[#This Row],[Profit]]/Table1[[#This Row],[Sales]])*100</f>
        <v>36.921183108223623</v>
      </c>
    </row>
    <row r="4806" spans="1:12" x14ac:dyDescent="0.3">
      <c r="A4806" t="s">
        <v>1712</v>
      </c>
      <c r="B4806" s="1">
        <v>43628</v>
      </c>
      <c r="C4806" t="s">
        <v>1713</v>
      </c>
      <c r="D4806" t="s">
        <v>1714</v>
      </c>
      <c r="E4806" t="s">
        <v>14</v>
      </c>
      <c r="F4806" t="s">
        <v>29</v>
      </c>
      <c r="G4806" t="s">
        <v>18</v>
      </c>
      <c r="H4806" t="s">
        <v>1715</v>
      </c>
      <c r="I4806" s="2">
        <v>1007.979</v>
      </c>
      <c r="J4806">
        <v>3</v>
      </c>
      <c r="K4806" s="2">
        <v>43.199100000000001</v>
      </c>
      <c r="L4806" s="3">
        <f>(Table1[[#This Row],[Profit]]/Table1[[#This Row],[Sales]])*100</f>
        <v>4.2857142857142856</v>
      </c>
    </row>
    <row r="4807" spans="1:12" x14ac:dyDescent="0.3">
      <c r="A4807" t="s">
        <v>5231</v>
      </c>
      <c r="B4807" s="1">
        <v>44074</v>
      </c>
      <c r="C4807" t="s">
        <v>3037</v>
      </c>
      <c r="D4807" t="s">
        <v>3038</v>
      </c>
      <c r="E4807" t="s">
        <v>14</v>
      </c>
      <c r="F4807" t="s">
        <v>23</v>
      </c>
      <c r="G4807" t="s">
        <v>24</v>
      </c>
      <c r="H4807" t="s">
        <v>2859</v>
      </c>
      <c r="I4807" s="2">
        <v>160.72999999999999</v>
      </c>
      <c r="J4807">
        <v>7</v>
      </c>
      <c r="K4807" s="2">
        <v>43.421700000000001</v>
      </c>
      <c r="L4807" s="3">
        <f>(Table1[[#This Row],[Profit]]/Table1[[#This Row],[Sales]])*100</f>
        <v>27.015305170161142</v>
      </c>
    </row>
    <row r="4808" spans="1:12" x14ac:dyDescent="0.3">
      <c r="A4808" t="s">
        <v>6044</v>
      </c>
      <c r="B4808" s="1">
        <v>44165</v>
      </c>
      <c r="C4808" t="s">
        <v>3368</v>
      </c>
      <c r="D4808" t="s">
        <v>3369</v>
      </c>
      <c r="E4808" t="s">
        <v>14</v>
      </c>
      <c r="F4808" t="s">
        <v>41</v>
      </c>
      <c r="G4808" t="s">
        <v>24</v>
      </c>
      <c r="H4808" t="s">
        <v>1413</v>
      </c>
      <c r="I4808" s="2">
        <v>204.8</v>
      </c>
      <c r="J4808">
        <v>5</v>
      </c>
      <c r="K4808" s="2">
        <v>43.45</v>
      </c>
      <c r="L4808" s="3">
        <f>(Table1[[#This Row],[Profit]]/Table1[[#This Row],[Sales]])*100</f>
        <v>21.2158203125</v>
      </c>
    </row>
    <row r="4809" spans="1:12" x14ac:dyDescent="0.3">
      <c r="A4809" t="s">
        <v>6072</v>
      </c>
      <c r="B4809" s="1">
        <v>44167</v>
      </c>
      <c r="C4809" t="s">
        <v>3373</v>
      </c>
      <c r="D4809" t="s">
        <v>3374</v>
      </c>
      <c r="E4809" t="s">
        <v>14</v>
      </c>
      <c r="F4809" t="s">
        <v>23</v>
      </c>
      <c r="G4809" t="s">
        <v>16</v>
      </c>
      <c r="H4809" t="s">
        <v>469</v>
      </c>
      <c r="I4809" s="2">
        <v>182.05600000000001</v>
      </c>
      <c r="J4809">
        <v>9</v>
      </c>
      <c r="K4809" s="2">
        <v>43.464599999999997</v>
      </c>
      <c r="L4809" s="3">
        <f>(Table1[[#This Row],[Profit]]/Table1[[#This Row],[Sales]])*100</f>
        <v>23.874302412444521</v>
      </c>
    </row>
    <row r="4810" spans="1:12" x14ac:dyDescent="0.3">
      <c r="A4810" t="s">
        <v>5831</v>
      </c>
      <c r="B4810" s="1">
        <v>44145</v>
      </c>
      <c r="C4810" t="s">
        <v>5832</v>
      </c>
      <c r="D4810" t="s">
        <v>5833</v>
      </c>
      <c r="E4810" t="s">
        <v>14</v>
      </c>
      <c r="F4810" t="s">
        <v>23</v>
      </c>
      <c r="G4810" t="s">
        <v>18</v>
      </c>
      <c r="H4810" t="s">
        <v>3803</v>
      </c>
      <c r="I4810" s="2">
        <v>129.79</v>
      </c>
      <c r="J4810">
        <v>7</v>
      </c>
      <c r="K4810" s="2">
        <v>43.598100000000002</v>
      </c>
      <c r="L4810" s="3">
        <f>(Table1[[#This Row],[Profit]]/Table1[[#This Row],[Sales]])*100</f>
        <v>33.59126280915325</v>
      </c>
    </row>
    <row r="4811" spans="1:12" x14ac:dyDescent="0.3">
      <c r="A4811" t="s">
        <v>5811</v>
      </c>
      <c r="B4811" s="1">
        <v>44142</v>
      </c>
      <c r="C4811" t="s">
        <v>4503</v>
      </c>
      <c r="D4811" t="s">
        <v>4504</v>
      </c>
      <c r="E4811" t="s">
        <v>14</v>
      </c>
      <c r="F4811" t="s">
        <v>15</v>
      </c>
      <c r="G4811" t="s">
        <v>16</v>
      </c>
      <c r="H4811" t="s">
        <v>1595</v>
      </c>
      <c r="I4811" s="2">
        <v>285.97000000000003</v>
      </c>
      <c r="J4811">
        <v>3</v>
      </c>
      <c r="K4811" s="2">
        <v>43.675199999999997</v>
      </c>
      <c r="L4811" s="3">
        <f>(Table1[[#This Row],[Profit]]/Table1[[#This Row],[Sales]])*100</f>
        <v>15.272650977375246</v>
      </c>
    </row>
    <row r="4812" spans="1:12" x14ac:dyDescent="0.3">
      <c r="A4812" t="s">
        <v>2345</v>
      </c>
      <c r="B4812" s="1">
        <v>43692</v>
      </c>
      <c r="C4812" t="s">
        <v>1013</v>
      </c>
      <c r="D4812" t="s">
        <v>1014</v>
      </c>
      <c r="E4812" t="s">
        <v>14</v>
      </c>
      <c r="F4812" t="s">
        <v>23</v>
      </c>
      <c r="G4812" t="s">
        <v>16</v>
      </c>
      <c r="H4812" t="s">
        <v>2346</v>
      </c>
      <c r="I4812" s="2">
        <v>312.02999999999997</v>
      </c>
      <c r="J4812">
        <v>3</v>
      </c>
      <c r="K4812" s="2">
        <v>43.684199999999997</v>
      </c>
      <c r="L4812" s="3">
        <f>(Table1[[#This Row],[Profit]]/Table1[[#This Row],[Sales]])*100</f>
        <v>14.000000000000002</v>
      </c>
    </row>
    <row r="4813" spans="1:12" x14ac:dyDescent="0.3">
      <c r="A4813" t="s">
        <v>5002</v>
      </c>
      <c r="B4813" s="1">
        <v>44023</v>
      </c>
      <c r="C4813" t="s">
        <v>305</v>
      </c>
      <c r="D4813" t="s">
        <v>306</v>
      </c>
      <c r="E4813" t="s">
        <v>14</v>
      </c>
      <c r="F4813" t="s">
        <v>23</v>
      </c>
      <c r="G4813" t="s">
        <v>24</v>
      </c>
      <c r="H4813" t="s">
        <v>4398</v>
      </c>
      <c r="I4813" s="2">
        <v>202.1</v>
      </c>
      <c r="J4813">
        <v>5</v>
      </c>
      <c r="K4813" s="2">
        <v>43.706000000000003</v>
      </c>
      <c r="L4813" s="3">
        <f>(Table1[[#This Row],[Profit]]/Table1[[#This Row],[Sales]])*100</f>
        <v>21.625927758535379</v>
      </c>
    </row>
    <row r="4814" spans="1:12" x14ac:dyDescent="0.3">
      <c r="A4814" t="s">
        <v>5742</v>
      </c>
      <c r="B4814" s="1">
        <v>44137</v>
      </c>
      <c r="C4814" t="s">
        <v>2771</v>
      </c>
      <c r="D4814" t="s">
        <v>2772</v>
      </c>
      <c r="E4814" t="s">
        <v>14</v>
      </c>
      <c r="F4814" t="s">
        <v>23</v>
      </c>
      <c r="G4814" t="s">
        <v>24</v>
      </c>
      <c r="H4814" t="s">
        <v>4398</v>
      </c>
      <c r="I4814" s="2">
        <v>178.1</v>
      </c>
      <c r="J4814">
        <v>5</v>
      </c>
      <c r="K4814" s="2">
        <v>43.706000000000003</v>
      </c>
      <c r="L4814" s="3">
        <f>(Table1[[#This Row],[Profit]]/Table1[[#This Row],[Sales]])*100</f>
        <v>24.540145985401463</v>
      </c>
    </row>
    <row r="4815" spans="1:12" x14ac:dyDescent="0.3">
      <c r="A4815" t="s">
        <v>5797</v>
      </c>
      <c r="B4815" s="1">
        <v>44141</v>
      </c>
      <c r="C4815" t="s">
        <v>376</v>
      </c>
      <c r="D4815" t="s">
        <v>377</v>
      </c>
      <c r="E4815" t="s">
        <v>14</v>
      </c>
      <c r="F4815" t="s">
        <v>41</v>
      </c>
      <c r="G4815" t="s">
        <v>24</v>
      </c>
      <c r="H4815" t="s">
        <v>1706</v>
      </c>
      <c r="I4815" s="2">
        <v>532.58399999999995</v>
      </c>
      <c r="J4815">
        <v>3</v>
      </c>
      <c r="K4815" s="2">
        <v>43.7136</v>
      </c>
      <c r="L4815" s="3">
        <f>(Table1[[#This Row],[Profit]]/Table1[[#This Row],[Sales]])*100</f>
        <v>8.2078320039655726</v>
      </c>
    </row>
    <row r="4816" spans="1:12" x14ac:dyDescent="0.3">
      <c r="A4816" t="s">
        <v>5572</v>
      </c>
      <c r="B4816" s="1">
        <v>44109</v>
      </c>
      <c r="C4816" t="s">
        <v>4620</v>
      </c>
      <c r="D4816" t="s">
        <v>4621</v>
      </c>
      <c r="E4816" t="s">
        <v>14</v>
      </c>
      <c r="F4816" t="s">
        <v>15</v>
      </c>
      <c r="G4816" t="s">
        <v>18</v>
      </c>
      <c r="H4816" t="s">
        <v>3018</v>
      </c>
      <c r="I4816" s="2">
        <v>111.8</v>
      </c>
      <c r="J4816">
        <v>4</v>
      </c>
      <c r="K4816" s="2">
        <v>43.9</v>
      </c>
      <c r="L4816" s="3">
        <f>(Table1[[#This Row],[Profit]]/Table1[[#This Row],[Sales]])*100</f>
        <v>39.266547406082289</v>
      </c>
    </row>
    <row r="4817" spans="1:12" x14ac:dyDescent="0.3">
      <c r="A4817" t="s">
        <v>2431</v>
      </c>
      <c r="B4817" s="1">
        <v>43703</v>
      </c>
      <c r="C4817" t="s">
        <v>1444</v>
      </c>
      <c r="D4817" t="s">
        <v>1445</v>
      </c>
      <c r="E4817" t="s">
        <v>14</v>
      </c>
      <c r="F4817" t="s">
        <v>29</v>
      </c>
      <c r="G4817" t="s">
        <v>18</v>
      </c>
      <c r="H4817" t="s">
        <v>2432</v>
      </c>
      <c r="I4817" s="2">
        <v>159.98400000000001</v>
      </c>
      <c r="J4817">
        <v>2</v>
      </c>
      <c r="K4817" s="2">
        <v>43.995600000000003</v>
      </c>
      <c r="L4817" s="3">
        <f>(Table1[[#This Row],[Profit]]/Table1[[#This Row],[Sales]])*100</f>
        <v>27.500000000000004</v>
      </c>
    </row>
    <row r="4818" spans="1:12" x14ac:dyDescent="0.3">
      <c r="A4818" t="s">
        <v>4275</v>
      </c>
      <c r="B4818" s="1">
        <v>43906</v>
      </c>
      <c r="C4818" t="s">
        <v>989</v>
      </c>
      <c r="D4818" t="s">
        <v>990</v>
      </c>
      <c r="E4818" t="s">
        <v>14</v>
      </c>
      <c r="F4818" t="s">
        <v>15</v>
      </c>
      <c r="G4818" t="s">
        <v>18</v>
      </c>
      <c r="H4818" t="s">
        <v>2432</v>
      </c>
      <c r="I4818" s="2">
        <v>197.98400000000001</v>
      </c>
      <c r="J4818">
        <v>2</v>
      </c>
      <c r="K4818" s="2">
        <v>43.995600000000003</v>
      </c>
      <c r="L4818" s="3">
        <f>(Table1[[#This Row],[Profit]]/Table1[[#This Row],[Sales]])*100</f>
        <v>22.221795700662682</v>
      </c>
    </row>
    <row r="4819" spans="1:12" x14ac:dyDescent="0.3">
      <c r="A4819" t="s">
        <v>5823</v>
      </c>
      <c r="B4819" s="1">
        <v>44144</v>
      </c>
      <c r="C4819" t="s">
        <v>2069</v>
      </c>
      <c r="D4819" t="s">
        <v>2070</v>
      </c>
      <c r="E4819" t="s">
        <v>14</v>
      </c>
      <c r="F4819" t="s">
        <v>23</v>
      </c>
      <c r="G4819" t="s">
        <v>18</v>
      </c>
      <c r="H4819" t="s">
        <v>4615</v>
      </c>
      <c r="I4819" s="2">
        <v>130.99</v>
      </c>
      <c r="J4819">
        <v>1</v>
      </c>
      <c r="K4819" s="2">
        <v>43.995600000000003</v>
      </c>
      <c r="L4819" s="3">
        <f>(Table1[[#This Row],[Profit]]/Table1[[#This Row],[Sales]])*100</f>
        <v>33.586991373387285</v>
      </c>
    </row>
    <row r="4820" spans="1:12" x14ac:dyDescent="0.3">
      <c r="A4820" t="s">
        <v>5119</v>
      </c>
      <c r="B4820" s="1">
        <v>44050</v>
      </c>
      <c r="C4820" t="s">
        <v>908</v>
      </c>
      <c r="D4820" t="s">
        <v>909</v>
      </c>
      <c r="E4820" t="s">
        <v>14</v>
      </c>
      <c r="F4820" t="s">
        <v>23</v>
      </c>
      <c r="G4820" t="s">
        <v>18</v>
      </c>
      <c r="H4820" t="s">
        <v>5127</v>
      </c>
      <c r="I4820" s="2">
        <v>732.88</v>
      </c>
      <c r="J4820">
        <v>3</v>
      </c>
      <c r="K4820" s="2">
        <v>44.2425</v>
      </c>
      <c r="L4820" s="3">
        <f>(Table1[[#This Row],[Profit]]/Table1[[#This Row],[Sales]])*100</f>
        <v>6.0368000218316782</v>
      </c>
    </row>
    <row r="4821" spans="1:12" x14ac:dyDescent="0.3">
      <c r="A4821" t="s">
        <v>537</v>
      </c>
      <c r="B4821" s="1">
        <v>43532</v>
      </c>
      <c r="C4821" t="s">
        <v>538</v>
      </c>
      <c r="D4821" t="s">
        <v>539</v>
      </c>
      <c r="E4821" t="s">
        <v>14</v>
      </c>
      <c r="F4821" t="s">
        <v>15</v>
      </c>
      <c r="G4821" t="s">
        <v>16</v>
      </c>
      <c r="H4821" t="s">
        <v>540</v>
      </c>
      <c r="I4821" s="2">
        <v>113.6</v>
      </c>
      <c r="J4821">
        <v>8</v>
      </c>
      <c r="K4821" s="2">
        <v>44.304000000000002</v>
      </c>
      <c r="L4821" s="3">
        <f>(Table1[[#This Row],[Profit]]/Table1[[#This Row],[Sales]])*100</f>
        <v>39</v>
      </c>
    </row>
    <row r="4822" spans="1:12" x14ac:dyDescent="0.3">
      <c r="A4822" t="s">
        <v>959</v>
      </c>
      <c r="B4822" s="1">
        <v>43565</v>
      </c>
      <c r="C4822" t="s">
        <v>960</v>
      </c>
      <c r="D4822" t="s">
        <v>961</v>
      </c>
      <c r="E4822" t="s">
        <v>14</v>
      </c>
      <c r="F4822" t="s">
        <v>23</v>
      </c>
      <c r="G4822" t="s">
        <v>24</v>
      </c>
      <c r="H4822" t="s">
        <v>962</v>
      </c>
      <c r="I4822" s="2">
        <v>113.76</v>
      </c>
      <c r="J4822">
        <v>3</v>
      </c>
      <c r="K4822" s="2">
        <v>44.366399999999999</v>
      </c>
      <c r="L4822" s="3">
        <f>(Table1[[#This Row],[Profit]]/Table1[[#This Row],[Sales]])*100</f>
        <v>38.999999999999993</v>
      </c>
    </row>
    <row r="4823" spans="1:12" x14ac:dyDescent="0.3">
      <c r="A4823" t="s">
        <v>1878</v>
      </c>
      <c r="B4823" s="1">
        <v>43642</v>
      </c>
      <c r="C4823" t="s">
        <v>1879</v>
      </c>
      <c r="D4823" t="s">
        <v>1880</v>
      </c>
      <c r="E4823" t="s">
        <v>14</v>
      </c>
      <c r="F4823" t="s">
        <v>29</v>
      </c>
      <c r="G4823" t="s">
        <v>24</v>
      </c>
      <c r="H4823" t="s">
        <v>1881</v>
      </c>
      <c r="I4823" s="2">
        <v>171.04</v>
      </c>
      <c r="J4823">
        <v>4</v>
      </c>
      <c r="K4823" s="2">
        <v>44.470399999999998</v>
      </c>
      <c r="L4823" s="3">
        <f>(Table1[[#This Row],[Profit]]/Table1[[#This Row],[Sales]])*100</f>
        <v>26</v>
      </c>
    </row>
    <row r="4824" spans="1:12" x14ac:dyDescent="0.3">
      <c r="A4824" t="s">
        <v>6145</v>
      </c>
      <c r="B4824" s="1">
        <v>44174</v>
      </c>
      <c r="C4824" t="s">
        <v>1416</v>
      </c>
      <c r="D4824" t="s">
        <v>1417</v>
      </c>
      <c r="E4824" t="s">
        <v>14</v>
      </c>
      <c r="F4824" t="s">
        <v>23</v>
      </c>
      <c r="G4824" t="s">
        <v>18</v>
      </c>
      <c r="H4824" t="s">
        <v>1467</v>
      </c>
      <c r="I4824" s="2">
        <v>473.76799999999997</v>
      </c>
      <c r="J4824">
        <v>4</v>
      </c>
      <c r="K4824" s="2">
        <v>44.476799999999997</v>
      </c>
      <c r="L4824" s="3">
        <f>(Table1[[#This Row],[Profit]]/Table1[[#This Row],[Sales]])*100</f>
        <v>9.3878860539335705</v>
      </c>
    </row>
    <row r="4825" spans="1:12" x14ac:dyDescent="0.3">
      <c r="A4825" t="s">
        <v>3990</v>
      </c>
      <c r="B4825" s="1">
        <v>43837</v>
      </c>
      <c r="C4825" t="s">
        <v>3662</v>
      </c>
      <c r="D4825" t="s">
        <v>3663</v>
      </c>
      <c r="E4825" t="s">
        <v>14</v>
      </c>
      <c r="F4825" t="s">
        <v>23</v>
      </c>
      <c r="G4825" t="s">
        <v>24</v>
      </c>
      <c r="H4825" t="s">
        <v>1142</v>
      </c>
      <c r="I4825" s="2">
        <v>186.78</v>
      </c>
      <c r="J4825">
        <v>11</v>
      </c>
      <c r="K4825" s="2">
        <v>44.596200000000003</v>
      </c>
      <c r="L4825" s="3">
        <f>(Table1[[#This Row],[Profit]]/Table1[[#This Row],[Sales]])*100</f>
        <v>23.876325088339222</v>
      </c>
    </row>
    <row r="4826" spans="1:12" x14ac:dyDescent="0.3">
      <c r="A4826" t="s">
        <v>5527</v>
      </c>
      <c r="B4826" s="1">
        <v>44103</v>
      </c>
      <c r="C4826" t="s">
        <v>2854</v>
      </c>
      <c r="D4826" t="s">
        <v>2855</v>
      </c>
      <c r="E4826" t="s">
        <v>14</v>
      </c>
      <c r="F4826" t="s">
        <v>29</v>
      </c>
      <c r="G4826" t="s">
        <v>18</v>
      </c>
      <c r="H4826" t="s">
        <v>5528</v>
      </c>
      <c r="I4826" s="2">
        <v>370.51</v>
      </c>
      <c r="J4826">
        <v>3</v>
      </c>
      <c r="K4826" s="2">
        <v>44.868000000000002</v>
      </c>
      <c r="L4826" s="3">
        <f>(Table1[[#This Row],[Profit]]/Table1[[#This Row],[Sales]])*100</f>
        <v>12.109794607432999</v>
      </c>
    </row>
    <row r="4827" spans="1:12" x14ac:dyDescent="0.3">
      <c r="A4827" t="s">
        <v>626</v>
      </c>
      <c r="B4827" s="1">
        <v>43537</v>
      </c>
      <c r="C4827" t="s">
        <v>627</v>
      </c>
      <c r="D4827" t="s">
        <v>628</v>
      </c>
      <c r="E4827" t="s">
        <v>14</v>
      </c>
      <c r="F4827" t="s">
        <v>41</v>
      </c>
      <c r="G4827" t="s">
        <v>24</v>
      </c>
      <c r="H4827" t="s">
        <v>630</v>
      </c>
      <c r="I4827" s="2">
        <v>160.32</v>
      </c>
      <c r="J4827">
        <v>2</v>
      </c>
      <c r="K4827" s="2">
        <v>44.889600000000002</v>
      </c>
      <c r="L4827" s="3">
        <f>(Table1[[#This Row],[Profit]]/Table1[[#This Row],[Sales]])*100</f>
        <v>28.000000000000004</v>
      </c>
    </row>
    <row r="4828" spans="1:12" x14ac:dyDescent="0.3">
      <c r="A4828" t="s">
        <v>6072</v>
      </c>
      <c r="B4828" s="1">
        <v>44167</v>
      </c>
      <c r="C4828" t="s">
        <v>3373</v>
      </c>
      <c r="D4828" t="s">
        <v>3374</v>
      </c>
      <c r="E4828" t="s">
        <v>14</v>
      </c>
      <c r="F4828" t="s">
        <v>23</v>
      </c>
      <c r="G4828" t="s">
        <v>24</v>
      </c>
      <c r="H4828" t="s">
        <v>1093</v>
      </c>
      <c r="I4828" s="2">
        <v>202.9</v>
      </c>
      <c r="J4828">
        <v>5</v>
      </c>
      <c r="K4828" s="2">
        <v>44.975000000000001</v>
      </c>
      <c r="L4828" s="3">
        <f>(Table1[[#This Row],[Profit]]/Table1[[#This Row],[Sales]])*100</f>
        <v>22.166091670773781</v>
      </c>
    </row>
    <row r="4829" spans="1:12" x14ac:dyDescent="0.3">
      <c r="A4829" t="s">
        <v>3643</v>
      </c>
      <c r="B4829" s="1">
        <v>43800</v>
      </c>
      <c r="C4829" t="s">
        <v>3041</v>
      </c>
      <c r="D4829" t="s">
        <v>3042</v>
      </c>
      <c r="E4829" t="s">
        <v>14</v>
      </c>
      <c r="F4829" t="s">
        <v>15</v>
      </c>
      <c r="G4829" t="s">
        <v>18</v>
      </c>
      <c r="H4829" t="s">
        <v>3644</v>
      </c>
      <c r="I4829" s="2">
        <v>179.97</v>
      </c>
      <c r="J4829">
        <v>3</v>
      </c>
      <c r="K4829" s="2">
        <v>44.9925</v>
      </c>
      <c r="L4829" s="3">
        <f>(Table1[[#This Row],[Profit]]/Table1[[#This Row],[Sales]])*100</f>
        <v>25</v>
      </c>
    </row>
    <row r="4830" spans="1:12" x14ac:dyDescent="0.3">
      <c r="A4830" t="s">
        <v>5541</v>
      </c>
      <c r="B4830" s="1">
        <v>44105</v>
      </c>
      <c r="C4830" t="s">
        <v>3691</v>
      </c>
      <c r="D4830" t="s">
        <v>3692</v>
      </c>
      <c r="E4830" t="s">
        <v>14</v>
      </c>
      <c r="F4830" t="s">
        <v>23</v>
      </c>
      <c r="G4830" t="s">
        <v>24</v>
      </c>
      <c r="H4830" t="s">
        <v>5542</v>
      </c>
      <c r="I4830" s="2">
        <v>108.84</v>
      </c>
      <c r="J4830">
        <v>8</v>
      </c>
      <c r="K4830" s="2">
        <v>45.001600000000003</v>
      </c>
      <c r="L4830" s="3">
        <f>(Table1[[#This Row],[Profit]]/Table1[[#This Row],[Sales]])*100</f>
        <v>41.346563763322308</v>
      </c>
    </row>
    <row r="4831" spans="1:12" x14ac:dyDescent="0.3">
      <c r="A4831" t="s">
        <v>3275</v>
      </c>
      <c r="B4831" s="1">
        <v>43774</v>
      </c>
      <c r="C4831" t="s">
        <v>3064</v>
      </c>
      <c r="D4831" t="s">
        <v>3065</v>
      </c>
      <c r="E4831" t="s">
        <v>14</v>
      </c>
      <c r="F4831" t="s">
        <v>29</v>
      </c>
      <c r="G4831" t="s">
        <v>18</v>
      </c>
      <c r="H4831" t="s">
        <v>3276</v>
      </c>
      <c r="I4831" s="2">
        <v>171.96</v>
      </c>
      <c r="J4831">
        <v>5</v>
      </c>
      <c r="K4831" s="2">
        <v>45.139499999999998</v>
      </c>
      <c r="L4831" s="3">
        <f>(Table1[[#This Row],[Profit]]/Table1[[#This Row],[Sales]])*100</f>
        <v>26.249999999999996</v>
      </c>
    </row>
    <row r="4832" spans="1:12" x14ac:dyDescent="0.3">
      <c r="A4832" t="s">
        <v>6043</v>
      </c>
      <c r="B4832" s="1">
        <v>44165</v>
      </c>
      <c r="C4832" t="s">
        <v>2333</v>
      </c>
      <c r="D4832" t="s">
        <v>2334</v>
      </c>
      <c r="E4832" t="s">
        <v>14</v>
      </c>
      <c r="F4832" t="s">
        <v>15</v>
      </c>
      <c r="G4832" t="s">
        <v>24</v>
      </c>
      <c r="H4832" t="s">
        <v>657</v>
      </c>
      <c r="I4832" s="2">
        <v>166.94</v>
      </c>
      <c r="J4832">
        <v>6</v>
      </c>
      <c r="K4832" s="2">
        <v>45.2226</v>
      </c>
      <c r="L4832" s="3">
        <f>(Table1[[#This Row],[Profit]]/Table1[[#This Row],[Sales]])*100</f>
        <v>27.089133820534322</v>
      </c>
    </row>
    <row r="4833" spans="1:12" x14ac:dyDescent="0.3">
      <c r="A4833" t="s">
        <v>5065</v>
      </c>
      <c r="B4833" s="1">
        <v>44038</v>
      </c>
      <c r="C4833" t="s">
        <v>4300</v>
      </c>
      <c r="D4833" t="s">
        <v>4301</v>
      </c>
      <c r="E4833" t="s">
        <v>14</v>
      </c>
      <c r="F4833" t="s">
        <v>23</v>
      </c>
      <c r="G4833" t="s">
        <v>16</v>
      </c>
      <c r="H4833" t="s">
        <v>741</v>
      </c>
      <c r="I4833" s="2">
        <v>403.35199999999998</v>
      </c>
      <c r="J4833">
        <v>3</v>
      </c>
      <c r="K4833" s="2">
        <v>45.293999999999997</v>
      </c>
      <c r="L4833" s="3">
        <f>(Table1[[#This Row],[Profit]]/Table1[[#This Row],[Sales]])*100</f>
        <v>11.229397647712172</v>
      </c>
    </row>
    <row r="4834" spans="1:12" x14ac:dyDescent="0.3">
      <c r="A4834" t="s">
        <v>2392</v>
      </c>
      <c r="B4834" s="1">
        <v>43699</v>
      </c>
      <c r="C4834" t="s">
        <v>1718</v>
      </c>
      <c r="D4834" t="s">
        <v>1719</v>
      </c>
      <c r="E4834" t="s">
        <v>14</v>
      </c>
      <c r="F4834" t="s">
        <v>15</v>
      </c>
      <c r="G4834" t="s">
        <v>24</v>
      </c>
      <c r="H4834" t="s">
        <v>2395</v>
      </c>
      <c r="I4834" s="2">
        <v>134.28800000000001</v>
      </c>
      <c r="J4834">
        <v>2</v>
      </c>
      <c r="K4834" s="2">
        <v>45.322200000000002</v>
      </c>
      <c r="L4834" s="3">
        <f>(Table1[[#This Row],[Profit]]/Table1[[#This Row],[Sales]])*100</f>
        <v>33.75</v>
      </c>
    </row>
    <row r="4835" spans="1:12" x14ac:dyDescent="0.3">
      <c r="A4835" t="s">
        <v>5240</v>
      </c>
      <c r="B4835" s="1">
        <v>44075</v>
      </c>
      <c r="C4835" t="s">
        <v>4601</v>
      </c>
      <c r="D4835" t="s">
        <v>4602</v>
      </c>
      <c r="E4835" t="s">
        <v>14</v>
      </c>
      <c r="F4835" t="s">
        <v>23</v>
      </c>
      <c r="G4835" t="s">
        <v>16</v>
      </c>
      <c r="H4835" t="s">
        <v>1612</v>
      </c>
      <c r="I4835" s="2">
        <v>321.56</v>
      </c>
      <c r="J4835">
        <v>4</v>
      </c>
      <c r="K4835" s="2">
        <v>45.369599999999998</v>
      </c>
      <c r="L4835" s="3">
        <f>(Table1[[#This Row],[Profit]]/Table1[[#This Row],[Sales]])*100</f>
        <v>14.109217564373678</v>
      </c>
    </row>
    <row r="4836" spans="1:12" x14ac:dyDescent="0.3">
      <c r="A4836" t="s">
        <v>4972</v>
      </c>
      <c r="B4836" s="1">
        <v>44020</v>
      </c>
      <c r="C4836" t="s">
        <v>221</v>
      </c>
      <c r="D4836" t="s">
        <v>222</v>
      </c>
      <c r="E4836" t="s">
        <v>14</v>
      </c>
      <c r="F4836" t="s">
        <v>15</v>
      </c>
      <c r="G4836" t="s">
        <v>24</v>
      </c>
      <c r="H4836" t="s">
        <v>4007</v>
      </c>
      <c r="I4836" s="2">
        <v>201.95</v>
      </c>
      <c r="J4836">
        <v>5</v>
      </c>
      <c r="K4836" s="2">
        <v>45.487000000000002</v>
      </c>
      <c r="L4836" s="3">
        <f>(Table1[[#This Row],[Profit]]/Table1[[#This Row],[Sales]])*100</f>
        <v>22.523892052488243</v>
      </c>
    </row>
    <row r="4837" spans="1:12" x14ac:dyDescent="0.3">
      <c r="A4837" t="s">
        <v>4082</v>
      </c>
      <c r="B4837" s="1">
        <v>43859</v>
      </c>
      <c r="C4837" t="s">
        <v>4039</v>
      </c>
      <c r="D4837" t="s">
        <v>4040</v>
      </c>
      <c r="E4837" t="s">
        <v>14</v>
      </c>
      <c r="F4837" t="s">
        <v>29</v>
      </c>
      <c r="G4837" t="s">
        <v>24</v>
      </c>
      <c r="H4837" t="s">
        <v>2963</v>
      </c>
      <c r="I4837" s="2">
        <v>129.85</v>
      </c>
      <c r="J4837">
        <v>5</v>
      </c>
      <c r="K4837" s="2">
        <v>45.527999999999999</v>
      </c>
      <c r="L4837" s="3">
        <f>(Table1[[#This Row],[Profit]]/Table1[[#This Row],[Sales]])*100</f>
        <v>35.061994609164422</v>
      </c>
    </row>
    <row r="4838" spans="1:12" x14ac:dyDescent="0.3">
      <c r="A4838" t="s">
        <v>5375</v>
      </c>
      <c r="B4838" s="1">
        <v>44086</v>
      </c>
      <c r="C4838" t="s">
        <v>5376</v>
      </c>
      <c r="D4838" t="s">
        <v>5377</v>
      </c>
      <c r="E4838" t="s">
        <v>14</v>
      </c>
      <c r="F4838" t="s">
        <v>15</v>
      </c>
      <c r="G4838" t="s">
        <v>24</v>
      </c>
      <c r="H4838" t="s">
        <v>901</v>
      </c>
      <c r="I4838" s="2">
        <v>142.85</v>
      </c>
      <c r="J4838">
        <v>5</v>
      </c>
      <c r="K4838" s="2">
        <v>45.527999999999999</v>
      </c>
      <c r="L4838" s="3">
        <f>(Table1[[#This Row],[Profit]]/Table1[[#This Row],[Sales]])*100</f>
        <v>31.871193559677984</v>
      </c>
    </row>
    <row r="4839" spans="1:12" x14ac:dyDescent="0.3">
      <c r="A4839" t="s">
        <v>2068</v>
      </c>
      <c r="B4839" s="1">
        <v>43663</v>
      </c>
      <c r="C4839" t="s">
        <v>2069</v>
      </c>
      <c r="D4839" t="s">
        <v>2070</v>
      </c>
      <c r="E4839" t="s">
        <v>14</v>
      </c>
      <c r="F4839" t="s">
        <v>15</v>
      </c>
      <c r="G4839" t="s">
        <v>24</v>
      </c>
      <c r="H4839" t="s">
        <v>1097</v>
      </c>
      <c r="I4839" s="2">
        <v>162.63999999999999</v>
      </c>
      <c r="J4839">
        <v>2</v>
      </c>
      <c r="K4839" s="2">
        <v>45.539200000000001</v>
      </c>
      <c r="L4839" s="3">
        <f>(Table1[[#This Row],[Profit]]/Table1[[#This Row],[Sales]])*100</f>
        <v>28.000000000000004</v>
      </c>
    </row>
    <row r="4840" spans="1:12" x14ac:dyDescent="0.3">
      <c r="A4840" t="s">
        <v>6096</v>
      </c>
      <c r="B4840" s="1">
        <v>44169</v>
      </c>
      <c r="C4840" t="s">
        <v>5181</v>
      </c>
      <c r="D4840" t="s">
        <v>5182</v>
      </c>
      <c r="E4840" t="s">
        <v>14</v>
      </c>
      <c r="F4840" t="s">
        <v>15</v>
      </c>
      <c r="G4840" t="s">
        <v>16</v>
      </c>
      <c r="H4840" t="s">
        <v>822</v>
      </c>
      <c r="I4840" s="2">
        <v>216.22</v>
      </c>
      <c r="J4840">
        <v>3</v>
      </c>
      <c r="K4840" s="2">
        <v>45.555</v>
      </c>
      <c r="L4840" s="3">
        <f>(Table1[[#This Row],[Profit]]/Table1[[#This Row],[Sales]])*100</f>
        <v>21.068818795671078</v>
      </c>
    </row>
    <row r="4841" spans="1:12" x14ac:dyDescent="0.3">
      <c r="A4841" t="s">
        <v>6192</v>
      </c>
      <c r="B4841" s="1">
        <v>44181</v>
      </c>
      <c r="C4841" t="s">
        <v>3348</v>
      </c>
      <c r="D4841" t="s">
        <v>3349</v>
      </c>
      <c r="E4841" t="s">
        <v>14</v>
      </c>
      <c r="F4841" t="s">
        <v>23</v>
      </c>
      <c r="G4841" t="s">
        <v>18</v>
      </c>
      <c r="H4841" t="s">
        <v>2063</v>
      </c>
      <c r="I4841" s="2">
        <v>522.95000000000005</v>
      </c>
      <c r="J4841">
        <v>5</v>
      </c>
      <c r="K4841" s="2">
        <v>45.588000000000001</v>
      </c>
      <c r="L4841" s="3">
        <f>(Table1[[#This Row],[Profit]]/Table1[[#This Row],[Sales]])*100</f>
        <v>8.7174682091978184</v>
      </c>
    </row>
    <row r="4842" spans="1:12" x14ac:dyDescent="0.3">
      <c r="A4842" t="s">
        <v>4336</v>
      </c>
      <c r="B4842" s="1">
        <v>43915</v>
      </c>
      <c r="C4842" t="s">
        <v>2574</v>
      </c>
      <c r="D4842" t="s">
        <v>2575</v>
      </c>
      <c r="E4842" t="s">
        <v>14</v>
      </c>
      <c r="F4842" t="s">
        <v>23</v>
      </c>
      <c r="G4842" t="s">
        <v>24</v>
      </c>
      <c r="H4842" t="s">
        <v>1224</v>
      </c>
      <c r="I4842" s="2">
        <v>223.04</v>
      </c>
      <c r="J4842">
        <v>4</v>
      </c>
      <c r="K4842" s="2">
        <v>45.770400000000002</v>
      </c>
      <c r="L4842" s="3">
        <f>(Table1[[#This Row],[Profit]]/Table1[[#This Row],[Sales]])*100</f>
        <v>20.521162123385942</v>
      </c>
    </row>
    <row r="4843" spans="1:12" x14ac:dyDescent="0.3">
      <c r="A4843" t="s">
        <v>4573</v>
      </c>
      <c r="B4843" s="1">
        <v>43954</v>
      </c>
      <c r="C4843" t="s">
        <v>2163</v>
      </c>
      <c r="D4843" t="s">
        <v>2164</v>
      </c>
      <c r="E4843" t="s">
        <v>14</v>
      </c>
      <c r="F4843" t="s">
        <v>23</v>
      </c>
      <c r="G4843" t="s">
        <v>24</v>
      </c>
      <c r="H4843" t="s">
        <v>4574</v>
      </c>
      <c r="I4843" s="2">
        <v>790.44</v>
      </c>
      <c r="J4843">
        <v>8</v>
      </c>
      <c r="K4843" s="2">
        <v>45.806399999999996</v>
      </c>
      <c r="L4843" s="3">
        <f>(Table1[[#This Row],[Profit]]/Table1[[#This Row],[Sales]])*100</f>
        <v>5.7950508577501125</v>
      </c>
    </row>
    <row r="4844" spans="1:12" x14ac:dyDescent="0.3">
      <c r="A4844" t="s">
        <v>5934</v>
      </c>
      <c r="B4844" s="1">
        <v>44153</v>
      </c>
      <c r="C4844" t="s">
        <v>5787</v>
      </c>
      <c r="D4844" t="s">
        <v>5788</v>
      </c>
      <c r="E4844" t="s">
        <v>14</v>
      </c>
      <c r="F4844" t="s">
        <v>23</v>
      </c>
      <c r="G4844" t="s">
        <v>24</v>
      </c>
      <c r="H4844" t="s">
        <v>878</v>
      </c>
      <c r="I4844" s="2">
        <v>184.68</v>
      </c>
      <c r="J4844">
        <v>6</v>
      </c>
      <c r="K4844" s="2">
        <v>45.813600000000001</v>
      </c>
      <c r="L4844" s="3">
        <f>(Table1[[#This Row],[Profit]]/Table1[[#This Row],[Sales]])*100</f>
        <v>24.807017543859651</v>
      </c>
    </row>
    <row r="4845" spans="1:12" x14ac:dyDescent="0.3">
      <c r="A4845" t="s">
        <v>2459</v>
      </c>
      <c r="B4845" s="1">
        <v>43703</v>
      </c>
      <c r="C4845" t="s">
        <v>1189</v>
      </c>
      <c r="D4845" t="s">
        <v>1190</v>
      </c>
      <c r="E4845" t="s">
        <v>14</v>
      </c>
      <c r="F4845" t="s">
        <v>15</v>
      </c>
      <c r="G4845" t="s">
        <v>24</v>
      </c>
      <c r="H4845" t="s">
        <v>2460</v>
      </c>
      <c r="I4845" s="2">
        <v>146.68799999999999</v>
      </c>
      <c r="J4845">
        <v>8</v>
      </c>
      <c r="K4845" s="2">
        <v>45.84</v>
      </c>
      <c r="L4845" s="3">
        <f>(Table1[[#This Row],[Profit]]/Table1[[#This Row],[Sales]])*100</f>
        <v>31.250000000000007</v>
      </c>
    </row>
    <row r="4846" spans="1:12" x14ac:dyDescent="0.3">
      <c r="A4846" t="s">
        <v>3584</v>
      </c>
      <c r="B4846" s="1">
        <v>43795</v>
      </c>
      <c r="C4846" t="s">
        <v>2051</v>
      </c>
      <c r="D4846" t="s">
        <v>2052</v>
      </c>
      <c r="E4846" t="s">
        <v>14</v>
      </c>
      <c r="F4846" t="s">
        <v>41</v>
      </c>
      <c r="G4846" t="s">
        <v>24</v>
      </c>
      <c r="H4846" t="s">
        <v>2375</v>
      </c>
      <c r="I4846" s="2">
        <v>91.68</v>
      </c>
      <c r="J4846">
        <v>3</v>
      </c>
      <c r="K4846" s="2">
        <v>45.84</v>
      </c>
      <c r="L4846" s="3">
        <f>(Table1[[#This Row],[Profit]]/Table1[[#This Row],[Sales]])*100</f>
        <v>50</v>
      </c>
    </row>
    <row r="4847" spans="1:12" x14ac:dyDescent="0.3">
      <c r="A4847" t="s">
        <v>3004</v>
      </c>
      <c r="B4847" s="1">
        <v>43741</v>
      </c>
      <c r="C4847" t="s">
        <v>847</v>
      </c>
      <c r="D4847" t="s">
        <v>848</v>
      </c>
      <c r="E4847" t="s">
        <v>14</v>
      </c>
      <c r="F4847" t="s">
        <v>23</v>
      </c>
      <c r="G4847" t="s">
        <v>24</v>
      </c>
      <c r="H4847" t="s">
        <v>3007</v>
      </c>
      <c r="I4847" s="2">
        <v>97.82</v>
      </c>
      <c r="J4847">
        <v>2</v>
      </c>
      <c r="K4847" s="2">
        <v>45.9754</v>
      </c>
      <c r="L4847" s="3">
        <f>(Table1[[#This Row],[Profit]]/Table1[[#This Row],[Sales]])*100</f>
        <v>47</v>
      </c>
    </row>
    <row r="4848" spans="1:12" x14ac:dyDescent="0.3">
      <c r="A4848" t="s">
        <v>4860</v>
      </c>
      <c r="B4848" s="1">
        <v>44001</v>
      </c>
      <c r="C4848" t="s">
        <v>4695</v>
      </c>
      <c r="D4848" t="s">
        <v>4696</v>
      </c>
      <c r="E4848" t="s">
        <v>14</v>
      </c>
      <c r="F4848" t="s">
        <v>15</v>
      </c>
      <c r="G4848" t="s">
        <v>24</v>
      </c>
      <c r="H4848" t="s">
        <v>223</v>
      </c>
      <c r="I4848" s="2">
        <v>109.82</v>
      </c>
      <c r="J4848">
        <v>2</v>
      </c>
      <c r="K4848" s="2">
        <v>45.9754</v>
      </c>
      <c r="L4848" s="3">
        <f>(Table1[[#This Row],[Profit]]/Table1[[#This Row],[Sales]])*100</f>
        <v>41.864323438353672</v>
      </c>
    </row>
    <row r="4849" spans="1:12" x14ac:dyDescent="0.3">
      <c r="A4849" t="s">
        <v>3489</v>
      </c>
      <c r="B4849" s="1">
        <v>43789</v>
      </c>
      <c r="C4849" t="s">
        <v>3490</v>
      </c>
      <c r="D4849" t="s">
        <v>3491</v>
      </c>
      <c r="E4849" t="s">
        <v>14</v>
      </c>
      <c r="F4849" t="s">
        <v>29</v>
      </c>
      <c r="G4849" t="s">
        <v>18</v>
      </c>
      <c r="H4849" t="s">
        <v>3018</v>
      </c>
      <c r="I4849" s="2">
        <v>122.92</v>
      </c>
      <c r="J4849">
        <v>7</v>
      </c>
      <c r="K4849" s="2">
        <v>46.094999999999999</v>
      </c>
      <c r="L4849" s="3">
        <f>(Table1[[#This Row],[Profit]]/Table1[[#This Row],[Sales]])*100</f>
        <v>37.5</v>
      </c>
    </row>
    <row r="4850" spans="1:12" x14ac:dyDescent="0.3">
      <c r="A4850" t="s">
        <v>2248</v>
      </c>
      <c r="B4850" s="1">
        <v>43681</v>
      </c>
      <c r="C4850" t="s">
        <v>2249</v>
      </c>
      <c r="D4850" t="s">
        <v>2250</v>
      </c>
      <c r="E4850" t="s">
        <v>14</v>
      </c>
      <c r="F4850" t="s">
        <v>41</v>
      </c>
      <c r="G4850" t="s">
        <v>16</v>
      </c>
      <c r="H4850" t="s">
        <v>2252</v>
      </c>
      <c r="I4850" s="2">
        <v>109.8</v>
      </c>
      <c r="J4850">
        <v>9</v>
      </c>
      <c r="K4850" s="2">
        <v>46.116</v>
      </c>
      <c r="L4850" s="3">
        <f>(Table1[[#This Row],[Profit]]/Table1[[#This Row],[Sales]])*100</f>
        <v>42</v>
      </c>
    </row>
    <row r="4851" spans="1:12" x14ac:dyDescent="0.3">
      <c r="A4851" t="s">
        <v>2615</v>
      </c>
      <c r="B4851" s="1">
        <v>43713</v>
      </c>
      <c r="C4851" t="s">
        <v>2616</v>
      </c>
      <c r="D4851" t="s">
        <v>2617</v>
      </c>
      <c r="E4851" t="s">
        <v>14</v>
      </c>
      <c r="F4851" t="s">
        <v>23</v>
      </c>
      <c r="G4851" t="s">
        <v>24</v>
      </c>
      <c r="H4851" t="s">
        <v>2618</v>
      </c>
      <c r="I4851" s="2">
        <v>96.08</v>
      </c>
      <c r="J4851">
        <v>2</v>
      </c>
      <c r="K4851" s="2">
        <v>46.118400000000001</v>
      </c>
      <c r="L4851" s="3">
        <f>(Table1[[#This Row],[Profit]]/Table1[[#This Row],[Sales]])*100</f>
        <v>48.000000000000007</v>
      </c>
    </row>
    <row r="4852" spans="1:12" x14ac:dyDescent="0.3">
      <c r="A4852" t="s">
        <v>6270</v>
      </c>
      <c r="B4852" s="1">
        <v>44190</v>
      </c>
      <c r="C4852" t="s">
        <v>2414</v>
      </c>
      <c r="D4852" t="s">
        <v>2415</v>
      </c>
      <c r="E4852" t="s">
        <v>14</v>
      </c>
      <c r="F4852" t="s">
        <v>41</v>
      </c>
      <c r="G4852" t="s">
        <v>24</v>
      </c>
      <c r="H4852" t="s">
        <v>2618</v>
      </c>
      <c r="I4852" s="2">
        <v>450.08</v>
      </c>
      <c r="J4852">
        <v>2</v>
      </c>
      <c r="K4852" s="2">
        <v>46.118400000000001</v>
      </c>
      <c r="L4852" s="3">
        <f>(Table1[[#This Row],[Profit]]/Table1[[#This Row],[Sales]])*100</f>
        <v>10.246711695698544</v>
      </c>
    </row>
    <row r="4853" spans="1:12" x14ac:dyDescent="0.3">
      <c r="A4853" t="s">
        <v>4614</v>
      </c>
      <c r="B4853" s="1">
        <v>43960</v>
      </c>
      <c r="C4853" t="s">
        <v>2520</v>
      </c>
      <c r="D4853" t="s">
        <v>2521</v>
      </c>
      <c r="E4853" t="s">
        <v>14</v>
      </c>
      <c r="F4853" t="s">
        <v>23</v>
      </c>
      <c r="G4853" t="s">
        <v>24</v>
      </c>
      <c r="H4853" t="s">
        <v>855</v>
      </c>
      <c r="I4853" s="2">
        <v>188.92</v>
      </c>
      <c r="J4853">
        <v>5</v>
      </c>
      <c r="K4853" s="2">
        <v>46.225000000000001</v>
      </c>
      <c r="L4853" s="3">
        <f>(Table1[[#This Row],[Profit]]/Table1[[#This Row],[Sales]])*100</f>
        <v>24.468028795257254</v>
      </c>
    </row>
    <row r="4854" spans="1:12" x14ac:dyDescent="0.3">
      <c r="A4854" t="s">
        <v>5249</v>
      </c>
      <c r="B4854" s="1">
        <v>44076</v>
      </c>
      <c r="C4854" t="s">
        <v>1745</v>
      </c>
      <c r="D4854" t="s">
        <v>1746</v>
      </c>
      <c r="E4854" t="s">
        <v>14</v>
      </c>
      <c r="F4854" t="s">
        <v>23</v>
      </c>
      <c r="G4854" t="s">
        <v>24</v>
      </c>
      <c r="H4854" t="s">
        <v>855</v>
      </c>
      <c r="I4854" s="2">
        <v>173.92</v>
      </c>
      <c r="J4854">
        <v>5</v>
      </c>
      <c r="K4854" s="2">
        <v>46.225000000000001</v>
      </c>
      <c r="L4854" s="3">
        <f>(Table1[[#This Row],[Profit]]/Table1[[#This Row],[Sales]])*100</f>
        <v>26.578311867525301</v>
      </c>
    </row>
    <row r="4855" spans="1:12" x14ac:dyDescent="0.3">
      <c r="A4855" t="s">
        <v>5300</v>
      </c>
      <c r="B4855" s="1">
        <v>44081</v>
      </c>
      <c r="C4855" t="s">
        <v>5301</v>
      </c>
      <c r="D4855" t="s">
        <v>5302</v>
      </c>
      <c r="E4855" t="s">
        <v>14</v>
      </c>
      <c r="F4855" t="s">
        <v>29</v>
      </c>
      <c r="G4855" t="s">
        <v>18</v>
      </c>
      <c r="H4855" t="s">
        <v>3086</v>
      </c>
      <c r="I4855" s="2">
        <v>125.52</v>
      </c>
      <c r="J4855">
        <v>4</v>
      </c>
      <c r="K4855" s="2">
        <v>46.543199999999999</v>
      </c>
      <c r="L4855" s="3">
        <f>(Table1[[#This Row],[Profit]]/Table1[[#This Row],[Sales]])*100</f>
        <v>37.080305927342252</v>
      </c>
    </row>
    <row r="4856" spans="1:12" x14ac:dyDescent="0.3">
      <c r="A4856" t="s">
        <v>4849</v>
      </c>
      <c r="B4856" s="1">
        <v>43999</v>
      </c>
      <c r="C4856" t="s">
        <v>1921</v>
      </c>
      <c r="D4856" t="s">
        <v>1922</v>
      </c>
      <c r="E4856" t="s">
        <v>14</v>
      </c>
      <c r="F4856" t="s">
        <v>23</v>
      </c>
      <c r="G4856" t="s">
        <v>16</v>
      </c>
      <c r="H4856" t="s">
        <v>804</v>
      </c>
      <c r="I4856" s="2">
        <v>178.25</v>
      </c>
      <c r="J4856">
        <v>3</v>
      </c>
      <c r="K4856" s="2">
        <v>46.575000000000003</v>
      </c>
      <c r="L4856" s="3">
        <f>(Table1[[#This Row],[Profit]]/Table1[[#This Row],[Sales]])*100</f>
        <v>26.129032258064516</v>
      </c>
    </row>
    <row r="4857" spans="1:12" x14ac:dyDescent="0.3">
      <c r="A4857" t="s">
        <v>4488</v>
      </c>
      <c r="B4857" s="1">
        <v>43938</v>
      </c>
      <c r="C4857" t="s">
        <v>558</v>
      </c>
      <c r="D4857" t="s">
        <v>559</v>
      </c>
      <c r="E4857" t="s">
        <v>14</v>
      </c>
      <c r="F4857" t="s">
        <v>23</v>
      </c>
      <c r="G4857" t="s">
        <v>18</v>
      </c>
      <c r="H4857" t="s">
        <v>4489</v>
      </c>
      <c r="I4857" s="2">
        <v>290.89</v>
      </c>
      <c r="J4857">
        <v>11</v>
      </c>
      <c r="K4857" s="2">
        <v>46.731299999999997</v>
      </c>
      <c r="L4857" s="3">
        <f>(Table1[[#This Row],[Profit]]/Table1[[#This Row],[Sales]])*100</f>
        <v>16.064938636598029</v>
      </c>
    </row>
    <row r="4858" spans="1:12" x14ac:dyDescent="0.3">
      <c r="A4858" t="s">
        <v>6125</v>
      </c>
      <c r="B4858" s="1">
        <v>44172</v>
      </c>
      <c r="C4858" t="s">
        <v>164</v>
      </c>
      <c r="D4858" t="s">
        <v>165</v>
      </c>
      <c r="E4858" t="s">
        <v>14</v>
      </c>
      <c r="F4858" t="s">
        <v>23</v>
      </c>
      <c r="G4858" t="s">
        <v>18</v>
      </c>
      <c r="H4858" t="s">
        <v>2556</v>
      </c>
      <c r="I4858" s="2">
        <v>400.37599999999998</v>
      </c>
      <c r="J4858">
        <v>3</v>
      </c>
      <c r="K4858" s="2">
        <v>46.796999999999997</v>
      </c>
      <c r="L4858" s="3">
        <f>(Table1[[#This Row],[Profit]]/Table1[[#This Row],[Sales]])*100</f>
        <v>11.688263032749216</v>
      </c>
    </row>
    <row r="4859" spans="1:12" x14ac:dyDescent="0.3">
      <c r="A4859" t="s">
        <v>1351</v>
      </c>
      <c r="B4859" s="1">
        <v>43597</v>
      </c>
      <c r="C4859" t="s">
        <v>687</v>
      </c>
      <c r="D4859" t="s">
        <v>688</v>
      </c>
      <c r="E4859" t="s">
        <v>14</v>
      </c>
      <c r="F4859" t="s">
        <v>23</v>
      </c>
      <c r="G4859" t="s">
        <v>18</v>
      </c>
      <c r="H4859" t="s">
        <v>1352</v>
      </c>
      <c r="I4859" s="2">
        <v>120</v>
      </c>
      <c r="J4859">
        <v>6</v>
      </c>
      <c r="K4859" s="2">
        <v>46.8</v>
      </c>
      <c r="L4859" s="3">
        <f>(Table1[[#This Row],[Profit]]/Table1[[#This Row],[Sales]])*100</f>
        <v>38.999999999999993</v>
      </c>
    </row>
    <row r="4860" spans="1:12" x14ac:dyDescent="0.3">
      <c r="A4860" t="s">
        <v>1648</v>
      </c>
      <c r="B4860" s="1">
        <v>43622</v>
      </c>
      <c r="C4860" t="s">
        <v>1007</v>
      </c>
      <c r="D4860" t="s">
        <v>1008</v>
      </c>
      <c r="E4860" t="s">
        <v>14</v>
      </c>
      <c r="F4860" t="s">
        <v>23</v>
      </c>
      <c r="G4860" t="s">
        <v>24</v>
      </c>
      <c r="H4860" t="s">
        <v>1650</v>
      </c>
      <c r="I4860" s="2">
        <v>99.9</v>
      </c>
      <c r="J4860">
        <v>5</v>
      </c>
      <c r="K4860" s="2">
        <v>46.953000000000003</v>
      </c>
      <c r="L4860" s="3">
        <f>(Table1[[#This Row],[Profit]]/Table1[[#This Row],[Sales]])*100</f>
        <v>47</v>
      </c>
    </row>
    <row r="4861" spans="1:12" x14ac:dyDescent="0.3">
      <c r="A4861" t="s">
        <v>3530</v>
      </c>
      <c r="B4861" s="1">
        <v>43791</v>
      </c>
      <c r="C4861" t="s">
        <v>1149</v>
      </c>
      <c r="D4861" t="s">
        <v>1150</v>
      </c>
      <c r="E4861" t="s">
        <v>14</v>
      </c>
      <c r="F4861" t="s">
        <v>15</v>
      </c>
      <c r="G4861" t="s">
        <v>24</v>
      </c>
      <c r="H4861" t="s">
        <v>1909</v>
      </c>
      <c r="I4861" s="2">
        <v>134.27199999999999</v>
      </c>
      <c r="J4861">
        <v>8</v>
      </c>
      <c r="K4861" s="2">
        <v>46.995199999999997</v>
      </c>
      <c r="L4861" s="3">
        <f>(Table1[[#This Row],[Profit]]/Table1[[#This Row],[Sales]])*100</f>
        <v>35</v>
      </c>
    </row>
    <row r="4862" spans="1:12" x14ac:dyDescent="0.3">
      <c r="A4862" t="s">
        <v>4289</v>
      </c>
      <c r="B4862" s="1">
        <v>43908</v>
      </c>
      <c r="C4862" t="s">
        <v>1376</v>
      </c>
      <c r="D4862" t="s">
        <v>1377</v>
      </c>
      <c r="E4862" t="s">
        <v>14</v>
      </c>
      <c r="F4862" t="s">
        <v>29</v>
      </c>
      <c r="G4862" t="s">
        <v>18</v>
      </c>
      <c r="H4862" t="s">
        <v>463</v>
      </c>
      <c r="I4862" s="2">
        <v>556.54399999999998</v>
      </c>
      <c r="J4862">
        <v>7</v>
      </c>
      <c r="K4862" s="2">
        <v>47.0351</v>
      </c>
      <c r="L4862" s="3">
        <f>(Table1[[#This Row],[Profit]]/Table1[[#This Row],[Sales]])*100</f>
        <v>8.4512814799908007</v>
      </c>
    </row>
    <row r="4863" spans="1:12" x14ac:dyDescent="0.3">
      <c r="A4863" t="s">
        <v>4337</v>
      </c>
      <c r="B4863" s="1">
        <v>43915</v>
      </c>
      <c r="C4863" t="s">
        <v>2341</v>
      </c>
      <c r="D4863" t="s">
        <v>2342</v>
      </c>
      <c r="E4863" t="s">
        <v>14</v>
      </c>
      <c r="F4863" t="s">
        <v>29</v>
      </c>
      <c r="G4863" t="s">
        <v>18</v>
      </c>
      <c r="H4863" t="s">
        <v>1549</v>
      </c>
      <c r="I4863" s="2">
        <v>511.37599999999998</v>
      </c>
      <c r="J4863">
        <v>3</v>
      </c>
      <c r="K4863" s="2">
        <v>47.037599999999998</v>
      </c>
      <c r="L4863" s="3">
        <f>(Table1[[#This Row],[Profit]]/Table1[[#This Row],[Sales]])*100</f>
        <v>9.1982416069584811</v>
      </c>
    </row>
    <row r="4864" spans="1:12" x14ac:dyDescent="0.3">
      <c r="A4864" t="s">
        <v>4201</v>
      </c>
      <c r="B4864" s="1">
        <v>43893</v>
      </c>
      <c r="C4864" t="s">
        <v>3064</v>
      </c>
      <c r="D4864" t="s">
        <v>3065</v>
      </c>
      <c r="E4864" t="s">
        <v>14</v>
      </c>
      <c r="F4864" t="s">
        <v>29</v>
      </c>
      <c r="G4864" t="s">
        <v>16</v>
      </c>
      <c r="H4864" t="s">
        <v>146</v>
      </c>
      <c r="I4864" s="2">
        <v>227.98</v>
      </c>
      <c r="J4864">
        <v>1</v>
      </c>
      <c r="K4864" s="2">
        <v>47.0548</v>
      </c>
      <c r="L4864" s="3">
        <f>(Table1[[#This Row],[Profit]]/Table1[[#This Row],[Sales]])*100</f>
        <v>20.639880691288713</v>
      </c>
    </row>
    <row r="4865" spans="1:12" x14ac:dyDescent="0.3">
      <c r="A4865" t="s">
        <v>4156</v>
      </c>
      <c r="B4865" s="1">
        <v>43879</v>
      </c>
      <c r="C4865" t="s">
        <v>1324</v>
      </c>
      <c r="D4865" t="s">
        <v>1325</v>
      </c>
      <c r="E4865" t="s">
        <v>14</v>
      </c>
      <c r="F4865" t="s">
        <v>23</v>
      </c>
      <c r="G4865" t="s">
        <v>18</v>
      </c>
      <c r="H4865" t="s">
        <v>3627</v>
      </c>
      <c r="I4865" s="2">
        <v>146.53</v>
      </c>
      <c r="J4865">
        <v>3</v>
      </c>
      <c r="K4865" s="2">
        <v>47.097900000000003</v>
      </c>
      <c r="L4865" s="3">
        <f>(Table1[[#This Row],[Profit]]/Table1[[#This Row],[Sales]])*100</f>
        <v>32.14215519006347</v>
      </c>
    </row>
    <row r="4866" spans="1:12" x14ac:dyDescent="0.3">
      <c r="A4866" t="s">
        <v>5303</v>
      </c>
      <c r="B4866" s="1">
        <v>44081</v>
      </c>
      <c r="C4866" t="s">
        <v>1570</v>
      </c>
      <c r="D4866" t="s">
        <v>1571</v>
      </c>
      <c r="E4866" t="s">
        <v>14</v>
      </c>
      <c r="F4866" t="s">
        <v>23</v>
      </c>
      <c r="G4866" t="s">
        <v>18</v>
      </c>
      <c r="H4866" t="s">
        <v>5304</v>
      </c>
      <c r="I4866" s="2">
        <v>166.56</v>
      </c>
      <c r="J4866">
        <v>4</v>
      </c>
      <c r="K4866" s="2">
        <v>47.46</v>
      </c>
      <c r="L4866" s="3">
        <f>(Table1[[#This Row],[Profit]]/Table1[[#This Row],[Sales]])*100</f>
        <v>28.494236311239192</v>
      </c>
    </row>
    <row r="4867" spans="1:12" x14ac:dyDescent="0.3">
      <c r="A4867" t="s">
        <v>636</v>
      </c>
      <c r="B4867" s="1">
        <v>43537</v>
      </c>
      <c r="C4867" t="s">
        <v>637</v>
      </c>
      <c r="D4867" t="s">
        <v>638</v>
      </c>
      <c r="E4867" t="s">
        <v>14</v>
      </c>
      <c r="F4867" t="s">
        <v>15</v>
      </c>
      <c r="G4867" t="s">
        <v>18</v>
      </c>
      <c r="H4867" t="s">
        <v>640</v>
      </c>
      <c r="I4867" s="2">
        <v>379.96</v>
      </c>
      <c r="J4867">
        <v>5</v>
      </c>
      <c r="K4867" s="2">
        <v>47.494999999999997</v>
      </c>
      <c r="L4867" s="3">
        <f>(Table1[[#This Row],[Profit]]/Table1[[#This Row],[Sales]])*100</f>
        <v>12.5</v>
      </c>
    </row>
    <row r="4868" spans="1:12" x14ac:dyDescent="0.3">
      <c r="A4868" t="s">
        <v>4862</v>
      </c>
      <c r="B4868" s="1">
        <v>44001</v>
      </c>
      <c r="C4868" t="s">
        <v>528</v>
      </c>
      <c r="D4868" t="s">
        <v>529</v>
      </c>
      <c r="E4868" t="s">
        <v>14</v>
      </c>
      <c r="F4868" t="s">
        <v>29</v>
      </c>
      <c r="G4868" t="s">
        <v>24</v>
      </c>
      <c r="H4868" t="s">
        <v>3093</v>
      </c>
      <c r="I4868" s="2">
        <v>157.17599999999999</v>
      </c>
      <c r="J4868">
        <v>8</v>
      </c>
      <c r="K4868" s="2">
        <v>47.507199999999997</v>
      </c>
      <c r="L4868" s="3">
        <f>(Table1[[#This Row],[Profit]]/Table1[[#This Row],[Sales]])*100</f>
        <v>30.225479717005143</v>
      </c>
    </row>
    <row r="4869" spans="1:12" x14ac:dyDescent="0.3">
      <c r="A4869" t="s">
        <v>5144</v>
      </c>
      <c r="B4869" s="1">
        <v>44056</v>
      </c>
      <c r="C4869" t="s">
        <v>762</v>
      </c>
      <c r="D4869" t="s">
        <v>763</v>
      </c>
      <c r="E4869" t="s">
        <v>14</v>
      </c>
      <c r="F4869" t="s">
        <v>41</v>
      </c>
      <c r="G4869" t="s">
        <v>16</v>
      </c>
      <c r="H4869" t="s">
        <v>2727</v>
      </c>
      <c r="I4869" s="2">
        <v>460.64800000000002</v>
      </c>
      <c r="J4869">
        <v>2</v>
      </c>
      <c r="K4869" s="2">
        <v>47.660400000000003</v>
      </c>
      <c r="L4869" s="3">
        <f>(Table1[[#This Row],[Profit]]/Table1[[#This Row],[Sales]])*100</f>
        <v>10.346381618936801</v>
      </c>
    </row>
    <row r="4870" spans="1:12" x14ac:dyDescent="0.3">
      <c r="A4870" t="s">
        <v>2072</v>
      </c>
      <c r="B4870" s="1">
        <v>43663</v>
      </c>
      <c r="C4870" t="s">
        <v>2073</v>
      </c>
      <c r="D4870" t="s">
        <v>2074</v>
      </c>
      <c r="E4870" t="s">
        <v>14</v>
      </c>
      <c r="F4870" t="s">
        <v>29</v>
      </c>
      <c r="G4870" t="s">
        <v>24</v>
      </c>
      <c r="H4870" t="s">
        <v>2076</v>
      </c>
      <c r="I4870" s="2">
        <v>265.17</v>
      </c>
      <c r="J4870">
        <v>1</v>
      </c>
      <c r="K4870" s="2">
        <v>47.730600000000003</v>
      </c>
      <c r="L4870" s="3">
        <f>(Table1[[#This Row],[Profit]]/Table1[[#This Row],[Sales]])*100</f>
        <v>18</v>
      </c>
    </row>
    <row r="4871" spans="1:12" x14ac:dyDescent="0.3">
      <c r="A4871" t="s">
        <v>5674</v>
      </c>
      <c r="B4871" s="1">
        <v>44125</v>
      </c>
      <c r="C4871" t="s">
        <v>769</v>
      </c>
      <c r="D4871" t="s">
        <v>770</v>
      </c>
      <c r="E4871" t="s">
        <v>14</v>
      </c>
      <c r="F4871" t="s">
        <v>23</v>
      </c>
      <c r="G4871" t="s">
        <v>16</v>
      </c>
      <c r="H4871" t="s">
        <v>4962</v>
      </c>
      <c r="I4871" s="2">
        <v>496.48</v>
      </c>
      <c r="J4871">
        <v>2</v>
      </c>
      <c r="K4871" s="2">
        <v>47.847999999999999</v>
      </c>
      <c r="L4871" s="3">
        <f>(Table1[[#This Row],[Profit]]/Table1[[#This Row],[Sales]])*100</f>
        <v>9.6374476313245232</v>
      </c>
    </row>
    <row r="4872" spans="1:12" x14ac:dyDescent="0.3">
      <c r="A4872" t="s">
        <v>5508</v>
      </c>
      <c r="B4872" s="1">
        <v>44099</v>
      </c>
      <c r="C4872" t="s">
        <v>1403</v>
      </c>
      <c r="D4872" t="s">
        <v>1404</v>
      </c>
      <c r="E4872" t="s">
        <v>14</v>
      </c>
      <c r="F4872" t="s">
        <v>41</v>
      </c>
      <c r="G4872" t="s">
        <v>24</v>
      </c>
      <c r="H4872" t="s">
        <v>2106</v>
      </c>
      <c r="I4872" s="2">
        <v>191.55</v>
      </c>
      <c r="J4872">
        <v>5</v>
      </c>
      <c r="K4872" s="2">
        <v>47.938499999999998</v>
      </c>
      <c r="L4872" s="3">
        <f>(Table1[[#This Row],[Profit]]/Table1[[#This Row],[Sales]])*100</f>
        <v>25.026624902114325</v>
      </c>
    </row>
    <row r="4873" spans="1:12" x14ac:dyDescent="0.3">
      <c r="A4873" t="s">
        <v>5025</v>
      </c>
      <c r="B4873" s="1">
        <v>44029</v>
      </c>
      <c r="C4873" t="s">
        <v>124</v>
      </c>
      <c r="D4873" t="s">
        <v>125</v>
      </c>
      <c r="E4873" t="s">
        <v>14</v>
      </c>
      <c r="F4873" t="s">
        <v>15</v>
      </c>
      <c r="G4873" t="s">
        <v>24</v>
      </c>
      <c r="H4873" t="s">
        <v>2475</v>
      </c>
      <c r="I4873" s="2">
        <v>119.9</v>
      </c>
      <c r="J4873">
        <v>5</v>
      </c>
      <c r="K4873" s="2">
        <v>47.951999999999998</v>
      </c>
      <c r="L4873" s="3">
        <f>(Table1[[#This Row],[Profit]]/Table1[[#This Row],[Sales]])*100</f>
        <v>39.99332777314428</v>
      </c>
    </row>
    <row r="4874" spans="1:12" x14ac:dyDescent="0.3">
      <c r="A4874" t="s">
        <v>4412</v>
      </c>
      <c r="B4874" s="1">
        <v>43925</v>
      </c>
      <c r="C4874" t="s">
        <v>2796</v>
      </c>
      <c r="D4874" t="s">
        <v>2797</v>
      </c>
      <c r="E4874" t="s">
        <v>14</v>
      </c>
      <c r="F4874" t="s">
        <v>29</v>
      </c>
      <c r="G4874" t="s">
        <v>18</v>
      </c>
      <c r="H4874" t="s">
        <v>1990</v>
      </c>
      <c r="I4874" s="2">
        <v>400.84</v>
      </c>
      <c r="J4874">
        <v>4</v>
      </c>
      <c r="K4874" s="2">
        <v>47.98</v>
      </c>
      <c r="L4874" s="3">
        <f>(Table1[[#This Row],[Profit]]/Table1[[#This Row],[Sales]])*100</f>
        <v>11.969863287097096</v>
      </c>
    </row>
    <row r="4875" spans="1:12" x14ac:dyDescent="0.3">
      <c r="A4875" t="s">
        <v>5537</v>
      </c>
      <c r="B4875" s="1">
        <v>44104</v>
      </c>
      <c r="C4875" t="s">
        <v>169</v>
      </c>
      <c r="D4875" t="s">
        <v>170</v>
      </c>
      <c r="E4875" t="s">
        <v>14</v>
      </c>
      <c r="F4875" t="s">
        <v>23</v>
      </c>
      <c r="G4875" t="s">
        <v>18</v>
      </c>
      <c r="H4875" t="s">
        <v>1693</v>
      </c>
      <c r="I4875" s="2">
        <v>206.98</v>
      </c>
      <c r="J4875">
        <v>2</v>
      </c>
      <c r="K4875" s="2">
        <v>47.994</v>
      </c>
      <c r="L4875" s="3">
        <f>(Table1[[#This Row],[Profit]]/Table1[[#This Row],[Sales]])*100</f>
        <v>23.187747608464587</v>
      </c>
    </row>
    <row r="4876" spans="1:12" x14ac:dyDescent="0.3">
      <c r="A4876" t="s">
        <v>5482</v>
      </c>
      <c r="B4876" s="1">
        <v>44097</v>
      </c>
      <c r="C4876" t="s">
        <v>3631</v>
      </c>
      <c r="D4876" t="s">
        <v>3632</v>
      </c>
      <c r="E4876" t="s">
        <v>14</v>
      </c>
      <c r="F4876" t="s">
        <v>23</v>
      </c>
      <c r="G4876" t="s">
        <v>24</v>
      </c>
      <c r="H4876" t="s">
        <v>1728</v>
      </c>
      <c r="I4876" s="2">
        <v>203.96</v>
      </c>
      <c r="J4876">
        <v>2</v>
      </c>
      <c r="K4876" s="2">
        <v>48.287999999999997</v>
      </c>
      <c r="L4876" s="3">
        <f>(Table1[[#This Row],[Profit]]/Table1[[#This Row],[Sales]])*100</f>
        <v>23.675230437340652</v>
      </c>
    </row>
    <row r="4877" spans="1:12" x14ac:dyDescent="0.3">
      <c r="A4877" t="s">
        <v>6262</v>
      </c>
      <c r="B4877" s="1">
        <v>44189</v>
      </c>
      <c r="C4877" t="s">
        <v>2315</v>
      </c>
      <c r="D4877" t="s">
        <v>2316</v>
      </c>
      <c r="E4877" t="s">
        <v>14</v>
      </c>
      <c r="F4877" t="s">
        <v>15</v>
      </c>
      <c r="G4877" t="s">
        <v>16</v>
      </c>
      <c r="H4877" t="s">
        <v>2170</v>
      </c>
      <c r="I4877" s="2">
        <v>622.76400000000001</v>
      </c>
      <c r="J4877">
        <v>2</v>
      </c>
      <c r="K4877" s="2">
        <v>48.313600000000001</v>
      </c>
      <c r="L4877" s="3">
        <f>(Table1[[#This Row],[Profit]]/Table1[[#This Row],[Sales]])*100</f>
        <v>7.757930773133964</v>
      </c>
    </row>
    <row r="4878" spans="1:12" x14ac:dyDescent="0.3">
      <c r="A4878" t="s">
        <v>6141</v>
      </c>
      <c r="B4878" s="1">
        <v>44174</v>
      </c>
      <c r="C4878" t="s">
        <v>1183</v>
      </c>
      <c r="D4878" t="s">
        <v>1184</v>
      </c>
      <c r="E4878" t="s">
        <v>14</v>
      </c>
      <c r="F4878" t="s">
        <v>41</v>
      </c>
      <c r="G4878" t="s">
        <v>18</v>
      </c>
      <c r="H4878" t="s">
        <v>751</v>
      </c>
      <c r="I4878" s="2">
        <v>166.45</v>
      </c>
      <c r="J4878">
        <v>5</v>
      </c>
      <c r="K4878" s="2">
        <v>48.328499999999998</v>
      </c>
      <c r="L4878" s="3">
        <f>(Table1[[#This Row],[Profit]]/Table1[[#This Row],[Sales]])*100</f>
        <v>29.034845298888555</v>
      </c>
    </row>
    <row r="4879" spans="1:12" x14ac:dyDescent="0.3">
      <c r="A4879" t="s">
        <v>549</v>
      </c>
      <c r="B4879" s="1">
        <v>43532</v>
      </c>
      <c r="C4879" t="s">
        <v>550</v>
      </c>
      <c r="D4879" t="s">
        <v>551</v>
      </c>
      <c r="E4879" t="s">
        <v>14</v>
      </c>
      <c r="F4879" t="s">
        <v>29</v>
      </c>
      <c r="G4879" t="s">
        <v>24</v>
      </c>
      <c r="H4879" t="s">
        <v>363</v>
      </c>
      <c r="I4879" s="2">
        <v>207.14400000000001</v>
      </c>
      <c r="J4879">
        <v>3</v>
      </c>
      <c r="K4879" s="2">
        <v>48.333599999999997</v>
      </c>
      <c r="L4879" s="3">
        <f>(Table1[[#This Row],[Profit]]/Table1[[#This Row],[Sales]])*100</f>
        <v>23.333333333333332</v>
      </c>
    </row>
    <row r="4880" spans="1:12" x14ac:dyDescent="0.3">
      <c r="A4880" t="s">
        <v>4884</v>
      </c>
      <c r="B4880" s="1">
        <v>44006</v>
      </c>
      <c r="C4880" t="s">
        <v>4885</v>
      </c>
      <c r="D4880" t="s">
        <v>4886</v>
      </c>
      <c r="E4880" t="s">
        <v>14</v>
      </c>
      <c r="F4880" t="s">
        <v>15</v>
      </c>
      <c r="G4880" t="s">
        <v>24</v>
      </c>
      <c r="H4880" t="s">
        <v>3706</v>
      </c>
      <c r="I4880" s="2">
        <v>128.93</v>
      </c>
      <c r="J4880">
        <v>3</v>
      </c>
      <c r="K4880" s="2">
        <v>48.377099999999999</v>
      </c>
      <c r="L4880" s="3">
        <f>(Table1[[#This Row],[Profit]]/Table1[[#This Row],[Sales]])*100</f>
        <v>37.521988676025749</v>
      </c>
    </row>
    <row r="4881" spans="1:12" x14ac:dyDescent="0.3">
      <c r="A4881" t="s">
        <v>5155</v>
      </c>
      <c r="B4881" s="1">
        <v>44060</v>
      </c>
      <c r="C4881" t="s">
        <v>1926</v>
      </c>
      <c r="D4881" t="s">
        <v>1927</v>
      </c>
      <c r="E4881" t="s">
        <v>14</v>
      </c>
      <c r="F4881" t="s">
        <v>41</v>
      </c>
      <c r="G4881" t="s">
        <v>24</v>
      </c>
      <c r="H4881" t="s">
        <v>3706</v>
      </c>
      <c r="I4881" s="2">
        <v>137.93</v>
      </c>
      <c r="J4881">
        <v>3</v>
      </c>
      <c r="K4881" s="2">
        <v>48.377099999999999</v>
      </c>
      <c r="L4881" s="3">
        <f>(Table1[[#This Row],[Profit]]/Table1[[#This Row],[Sales]])*100</f>
        <v>35.073660552454136</v>
      </c>
    </row>
    <row r="4882" spans="1:12" x14ac:dyDescent="0.3">
      <c r="A4882" t="s">
        <v>2192</v>
      </c>
      <c r="B4882" s="1">
        <v>43671</v>
      </c>
      <c r="C4882" t="s">
        <v>1456</v>
      </c>
      <c r="D4882" t="s">
        <v>1457</v>
      </c>
      <c r="E4882" t="s">
        <v>14</v>
      </c>
      <c r="F4882" t="s">
        <v>29</v>
      </c>
      <c r="G4882" t="s">
        <v>18</v>
      </c>
      <c r="H4882" t="s">
        <v>2193</v>
      </c>
      <c r="I4882" s="2">
        <v>124.25</v>
      </c>
      <c r="J4882">
        <v>7</v>
      </c>
      <c r="K4882" s="2">
        <v>48.457500000000003</v>
      </c>
      <c r="L4882" s="3">
        <f>(Table1[[#This Row],[Profit]]/Table1[[#This Row],[Sales]])*100</f>
        <v>39</v>
      </c>
    </row>
    <row r="4883" spans="1:12" x14ac:dyDescent="0.3">
      <c r="A4883" t="s">
        <v>252</v>
      </c>
      <c r="B4883" s="1">
        <v>43497</v>
      </c>
      <c r="C4883" t="s">
        <v>253</v>
      </c>
      <c r="D4883" t="s">
        <v>254</v>
      </c>
      <c r="E4883" t="s">
        <v>14</v>
      </c>
      <c r="F4883" t="s">
        <v>23</v>
      </c>
      <c r="G4883" t="s">
        <v>24</v>
      </c>
      <c r="H4883" t="s">
        <v>255</v>
      </c>
      <c r="I4883" s="2">
        <v>1105.52</v>
      </c>
      <c r="J4883">
        <v>4</v>
      </c>
      <c r="K4883" s="2">
        <v>48.539200000000001</v>
      </c>
      <c r="L4883" s="3">
        <f>(Table1[[#This Row],[Profit]]/Table1[[#This Row],[Sales]])*100</f>
        <v>4.3906216079311093</v>
      </c>
    </row>
    <row r="4884" spans="1:12" x14ac:dyDescent="0.3">
      <c r="A4884" t="s">
        <v>1641</v>
      </c>
      <c r="B4884" s="1">
        <v>43622</v>
      </c>
      <c r="C4884" t="s">
        <v>1642</v>
      </c>
      <c r="D4884" t="s">
        <v>1643</v>
      </c>
      <c r="E4884" t="s">
        <v>14</v>
      </c>
      <c r="F4884" t="s">
        <v>15</v>
      </c>
      <c r="G4884" t="s">
        <v>24</v>
      </c>
      <c r="H4884" t="s">
        <v>96</v>
      </c>
      <c r="I4884" s="2">
        <v>105.52</v>
      </c>
      <c r="J4884">
        <v>4</v>
      </c>
      <c r="K4884" s="2">
        <v>48.539200000000001</v>
      </c>
      <c r="L4884" s="3">
        <f>(Table1[[#This Row],[Profit]]/Table1[[#This Row],[Sales]])*100</f>
        <v>46</v>
      </c>
    </row>
    <row r="4885" spans="1:12" x14ac:dyDescent="0.3">
      <c r="A4885" t="s">
        <v>6142</v>
      </c>
      <c r="B4885" s="1">
        <v>44174</v>
      </c>
      <c r="C4885" t="s">
        <v>1805</v>
      </c>
      <c r="D4885" t="s">
        <v>1806</v>
      </c>
      <c r="E4885" t="s">
        <v>14</v>
      </c>
      <c r="F4885" t="s">
        <v>29</v>
      </c>
      <c r="G4885" t="s">
        <v>24</v>
      </c>
      <c r="H4885" t="s">
        <v>1843</v>
      </c>
      <c r="I4885" s="2">
        <v>190.85599999999999</v>
      </c>
      <c r="J4885">
        <v>9</v>
      </c>
      <c r="K4885" s="2">
        <v>48.551400000000001</v>
      </c>
      <c r="L4885" s="3">
        <f>(Table1[[#This Row],[Profit]]/Table1[[#This Row],[Sales]])*100</f>
        <v>25.438760112336002</v>
      </c>
    </row>
    <row r="4886" spans="1:12" x14ac:dyDescent="0.3">
      <c r="A4886" t="s">
        <v>5933</v>
      </c>
      <c r="B4886" s="1">
        <v>44153</v>
      </c>
      <c r="C4886" t="s">
        <v>1750</v>
      </c>
      <c r="D4886" t="s">
        <v>1751</v>
      </c>
      <c r="E4886" t="s">
        <v>14</v>
      </c>
      <c r="F4886" t="s">
        <v>41</v>
      </c>
      <c r="G4886" t="s">
        <v>24</v>
      </c>
      <c r="H4886" t="s">
        <v>1579</v>
      </c>
      <c r="I4886" s="2">
        <v>411.05599999999998</v>
      </c>
      <c r="J4886">
        <v>4</v>
      </c>
      <c r="K4886" s="2">
        <v>48.631999999999998</v>
      </c>
      <c r="L4886" s="3">
        <f>(Table1[[#This Row],[Profit]]/Table1[[#This Row],[Sales]])*100</f>
        <v>11.830991397765754</v>
      </c>
    </row>
    <row r="4887" spans="1:12" x14ac:dyDescent="0.3">
      <c r="A4887" t="s">
        <v>1367</v>
      </c>
      <c r="B4887" s="1">
        <v>43599</v>
      </c>
      <c r="C4887" t="s">
        <v>1368</v>
      </c>
      <c r="D4887" t="s">
        <v>1369</v>
      </c>
      <c r="E4887" t="s">
        <v>14</v>
      </c>
      <c r="F4887" t="s">
        <v>23</v>
      </c>
      <c r="G4887" t="s">
        <v>18</v>
      </c>
      <c r="H4887" t="s">
        <v>1228</v>
      </c>
      <c r="I4887" s="2">
        <v>185.52799999999999</v>
      </c>
      <c r="J4887">
        <v>7</v>
      </c>
      <c r="K4887" s="2">
        <v>48.701099999999997</v>
      </c>
      <c r="L4887" s="3">
        <f>(Table1[[#This Row],[Profit]]/Table1[[#This Row],[Sales]])*100</f>
        <v>26.25</v>
      </c>
    </row>
    <row r="4888" spans="1:12" x14ac:dyDescent="0.3">
      <c r="A4888" t="s">
        <v>6038</v>
      </c>
      <c r="B4888" s="1">
        <v>44164</v>
      </c>
      <c r="C4888" t="s">
        <v>1339</v>
      </c>
      <c r="D4888" t="s">
        <v>1340</v>
      </c>
      <c r="E4888" t="s">
        <v>14</v>
      </c>
      <c r="F4888" t="s">
        <v>41</v>
      </c>
      <c r="G4888" t="s">
        <v>16</v>
      </c>
      <c r="H4888" t="s">
        <v>843</v>
      </c>
      <c r="I4888" s="2">
        <v>410.36799999999999</v>
      </c>
      <c r="J4888">
        <v>2</v>
      </c>
      <c r="K4888" s="2">
        <v>48.795999999999999</v>
      </c>
      <c r="L4888" s="3">
        <f>(Table1[[#This Row],[Profit]]/Table1[[#This Row],[Sales]])*100</f>
        <v>11.890790704928261</v>
      </c>
    </row>
    <row r="4889" spans="1:12" x14ac:dyDescent="0.3">
      <c r="A4889" t="s">
        <v>4985</v>
      </c>
      <c r="B4889" s="1">
        <v>44021</v>
      </c>
      <c r="C4889" t="s">
        <v>3662</v>
      </c>
      <c r="D4889" t="s">
        <v>3663</v>
      </c>
      <c r="E4889" t="s">
        <v>14</v>
      </c>
      <c r="F4889" t="s">
        <v>15</v>
      </c>
      <c r="G4889" t="s">
        <v>24</v>
      </c>
      <c r="H4889" t="s">
        <v>2581</v>
      </c>
      <c r="I4889" s="2">
        <v>159.04</v>
      </c>
      <c r="J4889">
        <v>6</v>
      </c>
      <c r="K4889" s="2">
        <v>48.806399999999996</v>
      </c>
      <c r="L4889" s="3">
        <f>(Table1[[#This Row],[Profit]]/Table1[[#This Row],[Sales]])*100</f>
        <v>30.688128772635814</v>
      </c>
    </row>
    <row r="4890" spans="1:12" x14ac:dyDescent="0.3">
      <c r="A4890" t="s">
        <v>3635</v>
      </c>
      <c r="B4890" s="1">
        <v>43800</v>
      </c>
      <c r="C4890" t="s">
        <v>3636</v>
      </c>
      <c r="D4890" t="s">
        <v>3637</v>
      </c>
      <c r="E4890" t="s">
        <v>14</v>
      </c>
      <c r="F4890" t="s">
        <v>15</v>
      </c>
      <c r="G4890" t="s">
        <v>16</v>
      </c>
      <c r="H4890" t="s">
        <v>3646</v>
      </c>
      <c r="I4890" s="2">
        <v>111.15</v>
      </c>
      <c r="J4890">
        <v>5</v>
      </c>
      <c r="K4890" s="2">
        <v>48.905999999999999</v>
      </c>
      <c r="L4890" s="3">
        <f>(Table1[[#This Row],[Profit]]/Table1[[#This Row],[Sales]])*100</f>
        <v>43.999999999999993</v>
      </c>
    </row>
    <row r="4891" spans="1:12" x14ac:dyDescent="0.3">
      <c r="A4891" t="s">
        <v>3345</v>
      </c>
      <c r="B4891" s="1">
        <v>43779</v>
      </c>
      <c r="C4891" t="s">
        <v>2419</v>
      </c>
      <c r="D4891" t="s">
        <v>2420</v>
      </c>
      <c r="E4891" t="s">
        <v>14</v>
      </c>
      <c r="F4891" t="s">
        <v>29</v>
      </c>
      <c r="G4891" t="s">
        <v>18</v>
      </c>
      <c r="H4891" t="s">
        <v>3346</v>
      </c>
      <c r="I4891" s="2">
        <v>279.94400000000002</v>
      </c>
      <c r="J4891">
        <v>7</v>
      </c>
      <c r="K4891" s="2">
        <v>48.990200000000002</v>
      </c>
      <c r="L4891" s="3">
        <f>(Table1[[#This Row],[Profit]]/Table1[[#This Row],[Sales]])*100</f>
        <v>17.5</v>
      </c>
    </row>
    <row r="4892" spans="1:12" x14ac:dyDescent="0.3">
      <c r="A4892" t="s">
        <v>2329</v>
      </c>
      <c r="B4892" s="1">
        <v>43691</v>
      </c>
      <c r="C4892" t="s">
        <v>550</v>
      </c>
      <c r="D4892" t="s">
        <v>551</v>
      </c>
      <c r="E4892" t="s">
        <v>14</v>
      </c>
      <c r="F4892" t="s">
        <v>15</v>
      </c>
      <c r="G4892" t="s">
        <v>18</v>
      </c>
      <c r="H4892" t="s">
        <v>77</v>
      </c>
      <c r="I4892" s="2">
        <v>279.95999999999998</v>
      </c>
      <c r="J4892">
        <v>5</v>
      </c>
      <c r="K4892" s="2">
        <v>48.993000000000002</v>
      </c>
      <c r="L4892" s="3">
        <f>(Table1[[#This Row],[Profit]]/Table1[[#This Row],[Sales]])*100</f>
        <v>17.5</v>
      </c>
    </row>
    <row r="4893" spans="1:12" x14ac:dyDescent="0.3">
      <c r="A4893" t="s">
        <v>4257</v>
      </c>
      <c r="B4893" s="1">
        <v>43903</v>
      </c>
      <c r="C4893" t="s">
        <v>1677</v>
      </c>
      <c r="D4893" t="s">
        <v>1678</v>
      </c>
      <c r="E4893" t="s">
        <v>14</v>
      </c>
      <c r="F4893" t="s">
        <v>23</v>
      </c>
      <c r="G4893" t="s">
        <v>18</v>
      </c>
      <c r="H4893" t="s">
        <v>4259</v>
      </c>
      <c r="I4893" s="2">
        <v>190.73599999999999</v>
      </c>
      <c r="J4893">
        <v>8</v>
      </c>
      <c r="K4893" s="2">
        <v>49.257599999999996</v>
      </c>
      <c r="L4893" s="3">
        <f>(Table1[[#This Row],[Profit]]/Table1[[#This Row],[Sales]])*100</f>
        <v>25.825014679976512</v>
      </c>
    </row>
    <row r="4894" spans="1:12" x14ac:dyDescent="0.3">
      <c r="A4894" t="s">
        <v>3553</v>
      </c>
      <c r="B4894" s="1">
        <v>43793</v>
      </c>
      <c r="C4894" t="s">
        <v>3554</v>
      </c>
      <c r="D4894" t="s">
        <v>3555</v>
      </c>
      <c r="E4894" t="s">
        <v>14</v>
      </c>
      <c r="F4894" t="s">
        <v>29</v>
      </c>
      <c r="G4894" t="s">
        <v>18</v>
      </c>
      <c r="H4894" t="s">
        <v>233</v>
      </c>
      <c r="I4894" s="2">
        <v>657.55200000000002</v>
      </c>
      <c r="J4894">
        <v>6</v>
      </c>
      <c r="K4894" s="2">
        <v>49.316400000000002</v>
      </c>
      <c r="L4894" s="3">
        <f>(Table1[[#This Row],[Profit]]/Table1[[#This Row],[Sales]])*100</f>
        <v>7.5</v>
      </c>
    </row>
    <row r="4895" spans="1:12" x14ac:dyDescent="0.3">
      <c r="A4895" t="s">
        <v>543</v>
      </c>
      <c r="B4895" s="1">
        <v>43532</v>
      </c>
      <c r="C4895" t="s">
        <v>544</v>
      </c>
      <c r="D4895" t="s">
        <v>545</v>
      </c>
      <c r="E4895" t="s">
        <v>14</v>
      </c>
      <c r="F4895" t="s">
        <v>29</v>
      </c>
      <c r="G4895" t="s">
        <v>24</v>
      </c>
      <c r="H4895" t="s">
        <v>548</v>
      </c>
      <c r="I4895" s="2">
        <v>146.352</v>
      </c>
      <c r="J4895">
        <v>3</v>
      </c>
      <c r="K4895" s="2">
        <v>49.393799999999999</v>
      </c>
      <c r="L4895" s="3">
        <f>(Table1[[#This Row],[Profit]]/Table1[[#This Row],[Sales]])*100</f>
        <v>33.75</v>
      </c>
    </row>
    <row r="4896" spans="1:12" x14ac:dyDescent="0.3">
      <c r="A4896" t="s">
        <v>4046</v>
      </c>
      <c r="B4896" s="1">
        <v>43851</v>
      </c>
      <c r="C4896" t="s">
        <v>2414</v>
      </c>
      <c r="D4896" t="s">
        <v>2415</v>
      </c>
      <c r="E4896" t="s">
        <v>14</v>
      </c>
      <c r="F4896" t="s">
        <v>29</v>
      </c>
      <c r="G4896" t="s">
        <v>18</v>
      </c>
      <c r="H4896" t="s">
        <v>4048</v>
      </c>
      <c r="I4896" s="2">
        <v>195.99</v>
      </c>
      <c r="J4896">
        <v>1</v>
      </c>
      <c r="K4896" s="2">
        <v>49.497</v>
      </c>
      <c r="L4896" s="3">
        <f>(Table1[[#This Row],[Profit]]/Table1[[#This Row],[Sales]])*100</f>
        <v>25.254859941833768</v>
      </c>
    </row>
    <row r="4897" spans="1:12" x14ac:dyDescent="0.3">
      <c r="A4897" t="s">
        <v>4277</v>
      </c>
      <c r="B4897" s="1">
        <v>43906</v>
      </c>
      <c r="C4897" t="s">
        <v>884</v>
      </c>
      <c r="D4897" t="s">
        <v>885</v>
      </c>
      <c r="E4897" t="s">
        <v>14</v>
      </c>
      <c r="F4897" t="s">
        <v>23</v>
      </c>
      <c r="G4897" t="s">
        <v>18</v>
      </c>
      <c r="H4897" t="s">
        <v>1474</v>
      </c>
      <c r="I4897" s="2">
        <v>673.976</v>
      </c>
      <c r="J4897">
        <v>3</v>
      </c>
      <c r="K4897" s="2">
        <v>49.498199999999997</v>
      </c>
      <c r="L4897" s="3">
        <f>(Table1[[#This Row],[Profit]]/Table1[[#This Row],[Sales]])*100</f>
        <v>7.3442081023656627</v>
      </c>
    </row>
    <row r="4898" spans="1:12" x14ac:dyDescent="0.3">
      <c r="A4898" t="s">
        <v>5976</v>
      </c>
      <c r="B4898" s="1">
        <v>44156</v>
      </c>
      <c r="C4898" t="s">
        <v>1243</v>
      </c>
      <c r="D4898" t="s">
        <v>1244</v>
      </c>
      <c r="E4898" t="s">
        <v>14</v>
      </c>
      <c r="F4898" t="s">
        <v>23</v>
      </c>
      <c r="G4898" t="s">
        <v>18</v>
      </c>
      <c r="H4898" t="s">
        <v>1474</v>
      </c>
      <c r="I4898" s="2">
        <v>696.976</v>
      </c>
      <c r="J4898">
        <v>3</v>
      </c>
      <c r="K4898" s="2">
        <v>49.498199999999997</v>
      </c>
      <c r="L4898" s="3">
        <f>(Table1[[#This Row],[Profit]]/Table1[[#This Row],[Sales]])*100</f>
        <v>7.1018514267349229</v>
      </c>
    </row>
    <row r="4899" spans="1:12" x14ac:dyDescent="0.3">
      <c r="A4899" t="s">
        <v>430</v>
      </c>
      <c r="B4899" s="1">
        <v>43523</v>
      </c>
      <c r="C4899" t="s">
        <v>431</v>
      </c>
      <c r="D4899" t="s">
        <v>432</v>
      </c>
      <c r="E4899" t="s">
        <v>14</v>
      </c>
      <c r="F4899" t="s">
        <v>15</v>
      </c>
      <c r="G4899" t="s">
        <v>24</v>
      </c>
      <c r="H4899" t="s">
        <v>433</v>
      </c>
      <c r="I4899" s="2">
        <v>170.88</v>
      </c>
      <c r="J4899">
        <v>3</v>
      </c>
      <c r="K4899" s="2">
        <v>49.555199999999999</v>
      </c>
      <c r="L4899" s="3">
        <f>(Table1[[#This Row],[Profit]]/Table1[[#This Row],[Sales]])*100</f>
        <v>28.999999999999996</v>
      </c>
    </row>
    <row r="4900" spans="1:12" x14ac:dyDescent="0.3">
      <c r="A4900" t="s">
        <v>4941</v>
      </c>
      <c r="B4900" s="1">
        <v>44015</v>
      </c>
      <c r="C4900" t="s">
        <v>2827</v>
      </c>
      <c r="D4900" t="s">
        <v>2828</v>
      </c>
      <c r="E4900" t="s">
        <v>14</v>
      </c>
      <c r="F4900" t="s">
        <v>29</v>
      </c>
      <c r="G4900" t="s">
        <v>18</v>
      </c>
      <c r="H4900" t="s">
        <v>4948</v>
      </c>
      <c r="I4900" s="2">
        <v>607.13199999999995</v>
      </c>
      <c r="J4900">
        <v>3</v>
      </c>
      <c r="K4900" s="2">
        <v>49.761000000000003</v>
      </c>
      <c r="L4900" s="3">
        <f>(Table1[[#This Row],[Profit]]/Table1[[#This Row],[Sales]])*100</f>
        <v>8.1960759768880571</v>
      </c>
    </row>
    <row r="4901" spans="1:12" x14ac:dyDescent="0.3">
      <c r="A4901" t="s">
        <v>4887</v>
      </c>
      <c r="B4901" s="1">
        <v>44006</v>
      </c>
      <c r="C4901" t="s">
        <v>3554</v>
      </c>
      <c r="D4901" t="s">
        <v>3555</v>
      </c>
      <c r="E4901" t="s">
        <v>14</v>
      </c>
      <c r="F4901" t="s">
        <v>15</v>
      </c>
      <c r="G4901" t="s">
        <v>16</v>
      </c>
      <c r="H4901" t="s">
        <v>269</v>
      </c>
      <c r="I4901" s="2">
        <v>318.69</v>
      </c>
      <c r="J4901">
        <v>3</v>
      </c>
      <c r="K4901" s="2">
        <v>49.804200000000002</v>
      </c>
      <c r="L4901" s="3">
        <f>(Table1[[#This Row],[Profit]]/Table1[[#This Row],[Sales]])*100</f>
        <v>15.627788760237221</v>
      </c>
    </row>
    <row r="4902" spans="1:12" x14ac:dyDescent="0.3">
      <c r="A4902" t="s">
        <v>5009</v>
      </c>
      <c r="B4902" s="1">
        <v>44026</v>
      </c>
      <c r="C4902" t="s">
        <v>1671</v>
      </c>
      <c r="D4902" t="s">
        <v>1672</v>
      </c>
      <c r="E4902" t="s">
        <v>14</v>
      </c>
      <c r="F4902" t="s">
        <v>23</v>
      </c>
      <c r="G4902" t="s">
        <v>16</v>
      </c>
      <c r="H4902" t="s">
        <v>269</v>
      </c>
      <c r="I4902" s="2">
        <v>307.69</v>
      </c>
      <c r="J4902">
        <v>3</v>
      </c>
      <c r="K4902" s="2">
        <v>49.804200000000002</v>
      </c>
      <c r="L4902" s="3">
        <f>(Table1[[#This Row],[Profit]]/Table1[[#This Row],[Sales]])*100</f>
        <v>16.18648639864799</v>
      </c>
    </row>
    <row r="4903" spans="1:12" x14ac:dyDescent="0.3">
      <c r="A4903" t="s">
        <v>63</v>
      </c>
      <c r="B4903" s="1">
        <v>43473</v>
      </c>
      <c r="C4903" t="s">
        <v>64</v>
      </c>
      <c r="D4903" t="s">
        <v>65</v>
      </c>
      <c r="E4903" t="s">
        <v>14</v>
      </c>
      <c r="F4903" t="s">
        <v>29</v>
      </c>
      <c r="G4903" t="s">
        <v>24</v>
      </c>
      <c r="H4903" t="s">
        <v>67</v>
      </c>
      <c r="I4903" s="2">
        <v>106.05</v>
      </c>
      <c r="J4903">
        <v>7</v>
      </c>
      <c r="K4903" s="2">
        <v>49.843499999999999</v>
      </c>
      <c r="L4903" s="3">
        <f>(Table1[[#This Row],[Profit]]/Table1[[#This Row],[Sales]])*100</f>
        <v>47</v>
      </c>
    </row>
    <row r="4904" spans="1:12" x14ac:dyDescent="0.3">
      <c r="A4904" t="s">
        <v>4674</v>
      </c>
      <c r="B4904" s="1">
        <v>43970</v>
      </c>
      <c r="C4904" t="s">
        <v>3869</v>
      </c>
      <c r="D4904" t="s">
        <v>3870</v>
      </c>
      <c r="E4904" t="s">
        <v>14</v>
      </c>
      <c r="F4904" t="s">
        <v>23</v>
      </c>
      <c r="G4904" t="s">
        <v>24</v>
      </c>
      <c r="H4904" t="s">
        <v>1753</v>
      </c>
      <c r="I4904" s="2">
        <v>172.12</v>
      </c>
      <c r="J4904">
        <v>5</v>
      </c>
      <c r="K4904" s="2">
        <v>49.92</v>
      </c>
      <c r="L4904" s="3">
        <f>(Table1[[#This Row],[Profit]]/Table1[[#This Row],[Sales]])*100</f>
        <v>29.003021148036257</v>
      </c>
    </row>
    <row r="4905" spans="1:12" x14ac:dyDescent="0.3">
      <c r="A4905" t="s">
        <v>3903</v>
      </c>
      <c r="B4905" s="1">
        <v>43824</v>
      </c>
      <c r="C4905" t="s">
        <v>3904</v>
      </c>
      <c r="D4905" t="s">
        <v>3905</v>
      </c>
      <c r="E4905" t="s">
        <v>14</v>
      </c>
      <c r="F4905" t="s">
        <v>41</v>
      </c>
      <c r="G4905" t="s">
        <v>24</v>
      </c>
      <c r="H4905" t="s">
        <v>3909</v>
      </c>
      <c r="I4905" s="2">
        <v>106.32</v>
      </c>
      <c r="J4905">
        <v>3</v>
      </c>
      <c r="K4905" s="2">
        <v>49.970399999999998</v>
      </c>
      <c r="L4905" s="3">
        <f>(Table1[[#This Row],[Profit]]/Table1[[#This Row],[Sales]])*100</f>
        <v>47</v>
      </c>
    </row>
    <row r="4906" spans="1:12" x14ac:dyDescent="0.3">
      <c r="A4906" t="s">
        <v>4415</v>
      </c>
      <c r="B4906" s="1">
        <v>43927</v>
      </c>
      <c r="C4906" t="s">
        <v>2249</v>
      </c>
      <c r="D4906" t="s">
        <v>2250</v>
      </c>
      <c r="E4906" t="s">
        <v>14</v>
      </c>
      <c r="F4906" t="s">
        <v>29</v>
      </c>
      <c r="G4906" t="s">
        <v>24</v>
      </c>
      <c r="H4906" t="s">
        <v>234</v>
      </c>
      <c r="I4906" s="2">
        <v>147.32</v>
      </c>
      <c r="J4906">
        <v>3</v>
      </c>
      <c r="K4906" s="2">
        <v>49.970399999999998</v>
      </c>
      <c r="L4906" s="3">
        <f>(Table1[[#This Row],[Profit]]/Table1[[#This Row],[Sales]])*100</f>
        <v>33.919630735813193</v>
      </c>
    </row>
    <row r="4907" spans="1:12" x14ac:dyDescent="0.3">
      <c r="A4907" t="s">
        <v>5424</v>
      </c>
      <c r="B4907" s="1">
        <v>44091</v>
      </c>
      <c r="C4907" t="s">
        <v>2494</v>
      </c>
      <c r="D4907" t="s">
        <v>2495</v>
      </c>
      <c r="E4907" t="s">
        <v>14</v>
      </c>
      <c r="F4907" t="s">
        <v>41</v>
      </c>
      <c r="G4907" t="s">
        <v>24</v>
      </c>
      <c r="H4907" t="s">
        <v>234</v>
      </c>
      <c r="I4907" s="2">
        <v>133.32</v>
      </c>
      <c r="J4907">
        <v>3</v>
      </c>
      <c r="K4907" s="2">
        <v>49.970399999999998</v>
      </c>
      <c r="L4907" s="3">
        <f>(Table1[[#This Row],[Profit]]/Table1[[#This Row],[Sales]])*100</f>
        <v>37.481548154815478</v>
      </c>
    </row>
    <row r="4908" spans="1:12" x14ac:dyDescent="0.3">
      <c r="A4908" t="s">
        <v>2045</v>
      </c>
      <c r="B4908" s="1">
        <v>43660</v>
      </c>
      <c r="C4908" t="s">
        <v>824</v>
      </c>
      <c r="D4908" t="s">
        <v>825</v>
      </c>
      <c r="E4908" t="s">
        <v>14</v>
      </c>
      <c r="F4908" t="s">
        <v>23</v>
      </c>
      <c r="G4908" t="s">
        <v>24</v>
      </c>
      <c r="H4908" t="s">
        <v>2046</v>
      </c>
      <c r="I4908" s="2">
        <v>151.62</v>
      </c>
      <c r="J4908">
        <v>7</v>
      </c>
      <c r="K4908" s="2">
        <v>50.034599999999998</v>
      </c>
      <c r="L4908" s="3">
        <f>(Table1[[#This Row],[Profit]]/Table1[[#This Row],[Sales]])*100</f>
        <v>32.999999999999993</v>
      </c>
    </row>
    <row r="4909" spans="1:12" x14ac:dyDescent="0.3">
      <c r="A4909" t="s">
        <v>1553</v>
      </c>
      <c r="B4909" s="1">
        <v>43615</v>
      </c>
      <c r="C4909" t="s">
        <v>1554</v>
      </c>
      <c r="D4909" t="s">
        <v>1555</v>
      </c>
      <c r="E4909" t="s">
        <v>14</v>
      </c>
      <c r="F4909" t="s">
        <v>23</v>
      </c>
      <c r="G4909" t="s">
        <v>16</v>
      </c>
      <c r="H4909" t="s">
        <v>1557</v>
      </c>
      <c r="I4909" s="2">
        <v>801.56799999999998</v>
      </c>
      <c r="J4909">
        <v>2</v>
      </c>
      <c r="K4909" s="2">
        <v>50.097999999999999</v>
      </c>
      <c r="L4909" s="3">
        <f>(Table1[[#This Row],[Profit]]/Table1[[#This Row],[Sales]])*100</f>
        <v>6.25</v>
      </c>
    </row>
    <row r="4910" spans="1:12" x14ac:dyDescent="0.3">
      <c r="A4910" t="s">
        <v>2807</v>
      </c>
      <c r="B4910" s="1">
        <v>43726</v>
      </c>
      <c r="C4910" t="s">
        <v>2808</v>
      </c>
      <c r="D4910" t="s">
        <v>2809</v>
      </c>
      <c r="E4910" t="s">
        <v>14</v>
      </c>
      <c r="F4910" t="s">
        <v>23</v>
      </c>
      <c r="G4910" t="s">
        <v>16</v>
      </c>
      <c r="H4910" t="s">
        <v>1557</v>
      </c>
      <c r="I4910" s="2">
        <v>801.56799999999998</v>
      </c>
      <c r="J4910">
        <v>2</v>
      </c>
      <c r="K4910" s="2">
        <v>50.097999999999999</v>
      </c>
      <c r="L4910" s="3">
        <f>(Table1[[#This Row],[Profit]]/Table1[[#This Row],[Sales]])*100</f>
        <v>6.25</v>
      </c>
    </row>
    <row r="4911" spans="1:12" x14ac:dyDescent="0.3">
      <c r="A4911" t="s">
        <v>1530</v>
      </c>
      <c r="B4911" s="1">
        <v>43613</v>
      </c>
      <c r="C4911" t="s">
        <v>1531</v>
      </c>
      <c r="D4911" t="s">
        <v>1532</v>
      </c>
      <c r="E4911" t="s">
        <v>14</v>
      </c>
      <c r="F4911" t="s">
        <v>41</v>
      </c>
      <c r="G4911" t="s">
        <v>24</v>
      </c>
      <c r="H4911" t="s">
        <v>1533</v>
      </c>
      <c r="I4911" s="2">
        <v>185.88</v>
      </c>
      <c r="J4911">
        <v>6</v>
      </c>
      <c r="K4911" s="2">
        <v>50.187600000000003</v>
      </c>
      <c r="L4911" s="3">
        <f>(Table1[[#This Row],[Profit]]/Table1[[#This Row],[Sales]])*100</f>
        <v>27</v>
      </c>
    </row>
    <row r="4912" spans="1:12" x14ac:dyDescent="0.3">
      <c r="A4912" t="s">
        <v>1856</v>
      </c>
      <c r="B4912" s="1">
        <v>43640</v>
      </c>
      <c r="C4912" t="s">
        <v>1139</v>
      </c>
      <c r="D4912" t="s">
        <v>1140</v>
      </c>
      <c r="E4912" t="s">
        <v>14</v>
      </c>
      <c r="F4912" t="s">
        <v>23</v>
      </c>
      <c r="G4912" t="s">
        <v>24</v>
      </c>
      <c r="H4912" t="s">
        <v>1076</v>
      </c>
      <c r="I4912" s="2">
        <v>104.85</v>
      </c>
      <c r="J4912">
        <v>1</v>
      </c>
      <c r="K4912" s="2">
        <v>50.328000000000003</v>
      </c>
      <c r="L4912" s="3">
        <f>(Table1[[#This Row],[Profit]]/Table1[[#This Row],[Sales]])*100</f>
        <v>48.000000000000007</v>
      </c>
    </row>
    <row r="4913" spans="1:12" x14ac:dyDescent="0.3">
      <c r="A4913" t="s">
        <v>3696</v>
      </c>
      <c r="B4913" s="1">
        <v>43803</v>
      </c>
      <c r="C4913" t="s">
        <v>738</v>
      </c>
      <c r="D4913" t="s">
        <v>739</v>
      </c>
      <c r="E4913" t="s">
        <v>14</v>
      </c>
      <c r="F4913" t="s">
        <v>23</v>
      </c>
      <c r="G4913" t="s">
        <v>24</v>
      </c>
      <c r="H4913" t="s">
        <v>1520</v>
      </c>
      <c r="I4913" s="2">
        <v>104.85</v>
      </c>
      <c r="J4913">
        <v>1</v>
      </c>
      <c r="K4913" s="2">
        <v>50.328000000000003</v>
      </c>
      <c r="L4913" s="3">
        <f>(Table1[[#This Row],[Profit]]/Table1[[#This Row],[Sales]])*100</f>
        <v>48.000000000000007</v>
      </c>
    </row>
    <row r="4914" spans="1:12" x14ac:dyDescent="0.3">
      <c r="A4914" t="s">
        <v>5544</v>
      </c>
      <c r="B4914" s="1">
        <v>44105</v>
      </c>
      <c r="C4914" t="s">
        <v>345</v>
      </c>
      <c r="D4914" t="s">
        <v>346</v>
      </c>
      <c r="E4914" t="s">
        <v>14</v>
      </c>
      <c r="F4914" t="s">
        <v>29</v>
      </c>
      <c r="G4914" t="s">
        <v>24</v>
      </c>
      <c r="H4914" t="s">
        <v>1520</v>
      </c>
      <c r="I4914" s="2">
        <v>141.85</v>
      </c>
      <c r="J4914">
        <v>1</v>
      </c>
      <c r="K4914" s="2">
        <v>50.328000000000003</v>
      </c>
      <c r="L4914" s="3">
        <f>(Table1[[#This Row],[Profit]]/Table1[[#This Row],[Sales]])*100</f>
        <v>35.479732111385268</v>
      </c>
    </row>
    <row r="4915" spans="1:12" x14ac:dyDescent="0.3">
      <c r="A4915" t="s">
        <v>3277</v>
      </c>
      <c r="B4915" s="1">
        <v>43774</v>
      </c>
      <c r="C4915" t="s">
        <v>3278</v>
      </c>
      <c r="D4915" t="s">
        <v>3279</v>
      </c>
      <c r="E4915" t="s">
        <v>14</v>
      </c>
      <c r="F4915" t="s">
        <v>29</v>
      </c>
      <c r="G4915" t="s">
        <v>24</v>
      </c>
      <c r="H4915" t="s">
        <v>1740</v>
      </c>
      <c r="I4915" s="2">
        <v>104.9</v>
      </c>
      <c r="J4915">
        <v>5</v>
      </c>
      <c r="K4915" s="2">
        <v>50.351999999999997</v>
      </c>
      <c r="L4915" s="3">
        <f>(Table1[[#This Row],[Profit]]/Table1[[#This Row],[Sales]])*100</f>
        <v>47.999999999999993</v>
      </c>
    </row>
    <row r="4916" spans="1:12" x14ac:dyDescent="0.3">
      <c r="A4916" t="s">
        <v>298</v>
      </c>
      <c r="B4916" s="1">
        <v>43501</v>
      </c>
      <c r="C4916" t="s">
        <v>299</v>
      </c>
      <c r="D4916" t="s">
        <v>300</v>
      </c>
      <c r="E4916" t="s">
        <v>14</v>
      </c>
      <c r="F4916" t="s">
        <v>23</v>
      </c>
      <c r="G4916" t="s">
        <v>24</v>
      </c>
      <c r="H4916" t="s">
        <v>302</v>
      </c>
      <c r="I4916" s="2">
        <v>186.54</v>
      </c>
      <c r="J4916">
        <v>3</v>
      </c>
      <c r="K4916" s="2">
        <v>50.3658</v>
      </c>
      <c r="L4916" s="3">
        <f>(Table1[[#This Row],[Profit]]/Table1[[#This Row],[Sales]])*100</f>
        <v>27</v>
      </c>
    </row>
    <row r="4917" spans="1:12" x14ac:dyDescent="0.3">
      <c r="A4917" t="s">
        <v>3381</v>
      </c>
      <c r="B4917" s="1">
        <v>43780</v>
      </c>
      <c r="C4917" t="s">
        <v>2520</v>
      </c>
      <c r="D4917" t="s">
        <v>2521</v>
      </c>
      <c r="E4917" t="s">
        <v>14</v>
      </c>
      <c r="F4917" t="s">
        <v>41</v>
      </c>
      <c r="G4917" t="s">
        <v>24</v>
      </c>
      <c r="H4917" t="s">
        <v>1816</v>
      </c>
      <c r="I4917" s="2">
        <v>671.54399999999998</v>
      </c>
      <c r="J4917">
        <v>3</v>
      </c>
      <c r="K4917" s="2">
        <v>50.3658</v>
      </c>
      <c r="L4917" s="3">
        <f>(Table1[[#This Row],[Profit]]/Table1[[#This Row],[Sales]])*100</f>
        <v>7.5</v>
      </c>
    </row>
    <row r="4918" spans="1:12" x14ac:dyDescent="0.3">
      <c r="A4918" t="s">
        <v>5093</v>
      </c>
      <c r="B4918" s="1">
        <v>44044</v>
      </c>
      <c r="C4918" t="s">
        <v>5094</v>
      </c>
      <c r="D4918" t="s">
        <v>5095</v>
      </c>
      <c r="E4918" t="s">
        <v>14</v>
      </c>
      <c r="F4918" t="s">
        <v>23</v>
      </c>
      <c r="G4918" t="s">
        <v>24</v>
      </c>
      <c r="H4918" t="s">
        <v>302</v>
      </c>
      <c r="I4918" s="2">
        <v>203.54</v>
      </c>
      <c r="J4918">
        <v>3</v>
      </c>
      <c r="K4918" s="2">
        <v>50.3658</v>
      </c>
      <c r="L4918" s="3">
        <f>(Table1[[#This Row],[Profit]]/Table1[[#This Row],[Sales]])*100</f>
        <v>24.744915004421735</v>
      </c>
    </row>
    <row r="4919" spans="1:12" x14ac:dyDescent="0.3">
      <c r="A4919" t="s">
        <v>5013</v>
      </c>
      <c r="B4919" s="1">
        <v>44027</v>
      </c>
      <c r="C4919" t="s">
        <v>1314</v>
      </c>
      <c r="D4919" t="s">
        <v>1315</v>
      </c>
      <c r="E4919" t="s">
        <v>14</v>
      </c>
      <c r="F4919" t="s">
        <v>41</v>
      </c>
      <c r="G4919" t="s">
        <v>24</v>
      </c>
      <c r="H4919" t="s">
        <v>5014</v>
      </c>
      <c r="I4919" s="2">
        <v>200.94</v>
      </c>
      <c r="J4919">
        <v>3</v>
      </c>
      <c r="K4919" s="2">
        <v>50.383200000000002</v>
      </c>
      <c r="L4919" s="3">
        <f>(Table1[[#This Row],[Profit]]/Table1[[#This Row],[Sales]])*100</f>
        <v>25.073753359211707</v>
      </c>
    </row>
    <row r="4920" spans="1:12" x14ac:dyDescent="0.3">
      <c r="A4920" t="s">
        <v>4766</v>
      </c>
      <c r="B4920" s="1">
        <v>43985</v>
      </c>
      <c r="C4920" t="s">
        <v>1214</v>
      </c>
      <c r="D4920" t="s">
        <v>1215</v>
      </c>
      <c r="E4920" t="s">
        <v>14</v>
      </c>
      <c r="F4920" t="s">
        <v>41</v>
      </c>
      <c r="G4920" t="s">
        <v>18</v>
      </c>
      <c r="H4920" t="s">
        <v>1583</v>
      </c>
      <c r="I4920" s="2">
        <v>528.96</v>
      </c>
      <c r="J4920">
        <v>5</v>
      </c>
      <c r="K4920" s="2">
        <v>50.396000000000001</v>
      </c>
      <c r="L4920" s="3">
        <f>(Table1[[#This Row],[Profit]]/Table1[[#This Row],[Sales]])*100</f>
        <v>9.5273744706594066</v>
      </c>
    </row>
    <row r="4921" spans="1:12" x14ac:dyDescent="0.3">
      <c r="A4921" t="s">
        <v>5863</v>
      </c>
      <c r="B4921" s="1">
        <v>44147</v>
      </c>
      <c r="C4921" t="s">
        <v>1577</v>
      </c>
      <c r="D4921" t="s">
        <v>1578</v>
      </c>
      <c r="E4921" t="s">
        <v>14</v>
      </c>
      <c r="F4921" t="s">
        <v>23</v>
      </c>
      <c r="G4921" t="s">
        <v>18</v>
      </c>
      <c r="H4921" t="s">
        <v>1652</v>
      </c>
      <c r="I4921" s="2">
        <v>692.98400000000004</v>
      </c>
      <c r="J4921">
        <v>2</v>
      </c>
      <c r="K4921" s="2">
        <v>50.398800000000001</v>
      </c>
      <c r="L4921" s="3">
        <f>(Table1[[#This Row],[Profit]]/Table1[[#This Row],[Sales]])*100</f>
        <v>7.2727220253281457</v>
      </c>
    </row>
    <row r="4922" spans="1:12" x14ac:dyDescent="0.3">
      <c r="A4922" t="s">
        <v>508</v>
      </c>
      <c r="B4922" s="1">
        <v>43529</v>
      </c>
      <c r="C4922" t="s">
        <v>509</v>
      </c>
      <c r="D4922" t="s">
        <v>510</v>
      </c>
      <c r="E4922" t="s">
        <v>14</v>
      </c>
      <c r="F4922" t="s">
        <v>29</v>
      </c>
      <c r="G4922" t="s">
        <v>24</v>
      </c>
      <c r="H4922" t="s">
        <v>511</v>
      </c>
      <c r="I4922" s="2">
        <v>149.352</v>
      </c>
      <c r="J4922">
        <v>3</v>
      </c>
      <c r="K4922" s="2">
        <v>50.406300000000002</v>
      </c>
      <c r="L4922" s="3">
        <f>(Table1[[#This Row],[Profit]]/Table1[[#This Row],[Sales]])*100</f>
        <v>33.75</v>
      </c>
    </row>
    <row r="4923" spans="1:12" x14ac:dyDescent="0.3">
      <c r="A4923" t="s">
        <v>2911</v>
      </c>
      <c r="B4923" s="1">
        <v>43733</v>
      </c>
      <c r="C4923" t="s">
        <v>1970</v>
      </c>
      <c r="D4923" t="s">
        <v>1971</v>
      </c>
      <c r="E4923" t="s">
        <v>14</v>
      </c>
      <c r="F4923" t="s">
        <v>29</v>
      </c>
      <c r="G4923" t="s">
        <v>16</v>
      </c>
      <c r="H4923" t="s">
        <v>2913</v>
      </c>
      <c r="I4923" s="2">
        <v>201.96</v>
      </c>
      <c r="J4923">
        <v>2</v>
      </c>
      <c r="K4923" s="2">
        <v>50.49</v>
      </c>
      <c r="L4923" s="3">
        <f>(Table1[[#This Row],[Profit]]/Table1[[#This Row],[Sales]])*100</f>
        <v>25</v>
      </c>
    </row>
    <row r="4924" spans="1:12" x14ac:dyDescent="0.3">
      <c r="A4924" t="s">
        <v>5692</v>
      </c>
      <c r="B4924" s="1">
        <v>44127</v>
      </c>
      <c r="C4924" t="s">
        <v>1883</v>
      </c>
      <c r="D4924" t="s">
        <v>1884</v>
      </c>
      <c r="E4924" t="s">
        <v>14</v>
      </c>
      <c r="F4924" t="s">
        <v>15</v>
      </c>
      <c r="G4924" t="s">
        <v>16</v>
      </c>
      <c r="H4924" t="s">
        <v>2535</v>
      </c>
      <c r="I4924" s="2">
        <v>231.68</v>
      </c>
      <c r="J4924">
        <v>2</v>
      </c>
      <c r="K4924" s="2">
        <v>50.563200000000002</v>
      </c>
      <c r="L4924" s="3">
        <f>(Table1[[#This Row],[Profit]]/Table1[[#This Row],[Sales]])*100</f>
        <v>21.824585635359117</v>
      </c>
    </row>
    <row r="4925" spans="1:12" x14ac:dyDescent="0.3">
      <c r="A4925" t="s">
        <v>4839</v>
      </c>
      <c r="B4925" s="1">
        <v>43998</v>
      </c>
      <c r="C4925" t="s">
        <v>3041</v>
      </c>
      <c r="D4925" t="s">
        <v>3042</v>
      </c>
      <c r="E4925" t="s">
        <v>14</v>
      </c>
      <c r="F4925" t="s">
        <v>41</v>
      </c>
      <c r="G4925" t="s">
        <v>24</v>
      </c>
      <c r="H4925" t="s">
        <v>4840</v>
      </c>
      <c r="I4925" s="2">
        <v>194.66</v>
      </c>
      <c r="J4925">
        <v>3</v>
      </c>
      <c r="K4925" s="2">
        <v>50.584800000000001</v>
      </c>
      <c r="L4925" s="3">
        <f>(Table1[[#This Row],[Profit]]/Table1[[#This Row],[Sales]])*100</f>
        <v>25.986232405219354</v>
      </c>
    </row>
    <row r="4926" spans="1:12" x14ac:dyDescent="0.3">
      <c r="A4926" t="s">
        <v>6235</v>
      </c>
      <c r="B4926" s="1">
        <v>44187</v>
      </c>
      <c r="C4926" t="s">
        <v>466</v>
      </c>
      <c r="D4926" t="s">
        <v>467</v>
      </c>
      <c r="E4926" t="s">
        <v>14</v>
      </c>
      <c r="F4926" t="s">
        <v>15</v>
      </c>
      <c r="G4926" t="s">
        <v>16</v>
      </c>
      <c r="H4926" t="s">
        <v>4194</v>
      </c>
      <c r="I4926" s="2">
        <v>375.98</v>
      </c>
      <c r="J4926">
        <v>1</v>
      </c>
      <c r="K4926" s="2">
        <v>50.825400000000002</v>
      </c>
      <c r="L4926" s="3">
        <f>(Table1[[#This Row],[Profit]]/Table1[[#This Row],[Sales]])*100</f>
        <v>13.518112665567317</v>
      </c>
    </row>
    <row r="4927" spans="1:12" x14ac:dyDescent="0.3">
      <c r="A4927" t="s">
        <v>5366</v>
      </c>
      <c r="B4927" s="1">
        <v>44085</v>
      </c>
      <c r="C4927" t="s">
        <v>5354</v>
      </c>
      <c r="D4927" t="s">
        <v>5355</v>
      </c>
      <c r="E4927" t="s">
        <v>14</v>
      </c>
      <c r="F4927" t="s">
        <v>41</v>
      </c>
      <c r="G4927" t="s">
        <v>24</v>
      </c>
      <c r="H4927" t="s">
        <v>1113</v>
      </c>
      <c r="I4927" s="2">
        <v>217.68</v>
      </c>
      <c r="J4927">
        <v>4</v>
      </c>
      <c r="K4927" s="2">
        <v>50.876800000000003</v>
      </c>
      <c r="L4927" s="3">
        <f>(Table1[[#This Row],[Profit]]/Table1[[#This Row],[Sales]])*100</f>
        <v>23.372289599411982</v>
      </c>
    </row>
    <row r="4928" spans="1:12" x14ac:dyDescent="0.3">
      <c r="A4928" t="s">
        <v>4824</v>
      </c>
      <c r="B4928" s="1">
        <v>43995</v>
      </c>
      <c r="C4928" t="s">
        <v>148</v>
      </c>
      <c r="D4928" t="s">
        <v>149</v>
      </c>
      <c r="E4928" t="s">
        <v>14</v>
      </c>
      <c r="F4928" t="s">
        <v>41</v>
      </c>
      <c r="G4928" t="s">
        <v>24</v>
      </c>
      <c r="H4928" t="s">
        <v>4825</v>
      </c>
      <c r="I4928" s="2">
        <v>203.86</v>
      </c>
      <c r="J4928">
        <v>7</v>
      </c>
      <c r="K4928" s="2">
        <v>50.9208</v>
      </c>
      <c r="L4928" s="3">
        <f>(Table1[[#This Row],[Profit]]/Table1[[#This Row],[Sales]])*100</f>
        <v>24.97831845384087</v>
      </c>
    </row>
    <row r="4929" spans="1:12" x14ac:dyDescent="0.3">
      <c r="A4929" t="s">
        <v>5850</v>
      </c>
      <c r="B4929" s="1">
        <v>44146</v>
      </c>
      <c r="C4929" t="s">
        <v>3064</v>
      </c>
      <c r="D4929" t="s">
        <v>3065</v>
      </c>
      <c r="E4929" t="s">
        <v>14</v>
      </c>
      <c r="F4929" t="s">
        <v>29</v>
      </c>
      <c r="G4929" t="s">
        <v>24</v>
      </c>
      <c r="H4929" t="s">
        <v>4825</v>
      </c>
      <c r="I4929" s="2">
        <v>211.86</v>
      </c>
      <c r="J4929">
        <v>7</v>
      </c>
      <c r="K4929" s="2">
        <v>50.9208</v>
      </c>
      <c r="L4929" s="3">
        <f>(Table1[[#This Row],[Profit]]/Table1[[#This Row],[Sales]])*100</f>
        <v>24.035117530444634</v>
      </c>
    </row>
    <row r="4930" spans="1:12" x14ac:dyDescent="0.3">
      <c r="A4930" t="s">
        <v>5336</v>
      </c>
      <c r="B4930" s="1">
        <v>44083</v>
      </c>
      <c r="C4930" t="s">
        <v>3498</v>
      </c>
      <c r="D4930" t="s">
        <v>3499</v>
      </c>
      <c r="E4930" t="s">
        <v>14</v>
      </c>
      <c r="F4930" t="s">
        <v>23</v>
      </c>
      <c r="G4930" t="s">
        <v>18</v>
      </c>
      <c r="H4930" t="s">
        <v>4168</v>
      </c>
      <c r="I4930" s="2">
        <v>180.96</v>
      </c>
      <c r="J4930">
        <v>4</v>
      </c>
      <c r="K4930" s="2">
        <v>51.187199999999997</v>
      </c>
      <c r="L4930" s="3">
        <f>(Table1[[#This Row],[Profit]]/Table1[[#This Row],[Sales]])*100</f>
        <v>28.286472148541108</v>
      </c>
    </row>
    <row r="4931" spans="1:12" x14ac:dyDescent="0.3">
      <c r="A4931" t="s">
        <v>5510</v>
      </c>
      <c r="B4931" s="1">
        <v>44099</v>
      </c>
      <c r="C4931" t="s">
        <v>2320</v>
      </c>
      <c r="D4931" t="s">
        <v>2321</v>
      </c>
      <c r="E4931" t="s">
        <v>14</v>
      </c>
      <c r="F4931" t="s">
        <v>29</v>
      </c>
      <c r="G4931" t="s">
        <v>16</v>
      </c>
      <c r="H4931" t="s">
        <v>1980</v>
      </c>
      <c r="I4931" s="2">
        <v>285.97000000000003</v>
      </c>
      <c r="J4931">
        <v>3</v>
      </c>
      <c r="K4931" s="2">
        <v>51.2943</v>
      </c>
      <c r="L4931" s="3">
        <f>(Table1[[#This Row],[Profit]]/Table1[[#This Row],[Sales]])*100</f>
        <v>17.936951428471517</v>
      </c>
    </row>
    <row r="4932" spans="1:12" x14ac:dyDescent="0.3">
      <c r="A4932" t="s">
        <v>3677</v>
      </c>
      <c r="B4932" s="1">
        <v>43802</v>
      </c>
      <c r="C4932" t="s">
        <v>59</v>
      </c>
      <c r="D4932" t="s">
        <v>60</v>
      </c>
      <c r="E4932" t="s">
        <v>14</v>
      </c>
      <c r="F4932" t="s">
        <v>23</v>
      </c>
      <c r="G4932" t="s">
        <v>16</v>
      </c>
      <c r="H4932" t="s">
        <v>1552</v>
      </c>
      <c r="I4932" s="2">
        <v>111.9</v>
      </c>
      <c r="J4932">
        <v>6</v>
      </c>
      <c r="K4932" s="2">
        <v>51.473999999999997</v>
      </c>
      <c r="L4932" s="3">
        <f>(Table1[[#This Row],[Profit]]/Table1[[#This Row],[Sales]])*100</f>
        <v>46</v>
      </c>
    </row>
    <row r="4933" spans="1:12" x14ac:dyDescent="0.3">
      <c r="A4933" t="s">
        <v>1997</v>
      </c>
      <c r="B4933" s="1">
        <v>43654</v>
      </c>
      <c r="C4933" t="s">
        <v>857</v>
      </c>
      <c r="D4933" t="s">
        <v>858</v>
      </c>
      <c r="E4933" t="s">
        <v>14</v>
      </c>
      <c r="F4933" t="s">
        <v>41</v>
      </c>
      <c r="G4933" t="s">
        <v>18</v>
      </c>
      <c r="H4933" t="s">
        <v>1998</v>
      </c>
      <c r="I4933" s="2">
        <v>823.96</v>
      </c>
      <c r="J4933">
        <v>5</v>
      </c>
      <c r="K4933" s="2">
        <v>51.497500000000002</v>
      </c>
      <c r="L4933" s="3">
        <f>(Table1[[#This Row],[Profit]]/Table1[[#This Row],[Sales]])*100</f>
        <v>6.25</v>
      </c>
    </row>
    <row r="4934" spans="1:12" x14ac:dyDescent="0.3">
      <c r="A4934" t="s">
        <v>5696</v>
      </c>
      <c r="B4934" s="1">
        <v>44127</v>
      </c>
      <c r="C4934" t="s">
        <v>1248</v>
      </c>
      <c r="D4934" t="s">
        <v>1249</v>
      </c>
      <c r="E4934" t="s">
        <v>14</v>
      </c>
      <c r="F4934" t="s">
        <v>29</v>
      </c>
      <c r="G4934" t="s">
        <v>18</v>
      </c>
      <c r="H4934" t="s">
        <v>1998</v>
      </c>
      <c r="I4934" s="2">
        <v>852.96</v>
      </c>
      <c r="J4934">
        <v>5</v>
      </c>
      <c r="K4934" s="2">
        <v>51.497500000000002</v>
      </c>
      <c r="L4934" s="3">
        <f>(Table1[[#This Row],[Profit]]/Table1[[#This Row],[Sales]])*100</f>
        <v>6.0375046895516791</v>
      </c>
    </row>
    <row r="4935" spans="1:12" x14ac:dyDescent="0.3">
      <c r="A4935" t="s">
        <v>3707</v>
      </c>
      <c r="B4935" s="1">
        <v>43804</v>
      </c>
      <c r="C4935" t="s">
        <v>221</v>
      </c>
      <c r="D4935" t="s">
        <v>222</v>
      </c>
      <c r="E4935" t="s">
        <v>14</v>
      </c>
      <c r="F4935" t="s">
        <v>15</v>
      </c>
      <c r="G4935" t="s">
        <v>24</v>
      </c>
      <c r="H4935" t="s">
        <v>247</v>
      </c>
      <c r="I4935" s="2">
        <v>109.69</v>
      </c>
      <c r="J4935">
        <v>7</v>
      </c>
      <c r="K4935" s="2">
        <v>51.554299999999998</v>
      </c>
      <c r="L4935" s="3">
        <f>(Table1[[#This Row],[Profit]]/Table1[[#This Row],[Sales]])*100</f>
        <v>47</v>
      </c>
    </row>
    <row r="4936" spans="1:12" x14ac:dyDescent="0.3">
      <c r="A4936" t="s">
        <v>3643</v>
      </c>
      <c r="B4936" s="1">
        <v>43800</v>
      </c>
      <c r="C4936" t="s">
        <v>3041</v>
      </c>
      <c r="D4936" t="s">
        <v>3042</v>
      </c>
      <c r="E4936" t="s">
        <v>14</v>
      </c>
      <c r="F4936" t="s">
        <v>15</v>
      </c>
      <c r="G4936" t="s">
        <v>16</v>
      </c>
      <c r="H4936" t="s">
        <v>326</v>
      </c>
      <c r="I4936" s="2">
        <v>172.5</v>
      </c>
      <c r="J4936">
        <v>2</v>
      </c>
      <c r="K4936" s="2">
        <v>51.75</v>
      </c>
      <c r="L4936" s="3">
        <f>(Table1[[#This Row],[Profit]]/Table1[[#This Row],[Sales]])*100</f>
        <v>30</v>
      </c>
    </row>
    <row r="4937" spans="1:12" x14ac:dyDescent="0.3">
      <c r="A4937" t="s">
        <v>4092</v>
      </c>
      <c r="B4937" s="1">
        <v>43860</v>
      </c>
      <c r="C4937" t="s">
        <v>401</v>
      </c>
      <c r="D4937" t="s">
        <v>402</v>
      </c>
      <c r="E4937" t="s">
        <v>14</v>
      </c>
      <c r="F4937" t="s">
        <v>29</v>
      </c>
      <c r="G4937" t="s">
        <v>18</v>
      </c>
      <c r="H4937" t="s">
        <v>1164</v>
      </c>
      <c r="I4937" s="2">
        <v>224</v>
      </c>
      <c r="J4937">
        <v>3</v>
      </c>
      <c r="K4937" s="2">
        <v>51.75</v>
      </c>
      <c r="L4937" s="3">
        <f>(Table1[[#This Row],[Profit]]/Table1[[#This Row],[Sales]])*100</f>
        <v>23.102678571428573</v>
      </c>
    </row>
    <row r="4938" spans="1:12" x14ac:dyDescent="0.3">
      <c r="A4938" t="s">
        <v>1707</v>
      </c>
      <c r="B4938" s="1">
        <v>43628</v>
      </c>
      <c r="C4938" t="s">
        <v>210</v>
      </c>
      <c r="D4938" t="s">
        <v>211</v>
      </c>
      <c r="E4938" t="s">
        <v>14</v>
      </c>
      <c r="F4938" t="s">
        <v>15</v>
      </c>
      <c r="G4938" t="s">
        <v>24</v>
      </c>
      <c r="H4938" t="s">
        <v>975</v>
      </c>
      <c r="I4938" s="2">
        <v>115.02</v>
      </c>
      <c r="J4938">
        <v>9</v>
      </c>
      <c r="K4938" s="2">
        <v>51.759</v>
      </c>
      <c r="L4938" s="3">
        <f>(Table1[[#This Row],[Profit]]/Table1[[#This Row],[Sales]])*100</f>
        <v>45</v>
      </c>
    </row>
    <row r="4939" spans="1:12" x14ac:dyDescent="0.3">
      <c r="A4939" t="s">
        <v>2318</v>
      </c>
      <c r="B4939" s="1">
        <v>43690</v>
      </c>
      <c r="C4939" t="s">
        <v>1061</v>
      </c>
      <c r="D4939" t="s">
        <v>1062</v>
      </c>
      <c r="E4939" t="s">
        <v>14</v>
      </c>
      <c r="F4939" t="s">
        <v>41</v>
      </c>
      <c r="G4939" t="s">
        <v>24</v>
      </c>
      <c r="H4939" t="s">
        <v>1282</v>
      </c>
      <c r="I4939" s="2">
        <v>103.6</v>
      </c>
      <c r="J4939">
        <v>7</v>
      </c>
      <c r="K4939" s="2">
        <v>51.8</v>
      </c>
      <c r="L4939" s="3">
        <f>(Table1[[#This Row],[Profit]]/Table1[[#This Row],[Sales]])*100</f>
        <v>50</v>
      </c>
    </row>
    <row r="4940" spans="1:12" x14ac:dyDescent="0.3">
      <c r="A4940" t="s">
        <v>3763</v>
      </c>
      <c r="B4940" s="1">
        <v>43809</v>
      </c>
      <c r="C4940" t="s">
        <v>1024</v>
      </c>
      <c r="D4940" t="s">
        <v>1025</v>
      </c>
      <c r="E4940" t="s">
        <v>14</v>
      </c>
      <c r="F4940" t="s">
        <v>23</v>
      </c>
      <c r="G4940" t="s">
        <v>24</v>
      </c>
      <c r="H4940" t="s">
        <v>1361</v>
      </c>
      <c r="I4940" s="2">
        <v>153.55199999999999</v>
      </c>
      <c r="J4940">
        <v>3</v>
      </c>
      <c r="K4940" s="2">
        <v>51.823799999999999</v>
      </c>
      <c r="L4940" s="3">
        <f>(Table1[[#This Row],[Profit]]/Table1[[#This Row],[Sales]])*100</f>
        <v>33.75</v>
      </c>
    </row>
    <row r="4941" spans="1:12" x14ac:dyDescent="0.3">
      <c r="A4941" t="s">
        <v>6274</v>
      </c>
      <c r="B4941" s="1">
        <v>44190</v>
      </c>
      <c r="C4941" t="s">
        <v>3649</v>
      </c>
      <c r="D4941" t="s">
        <v>3650</v>
      </c>
      <c r="E4941" t="s">
        <v>14</v>
      </c>
      <c r="F4941" t="s">
        <v>23</v>
      </c>
      <c r="G4941" t="s">
        <v>24</v>
      </c>
      <c r="H4941" t="s">
        <v>1361</v>
      </c>
      <c r="I4941" s="2">
        <v>468.55200000000002</v>
      </c>
      <c r="J4941">
        <v>3</v>
      </c>
      <c r="K4941" s="2">
        <v>51.823799999999999</v>
      </c>
      <c r="L4941" s="3">
        <f>(Table1[[#This Row],[Profit]]/Table1[[#This Row],[Sales]])*100</f>
        <v>11.060415919684473</v>
      </c>
    </row>
    <row r="4942" spans="1:12" x14ac:dyDescent="0.3">
      <c r="A4942" t="s">
        <v>2222</v>
      </c>
      <c r="B4942" s="1">
        <v>43676</v>
      </c>
      <c r="C4942" t="s">
        <v>1947</v>
      </c>
      <c r="D4942" t="s">
        <v>1948</v>
      </c>
      <c r="E4942" t="s">
        <v>14</v>
      </c>
      <c r="F4942" t="s">
        <v>29</v>
      </c>
      <c r="G4942" t="s">
        <v>24</v>
      </c>
      <c r="H4942" t="s">
        <v>1068</v>
      </c>
      <c r="I4942" s="2">
        <v>1036.624</v>
      </c>
      <c r="J4942">
        <v>2</v>
      </c>
      <c r="K4942" s="2">
        <v>51.831200000000003</v>
      </c>
      <c r="L4942" s="3">
        <f>(Table1[[#This Row],[Profit]]/Table1[[#This Row],[Sales]])*100</f>
        <v>5</v>
      </c>
    </row>
    <row r="4943" spans="1:12" x14ac:dyDescent="0.3">
      <c r="A4943" t="s">
        <v>3121</v>
      </c>
      <c r="B4943" s="1">
        <v>43758</v>
      </c>
      <c r="C4943" t="s">
        <v>2108</v>
      </c>
      <c r="D4943" t="s">
        <v>2109</v>
      </c>
      <c r="E4943" t="s">
        <v>14</v>
      </c>
      <c r="F4943" t="s">
        <v>29</v>
      </c>
      <c r="G4943" t="s">
        <v>18</v>
      </c>
      <c r="H4943" t="s">
        <v>463</v>
      </c>
      <c r="I4943" s="2">
        <v>191.98</v>
      </c>
      <c r="J4943">
        <v>2</v>
      </c>
      <c r="K4943" s="2">
        <v>51.834600000000002</v>
      </c>
      <c r="L4943" s="3">
        <f>(Table1[[#This Row],[Profit]]/Table1[[#This Row],[Sales]])*100</f>
        <v>27</v>
      </c>
    </row>
    <row r="4944" spans="1:12" x14ac:dyDescent="0.3">
      <c r="A4944" t="s">
        <v>4839</v>
      </c>
      <c r="B4944" s="1">
        <v>43998</v>
      </c>
      <c r="C4944" t="s">
        <v>3041</v>
      </c>
      <c r="D4944" t="s">
        <v>3042</v>
      </c>
      <c r="E4944" t="s">
        <v>14</v>
      </c>
      <c r="F4944" t="s">
        <v>41</v>
      </c>
      <c r="G4944" t="s">
        <v>18</v>
      </c>
      <c r="H4944" t="s">
        <v>463</v>
      </c>
      <c r="I4944" s="2">
        <v>241.98</v>
      </c>
      <c r="J4944">
        <v>2</v>
      </c>
      <c r="K4944" s="2">
        <v>51.834600000000002</v>
      </c>
      <c r="L4944" s="3">
        <f>(Table1[[#This Row],[Profit]]/Table1[[#This Row],[Sales]])*100</f>
        <v>21.421026531118276</v>
      </c>
    </row>
    <row r="4945" spans="1:12" x14ac:dyDescent="0.3">
      <c r="A4945" t="s">
        <v>1768</v>
      </c>
      <c r="B4945" s="1">
        <v>43633</v>
      </c>
      <c r="C4945" t="s">
        <v>1769</v>
      </c>
      <c r="D4945" t="s">
        <v>1770</v>
      </c>
      <c r="E4945" t="s">
        <v>14</v>
      </c>
      <c r="F4945" t="s">
        <v>15</v>
      </c>
      <c r="G4945" t="s">
        <v>24</v>
      </c>
      <c r="H4945" t="s">
        <v>1413</v>
      </c>
      <c r="I4945" s="2">
        <v>208.56</v>
      </c>
      <c r="J4945">
        <v>6</v>
      </c>
      <c r="K4945" s="2">
        <v>52.14</v>
      </c>
      <c r="L4945" s="3">
        <f>(Table1[[#This Row],[Profit]]/Table1[[#This Row],[Sales]])*100</f>
        <v>25</v>
      </c>
    </row>
    <row r="4946" spans="1:12" x14ac:dyDescent="0.3">
      <c r="A4946" t="s">
        <v>5827</v>
      </c>
      <c r="B4946" s="1">
        <v>44144</v>
      </c>
      <c r="C4946" t="s">
        <v>1465</v>
      </c>
      <c r="D4946" t="s">
        <v>1466</v>
      </c>
      <c r="E4946" t="s">
        <v>14</v>
      </c>
      <c r="F4946" t="s">
        <v>23</v>
      </c>
      <c r="G4946" t="s">
        <v>16</v>
      </c>
      <c r="H4946" t="s">
        <v>2813</v>
      </c>
      <c r="I4946" s="2">
        <v>541.39200000000005</v>
      </c>
      <c r="J4946">
        <v>3</v>
      </c>
      <c r="K4946" s="2">
        <v>52.339199999999998</v>
      </c>
      <c r="L4946" s="3">
        <f>(Table1[[#This Row],[Profit]]/Table1[[#This Row],[Sales]])*100</f>
        <v>9.6675237166415453</v>
      </c>
    </row>
    <row r="4947" spans="1:12" x14ac:dyDescent="0.3">
      <c r="A4947" t="s">
        <v>3901</v>
      </c>
      <c r="B4947" s="1">
        <v>43824</v>
      </c>
      <c r="C4947" t="s">
        <v>1992</v>
      </c>
      <c r="D4947" t="s">
        <v>1993</v>
      </c>
      <c r="E4947" t="s">
        <v>14</v>
      </c>
      <c r="F4947" t="s">
        <v>23</v>
      </c>
      <c r="G4947" t="s">
        <v>16</v>
      </c>
      <c r="H4947" t="s">
        <v>853</v>
      </c>
      <c r="I4947" s="2">
        <v>698.35199999999998</v>
      </c>
      <c r="J4947">
        <v>3</v>
      </c>
      <c r="K4947" s="2">
        <v>52.376399999999997</v>
      </c>
      <c r="L4947" s="3">
        <f>(Table1[[#This Row],[Profit]]/Table1[[#This Row],[Sales]])*100</f>
        <v>7.5</v>
      </c>
    </row>
    <row r="4948" spans="1:12" x14ac:dyDescent="0.3">
      <c r="A4948" t="s">
        <v>4828</v>
      </c>
      <c r="B4948" s="1">
        <v>43997</v>
      </c>
      <c r="C4948" t="s">
        <v>1992</v>
      </c>
      <c r="D4948" t="s">
        <v>1993</v>
      </c>
      <c r="E4948" t="s">
        <v>14</v>
      </c>
      <c r="F4948" t="s">
        <v>41</v>
      </c>
      <c r="G4948" t="s">
        <v>16</v>
      </c>
      <c r="H4948" t="s">
        <v>853</v>
      </c>
      <c r="I4948" s="2">
        <v>746.35199999999998</v>
      </c>
      <c r="J4948">
        <v>3</v>
      </c>
      <c r="K4948" s="2">
        <v>52.376399999999997</v>
      </c>
      <c r="L4948" s="3">
        <f>(Table1[[#This Row],[Profit]]/Table1[[#This Row],[Sales]])*100</f>
        <v>7.0176538684159757</v>
      </c>
    </row>
    <row r="4949" spans="1:12" x14ac:dyDescent="0.3">
      <c r="A4949" t="s">
        <v>2029</v>
      </c>
      <c r="B4949" s="1">
        <v>43660</v>
      </c>
      <c r="C4949" t="s">
        <v>1034</v>
      </c>
      <c r="D4949" t="s">
        <v>1035</v>
      </c>
      <c r="E4949" t="s">
        <v>14</v>
      </c>
      <c r="F4949" t="s">
        <v>29</v>
      </c>
      <c r="G4949" t="s">
        <v>18</v>
      </c>
      <c r="H4949" t="s">
        <v>2030</v>
      </c>
      <c r="I4949" s="2">
        <v>419.94400000000002</v>
      </c>
      <c r="J4949">
        <v>7</v>
      </c>
      <c r="K4949" s="2">
        <v>52.493000000000002</v>
      </c>
      <c r="L4949" s="3">
        <f>(Table1[[#This Row],[Profit]]/Table1[[#This Row],[Sales]])*100</f>
        <v>12.5</v>
      </c>
    </row>
    <row r="4950" spans="1:12" x14ac:dyDescent="0.3">
      <c r="A4950" t="s">
        <v>4599</v>
      </c>
      <c r="B4950" s="1">
        <v>43958</v>
      </c>
      <c r="C4950" t="s">
        <v>815</v>
      </c>
      <c r="D4950" t="s">
        <v>816</v>
      </c>
      <c r="E4950" t="s">
        <v>14</v>
      </c>
      <c r="F4950" t="s">
        <v>23</v>
      </c>
      <c r="G4950" t="s">
        <v>18</v>
      </c>
      <c r="H4950" t="s">
        <v>2030</v>
      </c>
      <c r="I4950" s="2">
        <v>462.94400000000002</v>
      </c>
      <c r="J4950">
        <v>7</v>
      </c>
      <c r="K4950" s="2">
        <v>52.493000000000002</v>
      </c>
      <c r="L4950" s="3">
        <f>(Table1[[#This Row],[Profit]]/Table1[[#This Row],[Sales]])*100</f>
        <v>11.338952443492085</v>
      </c>
    </row>
    <row r="4951" spans="1:12" x14ac:dyDescent="0.3">
      <c r="A4951" t="s">
        <v>2298</v>
      </c>
      <c r="B4951" s="1">
        <v>43689</v>
      </c>
      <c r="C4951" t="s">
        <v>1197</v>
      </c>
      <c r="D4951" t="s">
        <v>1198</v>
      </c>
      <c r="E4951" t="s">
        <v>14</v>
      </c>
      <c r="F4951" t="s">
        <v>29</v>
      </c>
      <c r="G4951" t="s">
        <v>18</v>
      </c>
      <c r="H4951" t="s">
        <v>2299</v>
      </c>
      <c r="I4951" s="2">
        <v>1399.944</v>
      </c>
      <c r="J4951">
        <v>7</v>
      </c>
      <c r="K4951" s="2">
        <v>52.497900000000001</v>
      </c>
      <c r="L4951" s="3">
        <f>(Table1[[#This Row],[Profit]]/Table1[[#This Row],[Sales]])*100</f>
        <v>3.75</v>
      </c>
    </row>
    <row r="4952" spans="1:12" x14ac:dyDescent="0.3">
      <c r="A4952" t="s">
        <v>2722</v>
      </c>
      <c r="B4952" s="1">
        <v>43720</v>
      </c>
      <c r="C4952" t="s">
        <v>44</v>
      </c>
      <c r="D4952" t="s">
        <v>45</v>
      </c>
      <c r="E4952" t="s">
        <v>14</v>
      </c>
      <c r="F4952" t="s">
        <v>23</v>
      </c>
      <c r="G4952" t="s">
        <v>16</v>
      </c>
      <c r="H4952" t="s">
        <v>997</v>
      </c>
      <c r="I4952" s="2">
        <v>466.76799999999997</v>
      </c>
      <c r="J4952">
        <v>2</v>
      </c>
      <c r="K4952" s="2">
        <v>52.511400000000002</v>
      </c>
      <c r="L4952" s="3">
        <f>(Table1[[#This Row],[Profit]]/Table1[[#This Row],[Sales]])*100</f>
        <v>11.250000000000002</v>
      </c>
    </row>
    <row r="4953" spans="1:12" x14ac:dyDescent="0.3">
      <c r="A4953" t="s">
        <v>4145</v>
      </c>
      <c r="B4953" s="1">
        <v>43878</v>
      </c>
      <c r="C4953" t="s">
        <v>4146</v>
      </c>
      <c r="D4953" t="s">
        <v>4147</v>
      </c>
      <c r="E4953" t="s">
        <v>14</v>
      </c>
      <c r="F4953" t="s">
        <v>29</v>
      </c>
      <c r="G4953" t="s">
        <v>24</v>
      </c>
      <c r="H4953" t="s">
        <v>4151</v>
      </c>
      <c r="I4953" s="2">
        <v>205.44</v>
      </c>
      <c r="J4953">
        <v>6</v>
      </c>
      <c r="K4953" s="2">
        <v>52.631999999999998</v>
      </c>
      <c r="L4953" s="3">
        <f>(Table1[[#This Row],[Profit]]/Table1[[#This Row],[Sales]])*100</f>
        <v>25.61915887850467</v>
      </c>
    </row>
    <row r="4954" spans="1:12" x14ac:dyDescent="0.3">
      <c r="A4954" t="s">
        <v>3286</v>
      </c>
      <c r="B4954" s="1">
        <v>43774</v>
      </c>
      <c r="C4954" t="s">
        <v>2304</v>
      </c>
      <c r="D4954" t="s">
        <v>2305</v>
      </c>
      <c r="E4954" t="s">
        <v>14</v>
      </c>
      <c r="F4954" t="s">
        <v>23</v>
      </c>
      <c r="G4954" t="s">
        <v>18</v>
      </c>
      <c r="H4954" t="s">
        <v>3287</v>
      </c>
      <c r="I4954" s="2">
        <v>479.72</v>
      </c>
      <c r="J4954">
        <v>4</v>
      </c>
      <c r="K4954" s="2">
        <v>52.769199999999998</v>
      </c>
      <c r="L4954" s="3">
        <f>(Table1[[#This Row],[Profit]]/Table1[[#This Row],[Sales]])*100</f>
        <v>10.999999999999998</v>
      </c>
    </row>
    <row r="4955" spans="1:12" x14ac:dyDescent="0.3">
      <c r="A4955" t="s">
        <v>4192</v>
      </c>
      <c r="B4955" s="1">
        <v>43892</v>
      </c>
      <c r="C4955" t="s">
        <v>1554</v>
      </c>
      <c r="D4955" t="s">
        <v>1555</v>
      </c>
      <c r="E4955" t="s">
        <v>14</v>
      </c>
      <c r="F4955" t="s">
        <v>23</v>
      </c>
      <c r="G4955" t="s">
        <v>18</v>
      </c>
      <c r="H4955" t="s">
        <v>1499</v>
      </c>
      <c r="I4955" s="2">
        <v>493.94</v>
      </c>
      <c r="J4955">
        <v>6</v>
      </c>
      <c r="K4955" s="2">
        <v>52.793399999999998</v>
      </c>
      <c r="L4955" s="3">
        <f>(Table1[[#This Row],[Profit]]/Table1[[#This Row],[Sales]])*100</f>
        <v>10.688221241446328</v>
      </c>
    </row>
    <row r="4956" spans="1:12" x14ac:dyDescent="0.3">
      <c r="A4956" t="s">
        <v>285</v>
      </c>
      <c r="B4956" s="1">
        <v>43501</v>
      </c>
      <c r="C4956" t="s">
        <v>286</v>
      </c>
      <c r="D4956" t="s">
        <v>287</v>
      </c>
      <c r="E4956" t="s">
        <v>14</v>
      </c>
      <c r="F4956" t="s">
        <v>41</v>
      </c>
      <c r="G4956" t="s">
        <v>16</v>
      </c>
      <c r="H4956" t="s">
        <v>292</v>
      </c>
      <c r="I4956" s="2">
        <v>239.98</v>
      </c>
      <c r="J4956">
        <v>2</v>
      </c>
      <c r="K4956" s="2">
        <v>52.7956</v>
      </c>
      <c r="L4956" s="3">
        <f>(Table1[[#This Row],[Profit]]/Table1[[#This Row],[Sales]])*100</f>
        <v>22</v>
      </c>
    </row>
    <row r="4957" spans="1:12" x14ac:dyDescent="0.3">
      <c r="A4957" t="s">
        <v>220</v>
      </c>
      <c r="B4957" s="1">
        <v>43495</v>
      </c>
      <c r="C4957" t="s">
        <v>221</v>
      </c>
      <c r="D4957" t="s">
        <v>222</v>
      </c>
      <c r="E4957" t="s">
        <v>14</v>
      </c>
      <c r="F4957" t="s">
        <v>29</v>
      </c>
      <c r="G4957" t="s">
        <v>24</v>
      </c>
      <c r="H4957" t="s">
        <v>223</v>
      </c>
      <c r="I4957" s="2">
        <v>156.512</v>
      </c>
      <c r="J4957">
        <v>4</v>
      </c>
      <c r="K4957" s="2">
        <v>52.822800000000001</v>
      </c>
      <c r="L4957" s="3">
        <f>(Table1[[#This Row],[Profit]]/Table1[[#This Row],[Sales]])*100</f>
        <v>33.75</v>
      </c>
    </row>
    <row r="4958" spans="1:12" x14ac:dyDescent="0.3">
      <c r="A4958" t="s">
        <v>4778</v>
      </c>
      <c r="B4958" s="1">
        <v>43987</v>
      </c>
      <c r="C4958" t="s">
        <v>257</v>
      </c>
      <c r="D4958" t="s">
        <v>258</v>
      </c>
      <c r="E4958" t="s">
        <v>14</v>
      </c>
      <c r="F4958" t="s">
        <v>29</v>
      </c>
      <c r="G4958" t="s">
        <v>18</v>
      </c>
      <c r="H4958" t="s">
        <v>4742</v>
      </c>
      <c r="I4958" s="2">
        <v>520.37599999999998</v>
      </c>
      <c r="J4958">
        <v>3</v>
      </c>
      <c r="K4958" s="2">
        <v>52.917299999999997</v>
      </c>
      <c r="L4958" s="3">
        <f>(Table1[[#This Row],[Profit]]/Table1[[#This Row],[Sales]])*100</f>
        <v>10.169050840161729</v>
      </c>
    </row>
    <row r="4959" spans="1:12" x14ac:dyDescent="0.3">
      <c r="A4959" t="s">
        <v>5009</v>
      </c>
      <c r="B4959" s="1">
        <v>44026</v>
      </c>
      <c r="C4959" t="s">
        <v>1671</v>
      </c>
      <c r="D4959" t="s">
        <v>1672</v>
      </c>
      <c r="E4959" t="s">
        <v>14</v>
      </c>
      <c r="F4959" t="s">
        <v>23</v>
      </c>
      <c r="G4959" t="s">
        <v>18</v>
      </c>
      <c r="H4959" t="s">
        <v>3732</v>
      </c>
      <c r="I4959" s="2">
        <v>492.37599999999998</v>
      </c>
      <c r="J4959">
        <v>3</v>
      </c>
      <c r="K4959" s="2">
        <v>52.917299999999997</v>
      </c>
      <c r="L4959" s="3">
        <f>(Table1[[#This Row],[Profit]]/Table1[[#This Row],[Sales]])*100</f>
        <v>10.747335369717453</v>
      </c>
    </row>
    <row r="4960" spans="1:12" x14ac:dyDescent="0.3">
      <c r="A4960" t="s">
        <v>6055</v>
      </c>
      <c r="B4960" s="1">
        <v>44166</v>
      </c>
      <c r="C4960" t="s">
        <v>2695</v>
      </c>
      <c r="D4960" t="s">
        <v>2696</v>
      </c>
      <c r="E4960" t="s">
        <v>14</v>
      </c>
      <c r="F4960" t="s">
        <v>23</v>
      </c>
      <c r="G4960" t="s">
        <v>18</v>
      </c>
      <c r="H4960" t="s">
        <v>3732</v>
      </c>
      <c r="I4960" s="2">
        <v>483.37599999999998</v>
      </c>
      <c r="J4960">
        <v>3</v>
      </c>
      <c r="K4960" s="2">
        <v>52.917299999999997</v>
      </c>
      <c r="L4960" s="3">
        <f>(Table1[[#This Row],[Profit]]/Table1[[#This Row],[Sales]])*100</f>
        <v>10.947440501803978</v>
      </c>
    </row>
    <row r="4961" spans="1:12" x14ac:dyDescent="0.3">
      <c r="A4961" t="s">
        <v>3618</v>
      </c>
      <c r="B4961" s="1">
        <v>43797</v>
      </c>
      <c r="C4961" t="s">
        <v>497</v>
      </c>
      <c r="D4961" t="s">
        <v>498</v>
      </c>
      <c r="E4961" t="s">
        <v>14</v>
      </c>
      <c r="F4961" t="s">
        <v>41</v>
      </c>
      <c r="G4961" t="s">
        <v>16</v>
      </c>
      <c r="H4961" t="s">
        <v>2635</v>
      </c>
      <c r="I4961" s="2">
        <v>182.67</v>
      </c>
      <c r="J4961">
        <v>3</v>
      </c>
      <c r="K4961" s="2">
        <v>52.974299999999999</v>
      </c>
      <c r="L4961" s="3">
        <f>(Table1[[#This Row],[Profit]]/Table1[[#This Row],[Sales]])*100</f>
        <v>29.000000000000004</v>
      </c>
    </row>
    <row r="4962" spans="1:12" x14ac:dyDescent="0.3">
      <c r="A4962" t="s">
        <v>4006</v>
      </c>
      <c r="B4962" s="1">
        <v>43843</v>
      </c>
      <c r="C4962" t="s">
        <v>811</v>
      </c>
      <c r="D4962" t="s">
        <v>812</v>
      </c>
      <c r="E4962" t="s">
        <v>14</v>
      </c>
      <c r="F4962" t="s">
        <v>29</v>
      </c>
      <c r="G4962" t="s">
        <v>16</v>
      </c>
      <c r="H4962" t="s">
        <v>935</v>
      </c>
      <c r="I4962" s="2">
        <v>252.94</v>
      </c>
      <c r="J4962">
        <v>3</v>
      </c>
      <c r="K4962" s="2">
        <v>53.234999999999999</v>
      </c>
      <c r="L4962" s="3">
        <f>(Table1[[#This Row],[Profit]]/Table1[[#This Row],[Sales]])*100</f>
        <v>21.046493239503437</v>
      </c>
    </row>
    <row r="4963" spans="1:12" x14ac:dyDescent="0.3">
      <c r="A4963" t="s">
        <v>4354</v>
      </c>
      <c r="B4963" s="1">
        <v>43917</v>
      </c>
      <c r="C4963" t="s">
        <v>4355</v>
      </c>
      <c r="D4963" t="s">
        <v>4356</v>
      </c>
      <c r="E4963" t="s">
        <v>14</v>
      </c>
      <c r="F4963" t="s">
        <v>23</v>
      </c>
      <c r="G4963" t="s">
        <v>24</v>
      </c>
      <c r="H4963" t="s">
        <v>4357</v>
      </c>
      <c r="I4963" s="2">
        <v>121.96</v>
      </c>
      <c r="J4963">
        <v>2</v>
      </c>
      <c r="K4963" s="2">
        <v>53.260800000000003</v>
      </c>
      <c r="L4963" s="3">
        <f>(Table1[[#This Row],[Profit]]/Table1[[#This Row],[Sales]])*100</f>
        <v>43.670711708756976</v>
      </c>
    </row>
    <row r="4964" spans="1:12" x14ac:dyDescent="0.3">
      <c r="A4964" t="s">
        <v>5786</v>
      </c>
      <c r="B4964" s="1">
        <v>44140</v>
      </c>
      <c r="C4964" t="s">
        <v>5787</v>
      </c>
      <c r="D4964" t="s">
        <v>5788</v>
      </c>
      <c r="E4964" t="s">
        <v>14</v>
      </c>
      <c r="F4964" t="s">
        <v>15</v>
      </c>
      <c r="G4964" t="s">
        <v>24</v>
      </c>
      <c r="H4964" t="s">
        <v>2071</v>
      </c>
      <c r="I4964" s="2">
        <v>140.96</v>
      </c>
      <c r="J4964">
        <v>2</v>
      </c>
      <c r="K4964" s="2">
        <v>53.260800000000003</v>
      </c>
      <c r="L4964" s="3">
        <f>(Table1[[#This Row],[Profit]]/Table1[[#This Row],[Sales]])*100</f>
        <v>37.784335981838815</v>
      </c>
    </row>
    <row r="4965" spans="1:12" x14ac:dyDescent="0.3">
      <c r="A4965" t="s">
        <v>4366</v>
      </c>
      <c r="B4965" s="1">
        <v>43918</v>
      </c>
      <c r="C4965" t="s">
        <v>1854</v>
      </c>
      <c r="D4965" t="s">
        <v>1855</v>
      </c>
      <c r="E4965" t="s">
        <v>14</v>
      </c>
      <c r="F4965" t="s">
        <v>23</v>
      </c>
      <c r="G4965" t="s">
        <v>18</v>
      </c>
      <c r="H4965" t="s">
        <v>4367</v>
      </c>
      <c r="I4965" s="2">
        <v>555.72</v>
      </c>
      <c r="J4965">
        <v>2</v>
      </c>
      <c r="K4965" s="2">
        <v>53.271999999999998</v>
      </c>
      <c r="L4965" s="3">
        <f>(Table1[[#This Row],[Profit]]/Table1[[#This Row],[Sales]])*100</f>
        <v>9.5861225077377092</v>
      </c>
    </row>
    <row r="4966" spans="1:12" x14ac:dyDescent="0.3">
      <c r="A4966" t="s">
        <v>5348</v>
      </c>
      <c r="B4966" s="1">
        <v>44084</v>
      </c>
      <c r="C4966" t="s">
        <v>1559</v>
      </c>
      <c r="D4966" t="s">
        <v>1560</v>
      </c>
      <c r="E4966" t="s">
        <v>14</v>
      </c>
      <c r="F4966" t="s">
        <v>29</v>
      </c>
      <c r="G4966" t="s">
        <v>18</v>
      </c>
      <c r="H4966" t="s">
        <v>3548</v>
      </c>
      <c r="I4966" s="2">
        <v>324.85000000000002</v>
      </c>
      <c r="J4966">
        <v>5</v>
      </c>
      <c r="K4966" s="2">
        <v>53.433</v>
      </c>
      <c r="L4966" s="3">
        <f>(Table1[[#This Row],[Profit]]/Table1[[#This Row],[Sales]])*100</f>
        <v>16.448514699091888</v>
      </c>
    </row>
    <row r="4967" spans="1:12" x14ac:dyDescent="0.3">
      <c r="A4967" t="s">
        <v>3890</v>
      </c>
      <c r="B4967" s="1">
        <v>43823</v>
      </c>
      <c r="C4967" t="s">
        <v>2411</v>
      </c>
      <c r="D4967" t="s">
        <v>2412</v>
      </c>
      <c r="E4967" t="s">
        <v>14</v>
      </c>
      <c r="F4967" t="s">
        <v>15</v>
      </c>
      <c r="G4967" t="s">
        <v>18</v>
      </c>
      <c r="H4967" t="s">
        <v>3891</v>
      </c>
      <c r="I4967" s="2">
        <v>197.97</v>
      </c>
      <c r="J4967">
        <v>3</v>
      </c>
      <c r="K4967" s="2">
        <v>53.451900000000002</v>
      </c>
      <c r="L4967" s="3">
        <f>(Table1[[#This Row],[Profit]]/Table1[[#This Row],[Sales]])*100</f>
        <v>27</v>
      </c>
    </row>
    <row r="4968" spans="1:12" x14ac:dyDescent="0.3">
      <c r="A4968" t="s">
        <v>1196</v>
      </c>
      <c r="B4968" s="1">
        <v>43586</v>
      </c>
      <c r="C4968" t="s">
        <v>1197</v>
      </c>
      <c r="D4968" t="s">
        <v>1198</v>
      </c>
      <c r="E4968" t="s">
        <v>14</v>
      </c>
      <c r="F4968" t="s">
        <v>41</v>
      </c>
      <c r="G4968" t="s">
        <v>24</v>
      </c>
      <c r="H4968" t="s">
        <v>1199</v>
      </c>
      <c r="I4968" s="2">
        <v>109.92</v>
      </c>
      <c r="J4968">
        <v>2</v>
      </c>
      <c r="K4968" s="2">
        <v>53.860799999999998</v>
      </c>
      <c r="L4968" s="3">
        <f>(Table1[[#This Row],[Profit]]/Table1[[#This Row],[Sales]])*100</f>
        <v>49</v>
      </c>
    </row>
    <row r="4969" spans="1:12" x14ac:dyDescent="0.3">
      <c r="A4969" t="s">
        <v>2196</v>
      </c>
      <c r="B4969" s="1">
        <v>43674</v>
      </c>
      <c r="C4969" t="s">
        <v>2197</v>
      </c>
      <c r="D4969" t="s">
        <v>2198</v>
      </c>
      <c r="E4969" t="s">
        <v>14</v>
      </c>
      <c r="F4969" t="s">
        <v>29</v>
      </c>
      <c r="G4969" t="s">
        <v>24</v>
      </c>
      <c r="H4969" t="s">
        <v>2199</v>
      </c>
      <c r="I4969" s="2">
        <v>109.92</v>
      </c>
      <c r="J4969">
        <v>2</v>
      </c>
      <c r="K4969" s="2">
        <v>53.860799999999998</v>
      </c>
      <c r="L4969" s="3">
        <f>(Table1[[#This Row],[Profit]]/Table1[[#This Row],[Sales]])*100</f>
        <v>49</v>
      </c>
    </row>
    <row r="4970" spans="1:12" x14ac:dyDescent="0.3">
      <c r="A4970" t="s">
        <v>6068</v>
      </c>
      <c r="B4970" s="1">
        <v>44167</v>
      </c>
      <c r="C4970" t="s">
        <v>3138</v>
      </c>
      <c r="D4970" t="s">
        <v>3139</v>
      </c>
      <c r="E4970" t="s">
        <v>14</v>
      </c>
      <c r="F4970" t="s">
        <v>23</v>
      </c>
      <c r="G4970" t="s">
        <v>24</v>
      </c>
      <c r="H4970" t="s">
        <v>5467</v>
      </c>
      <c r="I4970" s="2">
        <v>143.91999999999999</v>
      </c>
      <c r="J4970">
        <v>2</v>
      </c>
      <c r="K4970" s="2">
        <v>53.860799999999998</v>
      </c>
      <c r="L4970" s="3">
        <f>(Table1[[#This Row],[Profit]]/Table1[[#This Row],[Sales]])*100</f>
        <v>37.424124513618679</v>
      </c>
    </row>
    <row r="4971" spans="1:12" x14ac:dyDescent="0.3">
      <c r="A4971" t="s">
        <v>3965</v>
      </c>
      <c r="B4971" s="1">
        <v>43830</v>
      </c>
      <c r="C4971" t="s">
        <v>2869</v>
      </c>
      <c r="D4971" t="s">
        <v>2870</v>
      </c>
      <c r="E4971" t="s">
        <v>14</v>
      </c>
      <c r="F4971" t="s">
        <v>23</v>
      </c>
      <c r="G4971" t="s">
        <v>24</v>
      </c>
      <c r="H4971" t="s">
        <v>3966</v>
      </c>
      <c r="I4971" s="2">
        <v>159.768</v>
      </c>
      <c r="J4971">
        <v>7</v>
      </c>
      <c r="K4971" s="2">
        <v>53.921700000000001</v>
      </c>
      <c r="L4971" s="3">
        <f>(Table1[[#This Row],[Profit]]/Table1[[#This Row],[Sales]])*100</f>
        <v>33.75</v>
      </c>
    </row>
    <row r="4972" spans="1:12" x14ac:dyDescent="0.3">
      <c r="A4972" t="s">
        <v>2689</v>
      </c>
      <c r="B4972" s="1">
        <v>43718</v>
      </c>
      <c r="C4972" t="s">
        <v>2690</v>
      </c>
      <c r="D4972" t="s">
        <v>2691</v>
      </c>
      <c r="E4972" t="s">
        <v>14</v>
      </c>
      <c r="F4972" t="s">
        <v>29</v>
      </c>
      <c r="G4972" t="s">
        <v>18</v>
      </c>
      <c r="H4972" t="s">
        <v>490</v>
      </c>
      <c r="I4972" s="2">
        <v>719.96</v>
      </c>
      <c r="J4972">
        <v>5</v>
      </c>
      <c r="K4972" s="2">
        <v>53.997</v>
      </c>
      <c r="L4972" s="3">
        <f>(Table1[[#This Row],[Profit]]/Table1[[#This Row],[Sales]])*100</f>
        <v>7.5</v>
      </c>
    </row>
    <row r="4973" spans="1:12" x14ac:dyDescent="0.3">
      <c r="A4973" t="s">
        <v>4771</v>
      </c>
      <c r="B4973" s="1">
        <v>43986</v>
      </c>
      <c r="C4973" t="s">
        <v>1173</v>
      </c>
      <c r="D4973" t="s">
        <v>1174</v>
      </c>
      <c r="E4973" t="s">
        <v>14</v>
      </c>
      <c r="F4973" t="s">
        <v>41</v>
      </c>
      <c r="G4973" t="s">
        <v>24</v>
      </c>
      <c r="H4973" t="s">
        <v>644</v>
      </c>
      <c r="I4973" s="2">
        <v>140.08000000000001</v>
      </c>
      <c r="J4973">
        <v>7</v>
      </c>
      <c r="K4973" s="2">
        <v>54.04</v>
      </c>
      <c r="L4973" s="3">
        <f>(Table1[[#This Row],[Profit]]/Table1[[#This Row],[Sales]])*100</f>
        <v>38.577955454026267</v>
      </c>
    </row>
    <row r="4974" spans="1:12" x14ac:dyDescent="0.3">
      <c r="A4974" t="s">
        <v>4793</v>
      </c>
      <c r="B4974" s="1">
        <v>43991</v>
      </c>
      <c r="C4974" t="s">
        <v>3072</v>
      </c>
      <c r="D4974" t="s">
        <v>3073</v>
      </c>
      <c r="E4974" t="s">
        <v>14</v>
      </c>
      <c r="F4974" t="s">
        <v>29</v>
      </c>
      <c r="G4974" t="s">
        <v>24</v>
      </c>
      <c r="H4974" t="s">
        <v>410</v>
      </c>
      <c r="I4974" s="2">
        <v>753.76</v>
      </c>
      <c r="J4974">
        <v>5</v>
      </c>
      <c r="K4974" s="2">
        <v>54.057000000000002</v>
      </c>
      <c r="L4974" s="3">
        <f>(Table1[[#This Row],[Profit]]/Table1[[#This Row],[Sales]])*100</f>
        <v>7.1716461473147959</v>
      </c>
    </row>
    <row r="4975" spans="1:12" x14ac:dyDescent="0.3">
      <c r="A4975" t="s">
        <v>1758</v>
      </c>
      <c r="B4975" s="1">
        <v>43631</v>
      </c>
      <c r="C4975" t="s">
        <v>1527</v>
      </c>
      <c r="D4975" t="s">
        <v>1528</v>
      </c>
      <c r="E4975" t="s">
        <v>14</v>
      </c>
      <c r="F4975" t="s">
        <v>29</v>
      </c>
      <c r="G4975" t="s">
        <v>24</v>
      </c>
      <c r="H4975" t="s">
        <v>1759</v>
      </c>
      <c r="I4975" s="2">
        <v>173.488</v>
      </c>
      <c r="J4975">
        <v>7</v>
      </c>
      <c r="K4975" s="2">
        <v>54.215000000000003</v>
      </c>
      <c r="L4975" s="3">
        <f>(Table1[[#This Row],[Profit]]/Table1[[#This Row],[Sales]])*100</f>
        <v>31.25</v>
      </c>
    </row>
    <row r="4976" spans="1:12" x14ac:dyDescent="0.3">
      <c r="A4976" t="s">
        <v>6179</v>
      </c>
      <c r="B4976" s="1">
        <v>44178</v>
      </c>
      <c r="C4976" t="s">
        <v>3064</v>
      </c>
      <c r="D4976" t="s">
        <v>3065</v>
      </c>
      <c r="E4976" t="s">
        <v>14</v>
      </c>
      <c r="F4976" t="s">
        <v>23</v>
      </c>
      <c r="G4976" t="s">
        <v>16</v>
      </c>
      <c r="H4976" t="s">
        <v>4486</v>
      </c>
      <c r="I4976" s="2">
        <v>379.04</v>
      </c>
      <c r="J4976">
        <v>8</v>
      </c>
      <c r="K4976" s="2">
        <v>54.280799999999999</v>
      </c>
      <c r="L4976" s="3">
        <f>(Table1[[#This Row],[Profit]]/Table1[[#This Row],[Sales]])*100</f>
        <v>14.320599409033347</v>
      </c>
    </row>
    <row r="4977" spans="1:12" x14ac:dyDescent="0.3">
      <c r="A4977" t="s">
        <v>4796</v>
      </c>
      <c r="B4977" s="1">
        <v>43992</v>
      </c>
      <c r="C4977" t="s">
        <v>3893</v>
      </c>
      <c r="D4977" t="s">
        <v>3894</v>
      </c>
      <c r="E4977" t="s">
        <v>14</v>
      </c>
      <c r="F4977" t="s">
        <v>29</v>
      </c>
      <c r="G4977" t="s">
        <v>18</v>
      </c>
      <c r="H4977" t="s">
        <v>1228</v>
      </c>
      <c r="I4977" s="2">
        <v>149.52000000000001</v>
      </c>
      <c r="J4977">
        <v>4</v>
      </c>
      <c r="K4977" s="2">
        <v>54.333199999999998</v>
      </c>
      <c r="L4977" s="3">
        <f>(Table1[[#This Row],[Profit]]/Table1[[#This Row],[Sales]])*100</f>
        <v>36.338416265382556</v>
      </c>
    </row>
    <row r="4978" spans="1:12" x14ac:dyDescent="0.3">
      <c r="A4978" t="s">
        <v>5934</v>
      </c>
      <c r="B4978" s="1">
        <v>44153</v>
      </c>
      <c r="C4978" t="s">
        <v>5787</v>
      </c>
      <c r="D4978" t="s">
        <v>5788</v>
      </c>
      <c r="E4978" t="s">
        <v>14</v>
      </c>
      <c r="F4978" t="s">
        <v>23</v>
      </c>
      <c r="G4978" t="s">
        <v>18</v>
      </c>
      <c r="H4978" t="s">
        <v>1228</v>
      </c>
      <c r="I4978" s="2">
        <v>159.52000000000001</v>
      </c>
      <c r="J4978">
        <v>4</v>
      </c>
      <c r="K4978" s="2">
        <v>54.333199999999998</v>
      </c>
      <c r="L4978" s="3">
        <f>(Table1[[#This Row],[Profit]]/Table1[[#This Row],[Sales]])*100</f>
        <v>34.060431293881642</v>
      </c>
    </row>
    <row r="4979" spans="1:12" x14ac:dyDescent="0.3">
      <c r="A4979" t="s">
        <v>4937</v>
      </c>
      <c r="B4979" s="1">
        <v>44015</v>
      </c>
      <c r="C4979" t="s">
        <v>3425</v>
      </c>
      <c r="D4979" t="s">
        <v>3426</v>
      </c>
      <c r="E4979" t="s">
        <v>14</v>
      </c>
      <c r="F4979" t="s">
        <v>23</v>
      </c>
      <c r="G4979" t="s">
        <v>16</v>
      </c>
      <c r="H4979" t="s">
        <v>3974</v>
      </c>
      <c r="I4979" s="2">
        <v>172.39</v>
      </c>
      <c r="J4979">
        <v>3</v>
      </c>
      <c r="K4979" s="2">
        <v>54.343800000000002</v>
      </c>
      <c r="L4979" s="3">
        <f>(Table1[[#This Row],[Profit]]/Table1[[#This Row],[Sales]])*100</f>
        <v>31.523754278090383</v>
      </c>
    </row>
    <row r="4980" spans="1:12" x14ac:dyDescent="0.3">
      <c r="A4980" t="s">
        <v>1784</v>
      </c>
      <c r="B4980" s="1">
        <v>43633</v>
      </c>
      <c r="C4980" t="s">
        <v>1785</v>
      </c>
      <c r="D4980" t="s">
        <v>1786</v>
      </c>
      <c r="E4980" t="s">
        <v>14</v>
      </c>
      <c r="F4980" t="s">
        <v>23</v>
      </c>
      <c r="G4980" t="s">
        <v>16</v>
      </c>
      <c r="H4980" t="s">
        <v>1788</v>
      </c>
      <c r="I4980" s="2">
        <v>483.13600000000002</v>
      </c>
      <c r="J4980">
        <v>4</v>
      </c>
      <c r="K4980" s="2">
        <v>54.352800000000002</v>
      </c>
      <c r="L4980" s="3">
        <f>(Table1[[#This Row],[Profit]]/Table1[[#This Row],[Sales]])*100</f>
        <v>11.25</v>
      </c>
    </row>
    <row r="4981" spans="1:12" x14ac:dyDescent="0.3">
      <c r="A4981" t="s">
        <v>4728</v>
      </c>
      <c r="B4981" s="1">
        <v>43979</v>
      </c>
      <c r="C4981" t="s">
        <v>2875</v>
      </c>
      <c r="D4981" t="s">
        <v>2876</v>
      </c>
      <c r="E4981" t="s">
        <v>14</v>
      </c>
      <c r="F4981" t="s">
        <v>23</v>
      </c>
      <c r="G4981" t="s">
        <v>18</v>
      </c>
      <c r="H4981" t="s">
        <v>112</v>
      </c>
      <c r="I4981" s="2">
        <v>291.96800000000002</v>
      </c>
      <c r="J4981">
        <v>4</v>
      </c>
      <c r="K4981" s="2">
        <v>54.393599999999999</v>
      </c>
      <c r="L4981" s="3">
        <f>(Table1[[#This Row],[Profit]]/Table1[[#This Row],[Sales]])*100</f>
        <v>18.629986847873738</v>
      </c>
    </row>
    <row r="4982" spans="1:12" x14ac:dyDescent="0.3">
      <c r="A4982" t="s">
        <v>3482</v>
      </c>
      <c r="B4982" s="1">
        <v>43789</v>
      </c>
      <c r="C4982" t="s">
        <v>1941</v>
      </c>
      <c r="D4982" t="s">
        <v>1942</v>
      </c>
      <c r="E4982" t="s">
        <v>14</v>
      </c>
      <c r="F4982" t="s">
        <v>15</v>
      </c>
      <c r="G4982" t="s">
        <v>18</v>
      </c>
      <c r="H4982" t="s">
        <v>3326</v>
      </c>
      <c r="I4982" s="2">
        <v>255.98400000000001</v>
      </c>
      <c r="J4982">
        <v>2</v>
      </c>
      <c r="K4982" s="2">
        <v>54.396599999999999</v>
      </c>
      <c r="L4982" s="3">
        <f>(Table1[[#This Row],[Profit]]/Table1[[#This Row],[Sales]])*100</f>
        <v>21.25</v>
      </c>
    </row>
    <row r="4983" spans="1:12" x14ac:dyDescent="0.3">
      <c r="A4983" t="s">
        <v>5789</v>
      </c>
      <c r="B4983" s="1">
        <v>44140</v>
      </c>
      <c r="C4983" t="s">
        <v>2066</v>
      </c>
      <c r="D4983" t="s">
        <v>2067</v>
      </c>
      <c r="E4983" t="s">
        <v>14</v>
      </c>
      <c r="F4983" t="s">
        <v>23</v>
      </c>
      <c r="G4983" t="s">
        <v>18</v>
      </c>
      <c r="H4983" t="s">
        <v>2453</v>
      </c>
      <c r="I4983" s="2">
        <v>184.99</v>
      </c>
      <c r="J4983">
        <v>1</v>
      </c>
      <c r="K4983" s="2">
        <v>54.396599999999999</v>
      </c>
      <c r="L4983" s="3">
        <f>(Table1[[#This Row],[Profit]]/Table1[[#This Row],[Sales]])*100</f>
        <v>29.405157035515433</v>
      </c>
    </row>
    <row r="4984" spans="1:12" x14ac:dyDescent="0.3">
      <c r="A4984" t="s">
        <v>3667</v>
      </c>
      <c r="B4984" s="1">
        <v>43801</v>
      </c>
      <c r="C4984" t="s">
        <v>2411</v>
      </c>
      <c r="D4984" t="s">
        <v>2412</v>
      </c>
      <c r="E4984" t="s">
        <v>14</v>
      </c>
      <c r="F4984" t="s">
        <v>29</v>
      </c>
      <c r="G4984" t="s">
        <v>24</v>
      </c>
      <c r="H4984" t="s">
        <v>3668</v>
      </c>
      <c r="I4984" s="2">
        <v>115.84</v>
      </c>
      <c r="J4984">
        <v>8</v>
      </c>
      <c r="K4984" s="2">
        <v>54.444800000000001</v>
      </c>
      <c r="L4984" s="3">
        <f>(Table1[[#This Row],[Profit]]/Table1[[#This Row],[Sales]])*100</f>
        <v>47</v>
      </c>
    </row>
    <row r="4985" spans="1:12" x14ac:dyDescent="0.3">
      <c r="A4985" t="s">
        <v>5084</v>
      </c>
      <c r="B4985" s="1">
        <v>44043</v>
      </c>
      <c r="C4985" t="s">
        <v>3532</v>
      </c>
      <c r="D4985" t="s">
        <v>3533</v>
      </c>
      <c r="E4985" t="s">
        <v>14</v>
      </c>
      <c r="F4985" t="s">
        <v>29</v>
      </c>
      <c r="G4985" t="s">
        <v>24</v>
      </c>
      <c r="H4985" t="s">
        <v>5085</v>
      </c>
      <c r="I4985" s="2">
        <v>182.88</v>
      </c>
      <c r="J4985">
        <v>6</v>
      </c>
      <c r="K4985" s="2">
        <v>54.558</v>
      </c>
      <c r="L4985" s="3">
        <f>(Table1[[#This Row],[Profit]]/Table1[[#This Row],[Sales]])*100</f>
        <v>29.832677165354333</v>
      </c>
    </row>
    <row r="4986" spans="1:12" x14ac:dyDescent="0.3">
      <c r="A4986" t="s">
        <v>4006</v>
      </c>
      <c r="B4986" s="1">
        <v>43843</v>
      </c>
      <c r="C4986" t="s">
        <v>811</v>
      </c>
      <c r="D4986" t="s">
        <v>812</v>
      </c>
      <c r="E4986" t="s">
        <v>14</v>
      </c>
      <c r="F4986" t="s">
        <v>29</v>
      </c>
      <c r="G4986" t="s">
        <v>24</v>
      </c>
      <c r="H4986" t="s">
        <v>4007</v>
      </c>
      <c r="I4986" s="2">
        <v>258.94</v>
      </c>
      <c r="J4986">
        <v>6</v>
      </c>
      <c r="K4986" s="2">
        <v>54.584400000000002</v>
      </c>
      <c r="L4986" s="3">
        <f>(Table1[[#This Row],[Profit]]/Table1[[#This Row],[Sales]])*100</f>
        <v>21.079941299142661</v>
      </c>
    </row>
    <row r="4987" spans="1:12" x14ac:dyDescent="0.3">
      <c r="A4987" t="s">
        <v>819</v>
      </c>
      <c r="B4987" s="1">
        <v>43555</v>
      </c>
      <c r="C4987" t="s">
        <v>820</v>
      </c>
      <c r="D4987" t="s">
        <v>821</v>
      </c>
      <c r="E4987" t="s">
        <v>14</v>
      </c>
      <c r="F4987" t="s">
        <v>15</v>
      </c>
      <c r="G4987" t="s">
        <v>16</v>
      </c>
      <c r="H4987" t="s">
        <v>822</v>
      </c>
      <c r="I4987" s="2">
        <v>327.99599999999998</v>
      </c>
      <c r="J4987">
        <v>6</v>
      </c>
      <c r="K4987" s="2">
        <v>54.665999999999997</v>
      </c>
      <c r="L4987" s="3">
        <f>(Table1[[#This Row],[Profit]]/Table1[[#This Row],[Sales]])*100</f>
        <v>16.666666666666664</v>
      </c>
    </row>
    <row r="4988" spans="1:12" x14ac:dyDescent="0.3">
      <c r="A4988" t="s">
        <v>2582</v>
      </c>
      <c r="B4988" s="1">
        <v>43712</v>
      </c>
      <c r="C4988" t="s">
        <v>1962</v>
      </c>
      <c r="D4988" t="s">
        <v>1963</v>
      </c>
      <c r="E4988" t="s">
        <v>14</v>
      </c>
      <c r="F4988" t="s">
        <v>41</v>
      </c>
      <c r="G4988" t="s">
        <v>24</v>
      </c>
      <c r="H4988" t="s">
        <v>1111</v>
      </c>
      <c r="I4988" s="2">
        <v>113.94</v>
      </c>
      <c r="J4988">
        <v>6</v>
      </c>
      <c r="K4988" s="2">
        <v>54.691200000000002</v>
      </c>
      <c r="L4988" s="3">
        <f>(Table1[[#This Row],[Profit]]/Table1[[#This Row],[Sales]])*100</f>
        <v>48.000000000000007</v>
      </c>
    </row>
    <row r="4989" spans="1:12" x14ac:dyDescent="0.3">
      <c r="A4989" t="s">
        <v>4661</v>
      </c>
      <c r="B4989" s="1">
        <v>43969</v>
      </c>
      <c r="C4989" t="s">
        <v>192</v>
      </c>
      <c r="D4989" t="s">
        <v>193</v>
      </c>
      <c r="E4989" t="s">
        <v>14</v>
      </c>
      <c r="F4989" t="s">
        <v>41</v>
      </c>
      <c r="G4989" t="s">
        <v>24</v>
      </c>
      <c r="H4989" t="s">
        <v>1111</v>
      </c>
      <c r="I4989" s="2">
        <v>138.94</v>
      </c>
      <c r="J4989">
        <v>6</v>
      </c>
      <c r="K4989" s="2">
        <v>54.691200000000002</v>
      </c>
      <c r="L4989" s="3">
        <f>(Table1[[#This Row],[Profit]]/Table1[[#This Row],[Sales]])*100</f>
        <v>39.363178350367065</v>
      </c>
    </row>
    <row r="4990" spans="1:12" x14ac:dyDescent="0.3">
      <c r="A4990" t="s">
        <v>3362</v>
      </c>
      <c r="B4990" s="1">
        <v>43779</v>
      </c>
      <c r="C4990" t="s">
        <v>3363</v>
      </c>
      <c r="D4990" t="s">
        <v>3364</v>
      </c>
      <c r="E4990" t="s">
        <v>14</v>
      </c>
      <c r="F4990" t="s">
        <v>29</v>
      </c>
      <c r="G4990" t="s">
        <v>16</v>
      </c>
      <c r="H4990" t="s">
        <v>3366</v>
      </c>
      <c r="I4990" s="2">
        <v>341.96</v>
      </c>
      <c r="J4990">
        <v>2</v>
      </c>
      <c r="K4990" s="2">
        <v>54.7136</v>
      </c>
      <c r="L4990" s="3">
        <f>(Table1[[#This Row],[Profit]]/Table1[[#This Row],[Sales]])*100</f>
        <v>16</v>
      </c>
    </row>
    <row r="4991" spans="1:12" x14ac:dyDescent="0.3">
      <c r="A4991" t="s">
        <v>1006</v>
      </c>
      <c r="B4991" s="1">
        <v>43570</v>
      </c>
      <c r="C4991" t="s">
        <v>1007</v>
      </c>
      <c r="D4991" t="s">
        <v>1008</v>
      </c>
      <c r="E4991" t="s">
        <v>14</v>
      </c>
      <c r="F4991" t="s">
        <v>41</v>
      </c>
      <c r="G4991" t="s">
        <v>18</v>
      </c>
      <c r="H4991" t="s">
        <v>1010</v>
      </c>
      <c r="I4991" s="2">
        <v>291.95999999999998</v>
      </c>
      <c r="J4991">
        <v>5</v>
      </c>
      <c r="K4991" s="2">
        <v>54.7425</v>
      </c>
      <c r="L4991" s="3">
        <f>(Table1[[#This Row],[Profit]]/Table1[[#This Row],[Sales]])*100</f>
        <v>18.75</v>
      </c>
    </row>
    <row r="4992" spans="1:12" x14ac:dyDescent="0.3">
      <c r="A4992" t="s">
        <v>5684</v>
      </c>
      <c r="B4992" s="1">
        <v>44126</v>
      </c>
      <c r="C4992" t="s">
        <v>534</v>
      </c>
      <c r="D4992" t="s">
        <v>535</v>
      </c>
      <c r="E4992" t="s">
        <v>14</v>
      </c>
      <c r="F4992" t="s">
        <v>29</v>
      </c>
      <c r="G4992" t="s">
        <v>16</v>
      </c>
      <c r="H4992" t="s">
        <v>1251</v>
      </c>
      <c r="I4992" s="2">
        <v>293.98</v>
      </c>
      <c r="J4992">
        <v>2</v>
      </c>
      <c r="K4992" s="2">
        <v>54.775599999999997</v>
      </c>
      <c r="L4992" s="3">
        <f>(Table1[[#This Row],[Profit]]/Table1[[#This Row],[Sales]])*100</f>
        <v>18.632423974420025</v>
      </c>
    </row>
    <row r="4993" spans="1:12" x14ac:dyDescent="0.3">
      <c r="A4993" t="s">
        <v>1447</v>
      </c>
      <c r="B4993" s="1">
        <v>43606</v>
      </c>
      <c r="C4993" t="s">
        <v>1448</v>
      </c>
      <c r="D4993" t="s">
        <v>1449</v>
      </c>
      <c r="E4993" t="s">
        <v>14</v>
      </c>
      <c r="F4993" t="s">
        <v>15</v>
      </c>
      <c r="G4993" t="s">
        <v>24</v>
      </c>
      <c r="H4993" t="s">
        <v>234</v>
      </c>
      <c r="I4993" s="2">
        <v>111.96</v>
      </c>
      <c r="J4993">
        <v>2</v>
      </c>
      <c r="K4993" s="2">
        <v>54.860399999999998</v>
      </c>
      <c r="L4993" s="3">
        <f>(Table1[[#This Row],[Profit]]/Table1[[#This Row],[Sales]])*100</f>
        <v>49</v>
      </c>
    </row>
    <row r="4994" spans="1:12" x14ac:dyDescent="0.3">
      <c r="A4994" t="s">
        <v>1775</v>
      </c>
      <c r="B4994" s="1">
        <v>43633</v>
      </c>
      <c r="C4994" t="s">
        <v>1776</v>
      </c>
      <c r="D4994" t="s">
        <v>1777</v>
      </c>
      <c r="E4994" t="s">
        <v>14</v>
      </c>
      <c r="F4994" t="s">
        <v>23</v>
      </c>
      <c r="G4994" t="s">
        <v>24</v>
      </c>
      <c r="H4994" t="s">
        <v>1778</v>
      </c>
      <c r="I4994" s="2">
        <v>111.96</v>
      </c>
      <c r="J4994">
        <v>2</v>
      </c>
      <c r="K4994" s="2">
        <v>54.860399999999998</v>
      </c>
      <c r="L4994" s="3">
        <f>(Table1[[#This Row],[Profit]]/Table1[[#This Row],[Sales]])*100</f>
        <v>49</v>
      </c>
    </row>
    <row r="4995" spans="1:12" x14ac:dyDescent="0.3">
      <c r="A4995" t="s">
        <v>3088</v>
      </c>
      <c r="B4995" s="1">
        <v>43752</v>
      </c>
      <c r="C4995" t="s">
        <v>2411</v>
      </c>
      <c r="D4995" t="s">
        <v>2412</v>
      </c>
      <c r="E4995" t="s">
        <v>14</v>
      </c>
      <c r="F4995" t="s">
        <v>15</v>
      </c>
      <c r="G4995" t="s">
        <v>24</v>
      </c>
      <c r="H4995" t="s">
        <v>1716</v>
      </c>
      <c r="I4995" s="2">
        <v>111.96</v>
      </c>
      <c r="J4995">
        <v>2</v>
      </c>
      <c r="K4995" s="2">
        <v>54.860399999999998</v>
      </c>
      <c r="L4995" s="3">
        <f>(Table1[[#This Row],[Profit]]/Table1[[#This Row],[Sales]])*100</f>
        <v>49</v>
      </c>
    </row>
    <row r="4996" spans="1:12" x14ac:dyDescent="0.3">
      <c r="A4996" t="s">
        <v>4273</v>
      </c>
      <c r="B4996" s="1">
        <v>43906</v>
      </c>
      <c r="C4996" t="s">
        <v>1189</v>
      </c>
      <c r="D4996" t="s">
        <v>1190</v>
      </c>
      <c r="E4996" t="s">
        <v>14</v>
      </c>
      <c r="F4996" t="s">
        <v>23</v>
      </c>
      <c r="G4996" t="s">
        <v>24</v>
      </c>
      <c r="H4996" t="s">
        <v>4274</v>
      </c>
      <c r="I4996" s="2">
        <v>186.67</v>
      </c>
      <c r="J4996">
        <v>3</v>
      </c>
      <c r="K4996" s="2">
        <v>54.8613</v>
      </c>
      <c r="L4996" s="3">
        <f>(Table1[[#This Row],[Profit]]/Table1[[#This Row],[Sales]])*100</f>
        <v>29.38945733111909</v>
      </c>
    </row>
    <row r="4997" spans="1:12" x14ac:dyDescent="0.3">
      <c r="A4997" t="s">
        <v>5191</v>
      </c>
      <c r="B4997" s="1">
        <v>44064</v>
      </c>
      <c r="C4997" t="s">
        <v>5192</v>
      </c>
      <c r="D4997" t="s">
        <v>5193</v>
      </c>
      <c r="E4997" t="s">
        <v>14</v>
      </c>
      <c r="F4997" t="s">
        <v>23</v>
      </c>
      <c r="G4997" t="s">
        <v>24</v>
      </c>
      <c r="H4997" t="s">
        <v>3455</v>
      </c>
      <c r="I4997" s="2">
        <v>237.52</v>
      </c>
      <c r="J4997">
        <v>3</v>
      </c>
      <c r="K4997" s="2">
        <v>54.950400000000002</v>
      </c>
      <c r="L4997" s="3">
        <f>(Table1[[#This Row],[Profit]]/Table1[[#This Row],[Sales]])*100</f>
        <v>23.135062310542271</v>
      </c>
    </row>
    <row r="4998" spans="1:12" x14ac:dyDescent="0.3">
      <c r="A4998" t="s">
        <v>2372</v>
      </c>
      <c r="B4998" s="1">
        <v>43696</v>
      </c>
      <c r="C4998" t="s">
        <v>2373</v>
      </c>
      <c r="D4998" t="s">
        <v>2374</v>
      </c>
      <c r="E4998" t="s">
        <v>14</v>
      </c>
      <c r="F4998" t="s">
        <v>15</v>
      </c>
      <c r="G4998" t="s">
        <v>24</v>
      </c>
      <c r="H4998" t="s">
        <v>2375</v>
      </c>
      <c r="I4998" s="2">
        <v>146.68799999999999</v>
      </c>
      <c r="J4998">
        <v>6</v>
      </c>
      <c r="K4998" s="2">
        <v>55.008000000000003</v>
      </c>
      <c r="L4998" s="3">
        <f>(Table1[[#This Row],[Profit]]/Table1[[#This Row],[Sales]])*100</f>
        <v>37.500000000000007</v>
      </c>
    </row>
    <row r="4999" spans="1:12" x14ac:dyDescent="0.3">
      <c r="A4999" t="s">
        <v>5902</v>
      </c>
      <c r="B4999" s="1">
        <v>44150</v>
      </c>
      <c r="C4999" t="s">
        <v>5135</v>
      </c>
      <c r="D4999" t="s">
        <v>5136</v>
      </c>
      <c r="E4999" t="s">
        <v>14</v>
      </c>
      <c r="F4999" t="s">
        <v>41</v>
      </c>
      <c r="G4999" t="s">
        <v>16</v>
      </c>
      <c r="H4999" t="s">
        <v>3198</v>
      </c>
      <c r="I4999" s="2">
        <v>243.06399999999999</v>
      </c>
      <c r="J4999">
        <v>4</v>
      </c>
      <c r="K4999" s="2">
        <v>55.015999999999998</v>
      </c>
      <c r="L4999" s="3">
        <f>(Table1[[#This Row],[Profit]]/Table1[[#This Row],[Sales]])*100</f>
        <v>22.634367903103708</v>
      </c>
    </row>
    <row r="5000" spans="1:12" x14ac:dyDescent="0.3">
      <c r="A5000" t="s">
        <v>1060</v>
      </c>
      <c r="B5000" s="1">
        <v>43573</v>
      </c>
      <c r="C5000" t="s">
        <v>1061</v>
      </c>
      <c r="D5000" t="s">
        <v>1062</v>
      </c>
      <c r="E5000" t="s">
        <v>14</v>
      </c>
      <c r="F5000" t="s">
        <v>41</v>
      </c>
      <c r="G5000" t="s">
        <v>24</v>
      </c>
      <c r="H5000" t="s">
        <v>1063</v>
      </c>
      <c r="I5000" s="2">
        <v>203.92</v>
      </c>
      <c r="J5000">
        <v>4</v>
      </c>
      <c r="K5000" s="2">
        <v>55.058399999999999</v>
      </c>
      <c r="L5000" s="3">
        <f>(Table1[[#This Row],[Profit]]/Table1[[#This Row],[Sales]])*100</f>
        <v>27</v>
      </c>
    </row>
    <row r="5001" spans="1:12" x14ac:dyDescent="0.3">
      <c r="A5001" t="s">
        <v>5792</v>
      </c>
      <c r="B5001" s="1">
        <v>44140</v>
      </c>
      <c r="C5001" t="s">
        <v>2477</v>
      </c>
      <c r="D5001" t="s">
        <v>2478</v>
      </c>
      <c r="E5001" t="s">
        <v>14</v>
      </c>
      <c r="F5001" t="s">
        <v>29</v>
      </c>
      <c r="G5001" t="s">
        <v>18</v>
      </c>
      <c r="H5001" t="s">
        <v>1170</v>
      </c>
      <c r="I5001" s="2">
        <v>529.76800000000003</v>
      </c>
      <c r="J5001">
        <v>4</v>
      </c>
      <c r="K5001" s="2">
        <v>55.436399999999999</v>
      </c>
      <c r="L5001" s="3">
        <f>(Table1[[#This Row],[Profit]]/Table1[[#This Row],[Sales]])*100</f>
        <v>10.464278703130427</v>
      </c>
    </row>
    <row r="5002" spans="1:12" x14ac:dyDescent="0.3">
      <c r="A5002" t="s">
        <v>5786</v>
      </c>
      <c r="B5002" s="1">
        <v>44140</v>
      </c>
      <c r="C5002" t="s">
        <v>5787</v>
      </c>
      <c r="D5002" t="s">
        <v>5788</v>
      </c>
      <c r="E5002" t="s">
        <v>14</v>
      </c>
      <c r="F5002" t="s">
        <v>15</v>
      </c>
      <c r="G5002" t="s">
        <v>24</v>
      </c>
      <c r="H5002" t="s">
        <v>3706</v>
      </c>
      <c r="I5002" s="2">
        <v>207.68799999999999</v>
      </c>
      <c r="J5002">
        <v>6</v>
      </c>
      <c r="K5002" s="2">
        <v>55.5822</v>
      </c>
      <c r="L5002" s="3">
        <f>(Table1[[#This Row],[Profit]]/Table1[[#This Row],[Sales]])*100</f>
        <v>26.762355071068143</v>
      </c>
    </row>
    <row r="5003" spans="1:12" x14ac:dyDescent="0.3">
      <c r="A5003" t="s">
        <v>4358</v>
      </c>
      <c r="B5003" s="1">
        <v>43917</v>
      </c>
      <c r="C5003" t="s">
        <v>443</v>
      </c>
      <c r="D5003" t="s">
        <v>444</v>
      </c>
      <c r="E5003" t="s">
        <v>14</v>
      </c>
      <c r="F5003" t="s">
        <v>41</v>
      </c>
      <c r="G5003" t="s">
        <v>18</v>
      </c>
      <c r="H5003" t="s">
        <v>4359</v>
      </c>
      <c r="I5003" s="2">
        <v>227.1</v>
      </c>
      <c r="J5003">
        <v>5</v>
      </c>
      <c r="K5003" s="2">
        <v>55.646999999999998</v>
      </c>
      <c r="L5003" s="3">
        <f>(Table1[[#This Row],[Profit]]/Table1[[#This Row],[Sales]])*100</f>
        <v>24.503302509907527</v>
      </c>
    </row>
    <row r="5004" spans="1:12" x14ac:dyDescent="0.3">
      <c r="A5004" t="s">
        <v>5921</v>
      </c>
      <c r="B5004" s="1">
        <v>44152</v>
      </c>
      <c r="C5004" t="s">
        <v>2066</v>
      </c>
      <c r="D5004" t="s">
        <v>2067</v>
      </c>
      <c r="E5004" t="s">
        <v>14</v>
      </c>
      <c r="F5004" t="s">
        <v>41</v>
      </c>
      <c r="G5004" t="s">
        <v>18</v>
      </c>
      <c r="H5004" t="s">
        <v>4359</v>
      </c>
      <c r="I5004" s="2">
        <v>224.1</v>
      </c>
      <c r="J5004">
        <v>5</v>
      </c>
      <c r="K5004" s="2">
        <v>55.646999999999998</v>
      </c>
      <c r="L5004" s="3">
        <f>(Table1[[#This Row],[Profit]]/Table1[[#This Row],[Sales]])*100</f>
        <v>24.831325301204817</v>
      </c>
    </row>
    <row r="5005" spans="1:12" x14ac:dyDescent="0.3">
      <c r="A5005" t="s">
        <v>417</v>
      </c>
      <c r="B5005" s="1">
        <v>43518</v>
      </c>
      <c r="C5005" t="s">
        <v>418</v>
      </c>
      <c r="D5005" t="s">
        <v>419</v>
      </c>
      <c r="E5005" t="s">
        <v>14</v>
      </c>
      <c r="F5005" t="s">
        <v>23</v>
      </c>
      <c r="G5005" t="s">
        <v>18</v>
      </c>
      <c r="H5005" t="s">
        <v>420</v>
      </c>
      <c r="I5005" s="2">
        <v>445.96</v>
      </c>
      <c r="J5005">
        <v>5</v>
      </c>
      <c r="K5005" s="2">
        <v>55.744999999999997</v>
      </c>
      <c r="L5005" s="3">
        <f>(Table1[[#This Row],[Profit]]/Table1[[#This Row],[Sales]])*100</f>
        <v>12.5</v>
      </c>
    </row>
    <row r="5006" spans="1:12" x14ac:dyDescent="0.3">
      <c r="A5006" t="s">
        <v>3763</v>
      </c>
      <c r="B5006" s="1">
        <v>43809</v>
      </c>
      <c r="C5006" t="s">
        <v>1024</v>
      </c>
      <c r="D5006" t="s">
        <v>1025</v>
      </c>
      <c r="E5006" t="s">
        <v>14</v>
      </c>
      <c r="F5006" t="s">
        <v>23</v>
      </c>
      <c r="G5006" t="s">
        <v>24</v>
      </c>
      <c r="H5006" t="s">
        <v>3764</v>
      </c>
      <c r="I5006" s="2">
        <v>123.92</v>
      </c>
      <c r="J5006">
        <v>4</v>
      </c>
      <c r="K5006" s="2">
        <v>55.764000000000003</v>
      </c>
      <c r="L5006" s="3">
        <f>(Table1[[#This Row],[Profit]]/Table1[[#This Row],[Sales]])*100</f>
        <v>45</v>
      </c>
    </row>
    <row r="5007" spans="1:12" x14ac:dyDescent="0.3">
      <c r="A5007" t="s">
        <v>3447</v>
      </c>
      <c r="B5007" s="1">
        <v>43787</v>
      </c>
      <c r="C5007" t="s">
        <v>1726</v>
      </c>
      <c r="D5007" t="s">
        <v>1727</v>
      </c>
      <c r="E5007" t="s">
        <v>14</v>
      </c>
      <c r="F5007" t="s">
        <v>29</v>
      </c>
      <c r="G5007" t="s">
        <v>24</v>
      </c>
      <c r="H5007" t="s">
        <v>3448</v>
      </c>
      <c r="I5007" s="2">
        <v>1117.92</v>
      </c>
      <c r="J5007">
        <v>4</v>
      </c>
      <c r="K5007" s="2">
        <v>55.896000000000001</v>
      </c>
      <c r="L5007" s="3">
        <f>(Table1[[#This Row],[Profit]]/Table1[[#This Row],[Sales]])*100</f>
        <v>5</v>
      </c>
    </row>
    <row r="5008" spans="1:12" x14ac:dyDescent="0.3">
      <c r="A5008" t="s">
        <v>3877</v>
      </c>
      <c r="B5008" s="1">
        <v>43822</v>
      </c>
      <c r="C5008" t="s">
        <v>633</v>
      </c>
      <c r="D5008" t="s">
        <v>634</v>
      </c>
      <c r="E5008" t="s">
        <v>14</v>
      </c>
      <c r="F5008" t="s">
        <v>23</v>
      </c>
      <c r="G5008" t="s">
        <v>24</v>
      </c>
      <c r="H5008" t="s">
        <v>3448</v>
      </c>
      <c r="I5008" s="2">
        <v>1117.92</v>
      </c>
      <c r="J5008">
        <v>4</v>
      </c>
      <c r="K5008" s="2">
        <v>55.896000000000001</v>
      </c>
      <c r="L5008" s="3">
        <f>(Table1[[#This Row],[Profit]]/Table1[[#This Row],[Sales]])*100</f>
        <v>5</v>
      </c>
    </row>
    <row r="5009" spans="1:12" x14ac:dyDescent="0.3">
      <c r="A5009" t="s">
        <v>3259</v>
      </c>
      <c r="B5009" s="1">
        <v>43773</v>
      </c>
      <c r="C5009" t="s">
        <v>1376</v>
      </c>
      <c r="D5009" t="s">
        <v>1377</v>
      </c>
      <c r="E5009" t="s">
        <v>14</v>
      </c>
      <c r="F5009" t="s">
        <v>23</v>
      </c>
      <c r="G5009" t="s">
        <v>24</v>
      </c>
      <c r="H5009" t="s">
        <v>2009</v>
      </c>
      <c r="I5009" s="2">
        <v>192.8</v>
      </c>
      <c r="J5009">
        <v>4</v>
      </c>
      <c r="K5009" s="2">
        <v>55.911999999999999</v>
      </c>
      <c r="L5009" s="3">
        <f>(Table1[[#This Row],[Profit]]/Table1[[#This Row],[Sales]])*100</f>
        <v>28.999999999999996</v>
      </c>
    </row>
    <row r="5010" spans="1:12" x14ac:dyDescent="0.3">
      <c r="A5010" t="s">
        <v>4515</v>
      </c>
      <c r="B5010" s="1">
        <v>43944</v>
      </c>
      <c r="C5010" t="s">
        <v>3893</v>
      </c>
      <c r="D5010" t="s">
        <v>3894</v>
      </c>
      <c r="E5010" t="s">
        <v>14</v>
      </c>
      <c r="F5010" t="s">
        <v>29</v>
      </c>
      <c r="G5010" t="s">
        <v>18</v>
      </c>
      <c r="H5010" t="s">
        <v>4516</v>
      </c>
      <c r="I5010" s="2">
        <v>178.34</v>
      </c>
      <c r="J5010">
        <v>6</v>
      </c>
      <c r="K5010" s="2">
        <v>55.922400000000003</v>
      </c>
      <c r="L5010" s="3">
        <f>(Table1[[#This Row],[Profit]]/Table1[[#This Row],[Sales]])*100</f>
        <v>31.357182909050131</v>
      </c>
    </row>
    <row r="5011" spans="1:12" x14ac:dyDescent="0.3">
      <c r="A5011" t="s">
        <v>3097</v>
      </c>
      <c r="B5011" s="1">
        <v>43753</v>
      </c>
      <c r="C5011" t="s">
        <v>3098</v>
      </c>
      <c r="D5011" t="s">
        <v>3099</v>
      </c>
      <c r="E5011" t="s">
        <v>14</v>
      </c>
      <c r="F5011" t="s">
        <v>29</v>
      </c>
      <c r="G5011" t="s">
        <v>24</v>
      </c>
      <c r="H5011" t="s">
        <v>2833</v>
      </c>
      <c r="I5011" s="2">
        <v>121.6</v>
      </c>
      <c r="J5011">
        <v>4</v>
      </c>
      <c r="K5011" s="2">
        <v>55.936</v>
      </c>
      <c r="L5011" s="3">
        <f>(Table1[[#This Row],[Profit]]/Table1[[#This Row],[Sales]])*100</f>
        <v>46</v>
      </c>
    </row>
    <row r="5012" spans="1:12" x14ac:dyDescent="0.3">
      <c r="A5012" t="s">
        <v>6028</v>
      </c>
      <c r="B5012" s="1">
        <v>44162</v>
      </c>
      <c r="C5012" t="s">
        <v>2950</v>
      </c>
      <c r="D5012" t="s">
        <v>2951</v>
      </c>
      <c r="E5012" t="s">
        <v>14</v>
      </c>
      <c r="F5012" t="s">
        <v>29</v>
      </c>
      <c r="G5012" t="s">
        <v>18</v>
      </c>
      <c r="H5012" t="s">
        <v>3803</v>
      </c>
      <c r="I5012" s="2">
        <v>166.73</v>
      </c>
      <c r="J5012">
        <v>9</v>
      </c>
      <c r="K5012" s="2">
        <v>56.054699999999997</v>
      </c>
      <c r="L5012" s="3">
        <f>(Table1[[#This Row],[Profit]]/Table1[[#This Row],[Sales]])*100</f>
        <v>33.620044383134406</v>
      </c>
    </row>
    <row r="5013" spans="1:12" x14ac:dyDescent="0.3">
      <c r="A5013" t="s">
        <v>1827</v>
      </c>
      <c r="B5013" s="1">
        <v>43639</v>
      </c>
      <c r="C5013" t="s">
        <v>1828</v>
      </c>
      <c r="D5013" t="s">
        <v>1829</v>
      </c>
      <c r="E5013" t="s">
        <v>14</v>
      </c>
      <c r="F5013" t="s">
        <v>15</v>
      </c>
      <c r="G5013" t="s">
        <v>24</v>
      </c>
      <c r="H5013" t="s">
        <v>1830</v>
      </c>
      <c r="I5013" s="2">
        <v>122.12</v>
      </c>
      <c r="J5013">
        <v>4</v>
      </c>
      <c r="K5013" s="2">
        <v>56.175199999999997</v>
      </c>
      <c r="L5013" s="3">
        <f>(Table1[[#This Row],[Profit]]/Table1[[#This Row],[Sales]])*100</f>
        <v>46</v>
      </c>
    </row>
    <row r="5014" spans="1:12" x14ac:dyDescent="0.3">
      <c r="A5014" t="s">
        <v>3746</v>
      </c>
      <c r="B5014" s="1">
        <v>43808</v>
      </c>
      <c r="C5014" t="s">
        <v>352</v>
      </c>
      <c r="D5014" t="s">
        <v>353</v>
      </c>
      <c r="E5014" t="s">
        <v>14</v>
      </c>
      <c r="F5014" t="s">
        <v>15</v>
      </c>
      <c r="G5014" t="s">
        <v>24</v>
      </c>
      <c r="H5014" t="s">
        <v>1937</v>
      </c>
      <c r="I5014" s="2">
        <v>122.12</v>
      </c>
      <c r="J5014">
        <v>4</v>
      </c>
      <c r="K5014" s="2">
        <v>56.175199999999997</v>
      </c>
      <c r="L5014" s="3">
        <f>(Table1[[#This Row],[Profit]]/Table1[[#This Row],[Sales]])*100</f>
        <v>46</v>
      </c>
    </row>
    <row r="5015" spans="1:12" x14ac:dyDescent="0.3">
      <c r="A5015" t="s">
        <v>1705</v>
      </c>
      <c r="B5015" s="1">
        <v>43628</v>
      </c>
      <c r="C5015" t="s">
        <v>637</v>
      </c>
      <c r="D5015" t="s">
        <v>638</v>
      </c>
      <c r="E5015" t="s">
        <v>14</v>
      </c>
      <c r="F5015" t="s">
        <v>41</v>
      </c>
      <c r="G5015" t="s">
        <v>24</v>
      </c>
      <c r="H5015" t="s">
        <v>1706</v>
      </c>
      <c r="I5015" s="2">
        <v>208.16</v>
      </c>
      <c r="J5015">
        <v>1</v>
      </c>
      <c r="K5015" s="2">
        <v>56.203200000000002</v>
      </c>
      <c r="L5015" s="3">
        <f>(Table1[[#This Row],[Profit]]/Table1[[#This Row],[Sales]])*100</f>
        <v>27</v>
      </c>
    </row>
    <row r="5016" spans="1:12" x14ac:dyDescent="0.3">
      <c r="A5016" t="s">
        <v>3618</v>
      </c>
      <c r="B5016" s="1">
        <v>43797</v>
      </c>
      <c r="C5016" t="s">
        <v>497</v>
      </c>
      <c r="D5016" t="s">
        <v>498</v>
      </c>
      <c r="E5016" t="s">
        <v>14</v>
      </c>
      <c r="F5016" t="s">
        <v>41</v>
      </c>
      <c r="G5016" t="s">
        <v>24</v>
      </c>
      <c r="H5016" t="s">
        <v>3620</v>
      </c>
      <c r="I5016" s="2">
        <v>1126.02</v>
      </c>
      <c r="J5016">
        <v>3</v>
      </c>
      <c r="K5016" s="2">
        <v>56.301000000000002</v>
      </c>
      <c r="L5016" s="3">
        <f>(Table1[[#This Row],[Profit]]/Table1[[#This Row],[Sales]])*100</f>
        <v>5</v>
      </c>
    </row>
    <row r="5017" spans="1:12" x14ac:dyDescent="0.3">
      <c r="A5017" t="s">
        <v>4052</v>
      </c>
      <c r="B5017" s="1">
        <v>43852</v>
      </c>
      <c r="C5017" t="s">
        <v>4053</v>
      </c>
      <c r="D5017" t="s">
        <v>4054</v>
      </c>
      <c r="E5017" t="s">
        <v>14</v>
      </c>
      <c r="F5017" t="s">
        <v>23</v>
      </c>
      <c r="G5017" t="s">
        <v>24</v>
      </c>
      <c r="H5017" t="s">
        <v>3620</v>
      </c>
      <c r="I5017" s="2">
        <v>1159.02</v>
      </c>
      <c r="J5017">
        <v>3</v>
      </c>
      <c r="K5017" s="2">
        <v>56.301000000000002</v>
      </c>
      <c r="L5017" s="3">
        <f>(Table1[[#This Row],[Profit]]/Table1[[#This Row],[Sales]])*100</f>
        <v>4.8576383496402133</v>
      </c>
    </row>
    <row r="5018" spans="1:12" x14ac:dyDescent="0.3">
      <c r="A5018" t="s">
        <v>2901</v>
      </c>
      <c r="B5018" s="1">
        <v>43732</v>
      </c>
      <c r="C5018" t="s">
        <v>633</v>
      </c>
      <c r="D5018" t="s">
        <v>634</v>
      </c>
      <c r="E5018" t="s">
        <v>14</v>
      </c>
      <c r="F5018" t="s">
        <v>23</v>
      </c>
      <c r="G5018" t="s">
        <v>16</v>
      </c>
      <c r="H5018" t="s">
        <v>2093</v>
      </c>
      <c r="I5018" s="2">
        <v>563.24</v>
      </c>
      <c r="J5018">
        <v>5</v>
      </c>
      <c r="K5018" s="2">
        <v>56.323999999999998</v>
      </c>
      <c r="L5018" s="3">
        <f>(Table1[[#This Row],[Profit]]/Table1[[#This Row],[Sales]])*100</f>
        <v>10</v>
      </c>
    </row>
    <row r="5019" spans="1:12" x14ac:dyDescent="0.3">
      <c r="A5019" t="s">
        <v>6306</v>
      </c>
      <c r="B5019" s="1">
        <v>44195</v>
      </c>
      <c r="C5019" t="s">
        <v>133</v>
      </c>
      <c r="D5019" t="s">
        <v>134</v>
      </c>
      <c r="E5019" t="s">
        <v>14</v>
      </c>
      <c r="F5019" t="s">
        <v>29</v>
      </c>
      <c r="G5019" t="s">
        <v>24</v>
      </c>
      <c r="H5019" t="s">
        <v>2518</v>
      </c>
      <c r="I5019" s="2">
        <v>509.3</v>
      </c>
      <c r="J5019">
        <v>2</v>
      </c>
      <c r="K5019" s="2">
        <v>56.511000000000003</v>
      </c>
      <c r="L5019" s="3">
        <f>(Table1[[#This Row],[Profit]]/Table1[[#This Row],[Sales]])*100</f>
        <v>11.095817789122325</v>
      </c>
    </row>
    <row r="5020" spans="1:12" x14ac:dyDescent="0.3">
      <c r="A5020" t="s">
        <v>5975</v>
      </c>
      <c r="B5020" s="1">
        <v>44156</v>
      </c>
      <c r="C5020" t="s">
        <v>1631</v>
      </c>
      <c r="D5020" t="s">
        <v>1632</v>
      </c>
      <c r="E5020" t="s">
        <v>14</v>
      </c>
      <c r="F5020" t="s">
        <v>23</v>
      </c>
      <c r="G5020" t="s">
        <v>24</v>
      </c>
      <c r="H5020" t="s">
        <v>1219</v>
      </c>
      <c r="I5020" s="2">
        <v>170.8</v>
      </c>
      <c r="J5020">
        <v>5</v>
      </c>
      <c r="K5020" s="2">
        <v>56.55</v>
      </c>
      <c r="L5020" s="3">
        <f>(Table1[[#This Row],[Profit]]/Table1[[#This Row],[Sales]])*100</f>
        <v>33.108899297423882</v>
      </c>
    </row>
    <row r="5021" spans="1:12" x14ac:dyDescent="0.3">
      <c r="A5021" t="s">
        <v>5549</v>
      </c>
      <c r="B5021" s="1">
        <v>44106</v>
      </c>
      <c r="C5021" t="s">
        <v>1903</v>
      </c>
      <c r="D5021" t="s">
        <v>1904</v>
      </c>
      <c r="E5021" t="s">
        <v>14</v>
      </c>
      <c r="F5021" t="s">
        <v>29</v>
      </c>
      <c r="G5021" t="s">
        <v>16</v>
      </c>
      <c r="H5021" t="s">
        <v>5556</v>
      </c>
      <c r="I5021" s="2">
        <v>204.74</v>
      </c>
      <c r="J5021">
        <v>11</v>
      </c>
      <c r="K5021" s="2">
        <v>56.7864</v>
      </c>
      <c r="L5021" s="3">
        <f>(Table1[[#This Row],[Profit]]/Table1[[#This Row],[Sales]])*100</f>
        <v>27.735860115268146</v>
      </c>
    </row>
    <row r="5022" spans="1:12" x14ac:dyDescent="0.3">
      <c r="A5022" t="s">
        <v>3242</v>
      </c>
      <c r="B5022" s="1">
        <v>43772</v>
      </c>
      <c r="C5022" t="s">
        <v>2456</v>
      </c>
      <c r="D5022" t="s">
        <v>2457</v>
      </c>
      <c r="E5022" t="s">
        <v>14</v>
      </c>
      <c r="F5022" t="s">
        <v>23</v>
      </c>
      <c r="G5022" t="s">
        <v>24</v>
      </c>
      <c r="H5022" t="s">
        <v>3244</v>
      </c>
      <c r="I5022" s="2">
        <v>116.28</v>
      </c>
      <c r="J5022">
        <v>3</v>
      </c>
      <c r="K5022" s="2">
        <v>56.977200000000003</v>
      </c>
      <c r="L5022" s="3">
        <f>(Table1[[#This Row],[Profit]]/Table1[[#This Row],[Sales]])*100</f>
        <v>49.000000000000007</v>
      </c>
    </row>
    <row r="5023" spans="1:12" x14ac:dyDescent="0.3">
      <c r="A5023" t="s">
        <v>5213</v>
      </c>
      <c r="B5023" s="1">
        <v>44070</v>
      </c>
      <c r="C5023" t="s">
        <v>754</v>
      </c>
      <c r="D5023" t="s">
        <v>755</v>
      </c>
      <c r="E5023" t="s">
        <v>14</v>
      </c>
      <c r="F5023" t="s">
        <v>23</v>
      </c>
      <c r="G5023" t="s">
        <v>24</v>
      </c>
      <c r="H5023" t="s">
        <v>289</v>
      </c>
      <c r="I5023" s="2">
        <v>149.28</v>
      </c>
      <c r="J5023">
        <v>3</v>
      </c>
      <c r="K5023" s="2">
        <v>56.977200000000003</v>
      </c>
      <c r="L5023" s="3">
        <f>(Table1[[#This Row],[Profit]]/Table1[[#This Row],[Sales]])*100</f>
        <v>38.168006430868168</v>
      </c>
    </row>
    <row r="5024" spans="1:12" x14ac:dyDescent="0.3">
      <c r="A5024" t="s">
        <v>5636</v>
      </c>
      <c r="B5024" s="1">
        <v>44120</v>
      </c>
      <c r="C5024" t="s">
        <v>5637</v>
      </c>
      <c r="D5024" t="s">
        <v>5638</v>
      </c>
      <c r="E5024" t="s">
        <v>14</v>
      </c>
      <c r="F5024" t="s">
        <v>41</v>
      </c>
      <c r="G5024" t="s">
        <v>24</v>
      </c>
      <c r="H5024" t="s">
        <v>3197</v>
      </c>
      <c r="I5024" s="2">
        <v>165.75</v>
      </c>
      <c r="J5024">
        <v>5</v>
      </c>
      <c r="K5024" s="2">
        <v>57.384999999999998</v>
      </c>
      <c r="L5024" s="3">
        <f>(Table1[[#This Row],[Profit]]/Table1[[#This Row],[Sales]])*100</f>
        <v>34.621417797888384</v>
      </c>
    </row>
    <row r="5025" spans="1:12" x14ac:dyDescent="0.3">
      <c r="A5025" t="s">
        <v>5250</v>
      </c>
      <c r="B5025" s="1">
        <v>44076</v>
      </c>
      <c r="C5025" t="s">
        <v>4172</v>
      </c>
      <c r="D5025" t="s">
        <v>4173</v>
      </c>
      <c r="E5025" t="s">
        <v>14</v>
      </c>
      <c r="F5025" t="s">
        <v>15</v>
      </c>
      <c r="G5025" t="s">
        <v>18</v>
      </c>
      <c r="H5025" t="s">
        <v>1511</v>
      </c>
      <c r="I5025" s="2">
        <v>244.97</v>
      </c>
      <c r="J5025">
        <v>3</v>
      </c>
      <c r="K5025" s="2">
        <v>57.411299999999997</v>
      </c>
      <c r="L5025" s="3">
        <f>(Table1[[#This Row],[Profit]]/Table1[[#This Row],[Sales]])*100</f>
        <v>23.436053394293175</v>
      </c>
    </row>
    <row r="5026" spans="1:12" x14ac:dyDescent="0.3">
      <c r="A5026" t="s">
        <v>4213</v>
      </c>
      <c r="B5026" s="1">
        <v>43895</v>
      </c>
      <c r="C5026" t="s">
        <v>4214</v>
      </c>
      <c r="D5026" t="s">
        <v>4215</v>
      </c>
      <c r="E5026" t="s">
        <v>14</v>
      </c>
      <c r="F5026" t="s">
        <v>29</v>
      </c>
      <c r="G5026" t="s">
        <v>24</v>
      </c>
      <c r="H5026" t="s">
        <v>4216</v>
      </c>
      <c r="I5026" s="2">
        <v>265.16000000000003</v>
      </c>
      <c r="J5026">
        <v>4</v>
      </c>
      <c r="K5026" s="2">
        <v>57.501600000000003</v>
      </c>
      <c r="L5026" s="3">
        <f>(Table1[[#This Row],[Profit]]/Table1[[#This Row],[Sales]])*100</f>
        <v>21.685623774324934</v>
      </c>
    </row>
    <row r="5027" spans="1:12" x14ac:dyDescent="0.3">
      <c r="A5027" t="s">
        <v>6206</v>
      </c>
      <c r="B5027" s="1">
        <v>44183</v>
      </c>
      <c r="C5027" t="s">
        <v>2872</v>
      </c>
      <c r="D5027" t="s">
        <v>2873</v>
      </c>
      <c r="E5027" t="s">
        <v>14</v>
      </c>
      <c r="F5027" t="s">
        <v>23</v>
      </c>
      <c r="G5027" t="s">
        <v>18</v>
      </c>
      <c r="H5027" t="s">
        <v>2272</v>
      </c>
      <c r="I5027" s="2">
        <v>395.98</v>
      </c>
      <c r="J5027">
        <v>2</v>
      </c>
      <c r="K5027" s="2">
        <v>57.590400000000002</v>
      </c>
      <c r="L5027" s="3">
        <f>(Table1[[#This Row],[Profit]]/Table1[[#This Row],[Sales]])*100</f>
        <v>14.54376483660791</v>
      </c>
    </row>
    <row r="5028" spans="1:12" x14ac:dyDescent="0.3">
      <c r="A5028" t="s">
        <v>504</v>
      </c>
      <c r="B5028" s="1">
        <v>43528</v>
      </c>
      <c r="C5028" t="s">
        <v>505</v>
      </c>
      <c r="D5028" t="s">
        <v>506</v>
      </c>
      <c r="E5028" t="s">
        <v>14</v>
      </c>
      <c r="F5028" t="s">
        <v>15</v>
      </c>
      <c r="G5028" t="s">
        <v>18</v>
      </c>
      <c r="H5028" t="s">
        <v>507</v>
      </c>
      <c r="I5028" s="2">
        <v>159.97999999999999</v>
      </c>
      <c r="J5028">
        <v>2</v>
      </c>
      <c r="K5028" s="2">
        <v>57.592799999999997</v>
      </c>
      <c r="L5028" s="3">
        <f>(Table1[[#This Row],[Profit]]/Table1[[#This Row],[Sales]])*100</f>
        <v>36</v>
      </c>
    </row>
    <row r="5029" spans="1:12" x14ac:dyDescent="0.3">
      <c r="A5029" t="s">
        <v>4972</v>
      </c>
      <c r="B5029" s="1">
        <v>44020</v>
      </c>
      <c r="C5029" t="s">
        <v>221</v>
      </c>
      <c r="D5029" t="s">
        <v>222</v>
      </c>
      <c r="E5029" t="s">
        <v>14</v>
      </c>
      <c r="F5029" t="s">
        <v>15</v>
      </c>
      <c r="G5029" t="s">
        <v>18</v>
      </c>
      <c r="H5029" t="s">
        <v>3086</v>
      </c>
      <c r="I5029" s="2">
        <v>189.9</v>
      </c>
      <c r="J5029">
        <v>5</v>
      </c>
      <c r="K5029" s="2">
        <v>58.179000000000002</v>
      </c>
      <c r="L5029" s="3">
        <f>(Table1[[#This Row],[Profit]]/Table1[[#This Row],[Sales]])*100</f>
        <v>30.636650868878355</v>
      </c>
    </row>
    <row r="5030" spans="1:12" x14ac:dyDescent="0.3">
      <c r="A5030" t="s">
        <v>4358</v>
      </c>
      <c r="B5030" s="1">
        <v>43917</v>
      </c>
      <c r="C5030" t="s">
        <v>443</v>
      </c>
      <c r="D5030" t="s">
        <v>444</v>
      </c>
      <c r="E5030" t="s">
        <v>14</v>
      </c>
      <c r="F5030" t="s">
        <v>41</v>
      </c>
      <c r="G5030" t="s">
        <v>16</v>
      </c>
      <c r="H5030" t="s">
        <v>2302</v>
      </c>
      <c r="I5030" s="2">
        <v>332.1</v>
      </c>
      <c r="J5030">
        <v>2</v>
      </c>
      <c r="K5030" s="2">
        <v>58.42</v>
      </c>
      <c r="L5030" s="3">
        <f>(Table1[[#This Row],[Profit]]/Table1[[#This Row],[Sales]])*100</f>
        <v>17.59108702198133</v>
      </c>
    </row>
    <row r="5031" spans="1:12" x14ac:dyDescent="0.3">
      <c r="A5031" t="s">
        <v>2692</v>
      </c>
      <c r="B5031" s="1">
        <v>43718</v>
      </c>
      <c r="C5031" t="s">
        <v>1970</v>
      </c>
      <c r="D5031" t="s">
        <v>1971</v>
      </c>
      <c r="E5031" t="s">
        <v>14</v>
      </c>
      <c r="F5031" t="s">
        <v>41</v>
      </c>
      <c r="G5031" t="s">
        <v>18</v>
      </c>
      <c r="H5031" t="s">
        <v>2599</v>
      </c>
      <c r="I5031" s="2">
        <v>519.67999999999995</v>
      </c>
      <c r="J5031">
        <v>7</v>
      </c>
      <c r="K5031" s="2">
        <v>58.463999999999999</v>
      </c>
      <c r="L5031" s="3">
        <f>(Table1[[#This Row],[Profit]]/Table1[[#This Row],[Sales]])*100</f>
        <v>11.25</v>
      </c>
    </row>
    <row r="5032" spans="1:12" x14ac:dyDescent="0.3">
      <c r="A5032" t="s">
        <v>3809</v>
      </c>
      <c r="B5032" s="1">
        <v>43813</v>
      </c>
      <c r="C5032" t="s">
        <v>3316</v>
      </c>
      <c r="D5032" t="s">
        <v>3317</v>
      </c>
      <c r="E5032" t="s">
        <v>14</v>
      </c>
      <c r="F5032" t="s">
        <v>41</v>
      </c>
      <c r="G5032" t="s">
        <v>16</v>
      </c>
      <c r="H5032" t="s">
        <v>3646</v>
      </c>
      <c r="I5032" s="2">
        <v>133.38</v>
      </c>
      <c r="J5032">
        <v>6</v>
      </c>
      <c r="K5032" s="2">
        <v>58.687199999999997</v>
      </c>
      <c r="L5032" s="3">
        <f>(Table1[[#This Row],[Profit]]/Table1[[#This Row],[Sales]])*100</f>
        <v>44</v>
      </c>
    </row>
    <row r="5033" spans="1:12" x14ac:dyDescent="0.3">
      <c r="A5033" t="s">
        <v>2449</v>
      </c>
      <c r="B5033" s="1">
        <v>43703</v>
      </c>
      <c r="C5033" t="s">
        <v>2073</v>
      </c>
      <c r="D5033" t="s">
        <v>2074</v>
      </c>
      <c r="E5033" t="s">
        <v>14</v>
      </c>
      <c r="F5033" t="s">
        <v>29</v>
      </c>
      <c r="G5033" t="s">
        <v>18</v>
      </c>
      <c r="H5033" t="s">
        <v>2451</v>
      </c>
      <c r="I5033" s="2">
        <v>209.97</v>
      </c>
      <c r="J5033">
        <v>3</v>
      </c>
      <c r="K5033" s="2">
        <v>58.791600000000003</v>
      </c>
      <c r="L5033" s="3">
        <f>(Table1[[#This Row],[Profit]]/Table1[[#This Row],[Sales]])*100</f>
        <v>28.000000000000004</v>
      </c>
    </row>
    <row r="5034" spans="1:12" x14ac:dyDescent="0.3">
      <c r="A5034" t="s">
        <v>243</v>
      </c>
      <c r="B5034" s="1">
        <v>43496</v>
      </c>
      <c r="C5034" t="s">
        <v>244</v>
      </c>
      <c r="D5034" t="s">
        <v>245</v>
      </c>
      <c r="E5034" t="s">
        <v>14</v>
      </c>
      <c r="F5034" t="s">
        <v>41</v>
      </c>
      <c r="G5034" t="s">
        <v>24</v>
      </c>
      <c r="H5034" t="s">
        <v>247</v>
      </c>
      <c r="I5034" s="2">
        <v>125.36</v>
      </c>
      <c r="J5034">
        <v>8</v>
      </c>
      <c r="K5034" s="2">
        <v>58.919199999999996</v>
      </c>
      <c r="L5034" s="3">
        <f>(Table1[[#This Row],[Profit]]/Table1[[#This Row],[Sales]])*100</f>
        <v>47</v>
      </c>
    </row>
    <row r="5035" spans="1:12" x14ac:dyDescent="0.3">
      <c r="A5035" t="s">
        <v>1280</v>
      </c>
      <c r="B5035" s="1">
        <v>43592</v>
      </c>
      <c r="C5035" t="s">
        <v>565</v>
      </c>
      <c r="D5035" t="s">
        <v>566</v>
      </c>
      <c r="E5035" t="s">
        <v>14</v>
      </c>
      <c r="F5035" t="s">
        <v>15</v>
      </c>
      <c r="G5035" t="s">
        <v>16</v>
      </c>
      <c r="H5035" t="s">
        <v>1283</v>
      </c>
      <c r="I5035" s="2">
        <v>442.76400000000001</v>
      </c>
      <c r="J5035">
        <v>4</v>
      </c>
      <c r="K5035" s="2">
        <v>59.035200000000003</v>
      </c>
      <c r="L5035" s="3">
        <f>(Table1[[#This Row],[Profit]]/Table1[[#This Row],[Sales]])*100</f>
        <v>13.333333333333334</v>
      </c>
    </row>
    <row r="5036" spans="1:12" x14ac:dyDescent="0.3">
      <c r="A5036" t="s">
        <v>4569</v>
      </c>
      <c r="B5036" s="1">
        <v>43953</v>
      </c>
      <c r="C5036" t="s">
        <v>2477</v>
      </c>
      <c r="D5036" t="s">
        <v>2478</v>
      </c>
      <c r="E5036" t="s">
        <v>14</v>
      </c>
      <c r="F5036" t="s">
        <v>23</v>
      </c>
      <c r="G5036" t="s">
        <v>18</v>
      </c>
      <c r="H5036" t="s">
        <v>51</v>
      </c>
      <c r="I5036" s="2">
        <v>193.56</v>
      </c>
      <c r="J5036">
        <v>4</v>
      </c>
      <c r="K5036" s="2">
        <v>59.037199999999999</v>
      </c>
      <c r="L5036" s="3">
        <f>(Table1[[#This Row],[Profit]]/Table1[[#This Row],[Sales]])*100</f>
        <v>30.500723289935937</v>
      </c>
    </row>
    <row r="5037" spans="1:12" x14ac:dyDescent="0.3">
      <c r="A5037" t="s">
        <v>2259</v>
      </c>
      <c r="B5037" s="1">
        <v>43682</v>
      </c>
      <c r="C5037" t="s">
        <v>80</v>
      </c>
      <c r="D5037" t="s">
        <v>81</v>
      </c>
      <c r="E5037" t="s">
        <v>14</v>
      </c>
      <c r="F5037" t="s">
        <v>41</v>
      </c>
      <c r="G5037" t="s">
        <v>24</v>
      </c>
      <c r="H5037" t="s">
        <v>2260</v>
      </c>
      <c r="I5037" s="2">
        <v>197.05</v>
      </c>
      <c r="J5037">
        <v>7</v>
      </c>
      <c r="K5037" s="2">
        <v>59.115000000000002</v>
      </c>
      <c r="L5037" s="3">
        <f>(Table1[[#This Row],[Profit]]/Table1[[#This Row],[Sales]])*100</f>
        <v>30</v>
      </c>
    </row>
    <row r="5038" spans="1:12" x14ac:dyDescent="0.3">
      <c r="A5038" t="s">
        <v>5137</v>
      </c>
      <c r="B5038" s="1">
        <v>44055</v>
      </c>
      <c r="C5038" t="s">
        <v>3373</v>
      </c>
      <c r="D5038" t="s">
        <v>3374</v>
      </c>
      <c r="E5038" t="s">
        <v>14</v>
      </c>
      <c r="F5038" t="s">
        <v>15</v>
      </c>
      <c r="G5038" t="s">
        <v>24</v>
      </c>
      <c r="H5038" t="s">
        <v>827</v>
      </c>
      <c r="I5038" s="2">
        <v>236.9</v>
      </c>
      <c r="J5038">
        <v>5</v>
      </c>
      <c r="K5038" s="2">
        <v>59.372999999999998</v>
      </c>
      <c r="L5038" s="3">
        <f>(Table1[[#This Row],[Profit]]/Table1[[#This Row],[Sales]])*100</f>
        <v>25.062473617560148</v>
      </c>
    </row>
    <row r="5039" spans="1:12" x14ac:dyDescent="0.3">
      <c r="A5039" t="s">
        <v>4934</v>
      </c>
      <c r="B5039" s="1">
        <v>44014</v>
      </c>
      <c r="C5039" t="s">
        <v>1926</v>
      </c>
      <c r="D5039" t="s">
        <v>1927</v>
      </c>
      <c r="E5039" t="s">
        <v>14</v>
      </c>
      <c r="F5039" t="s">
        <v>29</v>
      </c>
      <c r="G5039" t="s">
        <v>24</v>
      </c>
      <c r="H5039" t="s">
        <v>296</v>
      </c>
      <c r="I5039" s="2">
        <v>207.96</v>
      </c>
      <c r="J5039">
        <v>5</v>
      </c>
      <c r="K5039" s="2">
        <v>59.435499999999998</v>
      </c>
      <c r="L5039" s="3">
        <f>(Table1[[#This Row],[Profit]]/Table1[[#This Row],[Sales]])*100</f>
        <v>28.580255818426618</v>
      </c>
    </row>
    <row r="5040" spans="1:12" x14ac:dyDescent="0.3">
      <c r="A5040" t="s">
        <v>5398</v>
      </c>
      <c r="B5040" s="1">
        <v>44089</v>
      </c>
      <c r="C5040" t="s">
        <v>4373</v>
      </c>
      <c r="D5040" t="s">
        <v>4374</v>
      </c>
      <c r="E5040" t="s">
        <v>14</v>
      </c>
      <c r="F5040" t="s">
        <v>41</v>
      </c>
      <c r="G5040" t="s">
        <v>24</v>
      </c>
      <c r="H5040" t="s">
        <v>126</v>
      </c>
      <c r="I5040" s="2">
        <v>208.96</v>
      </c>
      <c r="J5040">
        <v>5</v>
      </c>
      <c r="K5040" s="2">
        <v>59.435499999999998</v>
      </c>
      <c r="L5040" s="3">
        <f>(Table1[[#This Row],[Profit]]/Table1[[#This Row],[Sales]])*100</f>
        <v>28.443482006125571</v>
      </c>
    </row>
    <row r="5041" spans="1:12" x14ac:dyDescent="0.3">
      <c r="A5041" t="s">
        <v>5480</v>
      </c>
      <c r="B5041" s="1">
        <v>44097</v>
      </c>
      <c r="C5041" t="s">
        <v>3968</v>
      </c>
      <c r="D5041" t="s">
        <v>3969</v>
      </c>
      <c r="E5041" t="s">
        <v>14</v>
      </c>
      <c r="F5041" t="s">
        <v>23</v>
      </c>
      <c r="G5041" t="s">
        <v>16</v>
      </c>
      <c r="H5041" t="s">
        <v>4185</v>
      </c>
      <c r="I5041" s="2">
        <v>628.81600000000003</v>
      </c>
      <c r="J5041">
        <v>2</v>
      </c>
      <c r="K5041" s="2">
        <v>59.4816</v>
      </c>
      <c r="L5041" s="3">
        <f>(Table1[[#This Row],[Profit]]/Table1[[#This Row],[Sales]])*100</f>
        <v>9.4593012900435109</v>
      </c>
    </row>
    <row r="5042" spans="1:12" x14ac:dyDescent="0.3">
      <c r="A5042" t="s">
        <v>6029</v>
      </c>
      <c r="B5042" s="1">
        <v>44162</v>
      </c>
      <c r="C5042" t="s">
        <v>1259</v>
      </c>
      <c r="D5042" t="s">
        <v>1260</v>
      </c>
      <c r="E5042" t="s">
        <v>14</v>
      </c>
      <c r="F5042" t="s">
        <v>23</v>
      </c>
      <c r="G5042" t="s">
        <v>18</v>
      </c>
      <c r="H5042" t="s">
        <v>4922</v>
      </c>
      <c r="I5042" s="2">
        <v>179.16</v>
      </c>
      <c r="J5042">
        <v>8</v>
      </c>
      <c r="K5042" s="2">
        <v>59.817599999999999</v>
      </c>
      <c r="L5042" s="3">
        <f>(Table1[[#This Row],[Profit]]/Table1[[#This Row],[Sales]])*100</f>
        <v>33.387809778968517</v>
      </c>
    </row>
    <row r="5043" spans="1:12" x14ac:dyDescent="0.3">
      <c r="A5043" t="s">
        <v>4237</v>
      </c>
      <c r="B5043" s="1">
        <v>43899</v>
      </c>
      <c r="C5043" t="s">
        <v>2652</v>
      </c>
      <c r="D5043" t="s">
        <v>2653</v>
      </c>
      <c r="E5043" t="s">
        <v>14</v>
      </c>
      <c r="F5043" t="s">
        <v>23</v>
      </c>
      <c r="G5043" t="s">
        <v>18</v>
      </c>
      <c r="H5043" t="s">
        <v>42</v>
      </c>
      <c r="I5043" s="2">
        <v>521.98400000000004</v>
      </c>
      <c r="J5043">
        <v>2</v>
      </c>
      <c r="K5043" s="2">
        <v>59.997999999999998</v>
      </c>
      <c r="L5043" s="3">
        <f>(Table1[[#This Row],[Profit]]/Table1[[#This Row],[Sales]])*100</f>
        <v>11.494222045120155</v>
      </c>
    </row>
    <row r="5044" spans="1:12" x14ac:dyDescent="0.3">
      <c r="A5044" t="s">
        <v>4336</v>
      </c>
      <c r="B5044" s="1">
        <v>43915</v>
      </c>
      <c r="C5044" t="s">
        <v>2574</v>
      </c>
      <c r="D5044" t="s">
        <v>2575</v>
      </c>
      <c r="E5044" t="s">
        <v>14</v>
      </c>
      <c r="F5044" t="s">
        <v>23</v>
      </c>
      <c r="G5044" t="s">
        <v>18</v>
      </c>
      <c r="H5044" t="s">
        <v>42</v>
      </c>
      <c r="I5044" s="2">
        <v>527.98400000000004</v>
      </c>
      <c r="J5044">
        <v>2</v>
      </c>
      <c r="K5044" s="2">
        <v>59.997999999999998</v>
      </c>
      <c r="L5044" s="3">
        <f>(Table1[[#This Row],[Profit]]/Table1[[#This Row],[Sales]])*100</f>
        <v>11.36360192733113</v>
      </c>
    </row>
    <row r="5045" spans="1:12" x14ac:dyDescent="0.3">
      <c r="A5045" t="s">
        <v>285</v>
      </c>
      <c r="B5045" s="1">
        <v>43501</v>
      </c>
      <c r="C5045" t="s">
        <v>286</v>
      </c>
      <c r="D5045" t="s">
        <v>287</v>
      </c>
      <c r="E5045" t="s">
        <v>14</v>
      </c>
      <c r="F5045" t="s">
        <v>41</v>
      </c>
      <c r="G5045" t="s">
        <v>24</v>
      </c>
      <c r="H5045" t="s">
        <v>296</v>
      </c>
      <c r="I5045" s="2">
        <v>122.97</v>
      </c>
      <c r="J5045">
        <v>3</v>
      </c>
      <c r="K5045" s="2">
        <v>60.255299999999998</v>
      </c>
      <c r="L5045" s="3">
        <f>(Table1[[#This Row],[Profit]]/Table1[[#This Row],[Sales]])*100</f>
        <v>49</v>
      </c>
    </row>
    <row r="5046" spans="1:12" x14ac:dyDescent="0.3">
      <c r="A5046" t="s">
        <v>2470</v>
      </c>
      <c r="B5046" s="1">
        <v>43704</v>
      </c>
      <c r="C5046" t="s">
        <v>1769</v>
      </c>
      <c r="D5046" t="s">
        <v>1770</v>
      </c>
      <c r="E5046" t="s">
        <v>14</v>
      </c>
      <c r="F5046" t="s">
        <v>15</v>
      </c>
      <c r="G5046" t="s">
        <v>24</v>
      </c>
      <c r="H5046" t="s">
        <v>2471</v>
      </c>
      <c r="I5046" s="2">
        <v>122.97</v>
      </c>
      <c r="J5046">
        <v>3</v>
      </c>
      <c r="K5046" s="2">
        <v>60.255299999999998</v>
      </c>
      <c r="L5046" s="3">
        <f>(Table1[[#This Row],[Profit]]/Table1[[#This Row],[Sales]])*100</f>
        <v>49</v>
      </c>
    </row>
    <row r="5047" spans="1:12" x14ac:dyDescent="0.3">
      <c r="A5047" t="s">
        <v>4807</v>
      </c>
      <c r="B5047" s="1">
        <v>43993</v>
      </c>
      <c r="C5047" t="s">
        <v>2695</v>
      </c>
      <c r="D5047" t="s">
        <v>2696</v>
      </c>
      <c r="E5047" t="s">
        <v>14</v>
      </c>
      <c r="F5047" t="s">
        <v>23</v>
      </c>
      <c r="G5047" t="s">
        <v>24</v>
      </c>
      <c r="H5047" t="s">
        <v>296</v>
      </c>
      <c r="I5047" s="2">
        <v>153.97</v>
      </c>
      <c r="J5047">
        <v>3</v>
      </c>
      <c r="K5047" s="2">
        <v>60.255299999999998</v>
      </c>
      <c r="L5047" s="3">
        <f>(Table1[[#This Row],[Profit]]/Table1[[#This Row],[Sales]])*100</f>
        <v>39.134441774371631</v>
      </c>
    </row>
    <row r="5048" spans="1:12" x14ac:dyDescent="0.3">
      <c r="A5048" t="s">
        <v>3939</v>
      </c>
      <c r="B5048" s="1">
        <v>43828</v>
      </c>
      <c r="C5048" t="s">
        <v>807</v>
      </c>
      <c r="D5048" t="s">
        <v>808</v>
      </c>
      <c r="E5048" t="s">
        <v>14</v>
      </c>
      <c r="F5048" t="s">
        <v>29</v>
      </c>
      <c r="G5048" t="s">
        <v>16</v>
      </c>
      <c r="H5048" t="s">
        <v>3940</v>
      </c>
      <c r="I5048" s="2">
        <v>754.45</v>
      </c>
      <c r="J5048">
        <v>5</v>
      </c>
      <c r="K5048" s="2">
        <v>60.356000000000002</v>
      </c>
      <c r="L5048" s="3">
        <f>(Table1[[#This Row],[Profit]]/Table1[[#This Row],[Sales]])*100</f>
        <v>8</v>
      </c>
    </row>
    <row r="5049" spans="1:12" x14ac:dyDescent="0.3">
      <c r="A5049" t="s">
        <v>2920</v>
      </c>
      <c r="B5049" s="1">
        <v>43733</v>
      </c>
      <c r="C5049" t="s">
        <v>431</v>
      </c>
      <c r="D5049" t="s">
        <v>432</v>
      </c>
      <c r="E5049" t="s">
        <v>14</v>
      </c>
      <c r="F5049" t="s">
        <v>23</v>
      </c>
      <c r="G5049" t="s">
        <v>16</v>
      </c>
      <c r="H5049" t="s">
        <v>741</v>
      </c>
      <c r="I5049" s="2">
        <v>483.13600000000002</v>
      </c>
      <c r="J5049">
        <v>4</v>
      </c>
      <c r="K5049" s="2">
        <v>60.392000000000003</v>
      </c>
      <c r="L5049" s="3">
        <f>(Table1[[#This Row],[Profit]]/Table1[[#This Row],[Sales]])*100</f>
        <v>12.5</v>
      </c>
    </row>
    <row r="5050" spans="1:12" x14ac:dyDescent="0.3">
      <c r="A5050" t="s">
        <v>4332</v>
      </c>
      <c r="B5050" s="1">
        <v>43914</v>
      </c>
      <c r="C5050" t="s">
        <v>779</v>
      </c>
      <c r="D5050" t="s">
        <v>780</v>
      </c>
      <c r="E5050" t="s">
        <v>14</v>
      </c>
      <c r="F5050" t="s">
        <v>15</v>
      </c>
      <c r="G5050" t="s">
        <v>16</v>
      </c>
      <c r="H5050" t="s">
        <v>741</v>
      </c>
      <c r="I5050" s="2">
        <v>305.76400000000001</v>
      </c>
      <c r="J5050">
        <v>2</v>
      </c>
      <c r="K5050" s="2">
        <v>60.392000000000003</v>
      </c>
      <c r="L5050" s="3">
        <f>(Table1[[#This Row],[Profit]]/Table1[[#This Row],[Sales]])*100</f>
        <v>19.751180649128088</v>
      </c>
    </row>
    <row r="5051" spans="1:12" x14ac:dyDescent="0.3">
      <c r="A5051" t="s">
        <v>5111</v>
      </c>
      <c r="B5051" s="1">
        <v>44048</v>
      </c>
      <c r="C5051" t="s">
        <v>2785</v>
      </c>
      <c r="D5051" t="s">
        <v>2786</v>
      </c>
      <c r="E5051" t="s">
        <v>14</v>
      </c>
      <c r="F5051" t="s">
        <v>29</v>
      </c>
      <c r="G5051" t="s">
        <v>24</v>
      </c>
      <c r="H5051" t="s">
        <v>1740</v>
      </c>
      <c r="I5051" s="2">
        <v>164.88</v>
      </c>
      <c r="J5051">
        <v>6</v>
      </c>
      <c r="K5051" s="2">
        <v>60.422400000000003</v>
      </c>
      <c r="L5051" s="3">
        <f>(Table1[[#This Row],[Profit]]/Table1[[#This Row],[Sales]])*100</f>
        <v>36.646288209606993</v>
      </c>
    </row>
    <row r="5052" spans="1:12" x14ac:dyDescent="0.3">
      <c r="A5052" t="s">
        <v>6115</v>
      </c>
      <c r="B5052" s="1">
        <v>44170</v>
      </c>
      <c r="C5052" t="s">
        <v>3091</v>
      </c>
      <c r="D5052" t="s">
        <v>3092</v>
      </c>
      <c r="E5052" t="s">
        <v>14</v>
      </c>
      <c r="F5052" t="s">
        <v>23</v>
      </c>
      <c r="G5052" t="s">
        <v>24</v>
      </c>
      <c r="H5052" t="s">
        <v>3321</v>
      </c>
      <c r="I5052" s="2">
        <v>216.75200000000001</v>
      </c>
      <c r="J5052">
        <v>6</v>
      </c>
      <c r="K5052" s="2">
        <v>60.463200000000001</v>
      </c>
      <c r="L5052" s="3">
        <f>(Table1[[#This Row],[Profit]]/Table1[[#This Row],[Sales]])*100</f>
        <v>27.895105927511626</v>
      </c>
    </row>
    <row r="5053" spans="1:12" x14ac:dyDescent="0.3">
      <c r="A5053" t="s">
        <v>4095</v>
      </c>
      <c r="B5053" s="1">
        <v>43860</v>
      </c>
      <c r="C5053" t="s">
        <v>2528</v>
      </c>
      <c r="D5053" t="s">
        <v>2529</v>
      </c>
      <c r="E5053" t="s">
        <v>14</v>
      </c>
      <c r="F5053" t="s">
        <v>23</v>
      </c>
      <c r="G5053" t="s">
        <v>18</v>
      </c>
      <c r="H5053" t="s">
        <v>2258</v>
      </c>
      <c r="I5053" s="2">
        <v>618.76800000000003</v>
      </c>
      <c r="J5053">
        <v>4</v>
      </c>
      <c r="K5053" s="2">
        <v>60.476799999999997</v>
      </c>
      <c r="L5053" s="3">
        <f>(Table1[[#This Row],[Profit]]/Table1[[#This Row],[Sales]])*100</f>
        <v>9.7737439557313888</v>
      </c>
    </row>
    <row r="5054" spans="1:12" x14ac:dyDescent="0.3">
      <c r="A5054" t="s">
        <v>5543</v>
      </c>
      <c r="B5054" s="1">
        <v>44105</v>
      </c>
      <c r="C5054" t="s">
        <v>3546</v>
      </c>
      <c r="D5054" t="s">
        <v>3547</v>
      </c>
      <c r="E5054" t="s">
        <v>14</v>
      </c>
      <c r="F5054" t="s">
        <v>23</v>
      </c>
      <c r="G5054" t="s">
        <v>24</v>
      </c>
      <c r="H5054" t="s">
        <v>3777</v>
      </c>
      <c r="I5054" s="2">
        <v>269.95999999999998</v>
      </c>
      <c r="J5054">
        <v>2</v>
      </c>
      <c r="K5054" s="2">
        <v>60.49</v>
      </c>
      <c r="L5054" s="3">
        <f>(Table1[[#This Row],[Profit]]/Table1[[#This Row],[Sales]])*100</f>
        <v>22.407023262705589</v>
      </c>
    </row>
    <row r="5055" spans="1:12" x14ac:dyDescent="0.3">
      <c r="A5055" t="s">
        <v>1823</v>
      </c>
      <c r="B5055" s="1">
        <v>43637</v>
      </c>
      <c r="C5055" t="s">
        <v>1208</v>
      </c>
      <c r="D5055" t="s">
        <v>1209</v>
      </c>
      <c r="E5055" t="s">
        <v>14</v>
      </c>
      <c r="F5055" t="s">
        <v>15</v>
      </c>
      <c r="G5055" t="s">
        <v>24</v>
      </c>
      <c r="H5055" t="s">
        <v>1825</v>
      </c>
      <c r="I5055" s="2">
        <v>186.14400000000001</v>
      </c>
      <c r="J5055">
        <v>6</v>
      </c>
      <c r="K5055" s="2">
        <v>60.4968</v>
      </c>
      <c r="L5055" s="3">
        <f>(Table1[[#This Row],[Profit]]/Table1[[#This Row],[Sales]])*100</f>
        <v>32.5</v>
      </c>
    </row>
    <row r="5056" spans="1:12" x14ac:dyDescent="0.3">
      <c r="A5056" t="s">
        <v>6259</v>
      </c>
      <c r="B5056" s="1">
        <v>44189</v>
      </c>
      <c r="C5056" t="s">
        <v>684</v>
      </c>
      <c r="D5056" t="s">
        <v>685</v>
      </c>
      <c r="E5056" t="s">
        <v>14</v>
      </c>
      <c r="F5056" t="s">
        <v>41</v>
      </c>
      <c r="G5056" t="s">
        <v>16</v>
      </c>
      <c r="H5056" t="s">
        <v>6260</v>
      </c>
      <c r="I5056" s="2">
        <v>559.88</v>
      </c>
      <c r="J5056">
        <v>4</v>
      </c>
      <c r="K5056" s="2">
        <v>60.5488</v>
      </c>
      <c r="L5056" s="3">
        <f>(Table1[[#This Row],[Profit]]/Table1[[#This Row],[Sales]])*100</f>
        <v>10.814603129241981</v>
      </c>
    </row>
    <row r="5057" spans="1:12" x14ac:dyDescent="0.3">
      <c r="A5057" t="s">
        <v>5077</v>
      </c>
      <c r="B5057" s="1">
        <v>44041</v>
      </c>
      <c r="C5057" t="s">
        <v>1903</v>
      </c>
      <c r="D5057" t="s">
        <v>1904</v>
      </c>
      <c r="E5057" t="s">
        <v>14</v>
      </c>
      <c r="F5057" t="s">
        <v>29</v>
      </c>
      <c r="G5057" t="s">
        <v>24</v>
      </c>
      <c r="H5057" t="s">
        <v>1916</v>
      </c>
      <c r="I5057" s="2">
        <v>168.62</v>
      </c>
      <c r="J5057">
        <v>2</v>
      </c>
      <c r="K5057" s="2">
        <v>60.552799999999998</v>
      </c>
      <c r="L5057" s="3">
        <f>(Table1[[#This Row],[Profit]]/Table1[[#This Row],[Sales]])*100</f>
        <v>35.910805361167121</v>
      </c>
    </row>
    <row r="5058" spans="1:12" x14ac:dyDescent="0.3">
      <c r="A5058" t="s">
        <v>5708</v>
      </c>
      <c r="B5058" s="1">
        <v>44130</v>
      </c>
      <c r="C5058" t="s">
        <v>1681</v>
      </c>
      <c r="D5058" t="s">
        <v>1682</v>
      </c>
      <c r="E5058" t="s">
        <v>14</v>
      </c>
      <c r="F5058" t="s">
        <v>41</v>
      </c>
      <c r="G5058" t="s">
        <v>16</v>
      </c>
      <c r="H5058" t="s">
        <v>4028</v>
      </c>
      <c r="I5058" s="2">
        <v>382.85</v>
      </c>
      <c r="J5058">
        <v>5</v>
      </c>
      <c r="K5058" s="2">
        <v>60.664499999999997</v>
      </c>
      <c r="L5058" s="3">
        <f>(Table1[[#This Row],[Profit]]/Table1[[#This Row],[Sales]])*100</f>
        <v>15.845500848896432</v>
      </c>
    </row>
    <row r="5059" spans="1:12" x14ac:dyDescent="0.3">
      <c r="A5059" t="s">
        <v>794</v>
      </c>
      <c r="B5059" s="1">
        <v>43553</v>
      </c>
      <c r="C5059" t="s">
        <v>795</v>
      </c>
      <c r="D5059" t="s">
        <v>796</v>
      </c>
      <c r="E5059" t="s">
        <v>14</v>
      </c>
      <c r="F5059" t="s">
        <v>29</v>
      </c>
      <c r="G5059" t="s">
        <v>18</v>
      </c>
      <c r="H5059" t="s">
        <v>619</v>
      </c>
      <c r="I5059" s="2">
        <v>812.73599999999999</v>
      </c>
      <c r="J5059">
        <v>8</v>
      </c>
      <c r="K5059" s="2">
        <v>60.955199999999998</v>
      </c>
      <c r="L5059" s="3">
        <f>(Table1[[#This Row],[Profit]]/Table1[[#This Row],[Sales]])*100</f>
        <v>7.5</v>
      </c>
    </row>
    <row r="5060" spans="1:12" x14ac:dyDescent="0.3">
      <c r="A5060" t="s">
        <v>2513</v>
      </c>
      <c r="B5060" s="1">
        <v>43709</v>
      </c>
      <c r="C5060" t="s">
        <v>356</v>
      </c>
      <c r="D5060" t="s">
        <v>357</v>
      </c>
      <c r="E5060" t="s">
        <v>14</v>
      </c>
      <c r="F5060" t="s">
        <v>15</v>
      </c>
      <c r="G5060" t="s">
        <v>16</v>
      </c>
      <c r="H5060" t="s">
        <v>629</v>
      </c>
      <c r="I5060" s="2">
        <v>191.82</v>
      </c>
      <c r="J5060">
        <v>3</v>
      </c>
      <c r="K5060" s="2">
        <v>61.382399999999997</v>
      </c>
      <c r="L5060" s="3">
        <f>(Table1[[#This Row],[Profit]]/Table1[[#This Row],[Sales]])*100</f>
        <v>32</v>
      </c>
    </row>
    <row r="5061" spans="1:12" x14ac:dyDescent="0.3">
      <c r="A5061" t="s">
        <v>2784</v>
      </c>
      <c r="B5061" s="1">
        <v>43725</v>
      </c>
      <c r="C5061" t="s">
        <v>2785</v>
      </c>
      <c r="D5061" t="s">
        <v>2786</v>
      </c>
      <c r="E5061" t="s">
        <v>14</v>
      </c>
      <c r="F5061" t="s">
        <v>15</v>
      </c>
      <c r="G5061" t="s">
        <v>16</v>
      </c>
      <c r="H5061" t="s">
        <v>629</v>
      </c>
      <c r="I5061" s="2">
        <v>191.82</v>
      </c>
      <c r="J5061">
        <v>3</v>
      </c>
      <c r="K5061" s="2">
        <v>61.382399999999997</v>
      </c>
      <c r="L5061" s="3">
        <f>(Table1[[#This Row],[Profit]]/Table1[[#This Row],[Sales]])*100</f>
        <v>32</v>
      </c>
    </row>
    <row r="5062" spans="1:12" x14ac:dyDescent="0.3">
      <c r="A5062" t="s">
        <v>5443</v>
      </c>
      <c r="B5062" s="1">
        <v>44093</v>
      </c>
      <c r="C5062" t="s">
        <v>328</v>
      </c>
      <c r="D5062" t="s">
        <v>329</v>
      </c>
      <c r="E5062" t="s">
        <v>14</v>
      </c>
      <c r="F5062" t="s">
        <v>23</v>
      </c>
      <c r="G5062" t="s">
        <v>16</v>
      </c>
      <c r="H5062" t="s">
        <v>629</v>
      </c>
      <c r="I5062" s="2">
        <v>430.21600000000001</v>
      </c>
      <c r="J5062">
        <v>8</v>
      </c>
      <c r="K5062" s="2">
        <v>61.382399999999997</v>
      </c>
      <c r="L5062" s="3">
        <f>(Table1[[#This Row],[Profit]]/Table1[[#This Row],[Sales]])*100</f>
        <v>14.267809658404149</v>
      </c>
    </row>
    <row r="5063" spans="1:12" x14ac:dyDescent="0.3">
      <c r="A5063" t="s">
        <v>5166</v>
      </c>
      <c r="B5063" s="1">
        <v>44061</v>
      </c>
      <c r="C5063" t="s">
        <v>5167</v>
      </c>
      <c r="D5063" t="s">
        <v>5168</v>
      </c>
      <c r="E5063" t="s">
        <v>14</v>
      </c>
      <c r="F5063" t="s">
        <v>23</v>
      </c>
      <c r="G5063" t="s">
        <v>24</v>
      </c>
      <c r="H5063" t="s">
        <v>5169</v>
      </c>
      <c r="I5063" s="2">
        <v>343.1</v>
      </c>
      <c r="J5063">
        <v>2</v>
      </c>
      <c r="K5063" s="2">
        <v>61.389000000000003</v>
      </c>
      <c r="L5063" s="3">
        <f>(Table1[[#This Row],[Profit]]/Table1[[#This Row],[Sales]])*100</f>
        <v>17.892451180413875</v>
      </c>
    </row>
    <row r="5064" spans="1:12" x14ac:dyDescent="0.3">
      <c r="A5064" t="s">
        <v>5337</v>
      </c>
      <c r="B5064" s="1">
        <v>44083</v>
      </c>
      <c r="C5064" t="s">
        <v>4011</v>
      </c>
      <c r="D5064" t="s">
        <v>4012</v>
      </c>
      <c r="E5064" t="s">
        <v>14</v>
      </c>
      <c r="F5064" t="s">
        <v>41</v>
      </c>
      <c r="G5064" t="s">
        <v>24</v>
      </c>
      <c r="H5064" t="s">
        <v>4328</v>
      </c>
      <c r="I5064" s="2">
        <v>213.536</v>
      </c>
      <c r="J5064">
        <v>4</v>
      </c>
      <c r="K5064" s="2">
        <v>62.137599999999999</v>
      </c>
      <c r="L5064" s="3">
        <f>(Table1[[#This Row],[Profit]]/Table1[[#This Row],[Sales]])*100</f>
        <v>29.099355612168438</v>
      </c>
    </row>
    <row r="5065" spans="1:12" x14ac:dyDescent="0.3">
      <c r="A5065" t="s">
        <v>3362</v>
      </c>
      <c r="B5065" s="1">
        <v>43779</v>
      </c>
      <c r="C5065" t="s">
        <v>3363</v>
      </c>
      <c r="D5065" t="s">
        <v>3364</v>
      </c>
      <c r="E5065" t="s">
        <v>14</v>
      </c>
      <c r="F5065" t="s">
        <v>29</v>
      </c>
      <c r="G5065" t="s">
        <v>18</v>
      </c>
      <c r="H5065" t="s">
        <v>3365</v>
      </c>
      <c r="I5065" s="2">
        <v>221.98</v>
      </c>
      <c r="J5065">
        <v>2</v>
      </c>
      <c r="K5065" s="2">
        <v>62.154400000000003</v>
      </c>
      <c r="L5065" s="3">
        <f>(Table1[[#This Row],[Profit]]/Table1[[#This Row],[Sales]])*100</f>
        <v>28.000000000000004</v>
      </c>
    </row>
    <row r="5066" spans="1:12" x14ac:dyDescent="0.3">
      <c r="A5066" t="s">
        <v>2665</v>
      </c>
      <c r="B5066" s="1">
        <v>43716</v>
      </c>
      <c r="C5066" t="s">
        <v>2666</v>
      </c>
      <c r="D5066" t="s">
        <v>2667</v>
      </c>
      <c r="E5066" t="s">
        <v>14</v>
      </c>
      <c r="F5066" t="s">
        <v>15</v>
      </c>
      <c r="G5066" t="s">
        <v>24</v>
      </c>
      <c r="H5066" t="s">
        <v>2668</v>
      </c>
      <c r="I5066" s="2">
        <v>207.48</v>
      </c>
      <c r="J5066">
        <v>1</v>
      </c>
      <c r="K5066" s="2">
        <v>62.244</v>
      </c>
      <c r="L5066" s="3">
        <f>(Table1[[#This Row],[Profit]]/Table1[[#This Row],[Sales]])*100</f>
        <v>30</v>
      </c>
    </row>
    <row r="5067" spans="1:12" x14ac:dyDescent="0.3">
      <c r="A5067" t="s">
        <v>6141</v>
      </c>
      <c r="B5067" s="1">
        <v>44174</v>
      </c>
      <c r="C5067" t="s">
        <v>1183</v>
      </c>
      <c r="D5067" t="s">
        <v>1184</v>
      </c>
      <c r="E5067" t="s">
        <v>14</v>
      </c>
      <c r="F5067" t="s">
        <v>41</v>
      </c>
      <c r="G5067" t="s">
        <v>24</v>
      </c>
      <c r="H5067" t="s">
        <v>2537</v>
      </c>
      <c r="I5067" s="2">
        <v>232.9</v>
      </c>
      <c r="J5067">
        <v>5</v>
      </c>
      <c r="K5067" s="2">
        <v>62.320999999999998</v>
      </c>
      <c r="L5067" s="3">
        <f>(Table1[[#This Row],[Profit]]/Table1[[#This Row],[Sales]])*100</f>
        <v>26.758694718763415</v>
      </c>
    </row>
    <row r="5068" spans="1:12" x14ac:dyDescent="0.3">
      <c r="A5068" t="s">
        <v>686</v>
      </c>
      <c r="B5068" s="1">
        <v>43541</v>
      </c>
      <c r="C5068" t="s">
        <v>687</v>
      </c>
      <c r="D5068" t="s">
        <v>688</v>
      </c>
      <c r="E5068" t="s">
        <v>14</v>
      </c>
      <c r="F5068" t="s">
        <v>15</v>
      </c>
      <c r="G5068" t="s">
        <v>18</v>
      </c>
      <c r="H5068" t="s">
        <v>689</v>
      </c>
      <c r="I5068" s="2">
        <v>129.97999999999999</v>
      </c>
      <c r="J5068">
        <v>2</v>
      </c>
      <c r="K5068" s="2">
        <v>62.3904</v>
      </c>
      <c r="L5068" s="3">
        <f>(Table1[[#This Row],[Profit]]/Table1[[#This Row],[Sales]])*100</f>
        <v>48.000000000000007</v>
      </c>
    </row>
    <row r="5069" spans="1:12" x14ac:dyDescent="0.3">
      <c r="A5069" t="s">
        <v>3575</v>
      </c>
      <c r="B5069" s="1">
        <v>43794</v>
      </c>
      <c r="C5069" t="s">
        <v>3373</v>
      </c>
      <c r="D5069" t="s">
        <v>3374</v>
      </c>
      <c r="E5069" t="s">
        <v>14</v>
      </c>
      <c r="F5069" t="s">
        <v>29</v>
      </c>
      <c r="G5069" t="s">
        <v>18</v>
      </c>
      <c r="H5069" t="s">
        <v>1352</v>
      </c>
      <c r="I5069" s="2">
        <v>160</v>
      </c>
      <c r="J5069">
        <v>8</v>
      </c>
      <c r="K5069" s="2">
        <v>62.4</v>
      </c>
      <c r="L5069" s="3">
        <f>(Table1[[#This Row],[Profit]]/Table1[[#This Row],[Sales]])*100</f>
        <v>39</v>
      </c>
    </row>
    <row r="5070" spans="1:12" x14ac:dyDescent="0.3">
      <c r="A5070" t="s">
        <v>3842</v>
      </c>
      <c r="B5070" s="1">
        <v>43817</v>
      </c>
      <c r="C5070" t="s">
        <v>188</v>
      </c>
      <c r="D5070" t="s">
        <v>189</v>
      </c>
      <c r="E5070" t="s">
        <v>14</v>
      </c>
      <c r="F5070" t="s">
        <v>23</v>
      </c>
      <c r="G5070" t="s">
        <v>16</v>
      </c>
      <c r="H5070" t="s">
        <v>3846</v>
      </c>
      <c r="I5070" s="2">
        <v>183.84</v>
      </c>
      <c r="J5070">
        <v>8</v>
      </c>
      <c r="K5070" s="2">
        <v>62.505600000000001</v>
      </c>
      <c r="L5070" s="3">
        <f>(Table1[[#This Row],[Profit]]/Table1[[#This Row],[Sales]])*100</f>
        <v>34</v>
      </c>
    </row>
    <row r="5071" spans="1:12" x14ac:dyDescent="0.3">
      <c r="A5071" t="s">
        <v>4712</v>
      </c>
      <c r="B5071" s="1">
        <v>43977</v>
      </c>
      <c r="C5071" t="s">
        <v>1535</v>
      </c>
      <c r="D5071" t="s">
        <v>1536</v>
      </c>
      <c r="E5071" t="s">
        <v>14</v>
      </c>
      <c r="F5071" t="s">
        <v>41</v>
      </c>
      <c r="G5071" t="s">
        <v>24</v>
      </c>
      <c r="H5071" t="s">
        <v>4713</v>
      </c>
      <c r="I5071" s="2">
        <v>248.44</v>
      </c>
      <c r="J5071">
        <v>3</v>
      </c>
      <c r="K5071" s="2">
        <v>62.531999999999996</v>
      </c>
      <c r="L5071" s="3">
        <f>(Table1[[#This Row],[Profit]]/Table1[[#This Row],[Sales]])*100</f>
        <v>25.16985992593785</v>
      </c>
    </row>
    <row r="5072" spans="1:12" x14ac:dyDescent="0.3">
      <c r="A5072" t="s">
        <v>4213</v>
      </c>
      <c r="B5072" s="1">
        <v>43895</v>
      </c>
      <c r="C5072" t="s">
        <v>4214</v>
      </c>
      <c r="D5072" t="s">
        <v>4215</v>
      </c>
      <c r="E5072" t="s">
        <v>14</v>
      </c>
      <c r="F5072" t="s">
        <v>29</v>
      </c>
      <c r="G5072" t="s">
        <v>24</v>
      </c>
      <c r="H5072" t="s">
        <v>462</v>
      </c>
      <c r="I5072" s="2">
        <v>142.96</v>
      </c>
      <c r="J5072">
        <v>2</v>
      </c>
      <c r="K5072" s="2">
        <v>62.700400000000002</v>
      </c>
      <c r="L5072" s="3">
        <f>(Table1[[#This Row],[Profit]]/Table1[[#This Row],[Sales]])*100</f>
        <v>43.85870173475098</v>
      </c>
    </row>
    <row r="5073" spans="1:12" x14ac:dyDescent="0.3">
      <c r="A5073" t="s">
        <v>4974</v>
      </c>
      <c r="B5073" s="1">
        <v>44020</v>
      </c>
      <c r="C5073" t="s">
        <v>2528</v>
      </c>
      <c r="D5073" t="s">
        <v>2529</v>
      </c>
      <c r="E5073" t="s">
        <v>14</v>
      </c>
      <c r="F5073" t="s">
        <v>23</v>
      </c>
      <c r="G5073" t="s">
        <v>16</v>
      </c>
      <c r="H5073" t="s">
        <v>4975</v>
      </c>
      <c r="I5073" s="2">
        <v>166.9</v>
      </c>
      <c r="J5073">
        <v>5</v>
      </c>
      <c r="K5073" s="2">
        <v>62.737000000000002</v>
      </c>
      <c r="L5073" s="3">
        <f>(Table1[[#This Row],[Profit]]/Table1[[#This Row],[Sales]])*100</f>
        <v>37.589574595566205</v>
      </c>
    </row>
    <row r="5074" spans="1:12" x14ac:dyDescent="0.3">
      <c r="A5074" t="s">
        <v>4336</v>
      </c>
      <c r="B5074" s="1">
        <v>43915</v>
      </c>
      <c r="C5074" t="s">
        <v>2574</v>
      </c>
      <c r="D5074" t="s">
        <v>2575</v>
      </c>
      <c r="E5074" t="s">
        <v>14</v>
      </c>
      <c r="F5074" t="s">
        <v>23</v>
      </c>
      <c r="G5074" t="s">
        <v>24</v>
      </c>
      <c r="H5074" t="s">
        <v>47</v>
      </c>
      <c r="I5074" s="2">
        <v>205.92</v>
      </c>
      <c r="J5074">
        <v>4</v>
      </c>
      <c r="K5074" s="2">
        <v>62.747999999999998</v>
      </c>
      <c r="L5074" s="3">
        <f>(Table1[[#This Row],[Profit]]/Table1[[#This Row],[Sales]])*100</f>
        <v>30.47202797202797</v>
      </c>
    </row>
    <row r="5075" spans="1:12" x14ac:dyDescent="0.3">
      <c r="A5075" t="s">
        <v>1166</v>
      </c>
      <c r="B5075" s="1">
        <v>43581</v>
      </c>
      <c r="C5075" t="s">
        <v>648</v>
      </c>
      <c r="D5075" t="s">
        <v>649</v>
      </c>
      <c r="E5075" t="s">
        <v>14</v>
      </c>
      <c r="F5075" t="s">
        <v>15</v>
      </c>
      <c r="G5075" t="s">
        <v>16</v>
      </c>
      <c r="H5075" t="s">
        <v>469</v>
      </c>
      <c r="I5075" s="2">
        <v>434.64600000000002</v>
      </c>
      <c r="J5075">
        <v>3</v>
      </c>
      <c r="K5075" s="2">
        <v>62.782200000000003</v>
      </c>
      <c r="L5075" s="3">
        <f>(Table1[[#This Row],[Profit]]/Table1[[#This Row],[Sales]])*100</f>
        <v>14.444444444444446</v>
      </c>
    </row>
    <row r="5076" spans="1:12" x14ac:dyDescent="0.3">
      <c r="A5076" t="s">
        <v>2418</v>
      </c>
      <c r="B5076" s="1">
        <v>43700</v>
      </c>
      <c r="C5076" t="s">
        <v>2419</v>
      </c>
      <c r="D5076" t="s">
        <v>2420</v>
      </c>
      <c r="E5076" t="s">
        <v>14</v>
      </c>
      <c r="F5076" t="s">
        <v>23</v>
      </c>
      <c r="G5076" t="s">
        <v>18</v>
      </c>
      <c r="H5076" t="s">
        <v>1542</v>
      </c>
      <c r="I5076" s="2">
        <v>837.6</v>
      </c>
      <c r="J5076">
        <v>3</v>
      </c>
      <c r="K5076" s="2">
        <v>62.82</v>
      </c>
      <c r="L5076" s="3">
        <f>(Table1[[#This Row],[Profit]]/Table1[[#This Row],[Sales]])*100</f>
        <v>7.5</v>
      </c>
    </row>
    <row r="5077" spans="1:12" x14ac:dyDescent="0.3">
      <c r="A5077" t="s">
        <v>3028</v>
      </c>
      <c r="B5077" s="1">
        <v>43745</v>
      </c>
      <c r="C5077" t="s">
        <v>139</v>
      </c>
      <c r="D5077" t="s">
        <v>140</v>
      </c>
      <c r="E5077" t="s">
        <v>14</v>
      </c>
      <c r="F5077" t="s">
        <v>23</v>
      </c>
      <c r="G5077" t="s">
        <v>18</v>
      </c>
      <c r="H5077" t="s">
        <v>1542</v>
      </c>
      <c r="I5077" s="2">
        <v>837.6</v>
      </c>
      <c r="J5077">
        <v>3</v>
      </c>
      <c r="K5077" s="2">
        <v>62.82</v>
      </c>
      <c r="L5077" s="3">
        <f>(Table1[[#This Row],[Profit]]/Table1[[#This Row],[Sales]])*100</f>
        <v>7.5</v>
      </c>
    </row>
    <row r="5078" spans="1:12" x14ac:dyDescent="0.3">
      <c r="A5078" t="s">
        <v>5672</v>
      </c>
      <c r="B5078" s="1">
        <v>44125</v>
      </c>
      <c r="C5078" t="s">
        <v>3770</v>
      </c>
      <c r="D5078" t="s">
        <v>3771</v>
      </c>
      <c r="E5078" t="s">
        <v>14</v>
      </c>
      <c r="F5078" t="s">
        <v>29</v>
      </c>
      <c r="G5078" t="s">
        <v>16</v>
      </c>
      <c r="H5078" t="s">
        <v>349</v>
      </c>
      <c r="I5078" s="2">
        <v>307.11</v>
      </c>
      <c r="J5078">
        <v>1</v>
      </c>
      <c r="K5078" s="2">
        <v>62.906399999999998</v>
      </c>
      <c r="L5078" s="3">
        <f>(Table1[[#This Row],[Profit]]/Table1[[#This Row],[Sales]])*100</f>
        <v>20.483344729901336</v>
      </c>
    </row>
    <row r="5079" spans="1:12" x14ac:dyDescent="0.3">
      <c r="A5079" t="s">
        <v>3501</v>
      </c>
      <c r="B5079" s="1">
        <v>43789</v>
      </c>
      <c r="C5079" t="s">
        <v>3502</v>
      </c>
      <c r="D5079" t="s">
        <v>3503</v>
      </c>
      <c r="E5079" t="s">
        <v>14</v>
      </c>
      <c r="F5079" t="s">
        <v>15</v>
      </c>
      <c r="G5079" t="s">
        <v>24</v>
      </c>
      <c r="H5079" t="s">
        <v>3504</v>
      </c>
      <c r="I5079" s="2">
        <v>128.4</v>
      </c>
      <c r="J5079">
        <v>3</v>
      </c>
      <c r="K5079" s="2">
        <v>62.915999999999997</v>
      </c>
      <c r="L5079" s="3">
        <f>(Table1[[#This Row],[Profit]]/Table1[[#This Row],[Sales]])*100</f>
        <v>48.999999999999993</v>
      </c>
    </row>
    <row r="5080" spans="1:12" x14ac:dyDescent="0.3">
      <c r="A5080" t="s">
        <v>2713</v>
      </c>
      <c r="B5080" s="1">
        <v>43719</v>
      </c>
      <c r="C5080" t="s">
        <v>1299</v>
      </c>
      <c r="D5080" t="s">
        <v>1300</v>
      </c>
      <c r="E5080" t="s">
        <v>14</v>
      </c>
      <c r="F5080" t="s">
        <v>29</v>
      </c>
      <c r="G5080" t="s">
        <v>18</v>
      </c>
      <c r="H5080" t="s">
        <v>473</v>
      </c>
      <c r="I5080" s="2">
        <v>224.75</v>
      </c>
      <c r="J5080">
        <v>5</v>
      </c>
      <c r="K5080" s="2">
        <v>62.93</v>
      </c>
      <c r="L5080" s="3">
        <f>(Table1[[#This Row],[Profit]]/Table1[[#This Row],[Sales]])*100</f>
        <v>27.999999999999996</v>
      </c>
    </row>
    <row r="5081" spans="1:12" x14ac:dyDescent="0.3">
      <c r="A5081" t="s">
        <v>4938</v>
      </c>
      <c r="B5081" s="1">
        <v>44015</v>
      </c>
      <c r="C5081" t="s">
        <v>3525</v>
      </c>
      <c r="D5081" t="s">
        <v>3526</v>
      </c>
      <c r="E5081" t="s">
        <v>14</v>
      </c>
      <c r="F5081" t="s">
        <v>29</v>
      </c>
      <c r="G5081" t="s">
        <v>18</v>
      </c>
      <c r="H5081" t="s">
        <v>78</v>
      </c>
      <c r="I5081" s="2">
        <v>186.96799999999999</v>
      </c>
      <c r="J5081">
        <v>4</v>
      </c>
      <c r="K5081" s="2">
        <v>62.988</v>
      </c>
      <c r="L5081" s="3">
        <f>(Table1[[#This Row],[Profit]]/Table1[[#This Row],[Sales]])*100</f>
        <v>33.689187454537681</v>
      </c>
    </row>
    <row r="5082" spans="1:12" x14ac:dyDescent="0.3">
      <c r="A5082" t="s">
        <v>4614</v>
      </c>
      <c r="B5082" s="1">
        <v>43960</v>
      </c>
      <c r="C5082" t="s">
        <v>2520</v>
      </c>
      <c r="D5082" t="s">
        <v>2521</v>
      </c>
      <c r="E5082" t="s">
        <v>14</v>
      </c>
      <c r="F5082" t="s">
        <v>23</v>
      </c>
      <c r="G5082" t="s">
        <v>16</v>
      </c>
      <c r="H5082" t="s">
        <v>4617</v>
      </c>
      <c r="I5082" s="2">
        <v>300.85000000000002</v>
      </c>
      <c r="J5082">
        <v>1</v>
      </c>
      <c r="K5082" s="2">
        <v>63.106999999999999</v>
      </c>
      <c r="L5082" s="3">
        <f>(Table1[[#This Row],[Profit]]/Table1[[#This Row],[Sales]])*100</f>
        <v>20.976234003656305</v>
      </c>
    </row>
    <row r="5083" spans="1:12" x14ac:dyDescent="0.3">
      <c r="A5083" t="s">
        <v>1707</v>
      </c>
      <c r="B5083" s="1">
        <v>43628</v>
      </c>
      <c r="C5083" t="s">
        <v>210</v>
      </c>
      <c r="D5083" t="s">
        <v>211</v>
      </c>
      <c r="E5083" t="s">
        <v>14</v>
      </c>
      <c r="F5083" t="s">
        <v>15</v>
      </c>
      <c r="G5083" t="s">
        <v>24</v>
      </c>
      <c r="H5083" t="s">
        <v>1710</v>
      </c>
      <c r="I5083" s="2">
        <v>226.56</v>
      </c>
      <c r="J5083">
        <v>6</v>
      </c>
      <c r="K5083" s="2">
        <v>63.436799999999998</v>
      </c>
      <c r="L5083" s="3">
        <f>(Table1[[#This Row],[Profit]]/Table1[[#This Row],[Sales]])*100</f>
        <v>27.999999999999996</v>
      </c>
    </row>
    <row r="5084" spans="1:12" x14ac:dyDescent="0.3">
      <c r="A5084" t="s">
        <v>5183</v>
      </c>
      <c r="B5084" s="1">
        <v>44063</v>
      </c>
      <c r="C5084" t="s">
        <v>2941</v>
      </c>
      <c r="D5084" t="s">
        <v>2942</v>
      </c>
      <c r="E5084" t="s">
        <v>14</v>
      </c>
      <c r="F5084" t="s">
        <v>23</v>
      </c>
      <c r="G5084" t="s">
        <v>24</v>
      </c>
      <c r="H5084" t="s">
        <v>1710</v>
      </c>
      <c r="I5084" s="2">
        <v>237.56</v>
      </c>
      <c r="J5084">
        <v>6</v>
      </c>
      <c r="K5084" s="2">
        <v>63.436799999999998</v>
      </c>
      <c r="L5084" s="3">
        <f>(Table1[[#This Row],[Profit]]/Table1[[#This Row],[Sales]])*100</f>
        <v>26.703485435258461</v>
      </c>
    </row>
    <row r="5085" spans="1:12" x14ac:dyDescent="0.3">
      <c r="A5085" t="s">
        <v>2389</v>
      </c>
      <c r="B5085" s="1">
        <v>43698</v>
      </c>
      <c r="C5085" t="s">
        <v>2390</v>
      </c>
      <c r="D5085" t="s">
        <v>2391</v>
      </c>
      <c r="E5085" t="s">
        <v>14</v>
      </c>
      <c r="F5085" t="s">
        <v>15</v>
      </c>
      <c r="G5085" t="s">
        <v>16</v>
      </c>
      <c r="H5085" t="s">
        <v>2128</v>
      </c>
      <c r="I5085" s="2">
        <v>573.17399999999998</v>
      </c>
      <c r="J5085">
        <v>7</v>
      </c>
      <c r="K5085" s="2">
        <v>63.686</v>
      </c>
      <c r="L5085" s="3">
        <f>(Table1[[#This Row],[Profit]]/Table1[[#This Row],[Sales]])*100</f>
        <v>11.111111111111112</v>
      </c>
    </row>
    <row r="5086" spans="1:12" x14ac:dyDescent="0.3">
      <c r="A5086" t="s">
        <v>6246</v>
      </c>
      <c r="B5086" s="1">
        <v>44188</v>
      </c>
      <c r="C5086" t="s">
        <v>282</v>
      </c>
      <c r="D5086" t="s">
        <v>283</v>
      </c>
      <c r="E5086" t="s">
        <v>14</v>
      </c>
      <c r="F5086" t="s">
        <v>29</v>
      </c>
      <c r="G5086" t="s">
        <v>24</v>
      </c>
      <c r="H5086" t="s">
        <v>5467</v>
      </c>
      <c r="I5086" s="2">
        <v>431.87200000000001</v>
      </c>
      <c r="J5086">
        <v>4</v>
      </c>
      <c r="K5086" s="2">
        <v>63.753599999999999</v>
      </c>
      <c r="L5086" s="3">
        <f>(Table1[[#This Row],[Profit]]/Table1[[#This Row],[Sales]])*100</f>
        <v>14.762151748666271</v>
      </c>
    </row>
    <row r="5087" spans="1:12" x14ac:dyDescent="0.3">
      <c r="A5087" t="s">
        <v>4310</v>
      </c>
      <c r="B5087" s="1">
        <v>43910</v>
      </c>
      <c r="C5087" t="s">
        <v>2359</v>
      </c>
      <c r="D5087" t="s">
        <v>2360</v>
      </c>
      <c r="E5087" t="s">
        <v>14</v>
      </c>
      <c r="F5087" t="s">
        <v>23</v>
      </c>
      <c r="G5087" t="s">
        <v>18</v>
      </c>
      <c r="H5087" t="s">
        <v>2063</v>
      </c>
      <c r="I5087" s="2">
        <v>302.93</v>
      </c>
      <c r="J5087">
        <v>7</v>
      </c>
      <c r="K5087" s="2">
        <v>63.8232</v>
      </c>
      <c r="L5087" s="3">
        <f>(Table1[[#This Row],[Profit]]/Table1[[#This Row],[Sales]])*100</f>
        <v>21.068629716436142</v>
      </c>
    </row>
    <row r="5088" spans="1:12" x14ac:dyDescent="0.3">
      <c r="A5088" t="s">
        <v>2418</v>
      </c>
      <c r="B5088" s="1">
        <v>43700</v>
      </c>
      <c r="C5088" t="s">
        <v>2419</v>
      </c>
      <c r="D5088" t="s">
        <v>2420</v>
      </c>
      <c r="E5088" t="s">
        <v>14</v>
      </c>
      <c r="F5088" t="s">
        <v>23</v>
      </c>
      <c r="G5088" t="s">
        <v>24</v>
      </c>
      <c r="H5088" t="s">
        <v>2246</v>
      </c>
      <c r="I5088" s="2">
        <v>135.9</v>
      </c>
      <c r="J5088">
        <v>5</v>
      </c>
      <c r="K5088" s="2">
        <v>63.872999999999998</v>
      </c>
      <c r="L5088" s="3">
        <f>(Table1[[#This Row],[Profit]]/Table1[[#This Row],[Sales]])*100</f>
        <v>47</v>
      </c>
    </row>
    <row r="5089" spans="1:12" x14ac:dyDescent="0.3">
      <c r="A5089" t="s">
        <v>5484</v>
      </c>
      <c r="B5089" s="1">
        <v>44097</v>
      </c>
      <c r="C5089" t="s">
        <v>5181</v>
      </c>
      <c r="D5089" t="s">
        <v>5182</v>
      </c>
      <c r="E5089" t="s">
        <v>14</v>
      </c>
      <c r="F5089" t="s">
        <v>41</v>
      </c>
      <c r="G5089" t="s">
        <v>18</v>
      </c>
      <c r="H5089" t="s">
        <v>4168</v>
      </c>
      <c r="I5089" s="2">
        <v>238.95</v>
      </c>
      <c r="J5089">
        <v>5</v>
      </c>
      <c r="K5089" s="2">
        <v>63.984000000000002</v>
      </c>
      <c r="L5089" s="3">
        <f>(Table1[[#This Row],[Profit]]/Table1[[#This Row],[Sales]])*100</f>
        <v>26.777150031387322</v>
      </c>
    </row>
    <row r="5090" spans="1:12" x14ac:dyDescent="0.3">
      <c r="A5090" t="s">
        <v>6232</v>
      </c>
      <c r="B5090" s="1">
        <v>44187</v>
      </c>
      <c r="C5090" t="s">
        <v>2020</v>
      </c>
      <c r="D5090" t="s">
        <v>2021</v>
      </c>
      <c r="E5090" t="s">
        <v>14</v>
      </c>
      <c r="F5090" t="s">
        <v>29</v>
      </c>
      <c r="G5090" t="s">
        <v>18</v>
      </c>
      <c r="H5090" t="s">
        <v>4168</v>
      </c>
      <c r="I5090" s="2">
        <v>317.95</v>
      </c>
      <c r="J5090">
        <v>5</v>
      </c>
      <c r="K5090" s="2">
        <v>63.984000000000002</v>
      </c>
      <c r="L5090" s="3">
        <f>(Table1[[#This Row],[Profit]]/Table1[[#This Row],[Sales]])*100</f>
        <v>20.123918855165908</v>
      </c>
    </row>
    <row r="5091" spans="1:12" x14ac:dyDescent="0.3">
      <c r="A5091" t="s">
        <v>2285</v>
      </c>
      <c r="B5091" s="1">
        <v>43686</v>
      </c>
      <c r="C5091" t="s">
        <v>2286</v>
      </c>
      <c r="D5091" t="s">
        <v>2287</v>
      </c>
      <c r="E5091" t="s">
        <v>14</v>
      </c>
      <c r="F5091" t="s">
        <v>41</v>
      </c>
      <c r="G5091" t="s">
        <v>24</v>
      </c>
      <c r="H5091" t="s">
        <v>2290</v>
      </c>
      <c r="I5091" s="2">
        <v>569.53599999999994</v>
      </c>
      <c r="J5091">
        <v>4</v>
      </c>
      <c r="K5091" s="2">
        <v>64.072800000000001</v>
      </c>
      <c r="L5091" s="3">
        <f>(Table1[[#This Row],[Profit]]/Table1[[#This Row],[Sales]])*100</f>
        <v>11.250000000000002</v>
      </c>
    </row>
    <row r="5092" spans="1:12" x14ac:dyDescent="0.3">
      <c r="A5092" t="s">
        <v>500</v>
      </c>
      <c r="B5092" s="1">
        <v>43528</v>
      </c>
      <c r="C5092" t="s">
        <v>501</v>
      </c>
      <c r="D5092" t="s">
        <v>502</v>
      </c>
      <c r="E5092" t="s">
        <v>14</v>
      </c>
      <c r="F5092" t="s">
        <v>29</v>
      </c>
      <c r="G5092" t="s">
        <v>24</v>
      </c>
      <c r="H5092" t="s">
        <v>503</v>
      </c>
      <c r="I5092" s="2">
        <v>128.4</v>
      </c>
      <c r="J5092">
        <v>3</v>
      </c>
      <c r="K5092" s="2">
        <v>64.2</v>
      </c>
      <c r="L5092" s="3">
        <f>(Table1[[#This Row],[Profit]]/Table1[[#This Row],[Sales]])*100</f>
        <v>50</v>
      </c>
    </row>
    <row r="5093" spans="1:12" x14ac:dyDescent="0.3">
      <c r="A5093" t="s">
        <v>4232</v>
      </c>
      <c r="B5093" s="1">
        <v>43898</v>
      </c>
      <c r="C5093" t="s">
        <v>390</v>
      </c>
      <c r="D5093" t="s">
        <v>391</v>
      </c>
      <c r="E5093" t="s">
        <v>14</v>
      </c>
      <c r="F5093" t="s">
        <v>23</v>
      </c>
      <c r="G5093" t="s">
        <v>24</v>
      </c>
      <c r="H5093" t="s">
        <v>503</v>
      </c>
      <c r="I5093" s="2">
        <v>196.2</v>
      </c>
      <c r="J5093">
        <v>5</v>
      </c>
      <c r="K5093" s="2">
        <v>64.2</v>
      </c>
      <c r="L5093" s="3">
        <f>(Table1[[#This Row],[Profit]]/Table1[[#This Row],[Sales]])*100</f>
        <v>32.721712538226306</v>
      </c>
    </row>
    <row r="5094" spans="1:12" x14ac:dyDescent="0.3">
      <c r="A5094" t="s">
        <v>132</v>
      </c>
      <c r="B5094" s="1">
        <v>43482</v>
      </c>
      <c r="C5094" t="s">
        <v>133</v>
      </c>
      <c r="D5094" t="s">
        <v>134</v>
      </c>
      <c r="E5094" t="s">
        <v>14</v>
      </c>
      <c r="F5094" t="s">
        <v>15</v>
      </c>
      <c r="G5094" t="s">
        <v>16</v>
      </c>
      <c r="H5094" t="s">
        <v>135</v>
      </c>
      <c r="I5094" s="2">
        <v>322.58999999999997</v>
      </c>
      <c r="J5094">
        <v>3</v>
      </c>
      <c r="K5094" s="2">
        <v>64.518000000000001</v>
      </c>
      <c r="L5094" s="3">
        <f>(Table1[[#This Row],[Profit]]/Table1[[#This Row],[Sales]])*100</f>
        <v>20</v>
      </c>
    </row>
    <row r="5095" spans="1:12" x14ac:dyDescent="0.3">
      <c r="A5095" t="s">
        <v>5204</v>
      </c>
      <c r="B5095" s="1">
        <v>44067</v>
      </c>
      <c r="C5095" t="s">
        <v>1248</v>
      </c>
      <c r="D5095" t="s">
        <v>1249</v>
      </c>
      <c r="E5095" t="s">
        <v>14</v>
      </c>
      <c r="F5095" t="s">
        <v>15</v>
      </c>
      <c r="G5095" t="s">
        <v>24</v>
      </c>
      <c r="H5095" t="s">
        <v>1958</v>
      </c>
      <c r="I5095" s="2">
        <v>667.27200000000005</v>
      </c>
      <c r="J5095">
        <v>8</v>
      </c>
      <c r="K5095" s="2">
        <v>64.627200000000002</v>
      </c>
      <c r="L5095" s="3">
        <f>(Table1[[#This Row],[Profit]]/Table1[[#This Row],[Sales]])*100</f>
        <v>9.6852857605294389</v>
      </c>
    </row>
    <row r="5096" spans="1:12" x14ac:dyDescent="0.3">
      <c r="A5096" t="s">
        <v>1148</v>
      </c>
      <c r="B5096" s="1">
        <v>43579</v>
      </c>
      <c r="C5096" t="s">
        <v>1149</v>
      </c>
      <c r="D5096" t="s">
        <v>1150</v>
      </c>
      <c r="E5096" t="s">
        <v>14</v>
      </c>
      <c r="F5096" t="s">
        <v>29</v>
      </c>
      <c r="G5096" t="s">
        <v>18</v>
      </c>
      <c r="H5096" t="s">
        <v>1151</v>
      </c>
      <c r="I5096" s="2">
        <v>258.69600000000003</v>
      </c>
      <c r="J5096">
        <v>3</v>
      </c>
      <c r="K5096" s="2">
        <v>64.674000000000007</v>
      </c>
      <c r="L5096" s="3">
        <f>(Table1[[#This Row],[Profit]]/Table1[[#This Row],[Sales]])*100</f>
        <v>25</v>
      </c>
    </row>
    <row r="5097" spans="1:12" x14ac:dyDescent="0.3">
      <c r="A5097" t="s">
        <v>5335</v>
      </c>
      <c r="B5097" s="1">
        <v>44083</v>
      </c>
      <c r="C5097" t="s">
        <v>3726</v>
      </c>
      <c r="D5097" t="s">
        <v>3727</v>
      </c>
      <c r="E5097" t="s">
        <v>14</v>
      </c>
      <c r="F5097" t="s">
        <v>15</v>
      </c>
      <c r="G5097" t="s">
        <v>18</v>
      </c>
      <c r="H5097" t="s">
        <v>1151</v>
      </c>
      <c r="I5097" s="2">
        <v>292.69600000000003</v>
      </c>
      <c r="J5097">
        <v>3</v>
      </c>
      <c r="K5097" s="2">
        <v>64.674000000000007</v>
      </c>
      <c r="L5097" s="3">
        <f>(Table1[[#This Row],[Profit]]/Table1[[#This Row],[Sales]])*100</f>
        <v>22.095963046983901</v>
      </c>
    </row>
    <row r="5098" spans="1:12" x14ac:dyDescent="0.3">
      <c r="A5098" t="s">
        <v>919</v>
      </c>
      <c r="B5098" s="1">
        <v>43563</v>
      </c>
      <c r="C5098" t="s">
        <v>528</v>
      </c>
      <c r="D5098" t="s">
        <v>529</v>
      </c>
      <c r="E5098" t="s">
        <v>14</v>
      </c>
      <c r="F5098" t="s">
        <v>29</v>
      </c>
      <c r="G5098" t="s">
        <v>18</v>
      </c>
      <c r="H5098" t="s">
        <v>920</v>
      </c>
      <c r="I5098" s="2">
        <v>431.928</v>
      </c>
      <c r="J5098">
        <v>9</v>
      </c>
      <c r="K5098" s="2">
        <v>64.789199999999994</v>
      </c>
      <c r="L5098" s="3">
        <f>(Table1[[#This Row],[Profit]]/Table1[[#This Row],[Sales]])*100</f>
        <v>15</v>
      </c>
    </row>
    <row r="5099" spans="1:12" x14ac:dyDescent="0.3">
      <c r="A5099" t="s">
        <v>4903</v>
      </c>
      <c r="B5099" s="1">
        <v>44008</v>
      </c>
      <c r="C5099" t="s">
        <v>2304</v>
      </c>
      <c r="D5099" t="s">
        <v>2305</v>
      </c>
      <c r="E5099" t="s">
        <v>14</v>
      </c>
      <c r="F5099" t="s">
        <v>23</v>
      </c>
      <c r="G5099" t="s">
        <v>18</v>
      </c>
      <c r="H5099" t="s">
        <v>920</v>
      </c>
      <c r="I5099" s="2">
        <v>444.928</v>
      </c>
      <c r="J5099">
        <v>9</v>
      </c>
      <c r="K5099" s="2">
        <v>64.789199999999994</v>
      </c>
      <c r="L5099" s="3">
        <f>(Table1[[#This Row],[Profit]]/Table1[[#This Row],[Sales]])*100</f>
        <v>14.561726841196776</v>
      </c>
    </row>
    <row r="5100" spans="1:12" x14ac:dyDescent="0.3">
      <c r="A5100" t="s">
        <v>5587</v>
      </c>
      <c r="B5100" s="1">
        <v>44111</v>
      </c>
      <c r="C5100" t="s">
        <v>108</v>
      </c>
      <c r="D5100" t="s">
        <v>109</v>
      </c>
      <c r="E5100" t="s">
        <v>14</v>
      </c>
      <c r="F5100" t="s">
        <v>41</v>
      </c>
      <c r="G5100" t="s">
        <v>24</v>
      </c>
      <c r="H5100" t="s">
        <v>453</v>
      </c>
      <c r="I5100" s="2">
        <v>600.67200000000003</v>
      </c>
      <c r="J5100">
        <v>4</v>
      </c>
      <c r="K5100" s="2">
        <v>65.325599999999994</v>
      </c>
      <c r="L5100" s="3">
        <f>(Table1[[#This Row],[Profit]]/Table1[[#This Row],[Sales]])*100</f>
        <v>10.875419530126257</v>
      </c>
    </row>
    <row r="5101" spans="1:12" x14ac:dyDescent="0.3">
      <c r="A5101" t="s">
        <v>5279</v>
      </c>
      <c r="B5101" s="1">
        <v>44078</v>
      </c>
      <c r="C5101" t="s">
        <v>2255</v>
      </c>
      <c r="D5101" t="s">
        <v>2256</v>
      </c>
      <c r="E5101" t="s">
        <v>14</v>
      </c>
      <c r="F5101" t="s">
        <v>23</v>
      </c>
      <c r="G5101" t="s">
        <v>24</v>
      </c>
      <c r="H5101" t="s">
        <v>4913</v>
      </c>
      <c r="I5101" s="2">
        <v>235.85</v>
      </c>
      <c r="J5101">
        <v>5</v>
      </c>
      <c r="K5101" s="2">
        <v>65.355000000000004</v>
      </c>
      <c r="L5101" s="3">
        <f>(Table1[[#This Row],[Profit]]/Table1[[#This Row],[Sales]])*100</f>
        <v>27.710409158363369</v>
      </c>
    </row>
    <row r="5102" spans="1:12" x14ac:dyDescent="0.3">
      <c r="A5102" t="s">
        <v>2676</v>
      </c>
      <c r="B5102" s="1">
        <v>43716</v>
      </c>
      <c r="C5102" t="s">
        <v>1656</v>
      </c>
      <c r="D5102" t="s">
        <v>1657</v>
      </c>
      <c r="E5102" t="s">
        <v>14</v>
      </c>
      <c r="F5102" t="s">
        <v>23</v>
      </c>
      <c r="G5102" t="s">
        <v>24</v>
      </c>
      <c r="H5102" t="s">
        <v>585</v>
      </c>
      <c r="I5102" s="2">
        <v>261.74</v>
      </c>
      <c r="J5102">
        <v>2</v>
      </c>
      <c r="K5102" s="2">
        <v>65.435000000000002</v>
      </c>
      <c r="L5102" s="3">
        <f>(Table1[[#This Row],[Profit]]/Table1[[#This Row],[Sales]])*100</f>
        <v>25</v>
      </c>
    </row>
    <row r="5103" spans="1:12" x14ac:dyDescent="0.3">
      <c r="A5103" t="s">
        <v>5425</v>
      </c>
      <c r="B5103" s="1">
        <v>44091</v>
      </c>
      <c r="C5103" t="s">
        <v>3665</v>
      </c>
      <c r="D5103" t="s">
        <v>3666</v>
      </c>
      <c r="E5103" t="s">
        <v>14</v>
      </c>
      <c r="F5103" t="s">
        <v>23</v>
      </c>
      <c r="G5103" t="s">
        <v>24</v>
      </c>
      <c r="H5103" t="s">
        <v>585</v>
      </c>
      <c r="I5103" s="2">
        <v>273.74</v>
      </c>
      <c r="J5103">
        <v>2</v>
      </c>
      <c r="K5103" s="2">
        <v>65.435000000000002</v>
      </c>
      <c r="L5103" s="3">
        <f>(Table1[[#This Row],[Profit]]/Table1[[#This Row],[Sales]])*100</f>
        <v>23.904069555052239</v>
      </c>
    </row>
    <row r="5104" spans="1:12" x14ac:dyDescent="0.3">
      <c r="A5104" t="s">
        <v>5754</v>
      </c>
      <c r="B5104" s="1">
        <v>44138</v>
      </c>
      <c r="C5104" t="s">
        <v>1535</v>
      </c>
      <c r="D5104" t="s">
        <v>1536</v>
      </c>
      <c r="E5104" t="s">
        <v>14</v>
      </c>
      <c r="F5104" t="s">
        <v>23</v>
      </c>
      <c r="G5104" t="s">
        <v>24</v>
      </c>
      <c r="H5104" t="s">
        <v>1645</v>
      </c>
      <c r="I5104" s="2">
        <v>154.86000000000001</v>
      </c>
      <c r="J5104">
        <v>7</v>
      </c>
      <c r="K5104" s="2">
        <v>65.734200000000001</v>
      </c>
      <c r="L5104" s="3">
        <f>(Table1[[#This Row],[Profit]]/Table1[[#This Row],[Sales]])*100</f>
        <v>42.447500968616815</v>
      </c>
    </row>
    <row r="5105" spans="1:12" x14ac:dyDescent="0.3">
      <c r="A5105" t="s">
        <v>4112</v>
      </c>
      <c r="B5105" s="1">
        <v>43867</v>
      </c>
      <c r="C5105" t="s">
        <v>664</v>
      </c>
      <c r="D5105" t="s">
        <v>665</v>
      </c>
      <c r="E5105" t="s">
        <v>14</v>
      </c>
      <c r="F5105" t="s">
        <v>15</v>
      </c>
      <c r="G5105" t="s">
        <v>18</v>
      </c>
      <c r="H5105" t="s">
        <v>518</v>
      </c>
      <c r="I5105" s="2">
        <v>256.45999999999998</v>
      </c>
      <c r="J5105">
        <v>6</v>
      </c>
      <c r="K5105" s="2">
        <v>65.963399999999993</v>
      </c>
      <c r="L5105" s="3">
        <f>(Table1[[#This Row],[Profit]]/Table1[[#This Row],[Sales]])*100</f>
        <v>25.720736177181625</v>
      </c>
    </row>
    <row r="5106" spans="1:12" x14ac:dyDescent="0.3">
      <c r="A5106" t="s">
        <v>5522</v>
      </c>
      <c r="B5106" s="1">
        <v>44103</v>
      </c>
      <c r="C5106" t="s">
        <v>4784</v>
      </c>
      <c r="D5106" t="s">
        <v>4785</v>
      </c>
      <c r="E5106" t="s">
        <v>14</v>
      </c>
      <c r="F5106" t="s">
        <v>15</v>
      </c>
      <c r="G5106" t="s">
        <v>18</v>
      </c>
      <c r="H5106" t="s">
        <v>2432</v>
      </c>
      <c r="I5106" s="2">
        <v>278.976</v>
      </c>
      <c r="J5106">
        <v>3</v>
      </c>
      <c r="K5106" s="2">
        <v>65.993399999999994</v>
      </c>
      <c r="L5106" s="3">
        <f>(Table1[[#This Row],[Profit]]/Table1[[#This Row],[Sales]])*100</f>
        <v>23.655583275980728</v>
      </c>
    </row>
    <row r="5107" spans="1:12" x14ac:dyDescent="0.3">
      <c r="A5107" t="s">
        <v>5579</v>
      </c>
      <c r="B5107" s="1">
        <v>44110</v>
      </c>
      <c r="C5107" t="s">
        <v>1941</v>
      </c>
      <c r="D5107" t="s">
        <v>1942</v>
      </c>
      <c r="E5107" t="s">
        <v>14</v>
      </c>
      <c r="F5107" t="s">
        <v>23</v>
      </c>
      <c r="G5107" t="s">
        <v>24</v>
      </c>
      <c r="H5107" t="s">
        <v>433</v>
      </c>
      <c r="I5107" s="2">
        <v>268.83999999999997</v>
      </c>
      <c r="J5107">
        <v>4</v>
      </c>
      <c r="K5107" s="2">
        <v>66.073599999999999</v>
      </c>
      <c r="L5107" s="3">
        <f>(Table1[[#This Row],[Profit]]/Table1[[#This Row],[Sales]])*100</f>
        <v>24.577295045380154</v>
      </c>
    </row>
    <row r="5108" spans="1:12" x14ac:dyDescent="0.3">
      <c r="A5108" t="s">
        <v>2927</v>
      </c>
      <c r="B5108" s="1">
        <v>43734</v>
      </c>
      <c r="C5108" t="s">
        <v>1371</v>
      </c>
      <c r="D5108" t="s">
        <v>1372</v>
      </c>
      <c r="E5108" t="s">
        <v>14</v>
      </c>
      <c r="F5108" t="s">
        <v>23</v>
      </c>
      <c r="G5108" t="s">
        <v>24</v>
      </c>
      <c r="H5108" t="s">
        <v>2361</v>
      </c>
      <c r="I5108" s="2">
        <v>236.88</v>
      </c>
      <c r="J5108">
        <v>6</v>
      </c>
      <c r="K5108" s="2">
        <v>66.326400000000007</v>
      </c>
      <c r="L5108" s="3">
        <f>(Table1[[#This Row],[Profit]]/Table1[[#This Row],[Sales]])*100</f>
        <v>28.000000000000004</v>
      </c>
    </row>
    <row r="5109" spans="1:12" x14ac:dyDescent="0.3">
      <c r="A5109" t="s">
        <v>5664</v>
      </c>
      <c r="B5109" s="1">
        <v>44124</v>
      </c>
      <c r="C5109" t="s">
        <v>524</v>
      </c>
      <c r="D5109" t="s">
        <v>525</v>
      </c>
      <c r="E5109" t="s">
        <v>14</v>
      </c>
      <c r="F5109" t="s">
        <v>15</v>
      </c>
      <c r="G5109" t="s">
        <v>24</v>
      </c>
      <c r="H5109" t="s">
        <v>3658</v>
      </c>
      <c r="I5109" s="2">
        <v>715.40800000000002</v>
      </c>
      <c r="J5109">
        <v>2</v>
      </c>
      <c r="K5109" s="2">
        <v>66.540800000000004</v>
      </c>
      <c r="L5109" s="3">
        <f>(Table1[[#This Row],[Profit]]/Table1[[#This Row],[Sales]])*100</f>
        <v>9.301098114642274</v>
      </c>
    </row>
    <row r="5110" spans="1:12" x14ac:dyDescent="0.3">
      <c r="A5110" t="s">
        <v>411</v>
      </c>
      <c r="B5110" s="1">
        <v>43517</v>
      </c>
      <c r="C5110" t="s">
        <v>361</v>
      </c>
      <c r="D5110" t="s">
        <v>362</v>
      </c>
      <c r="E5110" t="s">
        <v>14</v>
      </c>
      <c r="F5110" t="s">
        <v>15</v>
      </c>
      <c r="G5110" t="s">
        <v>16</v>
      </c>
      <c r="H5110" t="s">
        <v>412</v>
      </c>
      <c r="I5110" s="2">
        <v>135.80000000000001</v>
      </c>
      <c r="J5110">
        <v>7</v>
      </c>
      <c r="K5110" s="2">
        <v>66.542000000000002</v>
      </c>
      <c r="L5110" s="3">
        <f>(Table1[[#This Row],[Profit]]/Table1[[#This Row],[Sales]])*100</f>
        <v>49</v>
      </c>
    </row>
    <row r="5111" spans="1:12" x14ac:dyDescent="0.3">
      <c r="A5111" t="s">
        <v>5111</v>
      </c>
      <c r="B5111" s="1">
        <v>44048</v>
      </c>
      <c r="C5111" t="s">
        <v>2785</v>
      </c>
      <c r="D5111" t="s">
        <v>2786</v>
      </c>
      <c r="E5111" t="s">
        <v>14</v>
      </c>
      <c r="F5111" t="s">
        <v>29</v>
      </c>
      <c r="G5111" t="s">
        <v>24</v>
      </c>
      <c r="H5111" t="s">
        <v>166</v>
      </c>
      <c r="I5111" s="2">
        <v>154.19999999999999</v>
      </c>
      <c r="J5111">
        <v>9</v>
      </c>
      <c r="K5111" s="2">
        <v>66.599999999999994</v>
      </c>
      <c r="L5111" s="3">
        <f>(Table1[[#This Row],[Profit]]/Table1[[#This Row],[Sales]])*100</f>
        <v>43.190661478599225</v>
      </c>
    </row>
    <row r="5112" spans="1:12" x14ac:dyDescent="0.3">
      <c r="A5112" t="s">
        <v>5814</v>
      </c>
      <c r="B5112" s="1">
        <v>44142</v>
      </c>
      <c r="C5112" t="s">
        <v>2307</v>
      </c>
      <c r="D5112" t="s">
        <v>2308</v>
      </c>
      <c r="E5112" t="s">
        <v>14</v>
      </c>
      <c r="F5112" t="s">
        <v>23</v>
      </c>
      <c r="G5112" t="s">
        <v>18</v>
      </c>
      <c r="H5112" t="s">
        <v>5815</v>
      </c>
      <c r="I5112" s="2">
        <v>786.54399999999998</v>
      </c>
      <c r="J5112">
        <v>7</v>
      </c>
      <c r="K5112" s="2">
        <v>66.635099999999994</v>
      </c>
      <c r="L5112" s="3">
        <f>(Table1[[#This Row],[Profit]]/Table1[[#This Row],[Sales]])*100</f>
        <v>8.4718845989544125</v>
      </c>
    </row>
    <row r="5113" spans="1:12" x14ac:dyDescent="0.3">
      <c r="A5113" t="s">
        <v>4183</v>
      </c>
      <c r="B5113" s="1">
        <v>43887</v>
      </c>
      <c r="C5113" t="s">
        <v>169</v>
      </c>
      <c r="D5113" t="s">
        <v>170</v>
      </c>
      <c r="E5113" t="s">
        <v>14</v>
      </c>
      <c r="F5113" t="s">
        <v>23</v>
      </c>
      <c r="G5113" t="s">
        <v>18</v>
      </c>
      <c r="H5113" t="s">
        <v>4164</v>
      </c>
      <c r="I5113" s="2">
        <v>911.53599999999994</v>
      </c>
      <c r="J5113">
        <v>8</v>
      </c>
      <c r="K5113" s="2">
        <v>66.715199999999996</v>
      </c>
      <c r="L5113" s="3">
        <f>(Table1[[#This Row],[Profit]]/Table1[[#This Row],[Sales]])*100</f>
        <v>7.3189868529602782</v>
      </c>
    </row>
    <row r="5114" spans="1:12" x14ac:dyDescent="0.3">
      <c r="A5114" t="s">
        <v>132</v>
      </c>
      <c r="B5114" s="1">
        <v>43482</v>
      </c>
      <c r="C5114" t="s">
        <v>133</v>
      </c>
      <c r="D5114" t="s">
        <v>134</v>
      </c>
      <c r="E5114" t="s">
        <v>14</v>
      </c>
      <c r="F5114" t="s">
        <v>15</v>
      </c>
      <c r="G5114" t="s">
        <v>18</v>
      </c>
      <c r="H5114" t="s">
        <v>137</v>
      </c>
      <c r="I5114" s="2">
        <v>371.97</v>
      </c>
      <c r="J5114">
        <v>3</v>
      </c>
      <c r="K5114" s="2">
        <v>66.954599999999999</v>
      </c>
      <c r="L5114" s="3">
        <f>(Table1[[#This Row],[Profit]]/Table1[[#This Row],[Sales]])*100</f>
        <v>18</v>
      </c>
    </row>
    <row r="5115" spans="1:12" x14ac:dyDescent="0.3">
      <c r="A5115" t="s">
        <v>5562</v>
      </c>
      <c r="B5115" s="1">
        <v>44107</v>
      </c>
      <c r="C5115" t="s">
        <v>133</v>
      </c>
      <c r="D5115" t="s">
        <v>134</v>
      </c>
      <c r="E5115" t="s">
        <v>14</v>
      </c>
      <c r="F5115" t="s">
        <v>15</v>
      </c>
      <c r="G5115" t="s">
        <v>18</v>
      </c>
      <c r="H5115" t="s">
        <v>137</v>
      </c>
      <c r="I5115" s="2">
        <v>403.97</v>
      </c>
      <c r="J5115">
        <v>3</v>
      </c>
      <c r="K5115" s="2">
        <v>66.954599999999999</v>
      </c>
      <c r="L5115" s="3">
        <f>(Table1[[#This Row],[Profit]]/Table1[[#This Row],[Sales]])*100</f>
        <v>16.574151545906872</v>
      </c>
    </row>
    <row r="5116" spans="1:12" x14ac:dyDescent="0.3">
      <c r="A5116" t="s">
        <v>6019</v>
      </c>
      <c r="B5116" s="1">
        <v>44161</v>
      </c>
      <c r="C5116" t="s">
        <v>1119</v>
      </c>
      <c r="D5116" t="s">
        <v>1120</v>
      </c>
      <c r="E5116" t="s">
        <v>14</v>
      </c>
      <c r="F5116" t="s">
        <v>29</v>
      </c>
      <c r="G5116" t="s">
        <v>16</v>
      </c>
      <c r="H5116" t="s">
        <v>973</v>
      </c>
      <c r="I5116" s="2">
        <v>280.94</v>
      </c>
      <c r="J5116">
        <v>3</v>
      </c>
      <c r="K5116" s="2">
        <v>67.064400000000006</v>
      </c>
      <c r="L5116" s="3">
        <f>(Table1[[#This Row],[Profit]]/Table1[[#This Row],[Sales]])*100</f>
        <v>23.871431622410483</v>
      </c>
    </row>
    <row r="5117" spans="1:12" x14ac:dyDescent="0.3">
      <c r="A5117" t="s">
        <v>4927</v>
      </c>
      <c r="B5117" s="1">
        <v>44012</v>
      </c>
      <c r="C5117" t="s">
        <v>2255</v>
      </c>
      <c r="D5117" t="s">
        <v>2256</v>
      </c>
      <c r="E5117" t="s">
        <v>14</v>
      </c>
      <c r="F5117" t="s">
        <v>15</v>
      </c>
      <c r="G5117" t="s">
        <v>24</v>
      </c>
      <c r="H5117" t="s">
        <v>2106</v>
      </c>
      <c r="I5117" s="2">
        <v>281.57</v>
      </c>
      <c r="J5117">
        <v>7</v>
      </c>
      <c r="K5117" s="2">
        <v>67.113900000000001</v>
      </c>
      <c r="L5117" s="3">
        <f>(Table1[[#This Row],[Profit]]/Table1[[#This Row],[Sales]])*100</f>
        <v>23.835600383563591</v>
      </c>
    </row>
    <row r="5118" spans="1:12" x14ac:dyDescent="0.3">
      <c r="A5118" t="s">
        <v>2584</v>
      </c>
      <c r="B5118" s="1">
        <v>43712</v>
      </c>
      <c r="C5118" t="s">
        <v>589</v>
      </c>
      <c r="D5118" t="s">
        <v>590</v>
      </c>
      <c r="E5118" t="s">
        <v>14</v>
      </c>
      <c r="F5118" t="s">
        <v>29</v>
      </c>
      <c r="G5118" t="s">
        <v>18</v>
      </c>
      <c r="H5118" t="s">
        <v>1587</v>
      </c>
      <c r="I5118" s="2">
        <v>279.95</v>
      </c>
      <c r="J5118">
        <v>5</v>
      </c>
      <c r="K5118" s="2">
        <v>67.188000000000002</v>
      </c>
      <c r="L5118" s="3">
        <f>(Table1[[#This Row],[Profit]]/Table1[[#This Row],[Sales]])*100</f>
        <v>24.000000000000004</v>
      </c>
    </row>
    <row r="5119" spans="1:12" x14ac:dyDescent="0.3">
      <c r="A5119" t="s">
        <v>4899</v>
      </c>
      <c r="B5119" s="1">
        <v>44008</v>
      </c>
      <c r="C5119" t="s">
        <v>210</v>
      </c>
      <c r="D5119" t="s">
        <v>211</v>
      </c>
      <c r="E5119" t="s">
        <v>14</v>
      </c>
      <c r="F5119" t="s">
        <v>15</v>
      </c>
      <c r="G5119" t="s">
        <v>18</v>
      </c>
      <c r="H5119" t="s">
        <v>2058</v>
      </c>
      <c r="I5119" s="2">
        <v>280.97000000000003</v>
      </c>
      <c r="J5119">
        <v>3</v>
      </c>
      <c r="K5119" s="2">
        <v>67.191599999999994</v>
      </c>
      <c r="L5119" s="3">
        <f>(Table1[[#This Row],[Profit]]/Table1[[#This Row],[Sales]])*100</f>
        <v>23.914154536071464</v>
      </c>
    </row>
    <row r="5120" spans="1:12" x14ac:dyDescent="0.3">
      <c r="A5120" t="s">
        <v>5207</v>
      </c>
      <c r="B5120" s="1">
        <v>44068</v>
      </c>
      <c r="C5120" t="s">
        <v>3979</v>
      </c>
      <c r="D5120" t="s">
        <v>3980</v>
      </c>
      <c r="E5120" t="s">
        <v>14</v>
      </c>
      <c r="F5120" t="s">
        <v>41</v>
      </c>
      <c r="G5120" t="s">
        <v>24</v>
      </c>
      <c r="H5120" t="s">
        <v>1519</v>
      </c>
      <c r="I5120" s="2">
        <v>233.16</v>
      </c>
      <c r="J5120">
        <v>5</v>
      </c>
      <c r="K5120" s="2">
        <v>67.256</v>
      </c>
      <c r="L5120" s="3">
        <f>(Table1[[#This Row],[Profit]]/Table1[[#This Row],[Sales]])*100</f>
        <v>28.845428032252528</v>
      </c>
    </row>
    <row r="5121" spans="1:12" x14ac:dyDescent="0.3">
      <c r="A5121" t="s">
        <v>11</v>
      </c>
      <c r="B5121" s="1">
        <v>43467</v>
      </c>
      <c r="C5121" t="s">
        <v>12</v>
      </c>
      <c r="D5121" t="s">
        <v>13</v>
      </c>
      <c r="E5121" t="s">
        <v>14</v>
      </c>
      <c r="F5121" t="s">
        <v>15</v>
      </c>
      <c r="G5121" t="s">
        <v>18</v>
      </c>
      <c r="H5121" t="s">
        <v>19</v>
      </c>
      <c r="I5121" s="2">
        <v>231.98</v>
      </c>
      <c r="J5121">
        <v>2</v>
      </c>
      <c r="K5121" s="2">
        <v>67.274199999999993</v>
      </c>
      <c r="L5121" s="3">
        <f>(Table1[[#This Row],[Profit]]/Table1[[#This Row],[Sales]])*100</f>
        <v>28.999999999999996</v>
      </c>
    </row>
    <row r="5122" spans="1:12" x14ac:dyDescent="0.3">
      <c r="A5122" t="s">
        <v>3941</v>
      </c>
      <c r="B5122" s="1">
        <v>43828</v>
      </c>
      <c r="C5122" t="s">
        <v>3942</v>
      </c>
      <c r="D5122" t="s">
        <v>3943</v>
      </c>
      <c r="E5122" t="s">
        <v>14</v>
      </c>
      <c r="F5122" t="s">
        <v>29</v>
      </c>
      <c r="G5122" t="s">
        <v>24</v>
      </c>
      <c r="H5122" t="s">
        <v>289</v>
      </c>
      <c r="I5122" s="2">
        <v>186.048</v>
      </c>
      <c r="J5122">
        <v>6</v>
      </c>
      <c r="K5122" s="2">
        <v>67.442400000000006</v>
      </c>
      <c r="L5122" s="3">
        <f>(Table1[[#This Row],[Profit]]/Table1[[#This Row],[Sales]])*100</f>
        <v>36.250000000000007</v>
      </c>
    </row>
    <row r="5123" spans="1:12" x14ac:dyDescent="0.3">
      <c r="A5123" t="s">
        <v>5025</v>
      </c>
      <c r="B5123" s="1">
        <v>44029</v>
      </c>
      <c r="C5123" t="s">
        <v>124</v>
      </c>
      <c r="D5123" t="s">
        <v>125</v>
      </c>
      <c r="E5123" t="s">
        <v>14</v>
      </c>
      <c r="F5123" t="s">
        <v>15</v>
      </c>
      <c r="G5123" t="s">
        <v>18</v>
      </c>
      <c r="H5123" t="s">
        <v>3481</v>
      </c>
      <c r="I5123" s="2">
        <v>296.98</v>
      </c>
      <c r="J5123">
        <v>2</v>
      </c>
      <c r="K5123" s="2">
        <v>67.495000000000005</v>
      </c>
      <c r="L5123" s="3">
        <f>(Table1[[#This Row],[Profit]]/Table1[[#This Row],[Sales]])*100</f>
        <v>22.727119671358338</v>
      </c>
    </row>
    <row r="5124" spans="1:12" x14ac:dyDescent="0.3">
      <c r="A5124" t="s">
        <v>3570</v>
      </c>
      <c r="B5124" s="1">
        <v>43794</v>
      </c>
      <c r="C5124" t="s">
        <v>3571</v>
      </c>
      <c r="D5124" t="s">
        <v>3572</v>
      </c>
      <c r="E5124" t="s">
        <v>14</v>
      </c>
      <c r="F5124" t="s">
        <v>15</v>
      </c>
      <c r="G5124" t="s">
        <v>24</v>
      </c>
      <c r="H5124" t="s">
        <v>1494</v>
      </c>
      <c r="I5124" s="2">
        <v>563.4</v>
      </c>
      <c r="J5124">
        <v>4</v>
      </c>
      <c r="K5124" s="2">
        <v>67.608000000000004</v>
      </c>
      <c r="L5124" s="3">
        <f>(Table1[[#This Row],[Profit]]/Table1[[#This Row],[Sales]])*100</f>
        <v>12.000000000000002</v>
      </c>
    </row>
    <row r="5125" spans="1:12" x14ac:dyDescent="0.3">
      <c r="A5125" t="s">
        <v>6116</v>
      </c>
      <c r="B5125" s="1">
        <v>44170</v>
      </c>
      <c r="C5125" t="s">
        <v>967</v>
      </c>
      <c r="D5125" t="s">
        <v>968</v>
      </c>
      <c r="E5125" t="s">
        <v>14</v>
      </c>
      <c r="F5125" t="s">
        <v>15</v>
      </c>
      <c r="G5125" t="s">
        <v>18</v>
      </c>
      <c r="H5125" t="s">
        <v>751</v>
      </c>
      <c r="I5125" s="2">
        <v>223.03</v>
      </c>
      <c r="J5125">
        <v>7</v>
      </c>
      <c r="K5125" s="2">
        <v>67.659899999999993</v>
      </c>
      <c r="L5125" s="3">
        <f>(Table1[[#This Row],[Profit]]/Table1[[#This Row],[Sales]])*100</f>
        <v>30.336681163968969</v>
      </c>
    </row>
    <row r="5126" spans="1:12" x14ac:dyDescent="0.3">
      <c r="A5126" t="s">
        <v>4816</v>
      </c>
      <c r="B5126" s="1">
        <v>43994</v>
      </c>
      <c r="C5126" t="s">
        <v>795</v>
      </c>
      <c r="D5126" t="s">
        <v>796</v>
      </c>
      <c r="E5126" t="s">
        <v>14</v>
      </c>
      <c r="F5126" t="s">
        <v>41</v>
      </c>
      <c r="G5126" t="s">
        <v>16</v>
      </c>
      <c r="H5126" t="s">
        <v>2380</v>
      </c>
      <c r="I5126" s="2">
        <v>469.94</v>
      </c>
      <c r="J5126">
        <v>3</v>
      </c>
      <c r="K5126" s="2">
        <v>67.941000000000003</v>
      </c>
      <c r="L5126" s="3">
        <f>(Table1[[#This Row],[Profit]]/Table1[[#This Row],[Sales]])*100</f>
        <v>14.457377537557987</v>
      </c>
    </row>
    <row r="5127" spans="1:12" x14ac:dyDescent="0.3">
      <c r="A5127" t="s">
        <v>5037</v>
      </c>
      <c r="B5127" s="1">
        <v>44033</v>
      </c>
      <c r="C5127" t="s">
        <v>2796</v>
      </c>
      <c r="D5127" t="s">
        <v>2797</v>
      </c>
      <c r="E5127" t="s">
        <v>14</v>
      </c>
      <c r="F5127" t="s">
        <v>41</v>
      </c>
      <c r="G5127" t="s">
        <v>18</v>
      </c>
      <c r="H5127" t="s">
        <v>2611</v>
      </c>
      <c r="I5127" s="2">
        <v>308.95999999999998</v>
      </c>
      <c r="J5127">
        <v>4</v>
      </c>
      <c r="K5127" s="2">
        <v>67.989999999999995</v>
      </c>
      <c r="L5127" s="3">
        <f>(Table1[[#This Row],[Profit]]/Table1[[#This Row],[Sales]])*100</f>
        <v>22.006084930088036</v>
      </c>
    </row>
    <row r="5128" spans="1:12" x14ac:dyDescent="0.3">
      <c r="A5128" t="s">
        <v>6069</v>
      </c>
      <c r="B5128" s="1">
        <v>44167</v>
      </c>
      <c r="C5128" t="s">
        <v>4254</v>
      </c>
      <c r="D5128" t="s">
        <v>4255</v>
      </c>
      <c r="E5128" t="s">
        <v>14</v>
      </c>
      <c r="F5128" t="s">
        <v>23</v>
      </c>
      <c r="G5128" t="s">
        <v>16</v>
      </c>
      <c r="H5128" t="s">
        <v>2003</v>
      </c>
      <c r="I5128" s="2">
        <v>245.68</v>
      </c>
      <c r="J5128">
        <v>5</v>
      </c>
      <c r="K5128" s="2">
        <v>68.001000000000005</v>
      </c>
      <c r="L5128" s="3">
        <f>(Table1[[#This Row],[Profit]]/Table1[[#This Row],[Sales]])*100</f>
        <v>27.67868772386845</v>
      </c>
    </row>
    <row r="5129" spans="1:12" x14ac:dyDescent="0.3">
      <c r="A5129" t="s">
        <v>6143</v>
      </c>
      <c r="B5129" s="1">
        <v>44174</v>
      </c>
      <c r="C5129" t="s">
        <v>3543</v>
      </c>
      <c r="D5129" t="s">
        <v>3544</v>
      </c>
      <c r="E5129" t="s">
        <v>14</v>
      </c>
      <c r="F5129" t="s">
        <v>23</v>
      </c>
      <c r="G5129" t="s">
        <v>24</v>
      </c>
      <c r="H5129" t="s">
        <v>1801</v>
      </c>
      <c r="I5129" s="2">
        <v>220</v>
      </c>
      <c r="J5129">
        <v>1</v>
      </c>
      <c r="K5129" s="2">
        <v>68.040000000000006</v>
      </c>
      <c r="L5129" s="3">
        <f>(Table1[[#This Row],[Profit]]/Table1[[#This Row],[Sales]])*100</f>
        <v>30.927272727272729</v>
      </c>
    </row>
    <row r="5130" spans="1:12" x14ac:dyDescent="0.3">
      <c r="A5130" t="s">
        <v>3774</v>
      </c>
      <c r="B5130" s="1">
        <v>43810</v>
      </c>
      <c r="C5130" t="s">
        <v>118</v>
      </c>
      <c r="D5130" t="s">
        <v>119</v>
      </c>
      <c r="E5130" t="s">
        <v>14</v>
      </c>
      <c r="F5130" t="s">
        <v>23</v>
      </c>
      <c r="G5130" t="s">
        <v>24</v>
      </c>
      <c r="H5130" t="s">
        <v>1132</v>
      </c>
      <c r="I5130" s="2">
        <v>209.6</v>
      </c>
      <c r="J5130">
        <v>5</v>
      </c>
      <c r="K5130" s="2">
        <v>68.12</v>
      </c>
      <c r="L5130" s="3">
        <f>(Table1[[#This Row],[Profit]]/Table1[[#This Row],[Sales]])*100</f>
        <v>32.5</v>
      </c>
    </row>
    <row r="5131" spans="1:12" x14ac:dyDescent="0.3">
      <c r="A5131" t="s">
        <v>2550</v>
      </c>
      <c r="B5131" s="1">
        <v>43710</v>
      </c>
      <c r="C5131" t="s">
        <v>21</v>
      </c>
      <c r="D5131" t="s">
        <v>22</v>
      </c>
      <c r="E5131" t="s">
        <v>14</v>
      </c>
      <c r="F5131" t="s">
        <v>23</v>
      </c>
      <c r="G5131" t="s">
        <v>18</v>
      </c>
      <c r="H5131" t="s">
        <v>530</v>
      </c>
      <c r="I5131" s="2">
        <v>1091.1679999999999</v>
      </c>
      <c r="J5131">
        <v>4</v>
      </c>
      <c r="K5131" s="2">
        <v>68.197999999999993</v>
      </c>
      <c r="L5131" s="3">
        <f>(Table1[[#This Row],[Profit]]/Table1[[#This Row],[Sales]])*100</f>
        <v>6.25</v>
      </c>
    </row>
    <row r="5132" spans="1:12" x14ac:dyDescent="0.3">
      <c r="A5132" t="s">
        <v>5118</v>
      </c>
      <c r="B5132" s="1">
        <v>44049</v>
      </c>
      <c r="C5132" t="s">
        <v>876</v>
      </c>
      <c r="D5132" t="s">
        <v>877</v>
      </c>
      <c r="E5132" t="s">
        <v>14</v>
      </c>
      <c r="F5132" t="s">
        <v>15</v>
      </c>
      <c r="G5132" t="s">
        <v>24</v>
      </c>
      <c r="H5132" t="s">
        <v>3235</v>
      </c>
      <c r="I5132" s="2">
        <v>274.88</v>
      </c>
      <c r="J5132">
        <v>6</v>
      </c>
      <c r="K5132" s="2">
        <v>68.364000000000004</v>
      </c>
      <c r="L5132" s="3">
        <f>(Table1[[#This Row],[Profit]]/Table1[[#This Row],[Sales]])*100</f>
        <v>24.87048894062864</v>
      </c>
    </row>
    <row r="5133" spans="1:12" x14ac:dyDescent="0.3">
      <c r="A5133" t="s">
        <v>351</v>
      </c>
      <c r="B5133" s="1">
        <v>43510</v>
      </c>
      <c r="C5133" t="s">
        <v>352</v>
      </c>
      <c r="D5133" t="s">
        <v>353</v>
      </c>
      <c r="E5133" t="s">
        <v>14</v>
      </c>
      <c r="F5133" t="s">
        <v>41</v>
      </c>
      <c r="G5133" t="s">
        <v>24</v>
      </c>
      <c r="H5133" t="s">
        <v>354</v>
      </c>
      <c r="I5133" s="2">
        <v>264.18</v>
      </c>
      <c r="J5133">
        <v>7</v>
      </c>
      <c r="K5133" s="2">
        <v>68.686800000000005</v>
      </c>
      <c r="L5133" s="3">
        <f>(Table1[[#This Row],[Profit]]/Table1[[#This Row],[Sales]])*100</f>
        <v>26</v>
      </c>
    </row>
    <row r="5134" spans="1:12" x14ac:dyDescent="0.3">
      <c r="A5134" t="s">
        <v>6117</v>
      </c>
      <c r="B5134" s="1">
        <v>44170</v>
      </c>
      <c r="C5134" t="s">
        <v>253</v>
      </c>
      <c r="D5134" t="s">
        <v>254</v>
      </c>
      <c r="E5134" t="s">
        <v>14</v>
      </c>
      <c r="F5134" t="s">
        <v>15</v>
      </c>
      <c r="G5134" t="s">
        <v>24</v>
      </c>
      <c r="H5134" t="s">
        <v>1063</v>
      </c>
      <c r="I5134" s="2">
        <v>280.89999999999998</v>
      </c>
      <c r="J5134">
        <v>5</v>
      </c>
      <c r="K5134" s="2">
        <v>68.822999999999993</v>
      </c>
      <c r="L5134" s="3">
        <f>(Table1[[#This Row],[Profit]]/Table1[[#This Row],[Sales]])*100</f>
        <v>24.500889996440016</v>
      </c>
    </row>
    <row r="5135" spans="1:12" x14ac:dyDescent="0.3">
      <c r="A5135" t="s">
        <v>1827</v>
      </c>
      <c r="B5135" s="1">
        <v>43639</v>
      </c>
      <c r="C5135" t="s">
        <v>1828</v>
      </c>
      <c r="D5135" t="s">
        <v>1829</v>
      </c>
      <c r="E5135" t="s">
        <v>14</v>
      </c>
      <c r="F5135" t="s">
        <v>15</v>
      </c>
      <c r="G5135" t="s">
        <v>24</v>
      </c>
      <c r="H5135" t="s">
        <v>1832</v>
      </c>
      <c r="I5135" s="2">
        <v>146.72999999999999</v>
      </c>
      <c r="J5135">
        <v>3</v>
      </c>
      <c r="K5135" s="2">
        <v>68.963099999999997</v>
      </c>
      <c r="L5135" s="3">
        <f>(Table1[[#This Row],[Profit]]/Table1[[#This Row],[Sales]])*100</f>
        <v>47</v>
      </c>
    </row>
    <row r="5136" spans="1:12" x14ac:dyDescent="0.3">
      <c r="A5136" t="s">
        <v>1019</v>
      </c>
      <c r="B5136" s="1">
        <v>43570</v>
      </c>
      <c r="C5136" t="s">
        <v>1020</v>
      </c>
      <c r="D5136" t="s">
        <v>1021</v>
      </c>
      <c r="E5136" t="s">
        <v>14</v>
      </c>
      <c r="F5136" t="s">
        <v>23</v>
      </c>
      <c r="G5136" t="s">
        <v>24</v>
      </c>
      <c r="H5136" t="s">
        <v>1022</v>
      </c>
      <c r="I5136" s="2">
        <v>143.69999999999999</v>
      </c>
      <c r="J5136">
        <v>3</v>
      </c>
      <c r="K5136" s="2">
        <v>68.975999999999999</v>
      </c>
      <c r="L5136" s="3">
        <f>(Table1[[#This Row],[Profit]]/Table1[[#This Row],[Sales]])*100</f>
        <v>48.000000000000007</v>
      </c>
    </row>
    <row r="5137" spans="1:12" x14ac:dyDescent="0.3">
      <c r="A5137" t="s">
        <v>5436</v>
      </c>
      <c r="B5137" s="1">
        <v>44092</v>
      </c>
      <c r="C5137" t="s">
        <v>1456</v>
      </c>
      <c r="D5137" t="s">
        <v>1457</v>
      </c>
      <c r="E5137" t="s">
        <v>14</v>
      </c>
      <c r="F5137" t="s">
        <v>23</v>
      </c>
      <c r="G5137" t="s">
        <v>24</v>
      </c>
      <c r="H5137" t="s">
        <v>1022</v>
      </c>
      <c r="I5137" s="2">
        <v>186.7</v>
      </c>
      <c r="J5137">
        <v>3</v>
      </c>
      <c r="K5137" s="2">
        <v>68.975999999999999</v>
      </c>
      <c r="L5137" s="3">
        <f>(Table1[[#This Row],[Profit]]/Table1[[#This Row],[Sales]])*100</f>
        <v>36.944831280128547</v>
      </c>
    </row>
    <row r="5138" spans="1:12" x14ac:dyDescent="0.3">
      <c r="A5138" t="s">
        <v>5578</v>
      </c>
      <c r="B5138" s="1">
        <v>44110</v>
      </c>
      <c r="C5138" t="s">
        <v>2456</v>
      </c>
      <c r="D5138" t="s">
        <v>2457</v>
      </c>
      <c r="E5138" t="s">
        <v>14</v>
      </c>
      <c r="F5138" t="s">
        <v>15</v>
      </c>
      <c r="G5138" t="s">
        <v>24</v>
      </c>
      <c r="H5138" t="s">
        <v>2586</v>
      </c>
      <c r="I5138" s="2">
        <v>170.7</v>
      </c>
      <c r="J5138">
        <v>3</v>
      </c>
      <c r="K5138" s="2">
        <v>68.975999999999999</v>
      </c>
      <c r="L5138" s="3">
        <f>(Table1[[#This Row],[Profit]]/Table1[[#This Row],[Sales]])*100</f>
        <v>40.40773286467487</v>
      </c>
    </row>
    <row r="5139" spans="1:12" x14ac:dyDescent="0.3">
      <c r="A5139" t="s">
        <v>1518</v>
      </c>
      <c r="B5139" s="1">
        <v>43612</v>
      </c>
      <c r="C5139" t="s">
        <v>75</v>
      </c>
      <c r="D5139" t="s">
        <v>76</v>
      </c>
      <c r="E5139" t="s">
        <v>14</v>
      </c>
      <c r="F5139" t="s">
        <v>29</v>
      </c>
      <c r="G5139" t="s">
        <v>24</v>
      </c>
      <c r="H5139" t="s">
        <v>1519</v>
      </c>
      <c r="I5139" s="2">
        <v>144.12</v>
      </c>
      <c r="J5139">
        <v>3</v>
      </c>
      <c r="K5139" s="2">
        <v>69.177599999999998</v>
      </c>
      <c r="L5139" s="3">
        <f>(Table1[[#This Row],[Profit]]/Table1[[#This Row],[Sales]])*100</f>
        <v>48</v>
      </c>
    </row>
    <row r="5140" spans="1:12" x14ac:dyDescent="0.3">
      <c r="A5140" t="s">
        <v>5037</v>
      </c>
      <c r="B5140" s="1">
        <v>44033</v>
      </c>
      <c r="C5140" t="s">
        <v>2796</v>
      </c>
      <c r="D5140" t="s">
        <v>2797</v>
      </c>
      <c r="E5140" t="s">
        <v>14</v>
      </c>
      <c r="F5140" t="s">
        <v>41</v>
      </c>
      <c r="G5140" t="s">
        <v>16</v>
      </c>
      <c r="H5140" t="s">
        <v>1050</v>
      </c>
      <c r="I5140" s="2">
        <v>325.94</v>
      </c>
      <c r="J5140">
        <v>3</v>
      </c>
      <c r="K5140" s="2">
        <v>69.676199999999994</v>
      </c>
      <c r="L5140" s="3">
        <f>(Table1[[#This Row],[Profit]]/Table1[[#This Row],[Sales]])*100</f>
        <v>21.377001902190585</v>
      </c>
    </row>
    <row r="5141" spans="1:12" x14ac:dyDescent="0.3">
      <c r="A5141" t="s">
        <v>2428</v>
      </c>
      <c r="B5141" s="1">
        <v>43703</v>
      </c>
      <c r="C5141" t="s">
        <v>1903</v>
      </c>
      <c r="D5141" t="s">
        <v>1904</v>
      </c>
      <c r="E5141" t="s">
        <v>14</v>
      </c>
      <c r="F5141" t="s">
        <v>23</v>
      </c>
      <c r="G5141" t="s">
        <v>24</v>
      </c>
      <c r="H5141" t="s">
        <v>2430</v>
      </c>
      <c r="I5141" s="2">
        <v>154.9</v>
      </c>
      <c r="J5141">
        <v>5</v>
      </c>
      <c r="K5141" s="2">
        <v>69.704999999999998</v>
      </c>
      <c r="L5141" s="3">
        <f>(Table1[[#This Row],[Profit]]/Table1[[#This Row],[Sales]])*100</f>
        <v>44.999999999999993</v>
      </c>
    </row>
    <row r="5142" spans="1:12" x14ac:dyDescent="0.3">
      <c r="A5142" t="s">
        <v>4010</v>
      </c>
      <c r="B5142" s="1">
        <v>43844</v>
      </c>
      <c r="C5142" t="s">
        <v>4011</v>
      </c>
      <c r="D5142" t="s">
        <v>4012</v>
      </c>
      <c r="E5142" t="s">
        <v>14</v>
      </c>
      <c r="F5142" t="s">
        <v>23</v>
      </c>
      <c r="G5142" t="s">
        <v>24</v>
      </c>
      <c r="H5142" t="s">
        <v>1759</v>
      </c>
      <c r="I5142" s="2">
        <v>183.9</v>
      </c>
      <c r="J5142">
        <v>5</v>
      </c>
      <c r="K5142" s="2">
        <v>69.704999999999998</v>
      </c>
      <c r="L5142" s="3">
        <f>(Table1[[#This Row],[Profit]]/Table1[[#This Row],[Sales]])*100</f>
        <v>37.903752039151712</v>
      </c>
    </row>
    <row r="5143" spans="1:12" x14ac:dyDescent="0.3">
      <c r="A5143" t="s">
        <v>5865</v>
      </c>
      <c r="B5143" s="1">
        <v>44147</v>
      </c>
      <c r="C5143" t="s">
        <v>5866</v>
      </c>
      <c r="D5143" t="s">
        <v>5867</v>
      </c>
      <c r="E5143" t="s">
        <v>14</v>
      </c>
      <c r="F5143" t="s">
        <v>29</v>
      </c>
      <c r="G5143" t="s">
        <v>24</v>
      </c>
      <c r="H5143" t="s">
        <v>5868</v>
      </c>
      <c r="I5143" s="2">
        <v>254.05600000000001</v>
      </c>
      <c r="J5143">
        <v>9</v>
      </c>
      <c r="K5143" s="2">
        <v>69.704999999999998</v>
      </c>
      <c r="L5143" s="3">
        <f>(Table1[[#This Row],[Profit]]/Table1[[#This Row],[Sales]])*100</f>
        <v>27.436864313379729</v>
      </c>
    </row>
    <row r="5144" spans="1:12" x14ac:dyDescent="0.3">
      <c r="A5144" t="s">
        <v>3602</v>
      </c>
      <c r="B5144" s="1">
        <v>43796</v>
      </c>
      <c r="C5144" t="s">
        <v>509</v>
      </c>
      <c r="D5144" t="s">
        <v>510</v>
      </c>
      <c r="E5144" t="s">
        <v>14</v>
      </c>
      <c r="F5144" t="s">
        <v>29</v>
      </c>
      <c r="G5144" t="s">
        <v>24</v>
      </c>
      <c r="H5144" t="s">
        <v>2833</v>
      </c>
      <c r="I5144" s="2">
        <v>152</v>
      </c>
      <c r="J5144">
        <v>5</v>
      </c>
      <c r="K5144" s="2">
        <v>69.92</v>
      </c>
      <c r="L5144" s="3">
        <f>(Table1[[#This Row],[Profit]]/Table1[[#This Row],[Sales]])*100</f>
        <v>46</v>
      </c>
    </row>
    <row r="5145" spans="1:12" x14ac:dyDescent="0.3">
      <c r="A5145" t="s">
        <v>4236</v>
      </c>
      <c r="B5145" s="1">
        <v>43899</v>
      </c>
      <c r="C5145" t="s">
        <v>1259</v>
      </c>
      <c r="D5145" t="s">
        <v>1260</v>
      </c>
      <c r="E5145" t="s">
        <v>14</v>
      </c>
      <c r="F5145" t="s">
        <v>23</v>
      </c>
      <c r="G5145" t="s">
        <v>18</v>
      </c>
      <c r="H5145" t="s">
        <v>1133</v>
      </c>
      <c r="I5145" s="2">
        <v>234.98</v>
      </c>
      <c r="J5145">
        <v>2</v>
      </c>
      <c r="K5145" s="2">
        <v>69.992999999999995</v>
      </c>
      <c r="L5145" s="3">
        <f>(Table1[[#This Row],[Profit]]/Table1[[#This Row],[Sales]])*100</f>
        <v>29.786790365137456</v>
      </c>
    </row>
    <row r="5146" spans="1:12" x14ac:dyDescent="0.3">
      <c r="A5146" t="s">
        <v>5029</v>
      </c>
      <c r="B5146" s="1">
        <v>44030</v>
      </c>
      <c r="C5146" t="s">
        <v>1698</v>
      </c>
      <c r="D5146" t="s">
        <v>1699</v>
      </c>
      <c r="E5146" t="s">
        <v>14</v>
      </c>
      <c r="F5146" t="s">
        <v>15</v>
      </c>
      <c r="G5146" t="s">
        <v>18</v>
      </c>
      <c r="H5146" t="s">
        <v>2708</v>
      </c>
      <c r="I5146" s="2">
        <v>641.97</v>
      </c>
      <c r="J5146">
        <v>5</v>
      </c>
      <c r="K5146" s="2">
        <v>69.996499999999997</v>
      </c>
      <c r="L5146" s="3">
        <f>(Table1[[#This Row],[Profit]]/Table1[[#This Row],[Sales]])*100</f>
        <v>10.903391124195833</v>
      </c>
    </row>
    <row r="5147" spans="1:12" x14ac:dyDescent="0.3">
      <c r="A5147" t="s">
        <v>1562</v>
      </c>
      <c r="B5147" s="1">
        <v>43615</v>
      </c>
      <c r="C5147" t="s">
        <v>1563</v>
      </c>
      <c r="D5147" t="s">
        <v>1564</v>
      </c>
      <c r="E5147" t="s">
        <v>14</v>
      </c>
      <c r="F5147" t="s">
        <v>15</v>
      </c>
      <c r="G5147" t="s">
        <v>18</v>
      </c>
      <c r="H5147" t="s">
        <v>1565</v>
      </c>
      <c r="I5147" s="2">
        <v>839.98800000000006</v>
      </c>
      <c r="J5147">
        <v>2</v>
      </c>
      <c r="K5147" s="2">
        <v>69.998999999999995</v>
      </c>
      <c r="L5147" s="3">
        <f>(Table1[[#This Row],[Profit]]/Table1[[#This Row],[Sales]])*100</f>
        <v>8.3333333333333321</v>
      </c>
    </row>
    <row r="5148" spans="1:12" x14ac:dyDescent="0.3">
      <c r="A5148" t="s">
        <v>4405</v>
      </c>
      <c r="B5148" s="1">
        <v>43923</v>
      </c>
      <c r="C5148" t="s">
        <v>2407</v>
      </c>
      <c r="D5148" t="s">
        <v>2408</v>
      </c>
      <c r="E5148" t="s">
        <v>14</v>
      </c>
      <c r="F5148" t="s">
        <v>41</v>
      </c>
      <c r="G5148" t="s">
        <v>16</v>
      </c>
      <c r="H5148" t="s">
        <v>1194</v>
      </c>
      <c r="I5148" s="2">
        <v>439.8</v>
      </c>
      <c r="J5148">
        <v>2</v>
      </c>
      <c r="K5148" s="2">
        <v>70.006</v>
      </c>
      <c r="L5148" s="3">
        <f>(Table1[[#This Row],[Profit]]/Table1[[#This Row],[Sales]])*100</f>
        <v>15.917689859026829</v>
      </c>
    </row>
    <row r="5149" spans="1:12" x14ac:dyDescent="0.3">
      <c r="A5149" t="s">
        <v>6232</v>
      </c>
      <c r="B5149" s="1">
        <v>44187</v>
      </c>
      <c r="C5149" t="s">
        <v>2020</v>
      </c>
      <c r="D5149" t="s">
        <v>2021</v>
      </c>
      <c r="E5149" t="s">
        <v>14</v>
      </c>
      <c r="F5149" t="s">
        <v>29</v>
      </c>
      <c r="G5149" t="s">
        <v>16</v>
      </c>
      <c r="H5149" t="s">
        <v>1194</v>
      </c>
      <c r="I5149" s="2">
        <v>118.8</v>
      </c>
      <c r="J5149">
        <v>2</v>
      </c>
      <c r="K5149" s="2">
        <v>70.006</v>
      </c>
      <c r="L5149" s="3">
        <f>(Table1[[#This Row],[Profit]]/Table1[[#This Row],[Sales]])*100</f>
        <v>58.927609427609426</v>
      </c>
    </row>
    <row r="5150" spans="1:12" x14ac:dyDescent="0.3">
      <c r="A5150" t="s">
        <v>5663</v>
      </c>
      <c r="B5150" s="1">
        <v>44124</v>
      </c>
      <c r="C5150" t="s">
        <v>1776</v>
      </c>
      <c r="D5150" t="s">
        <v>1777</v>
      </c>
      <c r="E5150" t="s">
        <v>14</v>
      </c>
      <c r="F5150" t="s">
        <v>41</v>
      </c>
      <c r="G5150" t="s">
        <v>24</v>
      </c>
      <c r="H5150" t="s">
        <v>1932</v>
      </c>
      <c r="I5150" s="2">
        <v>188.85</v>
      </c>
      <c r="J5150">
        <v>5</v>
      </c>
      <c r="K5150" s="2">
        <v>70.007999999999996</v>
      </c>
      <c r="L5150" s="3">
        <f>(Table1[[#This Row],[Profit]]/Table1[[#This Row],[Sales]])*100</f>
        <v>37.070691024622718</v>
      </c>
    </row>
    <row r="5151" spans="1:12" x14ac:dyDescent="0.3">
      <c r="A5151" t="s">
        <v>3701</v>
      </c>
      <c r="B5151" s="1">
        <v>43804</v>
      </c>
      <c r="C5151" t="s">
        <v>2020</v>
      </c>
      <c r="D5151" t="s">
        <v>2021</v>
      </c>
      <c r="E5151" t="s">
        <v>14</v>
      </c>
      <c r="F5151" t="s">
        <v>41</v>
      </c>
      <c r="G5151" t="s">
        <v>24</v>
      </c>
      <c r="H5151" t="s">
        <v>986</v>
      </c>
      <c r="I5151" s="2">
        <v>584.82000000000005</v>
      </c>
      <c r="J5151">
        <v>9</v>
      </c>
      <c r="K5151" s="2">
        <v>70.178399999999996</v>
      </c>
      <c r="L5151" s="3">
        <f>(Table1[[#This Row],[Profit]]/Table1[[#This Row],[Sales]])*100</f>
        <v>11.999999999999998</v>
      </c>
    </row>
    <row r="5152" spans="1:12" x14ac:dyDescent="0.3">
      <c r="A5152" t="s">
        <v>4691</v>
      </c>
      <c r="B5152" s="1">
        <v>43971</v>
      </c>
      <c r="C5152" t="s">
        <v>501</v>
      </c>
      <c r="D5152" t="s">
        <v>502</v>
      </c>
      <c r="E5152" t="s">
        <v>14</v>
      </c>
      <c r="F5152" t="s">
        <v>23</v>
      </c>
      <c r="G5152" t="s">
        <v>18</v>
      </c>
      <c r="H5152" t="s">
        <v>318</v>
      </c>
      <c r="I5152" s="2">
        <v>1159.1279999999999</v>
      </c>
      <c r="J5152">
        <v>9</v>
      </c>
      <c r="K5152" s="2">
        <v>70.195499999999996</v>
      </c>
      <c r="L5152" s="3">
        <f>(Table1[[#This Row],[Profit]]/Table1[[#This Row],[Sales]])*100</f>
        <v>6.0558885645071125</v>
      </c>
    </row>
    <row r="5153" spans="1:12" x14ac:dyDescent="0.3">
      <c r="A5153" t="s">
        <v>3228</v>
      </c>
      <c r="B5153" s="1">
        <v>43769</v>
      </c>
      <c r="C5153" t="s">
        <v>3229</v>
      </c>
      <c r="D5153" t="s">
        <v>3230</v>
      </c>
      <c r="E5153" t="s">
        <v>14</v>
      </c>
      <c r="F5153" t="s">
        <v>23</v>
      </c>
      <c r="G5153" t="s">
        <v>16</v>
      </c>
      <c r="H5153" t="s">
        <v>2798</v>
      </c>
      <c r="I5153" s="2">
        <v>1403.92</v>
      </c>
      <c r="J5153">
        <v>5</v>
      </c>
      <c r="K5153" s="2">
        <v>70.195999999999998</v>
      </c>
      <c r="L5153" s="3">
        <f>(Table1[[#This Row],[Profit]]/Table1[[#This Row],[Sales]])*100</f>
        <v>5</v>
      </c>
    </row>
    <row r="5154" spans="1:12" x14ac:dyDescent="0.3">
      <c r="A5154" t="s">
        <v>5630</v>
      </c>
      <c r="B5154" s="1">
        <v>44119</v>
      </c>
      <c r="C5154" t="s">
        <v>139</v>
      </c>
      <c r="D5154" t="s">
        <v>140</v>
      </c>
      <c r="E5154" t="s">
        <v>14</v>
      </c>
      <c r="F5154" t="s">
        <v>23</v>
      </c>
      <c r="G5154" t="s">
        <v>24</v>
      </c>
      <c r="H5154" t="s">
        <v>1830</v>
      </c>
      <c r="I5154" s="2">
        <v>197.65</v>
      </c>
      <c r="J5154">
        <v>5</v>
      </c>
      <c r="K5154" s="2">
        <v>70.218999999999994</v>
      </c>
      <c r="L5154" s="3">
        <f>(Table1[[#This Row],[Profit]]/Table1[[#This Row],[Sales]])*100</f>
        <v>35.52694156336959</v>
      </c>
    </row>
    <row r="5155" spans="1:12" x14ac:dyDescent="0.3">
      <c r="A5155" t="s">
        <v>4013</v>
      </c>
      <c r="B5155" s="1">
        <v>43844</v>
      </c>
      <c r="C5155" t="s">
        <v>4014</v>
      </c>
      <c r="D5155" t="s">
        <v>4015</v>
      </c>
      <c r="E5155" t="s">
        <v>14</v>
      </c>
      <c r="F5155" t="s">
        <v>29</v>
      </c>
      <c r="G5155" t="s">
        <v>18</v>
      </c>
      <c r="H5155" t="s">
        <v>556</v>
      </c>
      <c r="I5155" s="2">
        <v>188.8</v>
      </c>
      <c r="J5155">
        <v>4</v>
      </c>
      <c r="K5155" s="2">
        <v>70.311999999999998</v>
      </c>
      <c r="L5155" s="3">
        <f>(Table1[[#This Row],[Profit]]/Table1[[#This Row],[Sales]])*100</f>
        <v>37.24152542372881</v>
      </c>
    </row>
    <row r="5156" spans="1:12" x14ac:dyDescent="0.3">
      <c r="A5156" t="s">
        <v>6185</v>
      </c>
      <c r="B5156" s="1">
        <v>44179</v>
      </c>
      <c r="C5156" t="s">
        <v>2869</v>
      </c>
      <c r="D5156" t="s">
        <v>2870</v>
      </c>
      <c r="E5156" t="s">
        <v>14</v>
      </c>
      <c r="F5156" t="s">
        <v>41</v>
      </c>
      <c r="G5156" t="s">
        <v>18</v>
      </c>
      <c r="H5156" t="s">
        <v>556</v>
      </c>
      <c r="I5156" s="2">
        <v>447.8</v>
      </c>
      <c r="J5156">
        <v>4</v>
      </c>
      <c r="K5156" s="2">
        <v>70.311999999999998</v>
      </c>
      <c r="L5156" s="3">
        <f>(Table1[[#This Row],[Profit]]/Table1[[#This Row],[Sales]])*100</f>
        <v>15.701652523447967</v>
      </c>
    </row>
    <row r="5157" spans="1:12" x14ac:dyDescent="0.3">
      <c r="A5157" t="s">
        <v>1418</v>
      </c>
      <c r="B5157" s="1">
        <v>43604</v>
      </c>
      <c r="C5157" t="s">
        <v>1419</v>
      </c>
      <c r="D5157" t="s">
        <v>1420</v>
      </c>
      <c r="E5157" t="s">
        <v>14</v>
      </c>
      <c r="F5157" t="s">
        <v>15</v>
      </c>
      <c r="G5157" t="s">
        <v>24</v>
      </c>
      <c r="H5157" t="s">
        <v>1421</v>
      </c>
      <c r="I5157" s="2">
        <v>242.9</v>
      </c>
      <c r="J5157">
        <v>5</v>
      </c>
      <c r="K5157" s="2">
        <v>70.441000000000003</v>
      </c>
      <c r="L5157" s="3">
        <f>(Table1[[#This Row],[Profit]]/Table1[[#This Row],[Sales]])*100</f>
        <v>28.999999999999996</v>
      </c>
    </row>
    <row r="5158" spans="1:12" x14ac:dyDescent="0.3">
      <c r="A5158" t="s">
        <v>4494</v>
      </c>
      <c r="B5158" s="1">
        <v>43941</v>
      </c>
      <c r="C5158" t="s">
        <v>2574</v>
      </c>
      <c r="D5158" t="s">
        <v>2575</v>
      </c>
      <c r="E5158" t="s">
        <v>14</v>
      </c>
      <c r="F5158" t="s">
        <v>29</v>
      </c>
      <c r="G5158" t="s">
        <v>24</v>
      </c>
      <c r="H5158" t="s">
        <v>1740</v>
      </c>
      <c r="I5158" s="2">
        <v>195.86</v>
      </c>
      <c r="J5158">
        <v>7</v>
      </c>
      <c r="K5158" s="2">
        <v>70.492800000000003</v>
      </c>
      <c r="L5158" s="3">
        <f>(Table1[[#This Row],[Profit]]/Table1[[#This Row],[Sales]])*100</f>
        <v>35.991422444603288</v>
      </c>
    </row>
    <row r="5159" spans="1:12" x14ac:dyDescent="0.3">
      <c r="A5159" t="s">
        <v>5880</v>
      </c>
      <c r="B5159" s="1">
        <v>44148</v>
      </c>
      <c r="C5159" t="s">
        <v>4053</v>
      </c>
      <c r="D5159" t="s">
        <v>4054</v>
      </c>
      <c r="E5159" t="s">
        <v>14</v>
      </c>
      <c r="F5159" t="s">
        <v>15</v>
      </c>
      <c r="G5159" t="s">
        <v>18</v>
      </c>
      <c r="H5159" t="s">
        <v>5881</v>
      </c>
      <c r="I5159" s="2">
        <v>199.96</v>
      </c>
      <c r="J5159">
        <v>4</v>
      </c>
      <c r="K5159" s="2">
        <v>70.502799999999993</v>
      </c>
      <c r="L5159" s="3">
        <f>(Table1[[#This Row],[Profit]]/Table1[[#This Row],[Sales]])*100</f>
        <v>35.258451690338063</v>
      </c>
    </row>
    <row r="5160" spans="1:12" x14ac:dyDescent="0.3">
      <c r="A5160" t="s">
        <v>2340</v>
      </c>
      <c r="B5160" s="1">
        <v>43692</v>
      </c>
      <c r="C5160" t="s">
        <v>2341</v>
      </c>
      <c r="D5160" t="s">
        <v>2342</v>
      </c>
      <c r="E5160" t="s">
        <v>14</v>
      </c>
      <c r="F5160" t="s">
        <v>41</v>
      </c>
      <c r="G5160" t="s">
        <v>18</v>
      </c>
      <c r="H5160" t="s">
        <v>2343</v>
      </c>
      <c r="I5160" s="2">
        <v>705.54399999999998</v>
      </c>
      <c r="J5160">
        <v>7</v>
      </c>
      <c r="K5160" s="2">
        <v>70.554400000000001</v>
      </c>
      <c r="L5160" s="3">
        <f>(Table1[[#This Row],[Profit]]/Table1[[#This Row],[Sales]])*100</f>
        <v>10</v>
      </c>
    </row>
    <row r="5161" spans="1:12" x14ac:dyDescent="0.3">
      <c r="A5161" t="s">
        <v>4592</v>
      </c>
      <c r="B5161" s="1">
        <v>43957</v>
      </c>
      <c r="C5161" t="s">
        <v>589</v>
      </c>
      <c r="D5161" t="s">
        <v>590</v>
      </c>
      <c r="E5161" t="s">
        <v>14</v>
      </c>
      <c r="F5161" t="s">
        <v>41</v>
      </c>
      <c r="G5161" t="s">
        <v>18</v>
      </c>
      <c r="H5161" t="s">
        <v>3732</v>
      </c>
      <c r="I5161" s="2">
        <v>672.16800000000001</v>
      </c>
      <c r="J5161">
        <v>4</v>
      </c>
      <c r="K5161" s="2">
        <v>70.556399999999996</v>
      </c>
      <c r="L5161" s="3">
        <f>(Table1[[#This Row],[Profit]]/Table1[[#This Row],[Sales]])*100</f>
        <v>10.496840075695362</v>
      </c>
    </row>
    <row r="5162" spans="1:12" x14ac:dyDescent="0.3">
      <c r="A5162" t="s">
        <v>4469</v>
      </c>
      <c r="B5162" s="1">
        <v>43936</v>
      </c>
      <c r="C5162" t="s">
        <v>1883</v>
      </c>
      <c r="D5162" t="s">
        <v>1884</v>
      </c>
      <c r="E5162" t="s">
        <v>14</v>
      </c>
      <c r="F5162" t="s">
        <v>23</v>
      </c>
      <c r="G5162" t="s">
        <v>16</v>
      </c>
      <c r="H5162" t="s">
        <v>4470</v>
      </c>
      <c r="I5162" s="2">
        <v>225.45</v>
      </c>
      <c r="J5162">
        <v>5</v>
      </c>
      <c r="K5162" s="2">
        <v>70.721999999999994</v>
      </c>
      <c r="L5162" s="3">
        <f>(Table1[[#This Row],[Profit]]/Table1[[#This Row],[Sales]])*100</f>
        <v>31.369261477045907</v>
      </c>
    </row>
    <row r="5163" spans="1:12" x14ac:dyDescent="0.3">
      <c r="A5163" t="s">
        <v>2515</v>
      </c>
      <c r="B5163" s="1">
        <v>43709</v>
      </c>
      <c r="C5163" t="s">
        <v>2516</v>
      </c>
      <c r="D5163" t="s">
        <v>2517</v>
      </c>
      <c r="E5163" t="s">
        <v>14</v>
      </c>
      <c r="F5163" t="s">
        <v>29</v>
      </c>
      <c r="G5163" t="s">
        <v>24</v>
      </c>
      <c r="H5163" t="s">
        <v>2518</v>
      </c>
      <c r="I5163" s="2">
        <v>376.74</v>
      </c>
      <c r="J5163">
        <v>4</v>
      </c>
      <c r="K5163" s="2">
        <v>71.162000000000006</v>
      </c>
      <c r="L5163" s="3">
        <f>(Table1[[#This Row],[Profit]]/Table1[[#This Row],[Sales]])*100</f>
        <v>18.888888888888893</v>
      </c>
    </row>
    <row r="5164" spans="1:12" x14ac:dyDescent="0.3">
      <c r="A5164" t="s">
        <v>3291</v>
      </c>
      <c r="B5164" s="1">
        <v>43774</v>
      </c>
      <c r="C5164" t="s">
        <v>3292</v>
      </c>
      <c r="D5164" t="s">
        <v>3293</v>
      </c>
      <c r="E5164" t="s">
        <v>14</v>
      </c>
      <c r="F5164" t="s">
        <v>41</v>
      </c>
      <c r="G5164" t="s">
        <v>16</v>
      </c>
      <c r="H5164" t="s">
        <v>3294</v>
      </c>
      <c r="I5164" s="2">
        <v>273.95999999999998</v>
      </c>
      <c r="J5164">
        <v>2</v>
      </c>
      <c r="K5164" s="2">
        <v>71.229600000000005</v>
      </c>
      <c r="L5164" s="3">
        <f>(Table1[[#This Row],[Profit]]/Table1[[#This Row],[Sales]])*100</f>
        <v>26.000000000000007</v>
      </c>
    </row>
    <row r="5165" spans="1:12" x14ac:dyDescent="0.3">
      <c r="A5165" t="s">
        <v>4422</v>
      </c>
      <c r="B5165" s="1">
        <v>43929</v>
      </c>
      <c r="C5165" t="s">
        <v>2904</v>
      </c>
      <c r="D5165" t="s">
        <v>2905</v>
      </c>
      <c r="E5165" t="s">
        <v>14</v>
      </c>
      <c r="F5165" t="s">
        <v>29</v>
      </c>
      <c r="G5165" t="s">
        <v>16</v>
      </c>
      <c r="H5165" t="s">
        <v>3294</v>
      </c>
      <c r="I5165" s="2">
        <v>308.95999999999998</v>
      </c>
      <c r="J5165">
        <v>2</v>
      </c>
      <c r="K5165" s="2">
        <v>71.229600000000005</v>
      </c>
      <c r="L5165" s="3">
        <f>(Table1[[#This Row],[Profit]]/Table1[[#This Row],[Sales]])*100</f>
        <v>23.054634904194721</v>
      </c>
    </row>
    <row r="5166" spans="1:12" x14ac:dyDescent="0.3">
      <c r="A5166" t="s">
        <v>823</v>
      </c>
      <c r="B5166" s="1">
        <v>43556</v>
      </c>
      <c r="C5166" t="s">
        <v>824</v>
      </c>
      <c r="D5166" t="s">
        <v>825</v>
      </c>
      <c r="E5166" t="s">
        <v>14</v>
      </c>
      <c r="F5166" t="s">
        <v>15</v>
      </c>
      <c r="G5166" t="s">
        <v>24</v>
      </c>
      <c r="H5166" t="s">
        <v>827</v>
      </c>
      <c r="I5166" s="2">
        <v>263.88</v>
      </c>
      <c r="J5166">
        <v>6</v>
      </c>
      <c r="K5166" s="2">
        <v>71.247600000000006</v>
      </c>
      <c r="L5166" s="3">
        <f>(Table1[[#This Row],[Profit]]/Table1[[#This Row],[Sales]])*100</f>
        <v>27</v>
      </c>
    </row>
    <row r="5167" spans="1:12" x14ac:dyDescent="0.3">
      <c r="A5167" t="s">
        <v>3312</v>
      </c>
      <c r="B5167" s="1">
        <v>43776</v>
      </c>
      <c r="C5167" t="s">
        <v>1408</v>
      </c>
      <c r="D5167" t="s">
        <v>1409</v>
      </c>
      <c r="E5167" t="s">
        <v>14</v>
      </c>
      <c r="F5167" t="s">
        <v>15</v>
      </c>
      <c r="G5167" t="s">
        <v>18</v>
      </c>
      <c r="H5167" t="s">
        <v>3313</v>
      </c>
      <c r="I5167" s="2">
        <v>263.95999999999998</v>
      </c>
      <c r="J5167">
        <v>4</v>
      </c>
      <c r="K5167" s="2">
        <v>71.269199999999998</v>
      </c>
      <c r="L5167" s="3">
        <f>(Table1[[#This Row],[Profit]]/Table1[[#This Row],[Sales]])*100</f>
        <v>27</v>
      </c>
    </row>
    <row r="5168" spans="1:12" x14ac:dyDescent="0.3">
      <c r="A5168" t="s">
        <v>2964</v>
      </c>
      <c r="B5168" s="1">
        <v>43737</v>
      </c>
      <c r="C5168" t="s">
        <v>1436</v>
      </c>
      <c r="D5168" t="s">
        <v>1437</v>
      </c>
      <c r="E5168" t="s">
        <v>14</v>
      </c>
      <c r="F5168" t="s">
        <v>41</v>
      </c>
      <c r="G5168" t="s">
        <v>18</v>
      </c>
      <c r="H5168" t="s">
        <v>77</v>
      </c>
      <c r="I5168" s="2">
        <v>209.97</v>
      </c>
      <c r="J5168">
        <v>3</v>
      </c>
      <c r="K5168" s="2">
        <v>71.389799999999994</v>
      </c>
      <c r="L5168" s="3">
        <f>(Table1[[#This Row],[Profit]]/Table1[[#This Row],[Sales]])*100</f>
        <v>34</v>
      </c>
    </row>
    <row r="5169" spans="1:12" x14ac:dyDescent="0.3">
      <c r="A5169" t="s">
        <v>4439</v>
      </c>
      <c r="B5169" s="1">
        <v>43931</v>
      </c>
      <c r="C5169" t="s">
        <v>648</v>
      </c>
      <c r="D5169" t="s">
        <v>649</v>
      </c>
      <c r="E5169" t="s">
        <v>14</v>
      </c>
      <c r="F5169" t="s">
        <v>15</v>
      </c>
      <c r="G5169" t="s">
        <v>24</v>
      </c>
      <c r="H5169" t="s">
        <v>25</v>
      </c>
      <c r="I5169" s="2">
        <v>335.15</v>
      </c>
      <c r="J5169">
        <v>5</v>
      </c>
      <c r="K5169" s="2">
        <v>71.537499999999994</v>
      </c>
      <c r="L5169" s="3">
        <f>(Table1[[#This Row],[Profit]]/Table1[[#This Row],[Sales]])*100</f>
        <v>21.344920184991796</v>
      </c>
    </row>
    <row r="5170" spans="1:12" x14ac:dyDescent="0.3">
      <c r="A5170" t="s">
        <v>5496</v>
      </c>
      <c r="B5170" s="1">
        <v>44098</v>
      </c>
      <c r="C5170" t="s">
        <v>993</v>
      </c>
      <c r="D5170" t="s">
        <v>994</v>
      </c>
      <c r="E5170" t="s">
        <v>14</v>
      </c>
      <c r="F5170" t="s">
        <v>23</v>
      </c>
      <c r="G5170" t="s">
        <v>16</v>
      </c>
      <c r="H5170" t="s">
        <v>1191</v>
      </c>
      <c r="I5170" s="2">
        <v>243.8</v>
      </c>
      <c r="J5170">
        <v>10</v>
      </c>
      <c r="K5170" s="2">
        <v>71.927999999999997</v>
      </c>
      <c r="L5170" s="3">
        <f>(Table1[[#This Row],[Profit]]/Table1[[#This Row],[Sales]])*100</f>
        <v>29.502871205906477</v>
      </c>
    </row>
    <row r="5171" spans="1:12" x14ac:dyDescent="0.3">
      <c r="A5171" t="s">
        <v>1690</v>
      </c>
      <c r="B5171" s="1">
        <v>43627</v>
      </c>
      <c r="C5171" t="s">
        <v>1691</v>
      </c>
      <c r="D5171" t="s">
        <v>1692</v>
      </c>
      <c r="E5171" t="s">
        <v>14</v>
      </c>
      <c r="F5171" t="s">
        <v>15</v>
      </c>
      <c r="G5171" t="s">
        <v>18</v>
      </c>
      <c r="H5171" t="s">
        <v>1693</v>
      </c>
      <c r="I5171" s="2">
        <v>239.97</v>
      </c>
      <c r="J5171">
        <v>3</v>
      </c>
      <c r="K5171" s="2">
        <v>71.991</v>
      </c>
      <c r="L5171" s="3">
        <f>(Table1[[#This Row],[Profit]]/Table1[[#This Row],[Sales]])*100</f>
        <v>30</v>
      </c>
    </row>
    <row r="5172" spans="1:12" x14ac:dyDescent="0.3">
      <c r="A5172" t="s">
        <v>4871</v>
      </c>
      <c r="B5172" s="1">
        <v>44002</v>
      </c>
      <c r="C5172" t="s">
        <v>2327</v>
      </c>
      <c r="D5172" t="s">
        <v>2328</v>
      </c>
      <c r="E5172" t="s">
        <v>14</v>
      </c>
      <c r="F5172" t="s">
        <v>15</v>
      </c>
      <c r="G5172" t="s">
        <v>18</v>
      </c>
      <c r="H5172" t="s">
        <v>1693</v>
      </c>
      <c r="I5172" s="2">
        <v>271.97000000000003</v>
      </c>
      <c r="J5172">
        <v>3</v>
      </c>
      <c r="K5172" s="2">
        <v>71.991</v>
      </c>
      <c r="L5172" s="3">
        <f>(Table1[[#This Row],[Profit]]/Table1[[#This Row],[Sales]])*100</f>
        <v>26.470198918998417</v>
      </c>
    </row>
    <row r="5173" spans="1:12" x14ac:dyDescent="0.3">
      <c r="A5173" t="s">
        <v>2226</v>
      </c>
      <c r="B5173" s="1">
        <v>43677</v>
      </c>
      <c r="C5173" t="s">
        <v>1472</v>
      </c>
      <c r="D5173" t="s">
        <v>1473</v>
      </c>
      <c r="E5173" t="s">
        <v>14</v>
      </c>
      <c r="F5173" t="s">
        <v>29</v>
      </c>
      <c r="G5173" t="s">
        <v>24</v>
      </c>
      <c r="H5173" t="s">
        <v>2227</v>
      </c>
      <c r="I5173" s="2">
        <v>283.14</v>
      </c>
      <c r="J5173">
        <v>4</v>
      </c>
      <c r="K5173" s="2">
        <v>72.358000000000004</v>
      </c>
      <c r="L5173" s="3">
        <f>(Table1[[#This Row],[Profit]]/Table1[[#This Row],[Sales]])*100</f>
        <v>25.555555555555561</v>
      </c>
    </row>
    <row r="5174" spans="1:12" x14ac:dyDescent="0.3">
      <c r="A5174" t="s">
        <v>1856</v>
      </c>
      <c r="B5174" s="1">
        <v>43640</v>
      </c>
      <c r="C5174" t="s">
        <v>1139</v>
      </c>
      <c r="D5174" t="s">
        <v>1140</v>
      </c>
      <c r="E5174" t="s">
        <v>14</v>
      </c>
      <c r="F5174" t="s">
        <v>23</v>
      </c>
      <c r="G5174" t="s">
        <v>24</v>
      </c>
      <c r="H5174" t="s">
        <v>1728</v>
      </c>
      <c r="I5174" s="2">
        <v>241.44</v>
      </c>
      <c r="J5174">
        <v>3</v>
      </c>
      <c r="K5174" s="2">
        <v>72.432000000000002</v>
      </c>
      <c r="L5174" s="3">
        <f>(Table1[[#This Row],[Profit]]/Table1[[#This Row],[Sales]])*100</f>
        <v>30</v>
      </c>
    </row>
    <row r="5175" spans="1:12" x14ac:dyDescent="0.3">
      <c r="A5175" t="s">
        <v>2002</v>
      </c>
      <c r="B5175" s="1">
        <v>43655</v>
      </c>
      <c r="C5175" t="s">
        <v>197</v>
      </c>
      <c r="D5175" t="s">
        <v>198</v>
      </c>
      <c r="E5175" t="s">
        <v>14</v>
      </c>
      <c r="F5175" t="s">
        <v>15</v>
      </c>
      <c r="G5175" t="s">
        <v>16</v>
      </c>
      <c r="H5175" t="s">
        <v>2003</v>
      </c>
      <c r="I5175" s="2">
        <v>408.00599999999997</v>
      </c>
      <c r="J5175">
        <v>2</v>
      </c>
      <c r="K5175" s="2">
        <v>72.534400000000005</v>
      </c>
      <c r="L5175" s="3">
        <f>(Table1[[#This Row],[Profit]]/Table1[[#This Row],[Sales]])*100</f>
        <v>17.777777777777782</v>
      </c>
    </row>
    <row r="5176" spans="1:12" x14ac:dyDescent="0.3">
      <c r="A5176" t="s">
        <v>3424</v>
      </c>
      <c r="B5176" s="1">
        <v>43783</v>
      </c>
      <c r="C5176" t="s">
        <v>3425</v>
      </c>
      <c r="D5176" t="s">
        <v>3426</v>
      </c>
      <c r="E5176" t="s">
        <v>14</v>
      </c>
      <c r="F5176" t="s">
        <v>15</v>
      </c>
      <c r="G5176" t="s">
        <v>16</v>
      </c>
      <c r="H5176" t="s">
        <v>2003</v>
      </c>
      <c r="I5176" s="2">
        <v>408.00599999999997</v>
      </c>
      <c r="J5176">
        <v>2</v>
      </c>
      <c r="K5176" s="2">
        <v>72.534400000000005</v>
      </c>
      <c r="L5176" s="3">
        <f>(Table1[[#This Row],[Profit]]/Table1[[#This Row],[Sales]])*100</f>
        <v>17.777777777777782</v>
      </c>
    </row>
    <row r="5177" spans="1:12" x14ac:dyDescent="0.3">
      <c r="A5177" t="s">
        <v>4026</v>
      </c>
      <c r="B5177" s="1">
        <v>43846</v>
      </c>
      <c r="C5177" t="s">
        <v>2967</v>
      </c>
      <c r="D5177" t="s">
        <v>2968</v>
      </c>
      <c r="E5177" t="s">
        <v>14</v>
      </c>
      <c r="F5177" t="s">
        <v>29</v>
      </c>
      <c r="G5177" t="s">
        <v>16</v>
      </c>
      <c r="H5177" t="s">
        <v>2194</v>
      </c>
      <c r="I5177" s="2">
        <v>340.67</v>
      </c>
      <c r="J5177">
        <v>3</v>
      </c>
      <c r="K5177" s="2">
        <v>72.640799999999999</v>
      </c>
      <c r="L5177" s="3">
        <f>(Table1[[#This Row],[Profit]]/Table1[[#This Row],[Sales]])*100</f>
        <v>21.322922476296707</v>
      </c>
    </row>
    <row r="5178" spans="1:12" x14ac:dyDescent="0.3">
      <c r="A5178" t="s">
        <v>5077</v>
      </c>
      <c r="B5178" s="1">
        <v>44041</v>
      </c>
      <c r="C5178" t="s">
        <v>1903</v>
      </c>
      <c r="D5178" t="s">
        <v>1904</v>
      </c>
      <c r="E5178" t="s">
        <v>14</v>
      </c>
      <c r="F5178" t="s">
        <v>29</v>
      </c>
      <c r="G5178" t="s">
        <v>16</v>
      </c>
      <c r="H5178" t="s">
        <v>2194</v>
      </c>
      <c r="I5178" s="2">
        <v>319.67</v>
      </c>
      <c r="J5178">
        <v>3</v>
      </c>
      <c r="K5178" s="2">
        <v>72.640799999999999</v>
      </c>
      <c r="L5178" s="3">
        <f>(Table1[[#This Row],[Profit]]/Table1[[#This Row],[Sales]])*100</f>
        <v>22.723683798917634</v>
      </c>
    </row>
    <row r="5179" spans="1:12" x14ac:dyDescent="0.3">
      <c r="A5179" t="s">
        <v>4902</v>
      </c>
      <c r="B5179" s="1">
        <v>44008</v>
      </c>
      <c r="C5179" t="s">
        <v>475</v>
      </c>
      <c r="D5179" t="s">
        <v>476</v>
      </c>
      <c r="E5179" t="s">
        <v>14</v>
      </c>
      <c r="F5179" t="s">
        <v>15</v>
      </c>
      <c r="G5179" t="s">
        <v>18</v>
      </c>
      <c r="H5179" t="s">
        <v>689</v>
      </c>
      <c r="I5179" s="2">
        <v>577.91600000000005</v>
      </c>
      <c r="J5179">
        <v>14</v>
      </c>
      <c r="K5179" s="2">
        <v>72.788799999999995</v>
      </c>
      <c r="L5179" s="3">
        <f>(Table1[[#This Row],[Profit]]/Table1[[#This Row],[Sales]])*100</f>
        <v>12.595048415340635</v>
      </c>
    </row>
    <row r="5180" spans="1:12" x14ac:dyDescent="0.3">
      <c r="A5180" t="s">
        <v>4697</v>
      </c>
      <c r="B5180" s="1">
        <v>43972</v>
      </c>
      <c r="C5180" t="s">
        <v>1864</v>
      </c>
      <c r="D5180" t="s">
        <v>1865</v>
      </c>
      <c r="E5180" t="s">
        <v>14</v>
      </c>
      <c r="F5180" t="s">
        <v>15</v>
      </c>
      <c r="G5180" t="s">
        <v>16</v>
      </c>
      <c r="H5180" t="s">
        <v>2346</v>
      </c>
      <c r="I5180" s="2">
        <v>541.04999999999995</v>
      </c>
      <c r="J5180">
        <v>5</v>
      </c>
      <c r="K5180" s="2">
        <v>72.807000000000002</v>
      </c>
      <c r="L5180" s="3">
        <f>(Table1[[#This Row],[Profit]]/Table1[[#This Row],[Sales]])*100</f>
        <v>13.456612143055171</v>
      </c>
    </row>
    <row r="5181" spans="1:12" x14ac:dyDescent="0.3">
      <c r="A5181" t="s">
        <v>6030</v>
      </c>
      <c r="B5181" s="1">
        <v>44162</v>
      </c>
      <c r="C5181" t="s">
        <v>328</v>
      </c>
      <c r="D5181" t="s">
        <v>329</v>
      </c>
      <c r="E5181" t="s">
        <v>14</v>
      </c>
      <c r="F5181" t="s">
        <v>29</v>
      </c>
      <c r="G5181" t="s">
        <v>24</v>
      </c>
      <c r="H5181" t="s">
        <v>1237</v>
      </c>
      <c r="I5181" s="2">
        <v>207.28</v>
      </c>
      <c r="J5181">
        <v>6</v>
      </c>
      <c r="K5181" s="2">
        <v>72.808800000000005</v>
      </c>
      <c r="L5181" s="3">
        <f>(Table1[[#This Row],[Profit]]/Table1[[#This Row],[Sales]])*100</f>
        <v>35.125820146661525</v>
      </c>
    </row>
    <row r="5182" spans="1:12" x14ac:dyDescent="0.3">
      <c r="A5182" t="s">
        <v>4579</v>
      </c>
      <c r="B5182" s="1">
        <v>43955</v>
      </c>
      <c r="C5182" t="s">
        <v>475</v>
      </c>
      <c r="D5182" t="s">
        <v>476</v>
      </c>
      <c r="E5182" t="s">
        <v>14</v>
      </c>
      <c r="F5182" t="s">
        <v>23</v>
      </c>
      <c r="G5182" t="s">
        <v>24</v>
      </c>
      <c r="H5182" t="s">
        <v>1579</v>
      </c>
      <c r="I5182" s="2">
        <v>260.16000000000003</v>
      </c>
      <c r="J5182">
        <v>2</v>
      </c>
      <c r="K5182" s="2">
        <v>72.947999999999993</v>
      </c>
      <c r="L5182" s="3">
        <f>(Table1[[#This Row],[Profit]]/Table1[[#This Row],[Sales]])*100</f>
        <v>28.03966789667896</v>
      </c>
    </row>
    <row r="5183" spans="1:12" x14ac:dyDescent="0.3">
      <c r="A5183" t="s">
        <v>1973</v>
      </c>
      <c r="B5183" s="1">
        <v>43653</v>
      </c>
      <c r="C5183" t="s">
        <v>933</v>
      </c>
      <c r="D5183" t="s">
        <v>934</v>
      </c>
      <c r="E5183" t="s">
        <v>14</v>
      </c>
      <c r="F5183" t="s">
        <v>23</v>
      </c>
      <c r="G5183" t="s">
        <v>16</v>
      </c>
      <c r="H5183" t="s">
        <v>1974</v>
      </c>
      <c r="I5183" s="2">
        <v>215.65</v>
      </c>
      <c r="J5183">
        <v>5</v>
      </c>
      <c r="K5183" s="2">
        <v>73.320999999999998</v>
      </c>
      <c r="L5183" s="3">
        <f>(Table1[[#This Row],[Profit]]/Table1[[#This Row],[Sales]])*100</f>
        <v>34</v>
      </c>
    </row>
    <row r="5184" spans="1:12" x14ac:dyDescent="0.3">
      <c r="A5184" t="s">
        <v>340</v>
      </c>
      <c r="B5184" s="1">
        <v>43509</v>
      </c>
      <c r="C5184" t="s">
        <v>341</v>
      </c>
      <c r="D5184" t="s">
        <v>342</v>
      </c>
      <c r="E5184" t="s">
        <v>14</v>
      </c>
      <c r="F5184" t="s">
        <v>23</v>
      </c>
      <c r="G5184" t="s">
        <v>24</v>
      </c>
      <c r="H5184" t="s">
        <v>343</v>
      </c>
      <c r="I5184" s="2">
        <v>146.82</v>
      </c>
      <c r="J5184">
        <v>3</v>
      </c>
      <c r="K5184" s="2">
        <v>73.41</v>
      </c>
      <c r="L5184" s="3">
        <f>(Table1[[#This Row],[Profit]]/Table1[[#This Row],[Sales]])*100</f>
        <v>50</v>
      </c>
    </row>
    <row r="5185" spans="1:12" x14ac:dyDescent="0.3">
      <c r="A5185" t="s">
        <v>5244</v>
      </c>
      <c r="B5185" s="1">
        <v>44076</v>
      </c>
      <c r="C5185" t="s">
        <v>1769</v>
      </c>
      <c r="D5185" t="s">
        <v>1770</v>
      </c>
      <c r="E5185" t="s">
        <v>14</v>
      </c>
      <c r="F5185" t="s">
        <v>15</v>
      </c>
      <c r="G5185" t="s">
        <v>24</v>
      </c>
      <c r="H5185" t="s">
        <v>5248</v>
      </c>
      <c r="I5185" s="2">
        <v>166.82</v>
      </c>
      <c r="J5185">
        <v>3</v>
      </c>
      <c r="K5185" s="2">
        <v>73.41</v>
      </c>
      <c r="L5185" s="3">
        <f>(Table1[[#This Row],[Profit]]/Table1[[#This Row],[Sales]])*100</f>
        <v>44.005514926267836</v>
      </c>
    </row>
    <row r="5186" spans="1:12" x14ac:dyDescent="0.3">
      <c r="A5186" t="s">
        <v>5907</v>
      </c>
      <c r="B5186" s="1">
        <v>44151</v>
      </c>
      <c r="C5186" t="s">
        <v>178</v>
      </c>
      <c r="D5186" t="s">
        <v>179</v>
      </c>
      <c r="E5186" t="s">
        <v>14</v>
      </c>
      <c r="F5186" t="s">
        <v>15</v>
      </c>
      <c r="G5186" t="s">
        <v>24</v>
      </c>
      <c r="H5186" t="s">
        <v>343</v>
      </c>
      <c r="I5186" s="2">
        <v>165.82</v>
      </c>
      <c r="J5186">
        <v>3</v>
      </c>
      <c r="K5186" s="2">
        <v>73.41</v>
      </c>
      <c r="L5186" s="3">
        <f>(Table1[[#This Row],[Profit]]/Table1[[#This Row],[Sales]])*100</f>
        <v>44.270896152454469</v>
      </c>
    </row>
    <row r="5187" spans="1:12" x14ac:dyDescent="0.3">
      <c r="A5187" t="s">
        <v>2814</v>
      </c>
      <c r="B5187" s="1">
        <v>43727</v>
      </c>
      <c r="C5187" t="s">
        <v>612</v>
      </c>
      <c r="D5187" t="s">
        <v>613</v>
      </c>
      <c r="E5187" t="s">
        <v>14</v>
      </c>
      <c r="F5187" t="s">
        <v>23</v>
      </c>
      <c r="G5187" t="s">
        <v>24</v>
      </c>
      <c r="H5187" t="s">
        <v>2595</v>
      </c>
      <c r="I5187" s="2">
        <v>159.88</v>
      </c>
      <c r="J5187">
        <v>7</v>
      </c>
      <c r="K5187" s="2">
        <v>73.544799999999995</v>
      </c>
      <c r="L5187" s="3">
        <f>(Table1[[#This Row],[Profit]]/Table1[[#This Row],[Sales]])*100</f>
        <v>46</v>
      </c>
    </row>
    <row r="5188" spans="1:12" x14ac:dyDescent="0.3">
      <c r="A5188" t="s">
        <v>1991</v>
      </c>
      <c r="B5188" s="1">
        <v>43654</v>
      </c>
      <c r="C5188" t="s">
        <v>1992</v>
      </c>
      <c r="D5188" t="s">
        <v>1993</v>
      </c>
      <c r="E5188" t="s">
        <v>14</v>
      </c>
      <c r="F5188" t="s">
        <v>23</v>
      </c>
      <c r="G5188" t="s">
        <v>16</v>
      </c>
      <c r="H5188" t="s">
        <v>639</v>
      </c>
      <c r="I5188" s="2">
        <v>662.88</v>
      </c>
      <c r="J5188">
        <v>3</v>
      </c>
      <c r="K5188" s="2">
        <v>74.573999999999998</v>
      </c>
      <c r="L5188" s="3">
        <f>(Table1[[#This Row],[Profit]]/Table1[[#This Row],[Sales]])*100</f>
        <v>11.25</v>
      </c>
    </row>
    <row r="5189" spans="1:12" x14ac:dyDescent="0.3">
      <c r="A5189" t="s">
        <v>3705</v>
      </c>
      <c r="B5189" s="1">
        <v>43804</v>
      </c>
      <c r="C5189" t="s">
        <v>2167</v>
      </c>
      <c r="D5189" t="s">
        <v>2168</v>
      </c>
      <c r="E5189" t="s">
        <v>14</v>
      </c>
      <c r="F5189" t="s">
        <v>41</v>
      </c>
      <c r="G5189" t="s">
        <v>16</v>
      </c>
      <c r="H5189" t="s">
        <v>1069</v>
      </c>
      <c r="I5189" s="2">
        <v>191.82</v>
      </c>
      <c r="J5189">
        <v>3</v>
      </c>
      <c r="K5189" s="2">
        <v>74.809799999999996</v>
      </c>
      <c r="L5189" s="3">
        <f>(Table1[[#This Row],[Profit]]/Table1[[#This Row],[Sales]])*100</f>
        <v>39</v>
      </c>
    </row>
    <row r="5190" spans="1:12" x14ac:dyDescent="0.3">
      <c r="A5190" t="s">
        <v>1459</v>
      </c>
      <c r="B5190" s="1">
        <v>43607</v>
      </c>
      <c r="C5190" t="s">
        <v>1145</v>
      </c>
      <c r="D5190" t="s">
        <v>1146</v>
      </c>
      <c r="E5190" t="s">
        <v>14</v>
      </c>
      <c r="F5190" t="s">
        <v>15</v>
      </c>
      <c r="G5190" t="s">
        <v>18</v>
      </c>
      <c r="H5190" t="s">
        <v>1462</v>
      </c>
      <c r="I5190" s="2">
        <v>257.98</v>
      </c>
      <c r="J5190">
        <v>2</v>
      </c>
      <c r="K5190" s="2">
        <v>74.8142</v>
      </c>
      <c r="L5190" s="3">
        <f>(Table1[[#This Row],[Profit]]/Table1[[#This Row],[Sales]])*100</f>
        <v>28.999999999999996</v>
      </c>
    </row>
    <row r="5191" spans="1:12" x14ac:dyDescent="0.3">
      <c r="A5191" t="s">
        <v>3376</v>
      </c>
      <c r="B5191" s="1">
        <v>43780</v>
      </c>
      <c r="C5191" t="s">
        <v>1469</v>
      </c>
      <c r="D5191" t="s">
        <v>1470</v>
      </c>
      <c r="E5191" t="s">
        <v>14</v>
      </c>
      <c r="F5191" t="s">
        <v>29</v>
      </c>
      <c r="G5191" t="s">
        <v>18</v>
      </c>
      <c r="H5191" t="s">
        <v>1462</v>
      </c>
      <c r="I5191" s="2">
        <v>257.98</v>
      </c>
      <c r="J5191">
        <v>2</v>
      </c>
      <c r="K5191" s="2">
        <v>74.8142</v>
      </c>
      <c r="L5191" s="3">
        <f>(Table1[[#This Row],[Profit]]/Table1[[#This Row],[Sales]])*100</f>
        <v>28.999999999999996</v>
      </c>
    </row>
    <row r="5192" spans="1:12" x14ac:dyDescent="0.3">
      <c r="A5192" t="s">
        <v>4985</v>
      </c>
      <c r="B5192" s="1">
        <v>44021</v>
      </c>
      <c r="C5192" t="s">
        <v>3662</v>
      </c>
      <c r="D5192" t="s">
        <v>3663</v>
      </c>
      <c r="E5192" t="s">
        <v>14</v>
      </c>
      <c r="F5192" t="s">
        <v>15</v>
      </c>
      <c r="G5192" t="s">
        <v>18</v>
      </c>
      <c r="H5192" t="s">
        <v>1462</v>
      </c>
      <c r="I5192" s="2">
        <v>287.98</v>
      </c>
      <c r="J5192">
        <v>2</v>
      </c>
      <c r="K5192" s="2">
        <v>74.8142</v>
      </c>
      <c r="L5192" s="3">
        <f>(Table1[[#This Row],[Profit]]/Table1[[#This Row],[Sales]])*100</f>
        <v>25.978956872005</v>
      </c>
    </row>
    <row r="5193" spans="1:12" x14ac:dyDescent="0.3">
      <c r="A5193" t="s">
        <v>4261</v>
      </c>
      <c r="B5193" s="1">
        <v>43903</v>
      </c>
      <c r="C5193" t="s">
        <v>2182</v>
      </c>
      <c r="D5193" t="s">
        <v>2183</v>
      </c>
      <c r="E5193" t="s">
        <v>14</v>
      </c>
      <c r="F5193" t="s">
        <v>15</v>
      </c>
      <c r="G5193" t="s">
        <v>18</v>
      </c>
      <c r="H5193" t="s">
        <v>4262</v>
      </c>
      <c r="I5193" s="2">
        <v>339.9</v>
      </c>
      <c r="J5193">
        <v>2</v>
      </c>
      <c r="K5193" s="2">
        <v>74.974999999999994</v>
      </c>
      <c r="L5193" s="3">
        <f>(Table1[[#This Row],[Profit]]/Table1[[#This Row],[Sales]])*100</f>
        <v>22.057958223006764</v>
      </c>
    </row>
    <row r="5194" spans="1:12" x14ac:dyDescent="0.3">
      <c r="A5194" t="s">
        <v>5903</v>
      </c>
      <c r="B5194" s="1">
        <v>44151</v>
      </c>
      <c r="C5194" t="s">
        <v>4254</v>
      </c>
      <c r="D5194" t="s">
        <v>4255</v>
      </c>
      <c r="E5194" t="s">
        <v>14</v>
      </c>
      <c r="F5194" t="s">
        <v>15</v>
      </c>
      <c r="G5194" t="s">
        <v>18</v>
      </c>
      <c r="H5194" t="s">
        <v>890</v>
      </c>
      <c r="I5194" s="2">
        <v>910.98199999999997</v>
      </c>
      <c r="J5194">
        <v>3</v>
      </c>
      <c r="K5194" s="2">
        <v>74.998500000000007</v>
      </c>
      <c r="L5194" s="3">
        <f>(Table1[[#This Row],[Profit]]/Table1[[#This Row],[Sales]])*100</f>
        <v>8.2327093180765374</v>
      </c>
    </row>
    <row r="5195" spans="1:12" x14ac:dyDescent="0.3">
      <c r="A5195" t="s">
        <v>2971</v>
      </c>
      <c r="B5195" s="1">
        <v>43737</v>
      </c>
      <c r="C5195" t="s">
        <v>899</v>
      </c>
      <c r="D5195" t="s">
        <v>900</v>
      </c>
      <c r="E5195" t="s">
        <v>14</v>
      </c>
      <c r="F5195" t="s">
        <v>23</v>
      </c>
      <c r="G5195" t="s">
        <v>18</v>
      </c>
      <c r="H5195" t="s">
        <v>1545</v>
      </c>
      <c r="I5195" s="2">
        <v>859.2</v>
      </c>
      <c r="J5195">
        <v>3</v>
      </c>
      <c r="K5195" s="2">
        <v>75.180000000000007</v>
      </c>
      <c r="L5195" s="3">
        <f>(Table1[[#This Row],[Profit]]/Table1[[#This Row],[Sales]])*100</f>
        <v>8.75</v>
      </c>
    </row>
    <row r="5196" spans="1:12" x14ac:dyDescent="0.3">
      <c r="A5196" t="s">
        <v>5500</v>
      </c>
      <c r="B5196" s="1">
        <v>44098</v>
      </c>
      <c r="C5196" t="s">
        <v>3506</v>
      </c>
      <c r="D5196" t="s">
        <v>3507</v>
      </c>
      <c r="E5196" t="s">
        <v>14</v>
      </c>
      <c r="F5196" t="s">
        <v>23</v>
      </c>
      <c r="G5196" t="s">
        <v>18</v>
      </c>
      <c r="H5196" t="s">
        <v>1545</v>
      </c>
      <c r="I5196" s="2">
        <v>892.2</v>
      </c>
      <c r="J5196">
        <v>3</v>
      </c>
      <c r="K5196" s="2">
        <v>75.180000000000007</v>
      </c>
      <c r="L5196" s="3">
        <f>(Table1[[#This Row],[Profit]]/Table1[[#This Row],[Sales]])*100</f>
        <v>8.4263618022864826</v>
      </c>
    </row>
    <row r="5197" spans="1:12" x14ac:dyDescent="0.3">
      <c r="A5197" t="s">
        <v>6036</v>
      </c>
      <c r="B5197" s="1">
        <v>44163</v>
      </c>
      <c r="C5197" t="s">
        <v>1007</v>
      </c>
      <c r="D5197" t="s">
        <v>1008</v>
      </c>
      <c r="E5197" t="s">
        <v>14</v>
      </c>
      <c r="F5197" t="s">
        <v>15</v>
      </c>
      <c r="G5197" t="s">
        <v>16</v>
      </c>
      <c r="H5197" t="s">
        <v>1433</v>
      </c>
      <c r="I5197" s="2">
        <v>122.232</v>
      </c>
      <c r="J5197">
        <v>6</v>
      </c>
      <c r="K5197" s="2">
        <v>75.542400000000001</v>
      </c>
      <c r="L5197" s="3">
        <f>(Table1[[#This Row],[Profit]]/Table1[[#This Row],[Sales]])*100</f>
        <v>61.802473983899475</v>
      </c>
    </row>
    <row r="5198" spans="1:12" x14ac:dyDescent="0.3">
      <c r="A5198" t="s">
        <v>1644</v>
      </c>
      <c r="B5198" s="1">
        <v>43622</v>
      </c>
      <c r="C5198" t="s">
        <v>602</v>
      </c>
      <c r="D5198" t="s">
        <v>603</v>
      </c>
      <c r="E5198" t="s">
        <v>14</v>
      </c>
      <c r="F5198" t="s">
        <v>41</v>
      </c>
      <c r="G5198" t="s">
        <v>18</v>
      </c>
      <c r="H5198" t="s">
        <v>874</v>
      </c>
      <c r="I5198" s="2">
        <v>179.94</v>
      </c>
      <c r="J5198">
        <v>6</v>
      </c>
      <c r="K5198" s="2">
        <v>75.574799999999996</v>
      </c>
      <c r="L5198" s="3">
        <f>(Table1[[#This Row],[Profit]]/Table1[[#This Row],[Sales]])*100</f>
        <v>42</v>
      </c>
    </row>
    <row r="5199" spans="1:12" x14ac:dyDescent="0.3">
      <c r="A5199" t="s">
        <v>4859</v>
      </c>
      <c r="B5199" s="1">
        <v>44000</v>
      </c>
      <c r="C5199" t="s">
        <v>471</v>
      </c>
      <c r="D5199" t="s">
        <v>472</v>
      </c>
      <c r="E5199" t="s">
        <v>14</v>
      </c>
      <c r="F5199" t="s">
        <v>23</v>
      </c>
      <c r="G5199" t="s">
        <v>16</v>
      </c>
      <c r="H5199" t="s">
        <v>292</v>
      </c>
      <c r="I5199" s="2">
        <v>965.92349999999999</v>
      </c>
      <c r="J5199">
        <v>9</v>
      </c>
      <c r="K5199" s="2">
        <v>75.593699999999998</v>
      </c>
      <c r="L5199" s="3">
        <f>(Table1[[#This Row],[Profit]]/Table1[[#This Row],[Sales]])*100</f>
        <v>7.826054547798039</v>
      </c>
    </row>
    <row r="5200" spans="1:12" x14ac:dyDescent="0.3">
      <c r="A5200" t="s">
        <v>3180</v>
      </c>
      <c r="B5200" s="1">
        <v>43765</v>
      </c>
      <c r="C5200" t="s">
        <v>3181</v>
      </c>
      <c r="D5200" t="s">
        <v>3182</v>
      </c>
      <c r="E5200" t="s">
        <v>14</v>
      </c>
      <c r="F5200" t="s">
        <v>41</v>
      </c>
      <c r="G5200" t="s">
        <v>16</v>
      </c>
      <c r="H5200" t="s">
        <v>853</v>
      </c>
      <c r="I5200" s="2">
        <v>290.98</v>
      </c>
      <c r="J5200">
        <v>1</v>
      </c>
      <c r="K5200" s="2">
        <v>75.654799999999994</v>
      </c>
      <c r="L5200" s="3">
        <f>(Table1[[#This Row],[Profit]]/Table1[[#This Row],[Sales]])*100</f>
        <v>25.999999999999996</v>
      </c>
    </row>
    <row r="5201" spans="1:12" x14ac:dyDescent="0.3">
      <c r="A5201" t="s">
        <v>970</v>
      </c>
      <c r="B5201" s="1">
        <v>43567</v>
      </c>
      <c r="C5201" t="s">
        <v>971</v>
      </c>
      <c r="D5201" t="s">
        <v>972</v>
      </c>
      <c r="E5201" t="s">
        <v>14</v>
      </c>
      <c r="F5201" t="s">
        <v>41</v>
      </c>
      <c r="G5201" t="s">
        <v>16</v>
      </c>
      <c r="H5201" t="s">
        <v>973</v>
      </c>
      <c r="I5201" s="2">
        <v>343.92</v>
      </c>
      <c r="J5201">
        <v>4</v>
      </c>
      <c r="K5201" s="2">
        <v>75.662400000000005</v>
      </c>
      <c r="L5201" s="3">
        <f>(Table1[[#This Row],[Profit]]/Table1[[#This Row],[Sales]])*100</f>
        <v>22</v>
      </c>
    </row>
    <row r="5202" spans="1:12" x14ac:dyDescent="0.3">
      <c r="A5202" t="s">
        <v>3205</v>
      </c>
      <c r="B5202" s="1">
        <v>43766</v>
      </c>
      <c r="C5202" t="s">
        <v>3206</v>
      </c>
      <c r="D5202" t="s">
        <v>3207</v>
      </c>
      <c r="E5202" t="s">
        <v>14</v>
      </c>
      <c r="F5202" t="s">
        <v>15</v>
      </c>
      <c r="G5202" t="s">
        <v>16</v>
      </c>
      <c r="H5202" t="s">
        <v>2208</v>
      </c>
      <c r="I5202" s="2">
        <v>756.8</v>
      </c>
      <c r="J5202">
        <v>5</v>
      </c>
      <c r="K5202" s="2">
        <v>75.680000000000007</v>
      </c>
      <c r="L5202" s="3">
        <f>(Table1[[#This Row],[Profit]]/Table1[[#This Row],[Sales]])*100</f>
        <v>10.000000000000002</v>
      </c>
    </row>
    <row r="5203" spans="1:12" x14ac:dyDescent="0.3">
      <c r="A5203" t="s">
        <v>3291</v>
      </c>
      <c r="B5203" s="1">
        <v>43774</v>
      </c>
      <c r="C5203" t="s">
        <v>3292</v>
      </c>
      <c r="D5203" t="s">
        <v>3293</v>
      </c>
      <c r="E5203" t="s">
        <v>14</v>
      </c>
      <c r="F5203" t="s">
        <v>41</v>
      </c>
      <c r="G5203" t="s">
        <v>16</v>
      </c>
      <c r="H5203" t="s">
        <v>2208</v>
      </c>
      <c r="I5203" s="2">
        <v>756.8</v>
      </c>
      <c r="J5203">
        <v>5</v>
      </c>
      <c r="K5203" s="2">
        <v>75.680000000000007</v>
      </c>
      <c r="L5203" s="3">
        <f>(Table1[[#This Row],[Profit]]/Table1[[#This Row],[Sales]])*100</f>
        <v>10.000000000000002</v>
      </c>
    </row>
    <row r="5204" spans="1:12" x14ac:dyDescent="0.3">
      <c r="A5204" t="s">
        <v>4661</v>
      </c>
      <c r="B5204" s="1">
        <v>43969</v>
      </c>
      <c r="C5204" t="s">
        <v>192</v>
      </c>
      <c r="D5204" t="s">
        <v>193</v>
      </c>
      <c r="E5204" t="s">
        <v>14</v>
      </c>
      <c r="F5204" t="s">
        <v>41</v>
      </c>
      <c r="G5204" t="s">
        <v>16</v>
      </c>
      <c r="H5204" t="s">
        <v>2112</v>
      </c>
      <c r="I5204" s="2">
        <v>350.94</v>
      </c>
      <c r="J5204">
        <v>3</v>
      </c>
      <c r="K5204" s="2">
        <v>75.734999999999999</v>
      </c>
      <c r="L5204" s="3">
        <f>(Table1[[#This Row],[Profit]]/Table1[[#This Row],[Sales]])*100</f>
        <v>21.580612070439393</v>
      </c>
    </row>
    <row r="5205" spans="1:12" x14ac:dyDescent="0.3">
      <c r="A5205" t="s">
        <v>142</v>
      </c>
      <c r="B5205" s="1">
        <v>43486</v>
      </c>
      <c r="C5205" t="s">
        <v>143</v>
      </c>
      <c r="D5205" t="s">
        <v>144</v>
      </c>
      <c r="E5205" t="s">
        <v>14</v>
      </c>
      <c r="F5205" t="s">
        <v>23</v>
      </c>
      <c r="G5205" t="s">
        <v>16</v>
      </c>
      <c r="H5205" t="s">
        <v>146</v>
      </c>
      <c r="I5205" s="2">
        <v>1013.4880000000001</v>
      </c>
      <c r="J5205">
        <v>7</v>
      </c>
      <c r="K5205" s="2">
        <v>76.011600000000001</v>
      </c>
      <c r="L5205" s="3">
        <f>(Table1[[#This Row],[Profit]]/Table1[[#This Row],[Sales]])*100</f>
        <v>7.5</v>
      </c>
    </row>
    <row r="5206" spans="1:12" x14ac:dyDescent="0.3">
      <c r="A5206" t="s">
        <v>2107</v>
      </c>
      <c r="B5206" s="1">
        <v>43665</v>
      </c>
      <c r="C5206" t="s">
        <v>2108</v>
      </c>
      <c r="D5206" t="s">
        <v>2109</v>
      </c>
      <c r="E5206" t="s">
        <v>14</v>
      </c>
      <c r="F5206" t="s">
        <v>41</v>
      </c>
      <c r="G5206" t="s">
        <v>16</v>
      </c>
      <c r="H5206" t="s">
        <v>2110</v>
      </c>
      <c r="I5206" s="2">
        <v>185.58</v>
      </c>
      <c r="J5206">
        <v>6</v>
      </c>
      <c r="K5206" s="2">
        <v>76.087800000000001</v>
      </c>
      <c r="L5206" s="3">
        <f>(Table1[[#This Row],[Profit]]/Table1[[#This Row],[Sales]])*100</f>
        <v>41</v>
      </c>
    </row>
    <row r="5207" spans="1:12" x14ac:dyDescent="0.3">
      <c r="A5207" t="s">
        <v>6271</v>
      </c>
      <c r="B5207" s="1">
        <v>44190</v>
      </c>
      <c r="C5207" t="s">
        <v>3936</v>
      </c>
      <c r="D5207" t="s">
        <v>3937</v>
      </c>
      <c r="E5207" t="s">
        <v>14</v>
      </c>
      <c r="F5207" t="s">
        <v>41</v>
      </c>
      <c r="G5207" t="s">
        <v>16</v>
      </c>
      <c r="H5207" t="s">
        <v>1861</v>
      </c>
      <c r="I5207" s="2">
        <v>583.45000000000005</v>
      </c>
      <c r="J5207">
        <v>5</v>
      </c>
      <c r="K5207" s="2">
        <v>76.112499999999997</v>
      </c>
      <c r="L5207" s="3">
        <f>(Table1[[#This Row],[Profit]]/Table1[[#This Row],[Sales]])*100</f>
        <v>13.045248093238493</v>
      </c>
    </row>
    <row r="5208" spans="1:12" x14ac:dyDescent="0.3">
      <c r="A5208" t="s">
        <v>209</v>
      </c>
      <c r="B5208" s="1">
        <v>43495</v>
      </c>
      <c r="C5208" t="s">
        <v>210</v>
      </c>
      <c r="D5208" t="s">
        <v>211</v>
      </c>
      <c r="E5208" t="s">
        <v>14</v>
      </c>
      <c r="F5208" t="s">
        <v>23</v>
      </c>
      <c r="G5208" t="s">
        <v>24</v>
      </c>
      <c r="H5208" t="s">
        <v>212</v>
      </c>
      <c r="I5208" s="2">
        <v>305.01</v>
      </c>
      <c r="J5208">
        <v>9</v>
      </c>
      <c r="K5208" s="2">
        <v>76.252499999999998</v>
      </c>
      <c r="L5208" s="3">
        <f>(Table1[[#This Row],[Profit]]/Table1[[#This Row],[Sales]])*100</f>
        <v>25</v>
      </c>
    </row>
    <row r="5209" spans="1:12" x14ac:dyDescent="0.3">
      <c r="A5209" t="s">
        <v>5948</v>
      </c>
      <c r="B5209" s="1">
        <v>44154</v>
      </c>
      <c r="C5209" t="s">
        <v>3034</v>
      </c>
      <c r="D5209" t="s">
        <v>3035</v>
      </c>
      <c r="E5209" t="s">
        <v>14</v>
      </c>
      <c r="F5209" t="s">
        <v>23</v>
      </c>
      <c r="G5209" t="s">
        <v>24</v>
      </c>
      <c r="H5209" t="s">
        <v>212</v>
      </c>
      <c r="I5209" s="2">
        <v>332.01</v>
      </c>
      <c r="J5209">
        <v>9</v>
      </c>
      <c r="K5209" s="2">
        <v>76.252499999999998</v>
      </c>
      <c r="L5209" s="3">
        <f>(Table1[[#This Row],[Profit]]/Table1[[#This Row],[Sales]])*100</f>
        <v>22.966928706966659</v>
      </c>
    </row>
    <row r="5210" spans="1:12" x14ac:dyDescent="0.3">
      <c r="A5210" t="s">
        <v>4321</v>
      </c>
      <c r="B5210" s="1">
        <v>43913</v>
      </c>
      <c r="C5210" t="s">
        <v>124</v>
      </c>
      <c r="D5210" t="s">
        <v>125</v>
      </c>
      <c r="E5210" t="s">
        <v>14</v>
      </c>
      <c r="F5210" t="s">
        <v>23</v>
      </c>
      <c r="G5210" t="s">
        <v>16</v>
      </c>
      <c r="H5210" t="s">
        <v>3342</v>
      </c>
      <c r="I5210" s="2">
        <v>225.84</v>
      </c>
      <c r="J5210">
        <v>8</v>
      </c>
      <c r="K5210" s="2">
        <v>76.2624</v>
      </c>
      <c r="L5210" s="3">
        <f>(Table1[[#This Row],[Profit]]/Table1[[#This Row],[Sales]])*100</f>
        <v>33.768331562167909</v>
      </c>
    </row>
    <row r="5211" spans="1:12" x14ac:dyDescent="0.3">
      <c r="A5211" t="s">
        <v>3898</v>
      </c>
      <c r="B5211" s="1">
        <v>43824</v>
      </c>
      <c r="C5211" t="s">
        <v>1130</v>
      </c>
      <c r="D5211" t="s">
        <v>1131</v>
      </c>
      <c r="E5211" t="s">
        <v>14</v>
      </c>
      <c r="F5211" t="s">
        <v>23</v>
      </c>
      <c r="G5211" t="s">
        <v>18</v>
      </c>
      <c r="H5211" t="s">
        <v>1297</v>
      </c>
      <c r="I5211" s="2">
        <v>254.24</v>
      </c>
      <c r="J5211">
        <v>7</v>
      </c>
      <c r="K5211" s="2">
        <v>76.272000000000006</v>
      </c>
      <c r="L5211" s="3">
        <f>(Table1[[#This Row],[Profit]]/Table1[[#This Row],[Sales]])*100</f>
        <v>30</v>
      </c>
    </row>
    <row r="5212" spans="1:12" x14ac:dyDescent="0.3">
      <c r="A5212" t="s">
        <v>1006</v>
      </c>
      <c r="B5212" s="1">
        <v>43570</v>
      </c>
      <c r="C5212" t="s">
        <v>1007</v>
      </c>
      <c r="D5212" t="s">
        <v>1008</v>
      </c>
      <c r="E5212" t="s">
        <v>14</v>
      </c>
      <c r="F5212" t="s">
        <v>41</v>
      </c>
      <c r="G5212" t="s">
        <v>18</v>
      </c>
      <c r="H5212" t="s">
        <v>1010</v>
      </c>
      <c r="I5212" s="2">
        <v>408.74400000000003</v>
      </c>
      <c r="J5212">
        <v>7</v>
      </c>
      <c r="K5212" s="2">
        <v>76.639499999999998</v>
      </c>
      <c r="L5212" s="3">
        <f>(Table1[[#This Row],[Profit]]/Table1[[#This Row],[Sales]])*100</f>
        <v>18.749999999999996</v>
      </c>
    </row>
    <row r="5213" spans="1:12" x14ac:dyDescent="0.3">
      <c r="A5213" t="s">
        <v>4595</v>
      </c>
      <c r="B5213" s="1">
        <v>43957</v>
      </c>
      <c r="C5213" t="s">
        <v>2249</v>
      </c>
      <c r="D5213" t="s">
        <v>2250</v>
      </c>
      <c r="E5213" t="s">
        <v>14</v>
      </c>
      <c r="F5213" t="s">
        <v>29</v>
      </c>
      <c r="G5213" t="s">
        <v>18</v>
      </c>
      <c r="H5213" t="s">
        <v>1010</v>
      </c>
      <c r="I5213" s="2">
        <v>454.74400000000003</v>
      </c>
      <c r="J5213">
        <v>7</v>
      </c>
      <c r="K5213" s="2">
        <v>76.639499999999998</v>
      </c>
      <c r="L5213" s="3">
        <f>(Table1[[#This Row],[Profit]]/Table1[[#This Row],[Sales]])*100</f>
        <v>16.853328466125994</v>
      </c>
    </row>
    <row r="5214" spans="1:12" x14ac:dyDescent="0.3">
      <c r="A5214" t="s">
        <v>3889</v>
      </c>
      <c r="B5214" s="1">
        <v>43823</v>
      </c>
      <c r="C5214" t="s">
        <v>1007</v>
      </c>
      <c r="D5214" t="s">
        <v>1008</v>
      </c>
      <c r="E5214" t="s">
        <v>14</v>
      </c>
      <c r="F5214" t="s">
        <v>41</v>
      </c>
      <c r="G5214" t="s">
        <v>18</v>
      </c>
      <c r="H5214" t="s">
        <v>556</v>
      </c>
      <c r="I5214" s="2">
        <v>255.68</v>
      </c>
      <c r="J5214">
        <v>8</v>
      </c>
      <c r="K5214" s="2">
        <v>76.703999999999994</v>
      </c>
      <c r="L5214" s="3">
        <f>(Table1[[#This Row],[Profit]]/Table1[[#This Row],[Sales]])*100</f>
        <v>30</v>
      </c>
    </row>
    <row r="5215" spans="1:12" x14ac:dyDescent="0.3">
      <c r="A5215" t="s">
        <v>3792</v>
      </c>
      <c r="B5215" s="1">
        <v>43811</v>
      </c>
      <c r="C5215" t="s">
        <v>3209</v>
      </c>
      <c r="D5215" t="s">
        <v>3210</v>
      </c>
      <c r="E5215" t="s">
        <v>14</v>
      </c>
      <c r="F5215" t="s">
        <v>15</v>
      </c>
      <c r="G5215" t="s">
        <v>18</v>
      </c>
      <c r="H5215" t="s">
        <v>507</v>
      </c>
      <c r="I5215" s="2">
        <v>383.952</v>
      </c>
      <c r="J5215">
        <v>6</v>
      </c>
      <c r="K5215" s="2">
        <v>76.790400000000005</v>
      </c>
      <c r="L5215" s="3">
        <f>(Table1[[#This Row],[Profit]]/Table1[[#This Row],[Sales]])*100</f>
        <v>20</v>
      </c>
    </row>
    <row r="5216" spans="1:12" x14ac:dyDescent="0.3">
      <c r="A5216" t="s">
        <v>5919</v>
      </c>
      <c r="B5216" s="1">
        <v>44152</v>
      </c>
      <c r="C5216" t="s">
        <v>1480</v>
      </c>
      <c r="D5216" t="s">
        <v>1481</v>
      </c>
      <c r="E5216" t="s">
        <v>14</v>
      </c>
      <c r="F5216" t="s">
        <v>15</v>
      </c>
      <c r="G5216" t="s">
        <v>16</v>
      </c>
      <c r="H5216" t="s">
        <v>5920</v>
      </c>
      <c r="I5216" s="2">
        <v>200.76</v>
      </c>
      <c r="J5216">
        <v>4</v>
      </c>
      <c r="K5216" s="2">
        <v>76.9816</v>
      </c>
      <c r="L5216" s="3">
        <f>(Table1[[#This Row],[Profit]]/Table1[[#This Row],[Sales]])*100</f>
        <v>38.345088663080297</v>
      </c>
    </row>
    <row r="5217" spans="1:12" x14ac:dyDescent="0.3">
      <c r="A5217" t="s">
        <v>604</v>
      </c>
      <c r="B5217" s="1">
        <v>43536</v>
      </c>
      <c r="C5217" t="s">
        <v>605</v>
      </c>
      <c r="D5217" t="s">
        <v>606</v>
      </c>
      <c r="E5217" t="s">
        <v>14</v>
      </c>
      <c r="F5217" t="s">
        <v>23</v>
      </c>
      <c r="G5217" t="s">
        <v>16</v>
      </c>
      <c r="H5217" t="s">
        <v>610</v>
      </c>
      <c r="I5217" s="2">
        <v>770.35199999999998</v>
      </c>
      <c r="J5217">
        <v>3</v>
      </c>
      <c r="K5217" s="2">
        <v>77.035200000000003</v>
      </c>
      <c r="L5217" s="3">
        <f>(Table1[[#This Row],[Profit]]/Table1[[#This Row],[Sales]])*100</f>
        <v>10</v>
      </c>
    </row>
    <row r="5218" spans="1:12" x14ac:dyDescent="0.3">
      <c r="A5218" t="s">
        <v>3270</v>
      </c>
      <c r="B5218" s="1">
        <v>43773</v>
      </c>
      <c r="C5218" t="s">
        <v>1203</v>
      </c>
      <c r="D5218" t="s">
        <v>1204</v>
      </c>
      <c r="E5218" t="s">
        <v>14</v>
      </c>
      <c r="F5218" t="s">
        <v>23</v>
      </c>
      <c r="G5218" t="s">
        <v>18</v>
      </c>
      <c r="H5218" t="s">
        <v>3271</v>
      </c>
      <c r="I5218" s="2">
        <v>686.4</v>
      </c>
      <c r="J5218">
        <v>2</v>
      </c>
      <c r="K5218" s="2">
        <v>77.22</v>
      </c>
      <c r="L5218" s="3">
        <f>(Table1[[#This Row],[Profit]]/Table1[[#This Row],[Sales]])*100</f>
        <v>11.25</v>
      </c>
    </row>
    <row r="5219" spans="1:12" x14ac:dyDescent="0.3">
      <c r="A5219" t="s">
        <v>5156</v>
      </c>
      <c r="B5219" s="1">
        <v>44060</v>
      </c>
      <c r="C5219" t="s">
        <v>4601</v>
      </c>
      <c r="D5219" t="s">
        <v>4602</v>
      </c>
      <c r="E5219" t="s">
        <v>14</v>
      </c>
      <c r="F5219" t="s">
        <v>23</v>
      </c>
      <c r="G5219" t="s">
        <v>24</v>
      </c>
      <c r="H5219" t="s">
        <v>5157</v>
      </c>
      <c r="I5219" s="2">
        <v>264.05599999999998</v>
      </c>
      <c r="J5219">
        <v>8</v>
      </c>
      <c r="K5219" s="2">
        <v>77.369600000000005</v>
      </c>
      <c r="L5219" s="3">
        <f>(Table1[[#This Row],[Profit]]/Table1[[#This Row],[Sales]])*100</f>
        <v>29.300451419395891</v>
      </c>
    </row>
    <row r="5220" spans="1:12" x14ac:dyDescent="0.3">
      <c r="A5220" t="s">
        <v>3288</v>
      </c>
      <c r="B5220" s="1">
        <v>43774</v>
      </c>
      <c r="C5220" t="s">
        <v>1355</v>
      </c>
      <c r="D5220" t="s">
        <v>1356</v>
      </c>
      <c r="E5220" t="s">
        <v>14</v>
      </c>
      <c r="F5220" t="s">
        <v>23</v>
      </c>
      <c r="G5220" t="s">
        <v>24</v>
      </c>
      <c r="H5220" t="s">
        <v>3290</v>
      </c>
      <c r="I5220" s="2">
        <v>158.13</v>
      </c>
      <c r="J5220">
        <v>3</v>
      </c>
      <c r="K5220" s="2">
        <v>77.483699999999999</v>
      </c>
      <c r="L5220" s="3">
        <f>(Table1[[#This Row],[Profit]]/Table1[[#This Row],[Sales]])*100</f>
        <v>49</v>
      </c>
    </row>
    <row r="5221" spans="1:12" x14ac:dyDescent="0.3">
      <c r="A5221" t="s">
        <v>5236</v>
      </c>
      <c r="B5221" s="1">
        <v>44074</v>
      </c>
      <c r="C5221" t="s">
        <v>1726</v>
      </c>
      <c r="D5221" t="s">
        <v>1727</v>
      </c>
      <c r="E5221" t="s">
        <v>14</v>
      </c>
      <c r="F5221" t="s">
        <v>23</v>
      </c>
      <c r="G5221" t="s">
        <v>18</v>
      </c>
      <c r="H5221" t="s">
        <v>4664</v>
      </c>
      <c r="I5221" s="2">
        <v>733.40800000000002</v>
      </c>
      <c r="J5221">
        <v>4</v>
      </c>
      <c r="K5221" s="2">
        <v>77.558400000000006</v>
      </c>
      <c r="L5221" s="3">
        <f>(Table1[[#This Row],[Profit]]/Table1[[#This Row],[Sales]])*100</f>
        <v>10.575068720275754</v>
      </c>
    </row>
    <row r="5222" spans="1:12" x14ac:dyDescent="0.3">
      <c r="A5222" t="s">
        <v>5425</v>
      </c>
      <c r="B5222" s="1">
        <v>44091</v>
      </c>
      <c r="C5222" t="s">
        <v>3665</v>
      </c>
      <c r="D5222" t="s">
        <v>3666</v>
      </c>
      <c r="E5222" t="s">
        <v>14</v>
      </c>
      <c r="F5222" t="s">
        <v>23</v>
      </c>
      <c r="G5222" t="s">
        <v>16</v>
      </c>
      <c r="H5222" t="s">
        <v>5429</v>
      </c>
      <c r="I5222" s="2">
        <v>1319.94</v>
      </c>
      <c r="J5222">
        <v>3</v>
      </c>
      <c r="K5222" s="2">
        <v>77.576400000000007</v>
      </c>
      <c r="L5222" s="3">
        <f>(Table1[[#This Row],[Profit]]/Table1[[#This Row],[Sales]])*100</f>
        <v>5.8772671485067507</v>
      </c>
    </row>
    <row r="5223" spans="1:12" x14ac:dyDescent="0.3">
      <c r="A5223" t="s">
        <v>6300</v>
      </c>
      <c r="B5223" s="1">
        <v>44194</v>
      </c>
      <c r="C5223" t="s">
        <v>1947</v>
      </c>
      <c r="D5223" t="s">
        <v>1948</v>
      </c>
      <c r="E5223" t="s">
        <v>14</v>
      </c>
      <c r="F5223" t="s">
        <v>41</v>
      </c>
      <c r="G5223" t="s">
        <v>16</v>
      </c>
      <c r="H5223" t="s">
        <v>326</v>
      </c>
      <c r="I5223" s="2">
        <v>184.75</v>
      </c>
      <c r="J5223">
        <v>3</v>
      </c>
      <c r="K5223" s="2">
        <v>77.625</v>
      </c>
      <c r="L5223" s="3">
        <f>(Table1[[#This Row],[Profit]]/Table1[[#This Row],[Sales]])*100</f>
        <v>42.016238159675233</v>
      </c>
    </row>
    <row r="5224" spans="1:12" x14ac:dyDescent="0.3">
      <c r="A5224" t="s">
        <v>5184</v>
      </c>
      <c r="B5224" s="1">
        <v>44063</v>
      </c>
      <c r="C5224" t="s">
        <v>1277</v>
      </c>
      <c r="D5224" t="s">
        <v>1278</v>
      </c>
      <c r="E5224" t="s">
        <v>14</v>
      </c>
      <c r="F5224" t="s">
        <v>23</v>
      </c>
      <c r="G5224" t="s">
        <v>24</v>
      </c>
      <c r="H5224" t="s">
        <v>4434</v>
      </c>
      <c r="I5224" s="2">
        <v>259.12</v>
      </c>
      <c r="J5224">
        <v>5</v>
      </c>
      <c r="K5224" s="2">
        <v>77.713999999999999</v>
      </c>
      <c r="L5224" s="3">
        <f>(Table1[[#This Row],[Profit]]/Table1[[#This Row],[Sales]])*100</f>
        <v>29.991509725223835</v>
      </c>
    </row>
    <row r="5225" spans="1:12" x14ac:dyDescent="0.3">
      <c r="A5225" t="s">
        <v>1065</v>
      </c>
      <c r="B5225" s="1">
        <v>43573</v>
      </c>
      <c r="C5225" t="s">
        <v>1066</v>
      </c>
      <c r="D5225" t="s">
        <v>1067</v>
      </c>
      <c r="E5225" t="s">
        <v>14</v>
      </c>
      <c r="F5225" t="s">
        <v>29</v>
      </c>
      <c r="G5225" t="s">
        <v>24</v>
      </c>
      <c r="H5225" t="s">
        <v>1068</v>
      </c>
      <c r="I5225" s="2">
        <v>1554.9359999999999</v>
      </c>
      <c r="J5225">
        <v>3</v>
      </c>
      <c r="K5225" s="2">
        <v>77.746799999999993</v>
      </c>
      <c r="L5225" s="3">
        <f>(Table1[[#This Row],[Profit]]/Table1[[#This Row],[Sales]])*100</f>
        <v>5</v>
      </c>
    </row>
    <row r="5226" spans="1:12" x14ac:dyDescent="0.3">
      <c r="A5226" t="s">
        <v>4943</v>
      </c>
      <c r="B5226" s="1">
        <v>44015</v>
      </c>
      <c r="C5226" t="s">
        <v>4944</v>
      </c>
      <c r="D5226" t="s">
        <v>4945</v>
      </c>
      <c r="E5226" t="s">
        <v>14</v>
      </c>
      <c r="F5226" t="s">
        <v>41</v>
      </c>
      <c r="G5226" t="s">
        <v>18</v>
      </c>
      <c r="H5226" t="s">
        <v>463</v>
      </c>
      <c r="I5226" s="2">
        <v>323.97000000000003</v>
      </c>
      <c r="J5226">
        <v>3</v>
      </c>
      <c r="K5226" s="2">
        <v>77.751900000000006</v>
      </c>
      <c r="L5226" s="3">
        <f>(Table1[[#This Row],[Profit]]/Table1[[#This Row],[Sales]])*100</f>
        <v>23.999722196499675</v>
      </c>
    </row>
    <row r="5227" spans="1:12" x14ac:dyDescent="0.3">
      <c r="A5227" t="s">
        <v>3716</v>
      </c>
      <c r="B5227" s="1">
        <v>43805</v>
      </c>
      <c r="C5227" t="s">
        <v>1808</v>
      </c>
      <c r="D5227" t="s">
        <v>1809</v>
      </c>
      <c r="E5227" t="s">
        <v>14</v>
      </c>
      <c r="F5227" t="s">
        <v>15</v>
      </c>
      <c r="G5227" t="s">
        <v>24</v>
      </c>
      <c r="H5227" t="s">
        <v>1646</v>
      </c>
      <c r="I5227" s="2">
        <v>222.352</v>
      </c>
      <c r="J5227">
        <v>13</v>
      </c>
      <c r="K5227" s="2">
        <v>77.8232</v>
      </c>
      <c r="L5227" s="3">
        <f>(Table1[[#This Row],[Profit]]/Table1[[#This Row],[Sales]])*100</f>
        <v>35</v>
      </c>
    </row>
    <row r="5228" spans="1:12" x14ac:dyDescent="0.3">
      <c r="A5228" t="s">
        <v>4933</v>
      </c>
      <c r="B5228" s="1">
        <v>44013</v>
      </c>
      <c r="C5228" t="s">
        <v>573</v>
      </c>
      <c r="D5228" t="s">
        <v>574</v>
      </c>
      <c r="E5228" t="s">
        <v>14</v>
      </c>
      <c r="F5228" t="s">
        <v>29</v>
      </c>
      <c r="G5228" t="s">
        <v>24</v>
      </c>
      <c r="H5228" t="s">
        <v>2832</v>
      </c>
      <c r="I5228" s="2">
        <v>185.99</v>
      </c>
      <c r="J5228">
        <v>1</v>
      </c>
      <c r="K5228" s="2">
        <v>78.195400000000006</v>
      </c>
      <c r="L5228" s="3">
        <f>(Table1[[#This Row],[Profit]]/Table1[[#This Row],[Sales]])*100</f>
        <v>42.042797999892464</v>
      </c>
    </row>
    <row r="5229" spans="1:12" x14ac:dyDescent="0.3">
      <c r="A5229" t="s">
        <v>3171</v>
      </c>
      <c r="B5229" s="1">
        <v>43763</v>
      </c>
      <c r="C5229" t="s">
        <v>3172</v>
      </c>
      <c r="D5229" t="s">
        <v>3173</v>
      </c>
      <c r="E5229" t="s">
        <v>14</v>
      </c>
      <c r="F5229" t="s">
        <v>41</v>
      </c>
      <c r="G5229" t="s">
        <v>18</v>
      </c>
      <c r="H5229" t="s">
        <v>1549</v>
      </c>
      <c r="I5229" s="2">
        <v>783.96</v>
      </c>
      <c r="J5229">
        <v>5</v>
      </c>
      <c r="K5229" s="2">
        <v>78.396000000000001</v>
      </c>
      <c r="L5229" s="3">
        <f>(Table1[[#This Row],[Profit]]/Table1[[#This Row],[Sales]])*100</f>
        <v>10</v>
      </c>
    </row>
    <row r="5230" spans="1:12" x14ac:dyDescent="0.3">
      <c r="A5230" t="s">
        <v>2779</v>
      </c>
      <c r="B5230" s="1">
        <v>43725</v>
      </c>
      <c r="C5230" t="s">
        <v>1408</v>
      </c>
      <c r="D5230" t="s">
        <v>1409</v>
      </c>
      <c r="E5230" t="s">
        <v>14</v>
      </c>
      <c r="F5230" t="s">
        <v>15</v>
      </c>
      <c r="G5230" t="s">
        <v>24</v>
      </c>
      <c r="H5230" t="s">
        <v>47</v>
      </c>
      <c r="I5230" s="2">
        <v>232.4</v>
      </c>
      <c r="J5230">
        <v>5</v>
      </c>
      <c r="K5230" s="2">
        <v>78.435000000000002</v>
      </c>
      <c r="L5230" s="3">
        <f>(Table1[[#This Row],[Profit]]/Table1[[#This Row],[Sales]])*100</f>
        <v>33.75</v>
      </c>
    </row>
    <row r="5231" spans="1:12" x14ac:dyDescent="0.3">
      <c r="A5231" t="s">
        <v>1539</v>
      </c>
      <c r="B5231" s="1">
        <v>43613</v>
      </c>
      <c r="C5231" t="s">
        <v>1292</v>
      </c>
      <c r="D5231" t="s">
        <v>1293</v>
      </c>
      <c r="E5231" t="s">
        <v>14</v>
      </c>
      <c r="F5231" t="s">
        <v>23</v>
      </c>
      <c r="G5231" t="s">
        <v>24</v>
      </c>
      <c r="H5231" t="s">
        <v>1540</v>
      </c>
      <c r="I5231" s="2">
        <v>262.24</v>
      </c>
      <c r="J5231">
        <v>2</v>
      </c>
      <c r="K5231" s="2">
        <v>78.671999999999997</v>
      </c>
      <c r="L5231" s="3">
        <f>(Table1[[#This Row],[Profit]]/Table1[[#This Row],[Sales]])*100</f>
        <v>30</v>
      </c>
    </row>
    <row r="5232" spans="1:12" x14ac:dyDescent="0.3">
      <c r="A5232" t="s">
        <v>4217</v>
      </c>
      <c r="B5232" s="1">
        <v>43895</v>
      </c>
      <c r="C5232" t="s">
        <v>182</v>
      </c>
      <c r="D5232" t="s">
        <v>183</v>
      </c>
      <c r="E5232" t="s">
        <v>14</v>
      </c>
      <c r="F5232" t="s">
        <v>41</v>
      </c>
      <c r="G5232" t="s">
        <v>24</v>
      </c>
      <c r="H5232" t="s">
        <v>1540</v>
      </c>
      <c r="I5232" s="2">
        <v>291.24</v>
      </c>
      <c r="J5232">
        <v>2</v>
      </c>
      <c r="K5232" s="2">
        <v>78.671999999999997</v>
      </c>
      <c r="L5232" s="3">
        <f>(Table1[[#This Row],[Profit]]/Table1[[#This Row],[Sales]])*100</f>
        <v>27.012772970745775</v>
      </c>
    </row>
    <row r="5233" spans="1:12" x14ac:dyDescent="0.3">
      <c r="A5233" t="s">
        <v>3408</v>
      </c>
      <c r="B5233" s="1">
        <v>43782</v>
      </c>
      <c r="C5233" t="s">
        <v>133</v>
      </c>
      <c r="D5233" t="s">
        <v>134</v>
      </c>
      <c r="E5233" t="s">
        <v>14</v>
      </c>
      <c r="F5233" t="s">
        <v>15</v>
      </c>
      <c r="G5233" t="s">
        <v>24</v>
      </c>
      <c r="H5233" t="s">
        <v>289</v>
      </c>
      <c r="I5233" s="2">
        <v>217.05600000000001</v>
      </c>
      <c r="J5233">
        <v>7</v>
      </c>
      <c r="K5233" s="2">
        <v>78.6828</v>
      </c>
      <c r="L5233" s="3">
        <f>(Table1[[#This Row],[Profit]]/Table1[[#This Row],[Sales]])*100</f>
        <v>36.25</v>
      </c>
    </row>
    <row r="5234" spans="1:12" x14ac:dyDescent="0.3">
      <c r="A5234" t="s">
        <v>285</v>
      </c>
      <c r="B5234" s="1">
        <v>43501</v>
      </c>
      <c r="C5234" t="s">
        <v>286</v>
      </c>
      <c r="D5234" t="s">
        <v>287</v>
      </c>
      <c r="E5234" t="s">
        <v>14</v>
      </c>
      <c r="F5234" t="s">
        <v>41</v>
      </c>
      <c r="G5234" t="s">
        <v>24</v>
      </c>
      <c r="H5234" t="s">
        <v>293</v>
      </c>
      <c r="I5234" s="2">
        <v>167.96</v>
      </c>
      <c r="J5234">
        <v>2</v>
      </c>
      <c r="K5234" s="2">
        <v>78.941199999999995</v>
      </c>
      <c r="L5234" s="3">
        <f>(Table1[[#This Row],[Profit]]/Table1[[#This Row],[Sales]])*100</f>
        <v>47</v>
      </c>
    </row>
    <row r="5235" spans="1:12" x14ac:dyDescent="0.3">
      <c r="A5235" t="s">
        <v>5998</v>
      </c>
      <c r="B5235" s="1">
        <v>44159</v>
      </c>
      <c r="C5235" t="s">
        <v>3942</v>
      </c>
      <c r="D5235" t="s">
        <v>3943</v>
      </c>
      <c r="E5235" t="s">
        <v>14</v>
      </c>
      <c r="F5235" t="s">
        <v>15</v>
      </c>
      <c r="G5235" t="s">
        <v>24</v>
      </c>
      <c r="H5235" t="s">
        <v>293</v>
      </c>
      <c r="I5235" s="2">
        <v>194.96</v>
      </c>
      <c r="J5235">
        <v>2</v>
      </c>
      <c r="K5235" s="2">
        <v>78.941199999999995</v>
      </c>
      <c r="L5235" s="3">
        <f>(Table1[[#This Row],[Profit]]/Table1[[#This Row],[Sales]])*100</f>
        <v>40.490972507180956</v>
      </c>
    </row>
    <row r="5236" spans="1:12" x14ac:dyDescent="0.3">
      <c r="A5236" t="s">
        <v>6222</v>
      </c>
      <c r="B5236" s="1">
        <v>44186</v>
      </c>
      <c r="C5236" t="s">
        <v>774</v>
      </c>
      <c r="D5236" t="s">
        <v>775</v>
      </c>
      <c r="E5236" t="s">
        <v>14</v>
      </c>
      <c r="F5236" t="s">
        <v>15</v>
      </c>
      <c r="G5236" t="s">
        <v>18</v>
      </c>
      <c r="H5236" t="s">
        <v>3781</v>
      </c>
      <c r="I5236" s="2">
        <v>450.97</v>
      </c>
      <c r="J5236">
        <v>3</v>
      </c>
      <c r="K5236" s="2">
        <v>78.951599999999999</v>
      </c>
      <c r="L5236" s="3">
        <f>(Table1[[#This Row],[Profit]]/Table1[[#This Row],[Sales]])*100</f>
        <v>17.507062554050158</v>
      </c>
    </row>
    <row r="5237" spans="1:12" x14ac:dyDescent="0.3">
      <c r="A5237" t="s">
        <v>4114</v>
      </c>
      <c r="B5237" s="1">
        <v>43867</v>
      </c>
      <c r="C5237" t="s">
        <v>779</v>
      </c>
      <c r="D5237" t="s">
        <v>780</v>
      </c>
      <c r="E5237" t="s">
        <v>14</v>
      </c>
      <c r="F5237" t="s">
        <v>41</v>
      </c>
      <c r="G5237" t="s">
        <v>16</v>
      </c>
      <c r="H5237" t="s">
        <v>292</v>
      </c>
      <c r="I5237" s="2">
        <v>371.97</v>
      </c>
      <c r="J5237">
        <v>3</v>
      </c>
      <c r="K5237" s="2">
        <v>79.193399999999997</v>
      </c>
      <c r="L5237" s="3">
        <f>(Table1[[#This Row],[Profit]]/Table1[[#This Row],[Sales]])*100</f>
        <v>21.29026534397935</v>
      </c>
    </row>
    <row r="5238" spans="1:12" x14ac:dyDescent="0.3">
      <c r="A5238" t="s">
        <v>2040</v>
      </c>
      <c r="B5238" s="1">
        <v>43660</v>
      </c>
      <c r="C5238" t="s">
        <v>336</v>
      </c>
      <c r="D5238" t="s">
        <v>337</v>
      </c>
      <c r="E5238" t="s">
        <v>14</v>
      </c>
      <c r="F5238" t="s">
        <v>29</v>
      </c>
      <c r="G5238" t="s">
        <v>24</v>
      </c>
      <c r="H5238" t="s">
        <v>1199</v>
      </c>
      <c r="I5238" s="2">
        <v>219.84</v>
      </c>
      <c r="J5238">
        <v>5</v>
      </c>
      <c r="K5238" s="2">
        <v>79.691999999999993</v>
      </c>
      <c r="L5238" s="3">
        <f>(Table1[[#This Row],[Profit]]/Table1[[#This Row],[Sales]])*100</f>
        <v>36.25</v>
      </c>
    </row>
    <row r="5239" spans="1:12" x14ac:dyDescent="0.3">
      <c r="A5239" t="s">
        <v>4422</v>
      </c>
      <c r="B5239" s="1">
        <v>43929</v>
      </c>
      <c r="C5239" t="s">
        <v>2904</v>
      </c>
      <c r="D5239" t="s">
        <v>2905</v>
      </c>
      <c r="E5239" t="s">
        <v>14</v>
      </c>
      <c r="F5239" t="s">
        <v>29</v>
      </c>
      <c r="G5239" t="s">
        <v>16</v>
      </c>
      <c r="H5239" t="s">
        <v>4423</v>
      </c>
      <c r="I5239" s="2">
        <v>343.9</v>
      </c>
      <c r="J5239">
        <v>3</v>
      </c>
      <c r="K5239" s="2">
        <v>79.793999999999997</v>
      </c>
      <c r="L5239" s="3">
        <f>(Table1[[#This Row],[Profit]]/Table1[[#This Row],[Sales]])*100</f>
        <v>23.202675196277987</v>
      </c>
    </row>
    <row r="5240" spans="1:12" x14ac:dyDescent="0.3">
      <c r="A5240" t="s">
        <v>459</v>
      </c>
      <c r="B5240" s="1">
        <v>43527</v>
      </c>
      <c r="C5240" t="s">
        <v>460</v>
      </c>
      <c r="D5240" t="s">
        <v>461</v>
      </c>
      <c r="E5240" t="s">
        <v>14</v>
      </c>
      <c r="F5240" t="s">
        <v>15</v>
      </c>
      <c r="G5240" t="s">
        <v>24</v>
      </c>
      <c r="H5240" t="s">
        <v>464</v>
      </c>
      <c r="I5240" s="2">
        <v>166.44</v>
      </c>
      <c r="J5240">
        <v>3</v>
      </c>
      <c r="K5240" s="2">
        <v>79.891199999999998</v>
      </c>
      <c r="L5240" s="3">
        <f>(Table1[[#This Row],[Profit]]/Table1[[#This Row],[Sales]])*100</f>
        <v>48</v>
      </c>
    </row>
    <row r="5241" spans="1:12" x14ac:dyDescent="0.3">
      <c r="A5241" t="s">
        <v>5378</v>
      </c>
      <c r="B5241" s="1">
        <v>44086</v>
      </c>
      <c r="C5241" t="s">
        <v>3641</v>
      </c>
      <c r="D5241" t="s">
        <v>3642</v>
      </c>
      <c r="E5241" t="s">
        <v>14</v>
      </c>
      <c r="F5241" t="s">
        <v>23</v>
      </c>
      <c r="G5241" t="s">
        <v>24</v>
      </c>
      <c r="H5241" t="s">
        <v>2071</v>
      </c>
      <c r="I5241" s="2">
        <v>180.44</v>
      </c>
      <c r="J5241">
        <v>3</v>
      </c>
      <c r="K5241" s="2">
        <v>79.891199999999998</v>
      </c>
      <c r="L5241" s="3">
        <f>(Table1[[#This Row],[Profit]]/Table1[[#This Row],[Sales]])*100</f>
        <v>44.275770339170919</v>
      </c>
    </row>
    <row r="5242" spans="1:12" x14ac:dyDescent="0.3">
      <c r="A5242" t="s">
        <v>6087</v>
      </c>
      <c r="B5242" s="1">
        <v>44168</v>
      </c>
      <c r="C5242" t="s">
        <v>1671</v>
      </c>
      <c r="D5242" t="s">
        <v>1672</v>
      </c>
      <c r="E5242" t="s">
        <v>14</v>
      </c>
      <c r="F5242" t="s">
        <v>23</v>
      </c>
      <c r="G5242" t="s">
        <v>24</v>
      </c>
      <c r="H5242" t="s">
        <v>4328</v>
      </c>
      <c r="I5242" s="2">
        <v>209.44</v>
      </c>
      <c r="J5242">
        <v>3</v>
      </c>
      <c r="K5242" s="2">
        <v>79.891199999999998</v>
      </c>
      <c r="L5242" s="3">
        <f>(Table1[[#This Row],[Profit]]/Table1[[#This Row],[Sales]])*100</f>
        <v>38.145148968678377</v>
      </c>
    </row>
    <row r="5243" spans="1:12" x14ac:dyDescent="0.3">
      <c r="A5243" t="s">
        <v>6222</v>
      </c>
      <c r="B5243" s="1">
        <v>44186</v>
      </c>
      <c r="C5243" t="s">
        <v>774</v>
      </c>
      <c r="D5243" t="s">
        <v>775</v>
      </c>
      <c r="E5243" t="s">
        <v>14</v>
      </c>
      <c r="F5243" t="s">
        <v>15</v>
      </c>
      <c r="G5243" t="s">
        <v>24</v>
      </c>
      <c r="H5243" t="s">
        <v>4357</v>
      </c>
      <c r="I5243" s="2">
        <v>337.44</v>
      </c>
      <c r="J5243">
        <v>3</v>
      </c>
      <c r="K5243" s="2">
        <v>79.891199999999998</v>
      </c>
      <c r="L5243" s="3">
        <f>(Table1[[#This Row],[Profit]]/Table1[[#This Row],[Sales]])*100</f>
        <v>23.675675675675674</v>
      </c>
    </row>
    <row r="5244" spans="1:12" x14ac:dyDescent="0.3">
      <c r="A5244" t="s">
        <v>400</v>
      </c>
      <c r="B5244" s="1">
        <v>43517</v>
      </c>
      <c r="C5244" t="s">
        <v>401</v>
      </c>
      <c r="D5244" t="s">
        <v>402</v>
      </c>
      <c r="E5244" t="s">
        <v>14</v>
      </c>
      <c r="F5244" t="s">
        <v>15</v>
      </c>
      <c r="G5244" t="s">
        <v>24</v>
      </c>
      <c r="H5244" t="s">
        <v>404</v>
      </c>
      <c r="I5244" s="2">
        <v>296.37</v>
      </c>
      <c r="J5244">
        <v>3</v>
      </c>
      <c r="K5244" s="2">
        <v>80.019900000000007</v>
      </c>
      <c r="L5244" s="3">
        <f>(Table1[[#This Row],[Profit]]/Table1[[#This Row],[Sales]])*100</f>
        <v>27</v>
      </c>
    </row>
    <row r="5245" spans="1:12" x14ac:dyDescent="0.3">
      <c r="A5245" t="s">
        <v>3811</v>
      </c>
      <c r="B5245" s="1">
        <v>43814</v>
      </c>
      <c r="C5245" t="s">
        <v>3051</v>
      </c>
      <c r="D5245" t="s">
        <v>3052</v>
      </c>
      <c r="E5245" t="s">
        <v>14</v>
      </c>
      <c r="F5245" t="s">
        <v>29</v>
      </c>
      <c r="G5245" t="s">
        <v>24</v>
      </c>
      <c r="H5245" t="s">
        <v>404</v>
      </c>
      <c r="I5245" s="2">
        <v>296.37</v>
      </c>
      <c r="J5245">
        <v>3</v>
      </c>
      <c r="K5245" s="2">
        <v>80.019900000000007</v>
      </c>
      <c r="L5245" s="3">
        <f>(Table1[[#This Row],[Profit]]/Table1[[#This Row],[Sales]])*100</f>
        <v>27</v>
      </c>
    </row>
    <row r="5246" spans="1:12" x14ac:dyDescent="0.3">
      <c r="A5246" t="s">
        <v>6073</v>
      </c>
      <c r="B5246" s="1">
        <v>44167</v>
      </c>
      <c r="C5246" t="s">
        <v>1087</v>
      </c>
      <c r="D5246" t="s">
        <v>1088</v>
      </c>
      <c r="E5246" t="s">
        <v>14</v>
      </c>
      <c r="F5246" t="s">
        <v>15</v>
      </c>
      <c r="G5246" t="s">
        <v>24</v>
      </c>
      <c r="H5246" t="s">
        <v>3947</v>
      </c>
      <c r="I5246" s="2">
        <v>325.86</v>
      </c>
      <c r="J5246">
        <v>7</v>
      </c>
      <c r="K5246" s="2">
        <v>80.320800000000006</v>
      </c>
      <c r="L5246" s="3">
        <f>(Table1[[#This Row],[Profit]]/Table1[[#This Row],[Sales]])*100</f>
        <v>24.648867611857852</v>
      </c>
    </row>
    <row r="5247" spans="1:12" x14ac:dyDescent="0.3">
      <c r="A5247" t="s">
        <v>4551</v>
      </c>
      <c r="B5247" s="1">
        <v>43951</v>
      </c>
      <c r="C5247" t="s">
        <v>4053</v>
      </c>
      <c r="D5247" t="s">
        <v>4054</v>
      </c>
      <c r="E5247" t="s">
        <v>14</v>
      </c>
      <c r="F5247" t="s">
        <v>23</v>
      </c>
      <c r="G5247" t="s">
        <v>24</v>
      </c>
      <c r="H5247" t="s">
        <v>2471</v>
      </c>
      <c r="I5247" s="2">
        <v>175.96</v>
      </c>
      <c r="J5247">
        <v>4</v>
      </c>
      <c r="K5247" s="2">
        <v>80.340400000000002</v>
      </c>
      <c r="L5247" s="3">
        <f>(Table1[[#This Row],[Profit]]/Table1[[#This Row],[Sales]])*100</f>
        <v>45.658331438963401</v>
      </c>
    </row>
    <row r="5248" spans="1:12" x14ac:dyDescent="0.3">
      <c r="A5248" t="s">
        <v>3997</v>
      </c>
      <c r="B5248" s="1">
        <v>43838</v>
      </c>
      <c r="C5248" t="s">
        <v>1314</v>
      </c>
      <c r="D5248" t="s">
        <v>1315</v>
      </c>
      <c r="E5248" t="s">
        <v>14</v>
      </c>
      <c r="F5248" t="s">
        <v>23</v>
      </c>
      <c r="G5248" t="s">
        <v>16</v>
      </c>
      <c r="H5248" t="s">
        <v>3390</v>
      </c>
      <c r="I5248" s="2">
        <v>930.98</v>
      </c>
      <c r="J5248">
        <v>2</v>
      </c>
      <c r="K5248" s="2">
        <v>80.368200000000002</v>
      </c>
      <c r="L5248" s="3">
        <f>(Table1[[#This Row],[Profit]]/Table1[[#This Row],[Sales]])*100</f>
        <v>8.6326451696062225</v>
      </c>
    </row>
    <row r="5249" spans="1:12" x14ac:dyDescent="0.3">
      <c r="A5249" t="s">
        <v>5307</v>
      </c>
      <c r="B5249" s="1">
        <v>44081</v>
      </c>
      <c r="C5249" t="s">
        <v>1839</v>
      </c>
      <c r="D5249" t="s">
        <v>1840</v>
      </c>
      <c r="E5249" t="s">
        <v>14</v>
      </c>
      <c r="F5249" t="s">
        <v>23</v>
      </c>
      <c r="G5249" t="s">
        <v>18</v>
      </c>
      <c r="H5249" t="s">
        <v>184</v>
      </c>
      <c r="I5249" s="2">
        <v>311.94400000000002</v>
      </c>
      <c r="J5249">
        <v>7</v>
      </c>
      <c r="K5249" s="2">
        <v>80.483900000000006</v>
      </c>
      <c r="L5249" s="3">
        <f>(Table1[[#This Row],[Profit]]/Table1[[#This Row],[Sales]])*100</f>
        <v>25.800752699202423</v>
      </c>
    </row>
    <row r="5250" spans="1:12" x14ac:dyDescent="0.3">
      <c r="A5250" t="s">
        <v>3698</v>
      </c>
      <c r="B5250" s="1">
        <v>43804</v>
      </c>
      <c r="C5250" t="s">
        <v>3699</v>
      </c>
      <c r="D5250" t="s">
        <v>3700</v>
      </c>
      <c r="E5250" t="s">
        <v>14</v>
      </c>
      <c r="F5250" t="s">
        <v>29</v>
      </c>
      <c r="G5250" t="s">
        <v>24</v>
      </c>
      <c r="H5250" t="s">
        <v>3706</v>
      </c>
      <c r="I5250" s="2">
        <v>171.55</v>
      </c>
      <c r="J5250">
        <v>5</v>
      </c>
      <c r="K5250" s="2">
        <v>80.628500000000003</v>
      </c>
      <c r="L5250" s="3">
        <f>(Table1[[#This Row],[Profit]]/Table1[[#This Row],[Sales]])*100</f>
        <v>47</v>
      </c>
    </row>
    <row r="5251" spans="1:12" x14ac:dyDescent="0.3">
      <c r="A5251" t="s">
        <v>4273</v>
      </c>
      <c r="B5251" s="1">
        <v>43906</v>
      </c>
      <c r="C5251" t="s">
        <v>1189</v>
      </c>
      <c r="D5251" t="s">
        <v>1190</v>
      </c>
      <c r="E5251" t="s">
        <v>14</v>
      </c>
      <c r="F5251" t="s">
        <v>23</v>
      </c>
      <c r="G5251" t="s">
        <v>24</v>
      </c>
      <c r="H5251" t="s">
        <v>3221</v>
      </c>
      <c r="I5251" s="2">
        <v>340.12</v>
      </c>
      <c r="J5251">
        <v>2</v>
      </c>
      <c r="K5251" s="2">
        <v>80.631200000000007</v>
      </c>
      <c r="L5251" s="3">
        <f>(Table1[[#This Row],[Profit]]/Table1[[#This Row],[Sales]])*100</f>
        <v>23.70669175585088</v>
      </c>
    </row>
    <row r="5252" spans="1:12" x14ac:dyDescent="0.3">
      <c r="A5252" t="s">
        <v>2598</v>
      </c>
      <c r="B5252" s="1">
        <v>43713</v>
      </c>
      <c r="C5252" t="s">
        <v>2327</v>
      </c>
      <c r="D5252" t="s">
        <v>2328</v>
      </c>
      <c r="E5252" t="s">
        <v>14</v>
      </c>
      <c r="F5252" t="s">
        <v>29</v>
      </c>
      <c r="G5252" t="s">
        <v>18</v>
      </c>
      <c r="H5252" t="s">
        <v>2599</v>
      </c>
      <c r="I5252" s="2">
        <v>278.39999999999998</v>
      </c>
      <c r="J5252">
        <v>3</v>
      </c>
      <c r="K5252" s="2">
        <v>80.736000000000004</v>
      </c>
      <c r="L5252" s="3">
        <f>(Table1[[#This Row],[Profit]]/Table1[[#This Row],[Sales]])*100</f>
        <v>29.000000000000004</v>
      </c>
    </row>
    <row r="5253" spans="1:12" x14ac:dyDescent="0.3">
      <c r="A5253" t="s">
        <v>3186</v>
      </c>
      <c r="B5253" s="1">
        <v>43765</v>
      </c>
      <c r="C5253" t="s">
        <v>3181</v>
      </c>
      <c r="D5253" t="s">
        <v>3182</v>
      </c>
      <c r="E5253" t="s">
        <v>14</v>
      </c>
      <c r="F5253" t="s">
        <v>15</v>
      </c>
      <c r="G5253" t="s">
        <v>16</v>
      </c>
      <c r="H5253" t="s">
        <v>3187</v>
      </c>
      <c r="I5253" s="2">
        <v>427.64400000000001</v>
      </c>
      <c r="J5253">
        <v>14</v>
      </c>
      <c r="K5253" s="2">
        <v>80.777199999999993</v>
      </c>
      <c r="L5253" s="3">
        <f>(Table1[[#This Row],[Profit]]/Table1[[#This Row],[Sales]])*100</f>
        <v>18.888888888888889</v>
      </c>
    </row>
    <row r="5254" spans="1:12" x14ac:dyDescent="0.3">
      <c r="A5254" t="s">
        <v>6201</v>
      </c>
      <c r="B5254" s="1">
        <v>44182</v>
      </c>
      <c r="C5254" t="s">
        <v>3353</v>
      </c>
      <c r="D5254" t="s">
        <v>3354</v>
      </c>
      <c r="E5254" t="s">
        <v>14</v>
      </c>
      <c r="F5254" t="s">
        <v>41</v>
      </c>
      <c r="G5254" t="s">
        <v>16</v>
      </c>
      <c r="H5254" t="s">
        <v>1819</v>
      </c>
      <c r="I5254" s="2">
        <v>699.9</v>
      </c>
      <c r="J5254">
        <v>5</v>
      </c>
      <c r="K5254" s="2">
        <v>80.784000000000006</v>
      </c>
      <c r="L5254" s="3">
        <f>(Table1[[#This Row],[Profit]]/Table1[[#This Row],[Sales]])*100</f>
        <v>11.542220317188171</v>
      </c>
    </row>
    <row r="5255" spans="1:12" x14ac:dyDescent="0.3">
      <c r="A5255" t="s">
        <v>5425</v>
      </c>
      <c r="B5255" s="1">
        <v>44091</v>
      </c>
      <c r="C5255" t="s">
        <v>3665</v>
      </c>
      <c r="D5255" t="s">
        <v>3666</v>
      </c>
      <c r="E5255" t="s">
        <v>14</v>
      </c>
      <c r="F5255" t="s">
        <v>23</v>
      </c>
      <c r="G5255" t="s">
        <v>24</v>
      </c>
      <c r="H5255" t="s">
        <v>3671</v>
      </c>
      <c r="I5255" s="2">
        <v>191.88</v>
      </c>
      <c r="J5255">
        <v>3</v>
      </c>
      <c r="K5255" s="2">
        <v>80.791200000000003</v>
      </c>
      <c r="L5255" s="3">
        <f>(Table1[[#This Row],[Profit]]/Table1[[#This Row],[Sales]])*100</f>
        <v>42.105065666041277</v>
      </c>
    </row>
    <row r="5256" spans="1:12" x14ac:dyDescent="0.3">
      <c r="A5256" t="s">
        <v>5535</v>
      </c>
      <c r="B5256" s="1">
        <v>44104</v>
      </c>
      <c r="C5256" t="s">
        <v>1203</v>
      </c>
      <c r="D5256" t="s">
        <v>1204</v>
      </c>
      <c r="E5256" t="s">
        <v>14</v>
      </c>
      <c r="F5256" t="s">
        <v>15</v>
      </c>
      <c r="G5256" t="s">
        <v>24</v>
      </c>
      <c r="H5256" t="s">
        <v>3671</v>
      </c>
      <c r="I5256" s="2">
        <v>177.88</v>
      </c>
      <c r="J5256">
        <v>3</v>
      </c>
      <c r="K5256" s="2">
        <v>80.791200000000003</v>
      </c>
      <c r="L5256" s="3">
        <f>(Table1[[#This Row],[Profit]]/Table1[[#This Row],[Sales]])*100</f>
        <v>45.418934112885097</v>
      </c>
    </row>
    <row r="5257" spans="1:12" x14ac:dyDescent="0.3">
      <c r="A5257" t="s">
        <v>1748</v>
      </c>
      <c r="B5257" s="1">
        <v>43630</v>
      </c>
      <c r="C5257" t="s">
        <v>524</v>
      </c>
      <c r="D5257" t="s">
        <v>525</v>
      </c>
      <c r="E5257" t="s">
        <v>14</v>
      </c>
      <c r="F5257" t="s">
        <v>23</v>
      </c>
      <c r="G5257" t="s">
        <v>16</v>
      </c>
      <c r="H5257" t="s">
        <v>1679</v>
      </c>
      <c r="I5257" s="2">
        <v>1293.4880000000001</v>
      </c>
      <c r="J5257">
        <v>7</v>
      </c>
      <c r="K5257" s="2">
        <v>80.843000000000004</v>
      </c>
      <c r="L5257" s="3">
        <f>(Table1[[#This Row],[Profit]]/Table1[[#This Row],[Sales]])*100</f>
        <v>6.25</v>
      </c>
    </row>
    <row r="5258" spans="1:12" x14ac:dyDescent="0.3">
      <c r="A5258" t="s">
        <v>3734</v>
      </c>
      <c r="B5258" s="1">
        <v>43807</v>
      </c>
      <c r="C5258" t="s">
        <v>3047</v>
      </c>
      <c r="D5258" t="s">
        <v>3048</v>
      </c>
      <c r="E5258" t="s">
        <v>14</v>
      </c>
      <c r="F5258" t="s">
        <v>23</v>
      </c>
      <c r="G5258" t="s">
        <v>24</v>
      </c>
      <c r="H5258" t="s">
        <v>2217</v>
      </c>
      <c r="I5258" s="2">
        <v>352.38</v>
      </c>
      <c r="J5258">
        <v>2</v>
      </c>
      <c r="K5258" s="2">
        <v>81.047399999999996</v>
      </c>
      <c r="L5258" s="3">
        <f>(Table1[[#This Row],[Profit]]/Table1[[#This Row],[Sales]])*100</f>
        <v>23</v>
      </c>
    </row>
    <row r="5259" spans="1:12" x14ac:dyDescent="0.3">
      <c r="A5259" t="s">
        <v>5254</v>
      </c>
      <c r="B5259" s="1">
        <v>44076</v>
      </c>
      <c r="C5259" t="s">
        <v>124</v>
      </c>
      <c r="D5259" t="s">
        <v>125</v>
      </c>
      <c r="E5259" t="s">
        <v>14</v>
      </c>
      <c r="F5259" t="s">
        <v>29</v>
      </c>
      <c r="G5259" t="s">
        <v>24</v>
      </c>
      <c r="H5259" t="s">
        <v>2217</v>
      </c>
      <c r="I5259" s="2">
        <v>376.38</v>
      </c>
      <c r="J5259">
        <v>2</v>
      </c>
      <c r="K5259" s="2">
        <v>81.047399999999996</v>
      </c>
      <c r="L5259" s="3">
        <f>(Table1[[#This Row],[Profit]]/Table1[[#This Row],[Sales]])*100</f>
        <v>21.533397098676868</v>
      </c>
    </row>
    <row r="5260" spans="1:12" x14ac:dyDescent="0.3">
      <c r="A5260" t="s">
        <v>959</v>
      </c>
      <c r="B5260" s="1">
        <v>43565</v>
      </c>
      <c r="C5260" t="s">
        <v>960</v>
      </c>
      <c r="D5260" t="s">
        <v>961</v>
      </c>
      <c r="E5260" t="s">
        <v>14</v>
      </c>
      <c r="F5260" t="s">
        <v>23</v>
      </c>
      <c r="G5260" t="s">
        <v>24</v>
      </c>
      <c r="H5260" t="s">
        <v>963</v>
      </c>
      <c r="I5260" s="2">
        <v>579.51</v>
      </c>
      <c r="J5260">
        <v>3</v>
      </c>
      <c r="K5260" s="2">
        <v>81.131399999999999</v>
      </c>
      <c r="L5260" s="3">
        <f>(Table1[[#This Row],[Profit]]/Table1[[#This Row],[Sales]])*100</f>
        <v>14.000000000000002</v>
      </c>
    </row>
    <row r="5261" spans="1:12" x14ac:dyDescent="0.3">
      <c r="A5261" t="s">
        <v>4137</v>
      </c>
      <c r="B5261" s="1">
        <v>43877</v>
      </c>
      <c r="C5261" t="s">
        <v>4138</v>
      </c>
      <c r="D5261" t="s">
        <v>4139</v>
      </c>
      <c r="E5261" t="s">
        <v>14</v>
      </c>
      <c r="F5261" t="s">
        <v>15</v>
      </c>
      <c r="G5261" t="s">
        <v>24</v>
      </c>
      <c r="H5261" t="s">
        <v>963</v>
      </c>
      <c r="I5261" s="2">
        <v>612.51</v>
      </c>
      <c r="J5261">
        <v>3</v>
      </c>
      <c r="K5261" s="2">
        <v>81.131399999999999</v>
      </c>
      <c r="L5261" s="3">
        <f>(Table1[[#This Row],[Profit]]/Table1[[#This Row],[Sales]])*100</f>
        <v>13.245726600382035</v>
      </c>
    </row>
    <row r="5262" spans="1:12" x14ac:dyDescent="0.3">
      <c r="A5262" t="s">
        <v>2871</v>
      </c>
      <c r="B5262" s="1">
        <v>43731</v>
      </c>
      <c r="C5262" t="s">
        <v>2872</v>
      </c>
      <c r="D5262" t="s">
        <v>2873</v>
      </c>
      <c r="E5262" t="s">
        <v>14</v>
      </c>
      <c r="F5262" t="s">
        <v>41</v>
      </c>
      <c r="G5262" t="s">
        <v>16</v>
      </c>
      <c r="H5262" t="s">
        <v>1283</v>
      </c>
      <c r="I5262" s="2">
        <v>368.97</v>
      </c>
      <c r="J5262">
        <v>3</v>
      </c>
      <c r="K5262" s="2">
        <v>81.173400000000001</v>
      </c>
      <c r="L5262" s="3">
        <f>(Table1[[#This Row],[Profit]]/Table1[[#This Row],[Sales]])*100</f>
        <v>21.999999999999996</v>
      </c>
    </row>
    <row r="5263" spans="1:12" x14ac:dyDescent="0.3">
      <c r="A5263" t="s">
        <v>3225</v>
      </c>
      <c r="B5263" s="1">
        <v>43769</v>
      </c>
      <c r="C5263" t="s">
        <v>2359</v>
      </c>
      <c r="D5263" t="s">
        <v>2360</v>
      </c>
      <c r="E5263" t="s">
        <v>14</v>
      </c>
      <c r="F5263" t="s">
        <v>29</v>
      </c>
      <c r="G5263" t="s">
        <v>16</v>
      </c>
      <c r="H5263" t="s">
        <v>1283</v>
      </c>
      <c r="I5263" s="2">
        <v>368.97</v>
      </c>
      <c r="J5263">
        <v>3</v>
      </c>
      <c r="K5263" s="2">
        <v>81.173400000000001</v>
      </c>
      <c r="L5263" s="3">
        <f>(Table1[[#This Row],[Profit]]/Table1[[#This Row],[Sales]])*100</f>
        <v>21.999999999999996</v>
      </c>
    </row>
    <row r="5264" spans="1:12" x14ac:dyDescent="0.3">
      <c r="A5264" t="s">
        <v>4636</v>
      </c>
      <c r="B5264" s="1">
        <v>43964</v>
      </c>
      <c r="C5264" t="s">
        <v>2950</v>
      </c>
      <c r="D5264" t="s">
        <v>2951</v>
      </c>
      <c r="E5264" t="s">
        <v>14</v>
      </c>
      <c r="F5264" t="s">
        <v>29</v>
      </c>
      <c r="G5264" t="s">
        <v>24</v>
      </c>
      <c r="H5264" t="s">
        <v>3761</v>
      </c>
      <c r="I5264" s="2">
        <v>218.96</v>
      </c>
      <c r="J5264">
        <v>2</v>
      </c>
      <c r="K5264" s="2">
        <v>81.432000000000002</v>
      </c>
      <c r="L5264" s="3">
        <f>(Table1[[#This Row],[Profit]]/Table1[[#This Row],[Sales]])*100</f>
        <v>37.190354402630618</v>
      </c>
    </row>
    <row r="5265" spans="1:12" x14ac:dyDescent="0.3">
      <c r="A5265" t="s">
        <v>6045</v>
      </c>
      <c r="B5265" s="1">
        <v>44165</v>
      </c>
      <c r="C5265" t="s">
        <v>2937</v>
      </c>
      <c r="D5265" t="s">
        <v>2938</v>
      </c>
      <c r="E5265" t="s">
        <v>14</v>
      </c>
      <c r="F5265" t="s">
        <v>41</v>
      </c>
      <c r="G5265" t="s">
        <v>18</v>
      </c>
      <c r="H5265" t="s">
        <v>3326</v>
      </c>
      <c r="I5265" s="2">
        <v>408.976</v>
      </c>
      <c r="J5265">
        <v>3</v>
      </c>
      <c r="K5265" s="2">
        <v>81.594899999999996</v>
      </c>
      <c r="L5265" s="3">
        <f>(Table1[[#This Row],[Profit]]/Table1[[#This Row],[Sales]])*100</f>
        <v>19.951024020969442</v>
      </c>
    </row>
    <row r="5266" spans="1:12" x14ac:dyDescent="0.3">
      <c r="A5266" t="s">
        <v>1129</v>
      </c>
      <c r="B5266" s="1">
        <v>43578</v>
      </c>
      <c r="C5266" t="s">
        <v>1130</v>
      </c>
      <c r="D5266" t="s">
        <v>1131</v>
      </c>
      <c r="E5266" t="s">
        <v>14</v>
      </c>
      <c r="F5266" t="s">
        <v>23</v>
      </c>
      <c r="G5266" t="s">
        <v>24</v>
      </c>
      <c r="H5266" t="s">
        <v>1132</v>
      </c>
      <c r="I5266" s="2">
        <v>251.52</v>
      </c>
      <c r="J5266">
        <v>6</v>
      </c>
      <c r="K5266" s="2">
        <v>81.744</v>
      </c>
      <c r="L5266" s="3">
        <f>(Table1[[#This Row],[Profit]]/Table1[[#This Row],[Sales]])*100</f>
        <v>32.5</v>
      </c>
    </row>
    <row r="5267" spans="1:12" x14ac:dyDescent="0.3">
      <c r="A5267" t="s">
        <v>2169</v>
      </c>
      <c r="B5267" s="1">
        <v>43671</v>
      </c>
      <c r="C5267" t="s">
        <v>1395</v>
      </c>
      <c r="D5267" t="s">
        <v>1396</v>
      </c>
      <c r="E5267" t="s">
        <v>14</v>
      </c>
      <c r="F5267" t="s">
        <v>23</v>
      </c>
      <c r="G5267" t="s">
        <v>16</v>
      </c>
      <c r="H5267" t="s">
        <v>629</v>
      </c>
      <c r="I5267" s="2">
        <v>255.76</v>
      </c>
      <c r="J5267">
        <v>4</v>
      </c>
      <c r="K5267" s="2">
        <v>81.843199999999996</v>
      </c>
      <c r="L5267" s="3">
        <f>(Table1[[#This Row],[Profit]]/Table1[[#This Row],[Sales]])*100</f>
        <v>32</v>
      </c>
    </row>
    <row r="5268" spans="1:12" x14ac:dyDescent="0.3">
      <c r="A5268" t="s">
        <v>4260</v>
      </c>
      <c r="B5268" s="1">
        <v>43903</v>
      </c>
      <c r="C5268" t="s">
        <v>89</v>
      </c>
      <c r="D5268" t="s">
        <v>90</v>
      </c>
      <c r="E5268" t="s">
        <v>14</v>
      </c>
      <c r="F5268" t="s">
        <v>15</v>
      </c>
      <c r="G5268" t="s">
        <v>24</v>
      </c>
      <c r="H5268" t="s">
        <v>47</v>
      </c>
      <c r="I5268" s="2">
        <v>211.3</v>
      </c>
      <c r="J5268">
        <v>3</v>
      </c>
      <c r="K5268" s="2">
        <v>81.921000000000006</v>
      </c>
      <c r="L5268" s="3">
        <f>(Table1[[#This Row],[Profit]]/Table1[[#This Row],[Sales]])*100</f>
        <v>38.769995267392332</v>
      </c>
    </row>
    <row r="5269" spans="1:12" x14ac:dyDescent="0.3">
      <c r="A5269" t="s">
        <v>5536</v>
      </c>
      <c r="B5269" s="1">
        <v>44104</v>
      </c>
      <c r="C5269" t="s">
        <v>4124</v>
      </c>
      <c r="D5269" t="s">
        <v>4125</v>
      </c>
      <c r="E5269" t="s">
        <v>14</v>
      </c>
      <c r="F5269" t="s">
        <v>23</v>
      </c>
      <c r="G5269" t="s">
        <v>24</v>
      </c>
      <c r="H5269" t="s">
        <v>105</v>
      </c>
      <c r="I5269" s="2">
        <v>178.94</v>
      </c>
      <c r="J5269">
        <v>3</v>
      </c>
      <c r="K5269" s="2">
        <v>82.290599999999998</v>
      </c>
      <c r="L5269" s="3">
        <f>(Table1[[#This Row],[Profit]]/Table1[[#This Row],[Sales]])*100</f>
        <v>45.987817145411867</v>
      </c>
    </row>
    <row r="5270" spans="1:12" x14ac:dyDescent="0.3">
      <c r="A5270" t="s">
        <v>5785</v>
      </c>
      <c r="B5270" s="1">
        <v>44140</v>
      </c>
      <c r="C5270" t="s">
        <v>627</v>
      </c>
      <c r="D5270" t="s">
        <v>628</v>
      </c>
      <c r="E5270" t="s">
        <v>14</v>
      </c>
      <c r="F5270" t="s">
        <v>29</v>
      </c>
      <c r="G5270" t="s">
        <v>24</v>
      </c>
      <c r="H5270" t="s">
        <v>234</v>
      </c>
      <c r="I5270" s="2">
        <v>177.94</v>
      </c>
      <c r="J5270">
        <v>3</v>
      </c>
      <c r="K5270" s="2">
        <v>82.290599999999998</v>
      </c>
      <c r="L5270" s="3">
        <f>(Table1[[#This Row],[Profit]]/Table1[[#This Row],[Sales]])*100</f>
        <v>46.246262785208501</v>
      </c>
    </row>
    <row r="5271" spans="1:12" x14ac:dyDescent="0.3">
      <c r="A5271" t="s">
        <v>6047</v>
      </c>
      <c r="B5271" s="1">
        <v>44165</v>
      </c>
      <c r="C5271" t="s">
        <v>2249</v>
      </c>
      <c r="D5271" t="s">
        <v>2250</v>
      </c>
      <c r="E5271" t="s">
        <v>14</v>
      </c>
      <c r="F5271" t="s">
        <v>15</v>
      </c>
      <c r="G5271" t="s">
        <v>24</v>
      </c>
      <c r="H5271" t="s">
        <v>2668</v>
      </c>
      <c r="I5271" s="2">
        <v>673.93600000000004</v>
      </c>
      <c r="J5271">
        <v>4</v>
      </c>
      <c r="K5271" s="2">
        <v>82.992000000000004</v>
      </c>
      <c r="L5271" s="3">
        <f>(Table1[[#This Row],[Profit]]/Table1[[#This Row],[Sales]])*100</f>
        <v>12.314522447235346</v>
      </c>
    </row>
    <row r="5272" spans="1:12" x14ac:dyDescent="0.3">
      <c r="A5272" t="s">
        <v>3878</v>
      </c>
      <c r="B5272" s="1">
        <v>43822</v>
      </c>
      <c r="C5272" t="s">
        <v>914</v>
      </c>
      <c r="D5272" t="s">
        <v>915</v>
      </c>
      <c r="E5272" t="s">
        <v>14</v>
      </c>
      <c r="F5272" t="s">
        <v>41</v>
      </c>
      <c r="G5272" t="s">
        <v>16</v>
      </c>
      <c r="H5272" t="s">
        <v>2738</v>
      </c>
      <c r="I5272" s="2">
        <v>286.38</v>
      </c>
      <c r="J5272">
        <v>3</v>
      </c>
      <c r="K5272" s="2">
        <v>83.050200000000004</v>
      </c>
      <c r="L5272" s="3">
        <f>(Table1[[#This Row],[Profit]]/Table1[[#This Row],[Sales]])*100</f>
        <v>29.000000000000004</v>
      </c>
    </row>
    <row r="5273" spans="1:12" x14ac:dyDescent="0.3">
      <c r="A5273" t="s">
        <v>5233</v>
      </c>
      <c r="B5273" s="1">
        <v>44074</v>
      </c>
      <c r="C5273" t="s">
        <v>1547</v>
      </c>
      <c r="D5273" t="s">
        <v>1548</v>
      </c>
      <c r="E5273" t="s">
        <v>14</v>
      </c>
      <c r="F5273" t="s">
        <v>41</v>
      </c>
      <c r="G5273" t="s">
        <v>24</v>
      </c>
      <c r="H5273" t="s">
        <v>974</v>
      </c>
      <c r="I5273" s="2">
        <v>277.54399999999998</v>
      </c>
      <c r="J5273">
        <v>7</v>
      </c>
      <c r="K5273" s="2">
        <v>83.209699999999998</v>
      </c>
      <c r="L5273" s="3">
        <f>(Table1[[#This Row],[Profit]]/Table1[[#This Row],[Sales]])*100</f>
        <v>29.980723777130834</v>
      </c>
    </row>
    <row r="5274" spans="1:12" x14ac:dyDescent="0.3">
      <c r="A5274" t="s">
        <v>5997</v>
      </c>
      <c r="B5274" s="1">
        <v>44159</v>
      </c>
      <c r="C5274" t="s">
        <v>5477</v>
      </c>
      <c r="D5274" t="s">
        <v>5478</v>
      </c>
      <c r="E5274" t="s">
        <v>14</v>
      </c>
      <c r="F5274" t="s">
        <v>15</v>
      </c>
      <c r="G5274" t="s">
        <v>24</v>
      </c>
      <c r="H5274" t="s">
        <v>2471</v>
      </c>
      <c r="I5274" s="2">
        <v>265.54399999999998</v>
      </c>
      <c r="J5274">
        <v>7</v>
      </c>
      <c r="K5274" s="2">
        <v>83.209699999999998</v>
      </c>
      <c r="L5274" s="3">
        <f>(Table1[[#This Row],[Profit]]/Table1[[#This Row],[Sales]])*100</f>
        <v>31.335560208477691</v>
      </c>
    </row>
    <row r="5275" spans="1:12" x14ac:dyDescent="0.3">
      <c r="A5275" t="s">
        <v>4006</v>
      </c>
      <c r="B5275" s="1">
        <v>43843</v>
      </c>
      <c r="C5275" t="s">
        <v>811</v>
      </c>
      <c r="D5275" t="s">
        <v>812</v>
      </c>
      <c r="E5275" t="s">
        <v>14</v>
      </c>
      <c r="F5275" t="s">
        <v>29</v>
      </c>
      <c r="G5275" t="s">
        <v>24</v>
      </c>
      <c r="H5275" t="s">
        <v>4008</v>
      </c>
      <c r="I5275" s="2">
        <v>4200.05</v>
      </c>
      <c r="J5275">
        <v>5</v>
      </c>
      <c r="K5275" s="2">
        <v>83.281000000000006</v>
      </c>
      <c r="L5275" s="3">
        <f>(Table1[[#This Row],[Profit]]/Table1[[#This Row],[Sales]])*100</f>
        <v>1.982857346936346</v>
      </c>
    </row>
    <row r="5276" spans="1:12" x14ac:dyDescent="0.3">
      <c r="A5276" t="s">
        <v>5130</v>
      </c>
      <c r="B5276" s="1">
        <v>44053</v>
      </c>
      <c r="C5276" t="s">
        <v>1970</v>
      </c>
      <c r="D5276" t="s">
        <v>1971</v>
      </c>
      <c r="E5276" t="s">
        <v>14</v>
      </c>
      <c r="F5276" t="s">
        <v>29</v>
      </c>
      <c r="G5276" t="s">
        <v>24</v>
      </c>
      <c r="H5276" t="s">
        <v>3909</v>
      </c>
      <c r="I5276" s="2">
        <v>218.2</v>
      </c>
      <c r="J5276">
        <v>5</v>
      </c>
      <c r="K5276" s="2">
        <v>83.284000000000006</v>
      </c>
      <c r="L5276" s="3">
        <f>(Table1[[#This Row],[Profit]]/Table1[[#This Row],[Sales]])*100</f>
        <v>38.168652612282315</v>
      </c>
    </row>
    <row r="5277" spans="1:12" x14ac:dyDescent="0.3">
      <c r="A5277" t="s">
        <v>2192</v>
      </c>
      <c r="B5277" s="1">
        <v>43671</v>
      </c>
      <c r="C5277" t="s">
        <v>1456</v>
      </c>
      <c r="D5277" t="s">
        <v>1457</v>
      </c>
      <c r="E5277" t="s">
        <v>14</v>
      </c>
      <c r="F5277" t="s">
        <v>29</v>
      </c>
      <c r="G5277" t="s">
        <v>18</v>
      </c>
      <c r="H5277" t="s">
        <v>2018</v>
      </c>
      <c r="I5277" s="2">
        <v>297.55</v>
      </c>
      <c r="J5277">
        <v>5</v>
      </c>
      <c r="K5277" s="2">
        <v>83.313999999999993</v>
      </c>
      <c r="L5277" s="3">
        <f>(Table1[[#This Row],[Profit]]/Table1[[#This Row],[Sales]])*100</f>
        <v>27.999999999999996</v>
      </c>
    </row>
    <row r="5278" spans="1:12" x14ac:dyDescent="0.3">
      <c r="A5278" t="s">
        <v>1724</v>
      </c>
      <c r="B5278" s="1">
        <v>43628</v>
      </c>
      <c r="C5278" t="s">
        <v>361</v>
      </c>
      <c r="D5278" t="s">
        <v>362</v>
      </c>
      <c r="E5278" t="s">
        <v>14</v>
      </c>
      <c r="F5278" t="s">
        <v>23</v>
      </c>
      <c r="G5278" t="s">
        <v>24</v>
      </c>
      <c r="H5278" t="s">
        <v>1722</v>
      </c>
      <c r="I5278" s="2">
        <v>185.88</v>
      </c>
      <c r="J5278">
        <v>6</v>
      </c>
      <c r="K5278" s="2">
        <v>83.646000000000001</v>
      </c>
      <c r="L5278" s="3">
        <f>(Table1[[#This Row],[Profit]]/Table1[[#This Row],[Sales]])*100</f>
        <v>45</v>
      </c>
    </row>
    <row r="5279" spans="1:12" x14ac:dyDescent="0.3">
      <c r="A5279" t="s">
        <v>1217</v>
      </c>
      <c r="B5279" s="1">
        <v>43587</v>
      </c>
      <c r="C5279" t="s">
        <v>633</v>
      </c>
      <c r="D5279" t="s">
        <v>634</v>
      </c>
      <c r="E5279" t="s">
        <v>14</v>
      </c>
      <c r="F5279" t="s">
        <v>15</v>
      </c>
      <c r="G5279" t="s">
        <v>16</v>
      </c>
      <c r="H5279" t="s">
        <v>1221</v>
      </c>
      <c r="I5279" s="2">
        <v>214.7</v>
      </c>
      <c r="J5279">
        <v>5</v>
      </c>
      <c r="K5279" s="2">
        <v>83.733000000000004</v>
      </c>
      <c r="L5279" s="3">
        <f>(Table1[[#This Row],[Profit]]/Table1[[#This Row],[Sales]])*100</f>
        <v>39</v>
      </c>
    </row>
    <row r="5280" spans="1:12" x14ac:dyDescent="0.3">
      <c r="A5280" t="s">
        <v>5922</v>
      </c>
      <c r="B5280" s="1">
        <v>44152</v>
      </c>
      <c r="C5280" t="s">
        <v>3683</v>
      </c>
      <c r="D5280" t="s">
        <v>3684</v>
      </c>
      <c r="E5280" t="s">
        <v>14</v>
      </c>
      <c r="F5280" t="s">
        <v>29</v>
      </c>
      <c r="G5280" t="s">
        <v>18</v>
      </c>
      <c r="H5280" t="s">
        <v>2272</v>
      </c>
      <c r="I5280" s="2">
        <v>269.95999999999998</v>
      </c>
      <c r="J5280">
        <v>5</v>
      </c>
      <c r="K5280" s="2">
        <v>83.986000000000004</v>
      </c>
      <c r="L5280" s="3">
        <f>(Table1[[#This Row],[Profit]]/Table1[[#This Row],[Sales]])*100</f>
        <v>31.110534894058382</v>
      </c>
    </row>
    <row r="5281" spans="1:12" x14ac:dyDescent="0.3">
      <c r="A5281" t="s">
        <v>1539</v>
      </c>
      <c r="B5281" s="1">
        <v>43613</v>
      </c>
      <c r="C5281" t="s">
        <v>1292</v>
      </c>
      <c r="D5281" t="s">
        <v>1293</v>
      </c>
      <c r="E5281" t="s">
        <v>14</v>
      </c>
      <c r="F5281" t="s">
        <v>23</v>
      </c>
      <c r="G5281" t="s">
        <v>24</v>
      </c>
      <c r="H5281" t="s">
        <v>1541</v>
      </c>
      <c r="I5281" s="2">
        <v>182.72</v>
      </c>
      <c r="J5281">
        <v>8</v>
      </c>
      <c r="K5281" s="2">
        <v>84.051199999999994</v>
      </c>
      <c r="L5281" s="3">
        <f>(Table1[[#This Row],[Profit]]/Table1[[#This Row],[Sales]])*100</f>
        <v>46</v>
      </c>
    </row>
    <row r="5282" spans="1:12" x14ac:dyDescent="0.3">
      <c r="A5282" t="s">
        <v>3682</v>
      </c>
      <c r="B5282" s="1">
        <v>43802</v>
      </c>
      <c r="C5282" t="s">
        <v>3683</v>
      </c>
      <c r="D5282" t="s">
        <v>3684</v>
      </c>
      <c r="E5282" t="s">
        <v>14</v>
      </c>
      <c r="F5282" t="s">
        <v>15</v>
      </c>
      <c r="G5282" t="s">
        <v>24</v>
      </c>
      <c r="H5282" t="s">
        <v>677</v>
      </c>
      <c r="I5282" s="2">
        <v>182.72</v>
      </c>
      <c r="J5282">
        <v>8</v>
      </c>
      <c r="K5282" s="2">
        <v>84.051199999999994</v>
      </c>
      <c r="L5282" s="3">
        <f>(Table1[[#This Row],[Profit]]/Table1[[#This Row],[Sales]])*100</f>
        <v>46</v>
      </c>
    </row>
    <row r="5283" spans="1:12" x14ac:dyDescent="0.3">
      <c r="A5283" t="s">
        <v>4798</v>
      </c>
      <c r="B5283" s="1">
        <v>43992</v>
      </c>
      <c r="C5283" t="s">
        <v>4684</v>
      </c>
      <c r="D5283" t="s">
        <v>4685</v>
      </c>
      <c r="E5283" t="s">
        <v>14</v>
      </c>
      <c r="F5283" t="s">
        <v>41</v>
      </c>
      <c r="G5283" t="s">
        <v>24</v>
      </c>
      <c r="H5283" t="s">
        <v>3621</v>
      </c>
      <c r="I5283" s="2">
        <v>1382.52</v>
      </c>
      <c r="J5283">
        <v>8</v>
      </c>
      <c r="K5283" s="2">
        <v>84.22</v>
      </c>
      <c r="L5283" s="3">
        <f>(Table1[[#This Row],[Profit]]/Table1[[#This Row],[Sales]])*100</f>
        <v>6.0917744408760814</v>
      </c>
    </row>
    <row r="5284" spans="1:12" x14ac:dyDescent="0.3">
      <c r="A5284" t="s">
        <v>2795</v>
      </c>
      <c r="B5284" s="1">
        <v>43726</v>
      </c>
      <c r="C5284" t="s">
        <v>2796</v>
      </c>
      <c r="D5284" t="s">
        <v>2797</v>
      </c>
      <c r="E5284" t="s">
        <v>14</v>
      </c>
      <c r="F5284" t="s">
        <v>41</v>
      </c>
      <c r="G5284" t="s">
        <v>16</v>
      </c>
      <c r="H5284" t="s">
        <v>2798</v>
      </c>
      <c r="I5284" s="2">
        <v>350.98</v>
      </c>
      <c r="J5284">
        <v>1</v>
      </c>
      <c r="K5284" s="2">
        <v>84.235200000000006</v>
      </c>
      <c r="L5284" s="3">
        <f>(Table1[[#This Row],[Profit]]/Table1[[#This Row],[Sales]])*100</f>
        <v>24</v>
      </c>
    </row>
    <row r="5285" spans="1:12" x14ac:dyDescent="0.3">
      <c r="A5285" t="s">
        <v>2918</v>
      </c>
      <c r="B5285" s="1">
        <v>43733</v>
      </c>
      <c r="C5285" t="s">
        <v>788</v>
      </c>
      <c r="D5285" t="s">
        <v>789</v>
      </c>
      <c r="E5285" t="s">
        <v>14</v>
      </c>
      <c r="F5285" t="s">
        <v>23</v>
      </c>
      <c r="G5285" t="s">
        <v>16</v>
      </c>
      <c r="H5285" t="s">
        <v>2919</v>
      </c>
      <c r="I5285" s="2">
        <v>477.666</v>
      </c>
      <c r="J5285">
        <v>2</v>
      </c>
      <c r="K5285" s="2">
        <v>84.293999999999997</v>
      </c>
      <c r="L5285" s="3">
        <f>(Table1[[#This Row],[Profit]]/Table1[[#This Row],[Sales]])*100</f>
        <v>17.647058823529409</v>
      </c>
    </row>
    <row r="5286" spans="1:12" x14ac:dyDescent="0.3">
      <c r="A5286" t="s">
        <v>671</v>
      </c>
      <c r="B5286" s="1">
        <v>43539</v>
      </c>
      <c r="C5286" t="s">
        <v>672</v>
      </c>
      <c r="D5286" t="s">
        <v>673</v>
      </c>
      <c r="E5286" t="s">
        <v>14</v>
      </c>
      <c r="F5286" t="s">
        <v>23</v>
      </c>
      <c r="G5286" t="s">
        <v>16</v>
      </c>
      <c r="H5286" t="s">
        <v>675</v>
      </c>
      <c r="I5286" s="2">
        <v>1352.0319999999999</v>
      </c>
      <c r="J5286">
        <v>4</v>
      </c>
      <c r="K5286" s="2">
        <v>84.501999999999995</v>
      </c>
      <c r="L5286" s="3">
        <f>(Table1[[#This Row],[Profit]]/Table1[[#This Row],[Sales]])*100</f>
        <v>6.25</v>
      </c>
    </row>
    <row r="5287" spans="1:12" x14ac:dyDescent="0.3">
      <c r="A5287" t="s">
        <v>1863</v>
      </c>
      <c r="B5287" s="1">
        <v>43642</v>
      </c>
      <c r="C5287" t="s">
        <v>1864</v>
      </c>
      <c r="D5287" t="s">
        <v>1865</v>
      </c>
      <c r="E5287" t="s">
        <v>14</v>
      </c>
      <c r="F5287" t="s">
        <v>15</v>
      </c>
      <c r="G5287" t="s">
        <v>24</v>
      </c>
      <c r="H5287" t="s">
        <v>1494</v>
      </c>
      <c r="I5287" s="2">
        <v>704.25</v>
      </c>
      <c r="J5287">
        <v>5</v>
      </c>
      <c r="K5287" s="2">
        <v>84.51</v>
      </c>
      <c r="L5287" s="3">
        <f>(Table1[[#This Row],[Profit]]/Table1[[#This Row],[Sales]])*100</f>
        <v>12.000000000000002</v>
      </c>
    </row>
    <row r="5288" spans="1:12" x14ac:dyDescent="0.3">
      <c r="A5288" t="s">
        <v>4544</v>
      </c>
      <c r="B5288" s="1">
        <v>43949</v>
      </c>
      <c r="C5288" t="s">
        <v>1626</v>
      </c>
      <c r="D5288" t="s">
        <v>1627</v>
      </c>
      <c r="E5288" t="s">
        <v>14</v>
      </c>
      <c r="F5288" t="s">
        <v>41</v>
      </c>
      <c r="G5288" t="s">
        <v>18</v>
      </c>
      <c r="H5288" t="s">
        <v>322</v>
      </c>
      <c r="I5288" s="2">
        <v>773.98400000000004</v>
      </c>
      <c r="J5288">
        <v>2</v>
      </c>
      <c r="K5288" s="2">
        <v>84.598200000000006</v>
      </c>
      <c r="L5288" s="3">
        <f>(Table1[[#This Row],[Profit]]/Table1[[#This Row],[Sales]])*100</f>
        <v>10.93022594782321</v>
      </c>
    </row>
    <row r="5289" spans="1:12" x14ac:dyDescent="0.3">
      <c r="A5289" t="s">
        <v>5365</v>
      </c>
      <c r="B5289" s="1">
        <v>44085</v>
      </c>
      <c r="C5289" t="s">
        <v>847</v>
      </c>
      <c r="D5289" t="s">
        <v>848</v>
      </c>
      <c r="E5289" t="s">
        <v>14</v>
      </c>
      <c r="F5289" t="s">
        <v>41</v>
      </c>
      <c r="G5289" t="s">
        <v>24</v>
      </c>
      <c r="H5289" t="s">
        <v>96</v>
      </c>
      <c r="I5289" s="2">
        <v>197.66</v>
      </c>
      <c r="J5289">
        <v>7</v>
      </c>
      <c r="K5289" s="2">
        <v>84.943600000000004</v>
      </c>
      <c r="L5289" s="3">
        <f>(Table1[[#This Row],[Profit]]/Table1[[#This Row],[Sales]])*100</f>
        <v>42.974602853384603</v>
      </c>
    </row>
    <row r="5290" spans="1:12" x14ac:dyDescent="0.3">
      <c r="A5290" t="s">
        <v>4403</v>
      </c>
      <c r="B5290" s="1">
        <v>43922</v>
      </c>
      <c r="C5290" t="s">
        <v>3625</v>
      </c>
      <c r="D5290" t="s">
        <v>3626</v>
      </c>
      <c r="E5290" t="s">
        <v>14</v>
      </c>
      <c r="F5290" t="s">
        <v>23</v>
      </c>
      <c r="G5290" t="s">
        <v>16</v>
      </c>
      <c r="H5290" t="s">
        <v>2567</v>
      </c>
      <c r="I5290" s="2">
        <v>527.66399999999999</v>
      </c>
      <c r="J5290">
        <v>8</v>
      </c>
      <c r="K5290" s="2">
        <v>85.176000000000002</v>
      </c>
      <c r="L5290" s="3">
        <f>(Table1[[#This Row],[Profit]]/Table1[[#This Row],[Sales]])*100</f>
        <v>16.142090421177112</v>
      </c>
    </row>
    <row r="5291" spans="1:12" x14ac:dyDescent="0.3">
      <c r="A5291" t="s">
        <v>3561</v>
      </c>
      <c r="B5291" s="1">
        <v>43793</v>
      </c>
      <c r="C5291" t="s">
        <v>75</v>
      </c>
      <c r="D5291" t="s">
        <v>76</v>
      </c>
      <c r="E5291" t="s">
        <v>14</v>
      </c>
      <c r="F5291" t="s">
        <v>15</v>
      </c>
      <c r="G5291" t="s">
        <v>16</v>
      </c>
      <c r="H5291" t="s">
        <v>3356</v>
      </c>
      <c r="I5291" s="2">
        <v>207.76</v>
      </c>
      <c r="J5291">
        <v>4</v>
      </c>
      <c r="K5291" s="2">
        <v>85.181600000000003</v>
      </c>
      <c r="L5291" s="3">
        <f>(Table1[[#This Row],[Profit]]/Table1[[#This Row],[Sales]])*100</f>
        <v>41</v>
      </c>
    </row>
    <row r="5292" spans="1:12" x14ac:dyDescent="0.3">
      <c r="A5292" t="s">
        <v>527</v>
      </c>
      <c r="B5292" s="1">
        <v>43532</v>
      </c>
      <c r="C5292" t="s">
        <v>528</v>
      </c>
      <c r="D5292" t="s">
        <v>529</v>
      </c>
      <c r="E5292" t="s">
        <v>14</v>
      </c>
      <c r="F5292" t="s">
        <v>41</v>
      </c>
      <c r="G5292" t="s">
        <v>18</v>
      </c>
      <c r="H5292" t="s">
        <v>530</v>
      </c>
      <c r="I5292" s="2">
        <v>1363.96</v>
      </c>
      <c r="J5292">
        <v>5</v>
      </c>
      <c r="K5292" s="2">
        <v>85.247500000000002</v>
      </c>
      <c r="L5292" s="3">
        <f>(Table1[[#This Row],[Profit]]/Table1[[#This Row],[Sales]])*100</f>
        <v>6.25</v>
      </c>
    </row>
    <row r="5293" spans="1:12" x14ac:dyDescent="0.3">
      <c r="A5293" t="s">
        <v>1435</v>
      </c>
      <c r="B5293" s="1">
        <v>43605</v>
      </c>
      <c r="C5293" t="s">
        <v>1436</v>
      </c>
      <c r="D5293" t="s">
        <v>1437</v>
      </c>
      <c r="E5293" t="s">
        <v>14</v>
      </c>
      <c r="F5293" t="s">
        <v>41</v>
      </c>
      <c r="G5293" t="s">
        <v>18</v>
      </c>
      <c r="H5293" t="s">
        <v>530</v>
      </c>
      <c r="I5293" s="2">
        <v>1363.96</v>
      </c>
      <c r="J5293">
        <v>5</v>
      </c>
      <c r="K5293" s="2">
        <v>85.247500000000002</v>
      </c>
      <c r="L5293" s="3">
        <f>(Table1[[#This Row],[Profit]]/Table1[[#This Row],[Sales]])*100</f>
        <v>6.25</v>
      </c>
    </row>
    <row r="5294" spans="1:12" x14ac:dyDescent="0.3">
      <c r="A5294" t="s">
        <v>5267</v>
      </c>
      <c r="B5294" s="1">
        <v>44077</v>
      </c>
      <c r="C5294" t="s">
        <v>231</v>
      </c>
      <c r="D5294" t="s">
        <v>232</v>
      </c>
      <c r="E5294" t="s">
        <v>14</v>
      </c>
      <c r="F5294" t="s">
        <v>23</v>
      </c>
      <c r="G5294" t="s">
        <v>18</v>
      </c>
      <c r="H5294" t="s">
        <v>640</v>
      </c>
      <c r="I5294" s="2">
        <v>313.97000000000003</v>
      </c>
      <c r="J5294">
        <v>3</v>
      </c>
      <c r="K5294" s="2">
        <v>85.491</v>
      </c>
      <c r="L5294" s="3">
        <f>(Table1[[#This Row],[Profit]]/Table1[[#This Row],[Sales]])*100</f>
        <v>27.229034621142144</v>
      </c>
    </row>
    <row r="5295" spans="1:12" x14ac:dyDescent="0.3">
      <c r="A5295" t="s">
        <v>5497</v>
      </c>
      <c r="B5295" s="1">
        <v>44098</v>
      </c>
      <c r="C5295" t="s">
        <v>971</v>
      </c>
      <c r="D5295" t="s">
        <v>972</v>
      </c>
      <c r="E5295" t="s">
        <v>14</v>
      </c>
      <c r="F5295" t="s">
        <v>41</v>
      </c>
      <c r="G5295" t="s">
        <v>24</v>
      </c>
      <c r="H5295" t="s">
        <v>3262</v>
      </c>
      <c r="I5295" s="2">
        <v>245.94399999999999</v>
      </c>
      <c r="J5295">
        <v>3</v>
      </c>
      <c r="K5295" s="2">
        <v>85.529700000000005</v>
      </c>
      <c r="L5295" s="3">
        <f>(Table1[[#This Row],[Profit]]/Table1[[#This Row],[Sales]])*100</f>
        <v>34.77608723937157</v>
      </c>
    </row>
    <row r="5296" spans="1:12" x14ac:dyDescent="0.3">
      <c r="A5296" t="s">
        <v>4965</v>
      </c>
      <c r="B5296" s="1">
        <v>44019</v>
      </c>
      <c r="C5296" t="s">
        <v>1547</v>
      </c>
      <c r="D5296" t="s">
        <v>1548</v>
      </c>
      <c r="E5296" t="s">
        <v>14</v>
      </c>
      <c r="F5296" t="s">
        <v>15</v>
      </c>
      <c r="G5296" t="s">
        <v>18</v>
      </c>
      <c r="H5296" t="s">
        <v>1568</v>
      </c>
      <c r="I5296" s="2">
        <v>557.91999999999996</v>
      </c>
      <c r="J5296">
        <v>2</v>
      </c>
      <c r="K5296" s="2">
        <v>85.787000000000006</v>
      </c>
      <c r="L5296" s="3">
        <f>(Table1[[#This Row],[Profit]]/Table1[[#This Row],[Sales]])*100</f>
        <v>15.376218812733011</v>
      </c>
    </row>
    <row r="5297" spans="1:12" x14ac:dyDescent="0.3">
      <c r="A5297" t="s">
        <v>5081</v>
      </c>
      <c r="B5297" s="1">
        <v>44042</v>
      </c>
      <c r="C5297" t="s">
        <v>1183</v>
      </c>
      <c r="D5297" t="s">
        <v>1184</v>
      </c>
      <c r="E5297" t="s">
        <v>14</v>
      </c>
      <c r="F5297" t="s">
        <v>23</v>
      </c>
      <c r="G5297" t="s">
        <v>24</v>
      </c>
      <c r="H5297" t="s">
        <v>5082</v>
      </c>
      <c r="I5297" s="2">
        <v>361.4</v>
      </c>
      <c r="J5297">
        <v>2</v>
      </c>
      <c r="K5297" s="2">
        <v>85.903999999999996</v>
      </c>
      <c r="L5297" s="3">
        <f>(Table1[[#This Row],[Profit]]/Table1[[#This Row],[Sales]])*100</f>
        <v>23.769784172661872</v>
      </c>
    </row>
    <row r="5298" spans="1:12" x14ac:dyDescent="0.3">
      <c r="A5298" t="s">
        <v>6248</v>
      </c>
      <c r="B5298" s="1">
        <v>44188</v>
      </c>
      <c r="C5298" t="s">
        <v>6249</v>
      </c>
      <c r="D5298" t="s">
        <v>6250</v>
      </c>
      <c r="E5298" t="s">
        <v>14</v>
      </c>
      <c r="F5298" t="s">
        <v>41</v>
      </c>
      <c r="G5298" t="s">
        <v>24</v>
      </c>
      <c r="H5298" t="s">
        <v>548</v>
      </c>
      <c r="I5298" s="2">
        <v>552.94000000000005</v>
      </c>
      <c r="J5298">
        <v>3</v>
      </c>
      <c r="K5298" s="2">
        <v>85.981800000000007</v>
      </c>
      <c r="L5298" s="3">
        <f>(Table1[[#This Row],[Profit]]/Table1[[#This Row],[Sales]])*100</f>
        <v>15.54993308496401</v>
      </c>
    </row>
    <row r="5299" spans="1:12" x14ac:dyDescent="0.3">
      <c r="A5299" t="s">
        <v>4297</v>
      </c>
      <c r="B5299" s="1">
        <v>43909</v>
      </c>
      <c r="C5299" t="s">
        <v>1235</v>
      </c>
      <c r="D5299" t="s">
        <v>1236</v>
      </c>
      <c r="E5299" t="s">
        <v>14</v>
      </c>
      <c r="F5299" t="s">
        <v>23</v>
      </c>
      <c r="G5299" t="s">
        <v>18</v>
      </c>
      <c r="H5299" t="s">
        <v>184</v>
      </c>
      <c r="I5299" s="2">
        <v>238.96</v>
      </c>
      <c r="J5299">
        <v>4</v>
      </c>
      <c r="K5299" s="2">
        <v>85.982799999999997</v>
      </c>
      <c r="L5299" s="3">
        <f>(Table1[[#This Row],[Profit]]/Table1[[#This Row],[Sales]])*100</f>
        <v>35.982089052561093</v>
      </c>
    </row>
    <row r="5300" spans="1:12" x14ac:dyDescent="0.3">
      <c r="A5300" t="s">
        <v>3163</v>
      </c>
      <c r="B5300" s="1">
        <v>43762</v>
      </c>
      <c r="C5300" t="s">
        <v>1303</v>
      </c>
      <c r="D5300" t="s">
        <v>1304</v>
      </c>
      <c r="E5300" t="s">
        <v>14</v>
      </c>
      <c r="F5300" t="s">
        <v>23</v>
      </c>
      <c r="G5300" t="s">
        <v>18</v>
      </c>
      <c r="H5300" t="s">
        <v>3164</v>
      </c>
      <c r="I5300" s="2">
        <v>199.99</v>
      </c>
      <c r="J5300">
        <v>1</v>
      </c>
      <c r="K5300" s="2">
        <v>85.995699999999999</v>
      </c>
      <c r="L5300" s="3">
        <f>(Table1[[#This Row],[Profit]]/Table1[[#This Row],[Sales]])*100</f>
        <v>43</v>
      </c>
    </row>
    <row r="5301" spans="1:12" x14ac:dyDescent="0.3">
      <c r="A5301" t="s">
        <v>1459</v>
      </c>
      <c r="B5301" s="1">
        <v>43607</v>
      </c>
      <c r="C5301" t="s">
        <v>1145</v>
      </c>
      <c r="D5301" t="s">
        <v>1146</v>
      </c>
      <c r="E5301" t="s">
        <v>14</v>
      </c>
      <c r="F5301" t="s">
        <v>15</v>
      </c>
      <c r="G5301" t="s">
        <v>18</v>
      </c>
      <c r="H5301" t="s">
        <v>1164</v>
      </c>
      <c r="I5301" s="2">
        <v>345</v>
      </c>
      <c r="J5301">
        <v>5</v>
      </c>
      <c r="K5301" s="2">
        <v>86.25</v>
      </c>
      <c r="L5301" s="3">
        <f>(Table1[[#This Row],[Profit]]/Table1[[#This Row],[Sales]])*100</f>
        <v>25</v>
      </c>
    </row>
    <row r="5302" spans="1:12" x14ac:dyDescent="0.3">
      <c r="A5302" t="s">
        <v>2269</v>
      </c>
      <c r="B5302" s="1">
        <v>43684</v>
      </c>
      <c r="C5302" t="s">
        <v>2270</v>
      </c>
      <c r="D5302" t="s">
        <v>2271</v>
      </c>
      <c r="E5302" t="s">
        <v>14</v>
      </c>
      <c r="F5302" t="s">
        <v>23</v>
      </c>
      <c r="G5302" t="s">
        <v>18</v>
      </c>
      <c r="H5302" t="s">
        <v>2272</v>
      </c>
      <c r="I5302" s="2">
        <v>179.97</v>
      </c>
      <c r="J5302">
        <v>3</v>
      </c>
      <c r="K5302" s="2">
        <v>86.385599999999997</v>
      </c>
      <c r="L5302" s="3">
        <f>(Table1[[#This Row],[Profit]]/Table1[[#This Row],[Sales]])*100</f>
        <v>48</v>
      </c>
    </row>
    <row r="5303" spans="1:12" x14ac:dyDescent="0.3">
      <c r="A5303" t="s">
        <v>4043</v>
      </c>
      <c r="B5303" s="1">
        <v>43851</v>
      </c>
      <c r="C5303" t="s">
        <v>4044</v>
      </c>
      <c r="D5303" t="s">
        <v>4045</v>
      </c>
      <c r="E5303" t="s">
        <v>14</v>
      </c>
      <c r="F5303" t="s">
        <v>23</v>
      </c>
      <c r="G5303" t="s">
        <v>18</v>
      </c>
      <c r="H5303" t="s">
        <v>2272</v>
      </c>
      <c r="I5303" s="2">
        <v>207.97</v>
      </c>
      <c r="J5303">
        <v>3</v>
      </c>
      <c r="K5303" s="2">
        <v>86.385599999999997</v>
      </c>
      <c r="L5303" s="3">
        <f>(Table1[[#This Row],[Profit]]/Table1[[#This Row],[Sales]])*100</f>
        <v>41.537529451363177</v>
      </c>
    </row>
    <row r="5304" spans="1:12" x14ac:dyDescent="0.3">
      <c r="A5304" t="s">
        <v>3638</v>
      </c>
      <c r="B5304" s="1">
        <v>43800</v>
      </c>
      <c r="C5304" t="s">
        <v>1782</v>
      </c>
      <c r="D5304" t="s">
        <v>1783</v>
      </c>
      <c r="E5304" t="s">
        <v>14</v>
      </c>
      <c r="F5304" t="s">
        <v>41</v>
      </c>
      <c r="G5304" t="s">
        <v>18</v>
      </c>
      <c r="H5304" t="s">
        <v>3314</v>
      </c>
      <c r="I5304" s="2">
        <v>863.928</v>
      </c>
      <c r="J5304">
        <v>9</v>
      </c>
      <c r="K5304" s="2">
        <v>86.392799999999994</v>
      </c>
      <c r="L5304" s="3">
        <f>(Table1[[#This Row],[Profit]]/Table1[[#This Row],[Sales]])*100</f>
        <v>10</v>
      </c>
    </row>
    <row r="5305" spans="1:12" x14ac:dyDescent="0.3">
      <c r="A5305" t="s">
        <v>5511</v>
      </c>
      <c r="B5305" s="1">
        <v>44099</v>
      </c>
      <c r="C5305" t="s">
        <v>3212</v>
      </c>
      <c r="D5305" t="s">
        <v>3213</v>
      </c>
      <c r="E5305" t="s">
        <v>14</v>
      </c>
      <c r="F5305" t="s">
        <v>15</v>
      </c>
      <c r="G5305" t="s">
        <v>16</v>
      </c>
      <c r="H5305" t="s">
        <v>146</v>
      </c>
      <c r="I5305" s="2">
        <v>503.64600000000002</v>
      </c>
      <c r="J5305">
        <v>3</v>
      </c>
      <c r="K5305" s="2">
        <v>86.870400000000004</v>
      </c>
      <c r="L5305" s="3">
        <f>(Table1[[#This Row],[Profit]]/Table1[[#This Row],[Sales]])*100</f>
        <v>17.248305357334317</v>
      </c>
    </row>
    <row r="5306" spans="1:12" x14ac:dyDescent="0.3">
      <c r="A5306" t="s">
        <v>705</v>
      </c>
      <c r="B5306" s="1">
        <v>43542</v>
      </c>
      <c r="C5306" t="s">
        <v>706</v>
      </c>
      <c r="D5306" t="s">
        <v>707</v>
      </c>
      <c r="E5306" t="s">
        <v>14</v>
      </c>
      <c r="F5306" t="s">
        <v>41</v>
      </c>
      <c r="G5306" t="s">
        <v>24</v>
      </c>
      <c r="H5306" t="s">
        <v>708</v>
      </c>
      <c r="I5306" s="2">
        <v>871.8</v>
      </c>
      <c r="J5306">
        <v>3</v>
      </c>
      <c r="K5306" s="2">
        <v>87.18</v>
      </c>
      <c r="L5306" s="3">
        <f>(Table1[[#This Row],[Profit]]/Table1[[#This Row],[Sales]])*100</f>
        <v>10.000000000000002</v>
      </c>
    </row>
    <row r="5307" spans="1:12" x14ac:dyDescent="0.3">
      <c r="A5307" t="s">
        <v>5999</v>
      </c>
      <c r="B5307" s="1">
        <v>44159</v>
      </c>
      <c r="C5307" t="s">
        <v>1183</v>
      </c>
      <c r="D5307" t="s">
        <v>1184</v>
      </c>
      <c r="E5307" t="s">
        <v>14</v>
      </c>
      <c r="F5307" t="s">
        <v>23</v>
      </c>
      <c r="G5307" t="s">
        <v>18</v>
      </c>
      <c r="H5307" t="s">
        <v>3803</v>
      </c>
      <c r="I5307" s="2">
        <v>249.58</v>
      </c>
      <c r="J5307">
        <v>14</v>
      </c>
      <c r="K5307" s="2">
        <v>87.196200000000005</v>
      </c>
      <c r="L5307" s="3">
        <f>(Table1[[#This Row],[Profit]]/Table1[[#This Row],[Sales]])*100</f>
        <v>34.937174453081177</v>
      </c>
    </row>
    <row r="5308" spans="1:12" x14ac:dyDescent="0.3">
      <c r="A5308" t="s">
        <v>6300</v>
      </c>
      <c r="B5308" s="1">
        <v>44194</v>
      </c>
      <c r="C5308" t="s">
        <v>1947</v>
      </c>
      <c r="D5308" t="s">
        <v>1948</v>
      </c>
      <c r="E5308" t="s">
        <v>14</v>
      </c>
      <c r="F5308" t="s">
        <v>41</v>
      </c>
      <c r="G5308" t="s">
        <v>16</v>
      </c>
      <c r="H5308" t="s">
        <v>3400</v>
      </c>
      <c r="I5308" s="2">
        <v>351.98</v>
      </c>
      <c r="J5308">
        <v>1</v>
      </c>
      <c r="K5308" s="2">
        <v>87.284199999999998</v>
      </c>
      <c r="L5308" s="3">
        <f>(Table1[[#This Row],[Profit]]/Table1[[#This Row],[Sales]])*100</f>
        <v>24.798056707767486</v>
      </c>
    </row>
    <row r="5309" spans="1:12" x14ac:dyDescent="0.3">
      <c r="A5309" t="s">
        <v>2443</v>
      </c>
      <c r="B5309" s="1">
        <v>43703</v>
      </c>
      <c r="C5309" t="s">
        <v>754</v>
      </c>
      <c r="D5309" t="s">
        <v>755</v>
      </c>
      <c r="E5309" t="s">
        <v>14</v>
      </c>
      <c r="F5309" t="s">
        <v>15</v>
      </c>
      <c r="G5309" t="s">
        <v>18</v>
      </c>
      <c r="H5309" t="s">
        <v>571</v>
      </c>
      <c r="I5309" s="2">
        <v>249.95</v>
      </c>
      <c r="J5309">
        <v>5</v>
      </c>
      <c r="K5309" s="2">
        <v>87.482500000000002</v>
      </c>
      <c r="L5309" s="3">
        <f>(Table1[[#This Row],[Profit]]/Table1[[#This Row],[Sales]])*100</f>
        <v>35</v>
      </c>
    </row>
    <row r="5310" spans="1:12" x14ac:dyDescent="0.3">
      <c r="A5310" t="s">
        <v>4509</v>
      </c>
      <c r="B5310" s="1">
        <v>43943</v>
      </c>
      <c r="C5310" t="s">
        <v>428</v>
      </c>
      <c r="D5310" t="s">
        <v>429</v>
      </c>
      <c r="E5310" t="s">
        <v>14</v>
      </c>
      <c r="F5310" t="s">
        <v>41</v>
      </c>
      <c r="G5310" t="s">
        <v>24</v>
      </c>
      <c r="H5310" t="s">
        <v>338</v>
      </c>
      <c r="I5310" s="2">
        <v>689.06</v>
      </c>
      <c r="J5310">
        <v>3</v>
      </c>
      <c r="K5310" s="2">
        <v>87.757800000000003</v>
      </c>
      <c r="L5310" s="3">
        <f>(Table1[[#This Row],[Profit]]/Table1[[#This Row],[Sales]])*100</f>
        <v>12.735872057585699</v>
      </c>
    </row>
    <row r="5311" spans="1:12" x14ac:dyDescent="0.3">
      <c r="A5311" t="s">
        <v>553</v>
      </c>
      <c r="B5311" s="1">
        <v>43533</v>
      </c>
      <c r="C5311" t="s">
        <v>554</v>
      </c>
      <c r="D5311" t="s">
        <v>555</v>
      </c>
      <c r="E5311" t="s">
        <v>14</v>
      </c>
      <c r="F5311" t="s">
        <v>15</v>
      </c>
      <c r="G5311" t="s">
        <v>18</v>
      </c>
      <c r="H5311" t="s">
        <v>556</v>
      </c>
      <c r="I5311" s="2">
        <v>199.75</v>
      </c>
      <c r="J5311">
        <v>5</v>
      </c>
      <c r="K5311" s="2">
        <v>87.89</v>
      </c>
      <c r="L5311" s="3">
        <f>(Table1[[#This Row],[Profit]]/Table1[[#This Row],[Sales]])*100</f>
        <v>44</v>
      </c>
    </row>
    <row r="5312" spans="1:12" x14ac:dyDescent="0.3">
      <c r="A5312" t="s">
        <v>5755</v>
      </c>
      <c r="B5312" s="1">
        <v>44138</v>
      </c>
      <c r="C5312" t="s">
        <v>1056</v>
      </c>
      <c r="D5312" t="s">
        <v>1057</v>
      </c>
      <c r="E5312" t="s">
        <v>14</v>
      </c>
      <c r="F5312" t="s">
        <v>23</v>
      </c>
      <c r="G5312" t="s">
        <v>18</v>
      </c>
      <c r="H5312" t="s">
        <v>556</v>
      </c>
      <c r="I5312" s="2">
        <v>220.75</v>
      </c>
      <c r="J5312">
        <v>5</v>
      </c>
      <c r="K5312" s="2">
        <v>87.89</v>
      </c>
      <c r="L5312" s="3">
        <f>(Table1[[#This Row],[Profit]]/Table1[[#This Row],[Sales]])*100</f>
        <v>39.814269535673844</v>
      </c>
    </row>
    <row r="5313" spans="1:12" x14ac:dyDescent="0.3">
      <c r="A5313" t="s">
        <v>4614</v>
      </c>
      <c r="B5313" s="1">
        <v>43960</v>
      </c>
      <c r="C5313" t="s">
        <v>2520</v>
      </c>
      <c r="D5313" t="s">
        <v>2521</v>
      </c>
      <c r="E5313" t="s">
        <v>14</v>
      </c>
      <c r="F5313" t="s">
        <v>23</v>
      </c>
      <c r="G5313" t="s">
        <v>18</v>
      </c>
      <c r="H5313" t="s">
        <v>4615</v>
      </c>
      <c r="I5313" s="2">
        <v>217.98</v>
      </c>
      <c r="J5313">
        <v>2</v>
      </c>
      <c r="K5313" s="2">
        <v>87.991200000000006</v>
      </c>
      <c r="L5313" s="3">
        <f>(Table1[[#This Row],[Profit]]/Table1[[#This Row],[Sales]])*100</f>
        <v>40.366639141205617</v>
      </c>
    </row>
    <row r="5314" spans="1:12" x14ac:dyDescent="0.3">
      <c r="A5314" t="s">
        <v>1291</v>
      </c>
      <c r="B5314" s="1">
        <v>43593</v>
      </c>
      <c r="C5314" t="s">
        <v>1292</v>
      </c>
      <c r="D5314" t="s">
        <v>1293</v>
      </c>
      <c r="E5314" t="s">
        <v>14</v>
      </c>
      <c r="F5314" t="s">
        <v>15</v>
      </c>
      <c r="G5314" t="s">
        <v>24</v>
      </c>
      <c r="H5314" t="s">
        <v>1294</v>
      </c>
      <c r="I5314" s="2">
        <v>1006.056</v>
      </c>
      <c r="J5314">
        <v>3</v>
      </c>
      <c r="K5314" s="2">
        <v>88.029899999999998</v>
      </c>
      <c r="L5314" s="3">
        <f>(Table1[[#This Row],[Profit]]/Table1[[#This Row],[Sales]])*100</f>
        <v>8.75</v>
      </c>
    </row>
    <row r="5315" spans="1:12" x14ac:dyDescent="0.3">
      <c r="A5315" t="s">
        <v>1596</v>
      </c>
      <c r="B5315" s="1">
        <v>43616</v>
      </c>
      <c r="C5315" t="s">
        <v>59</v>
      </c>
      <c r="D5315" t="s">
        <v>60</v>
      </c>
      <c r="E5315" t="s">
        <v>14</v>
      </c>
      <c r="F5315" t="s">
        <v>15</v>
      </c>
      <c r="G5315" t="s">
        <v>18</v>
      </c>
      <c r="H5315" t="s">
        <v>1598</v>
      </c>
      <c r="I5315" s="2">
        <v>179.7</v>
      </c>
      <c r="J5315">
        <v>6</v>
      </c>
      <c r="K5315" s="2">
        <v>88.052999999999997</v>
      </c>
      <c r="L5315" s="3">
        <f>(Table1[[#This Row],[Profit]]/Table1[[#This Row],[Sales]])*100</f>
        <v>49</v>
      </c>
    </row>
    <row r="5316" spans="1:12" x14ac:dyDescent="0.3">
      <c r="A5316" t="s">
        <v>4432</v>
      </c>
      <c r="B5316" s="1">
        <v>43930</v>
      </c>
      <c r="C5316" t="s">
        <v>3869</v>
      </c>
      <c r="D5316" t="s">
        <v>3870</v>
      </c>
      <c r="E5316" t="s">
        <v>14</v>
      </c>
      <c r="F5316" t="s">
        <v>41</v>
      </c>
      <c r="G5316" t="s">
        <v>24</v>
      </c>
      <c r="H5316" t="s">
        <v>1520</v>
      </c>
      <c r="I5316" s="2">
        <v>266.64</v>
      </c>
      <c r="J5316">
        <v>3</v>
      </c>
      <c r="K5316" s="2">
        <v>88.073999999999998</v>
      </c>
      <c r="L5316" s="3">
        <f>(Table1[[#This Row],[Profit]]/Table1[[#This Row],[Sales]])*100</f>
        <v>33.031053105310534</v>
      </c>
    </row>
    <row r="5317" spans="1:12" x14ac:dyDescent="0.3">
      <c r="A5317" t="s">
        <v>5485</v>
      </c>
      <c r="B5317" s="1">
        <v>44097</v>
      </c>
      <c r="C5317" t="s">
        <v>314</v>
      </c>
      <c r="D5317" t="s">
        <v>315</v>
      </c>
      <c r="E5317" t="s">
        <v>14</v>
      </c>
      <c r="F5317" t="s">
        <v>41</v>
      </c>
      <c r="G5317" t="s">
        <v>24</v>
      </c>
      <c r="H5317" t="s">
        <v>5189</v>
      </c>
      <c r="I5317" s="2">
        <v>277.64</v>
      </c>
      <c r="J5317">
        <v>3</v>
      </c>
      <c r="K5317" s="2">
        <v>88.073999999999998</v>
      </c>
      <c r="L5317" s="3">
        <f>(Table1[[#This Row],[Profit]]/Table1[[#This Row],[Sales]])*100</f>
        <v>31.722374297651633</v>
      </c>
    </row>
    <row r="5318" spans="1:12" x14ac:dyDescent="0.3">
      <c r="A5318" t="s">
        <v>4257</v>
      </c>
      <c r="B5318" s="1">
        <v>43903</v>
      </c>
      <c r="C5318" t="s">
        <v>1677</v>
      </c>
      <c r="D5318" t="s">
        <v>1678</v>
      </c>
      <c r="E5318" t="s">
        <v>14</v>
      </c>
      <c r="F5318" t="s">
        <v>23</v>
      </c>
      <c r="G5318" t="s">
        <v>18</v>
      </c>
      <c r="H5318" t="s">
        <v>3276</v>
      </c>
      <c r="I5318" s="2">
        <v>232.95</v>
      </c>
      <c r="J5318">
        <v>5</v>
      </c>
      <c r="K5318" s="2">
        <v>88.129499999999993</v>
      </c>
      <c r="L5318" s="3">
        <f>(Table1[[#This Row],[Profit]]/Table1[[#This Row],[Sales]])*100</f>
        <v>37.831938184159689</v>
      </c>
    </row>
    <row r="5319" spans="1:12" x14ac:dyDescent="0.3">
      <c r="A5319" t="s">
        <v>2829</v>
      </c>
      <c r="B5319" s="1">
        <v>43728</v>
      </c>
      <c r="C5319" t="s">
        <v>2830</v>
      </c>
      <c r="D5319" t="s">
        <v>2831</v>
      </c>
      <c r="E5319" t="s">
        <v>14</v>
      </c>
      <c r="F5319" t="s">
        <v>23</v>
      </c>
      <c r="G5319" t="s">
        <v>24</v>
      </c>
      <c r="H5319" t="s">
        <v>2832</v>
      </c>
      <c r="I5319" s="2">
        <v>271.98399999999998</v>
      </c>
      <c r="J5319">
        <v>2</v>
      </c>
      <c r="K5319" s="2">
        <v>88.394800000000004</v>
      </c>
      <c r="L5319" s="3">
        <f>(Table1[[#This Row],[Profit]]/Table1[[#This Row],[Sales]])*100</f>
        <v>32.5</v>
      </c>
    </row>
    <row r="5320" spans="1:12" x14ac:dyDescent="0.3">
      <c r="A5320" t="s">
        <v>5426</v>
      </c>
      <c r="B5320" s="1">
        <v>44091</v>
      </c>
      <c r="C5320" t="s">
        <v>544</v>
      </c>
      <c r="D5320" t="s">
        <v>545</v>
      </c>
      <c r="E5320" t="s">
        <v>14</v>
      </c>
      <c r="F5320" t="s">
        <v>29</v>
      </c>
      <c r="G5320" t="s">
        <v>18</v>
      </c>
      <c r="H5320" t="s">
        <v>5127</v>
      </c>
      <c r="I5320" s="2">
        <v>1448.76</v>
      </c>
      <c r="J5320">
        <v>6</v>
      </c>
      <c r="K5320" s="2">
        <v>88.484999999999999</v>
      </c>
      <c r="L5320" s="3">
        <f>(Table1[[#This Row],[Profit]]/Table1[[#This Row],[Sales]])*100</f>
        <v>6.1076368756729895</v>
      </c>
    </row>
    <row r="5321" spans="1:12" x14ac:dyDescent="0.3">
      <c r="A5321" t="s">
        <v>5017</v>
      </c>
      <c r="B5321" s="1">
        <v>44027</v>
      </c>
      <c r="C5321" t="s">
        <v>4608</v>
      </c>
      <c r="D5321" t="s">
        <v>4609</v>
      </c>
      <c r="E5321" t="s">
        <v>14</v>
      </c>
      <c r="F5321" t="s">
        <v>15</v>
      </c>
      <c r="G5321" t="s">
        <v>16</v>
      </c>
      <c r="H5321" t="s">
        <v>1283</v>
      </c>
      <c r="I5321" s="2">
        <v>699.14599999999996</v>
      </c>
      <c r="J5321">
        <v>6</v>
      </c>
      <c r="K5321" s="2">
        <v>88.552800000000005</v>
      </c>
      <c r="L5321" s="3">
        <f>(Table1[[#This Row],[Profit]]/Table1[[#This Row],[Sales]])*100</f>
        <v>12.665852339854625</v>
      </c>
    </row>
    <row r="5322" spans="1:12" x14ac:dyDescent="0.3">
      <c r="A5322" t="s">
        <v>557</v>
      </c>
      <c r="B5322" s="1">
        <v>43533</v>
      </c>
      <c r="C5322" t="s">
        <v>558</v>
      </c>
      <c r="D5322" t="s">
        <v>559</v>
      </c>
      <c r="E5322" t="s">
        <v>14</v>
      </c>
      <c r="F5322" t="s">
        <v>15</v>
      </c>
      <c r="G5322" t="s">
        <v>16</v>
      </c>
      <c r="H5322" t="s">
        <v>561</v>
      </c>
      <c r="I5322" s="2">
        <v>354.9</v>
      </c>
      <c r="J5322">
        <v>5</v>
      </c>
      <c r="K5322" s="2">
        <v>88.724999999999994</v>
      </c>
      <c r="L5322" s="3">
        <f>(Table1[[#This Row],[Profit]]/Table1[[#This Row],[Sales]])*100</f>
        <v>25</v>
      </c>
    </row>
    <row r="5323" spans="1:12" x14ac:dyDescent="0.3">
      <c r="A5323" t="s">
        <v>932</v>
      </c>
      <c r="B5323" s="1">
        <v>43563</v>
      </c>
      <c r="C5323" t="s">
        <v>933</v>
      </c>
      <c r="D5323" t="s">
        <v>934</v>
      </c>
      <c r="E5323" t="s">
        <v>14</v>
      </c>
      <c r="F5323" t="s">
        <v>41</v>
      </c>
      <c r="G5323" t="s">
        <v>16</v>
      </c>
      <c r="H5323" t="s">
        <v>935</v>
      </c>
      <c r="I5323" s="2">
        <v>354.9</v>
      </c>
      <c r="J5323">
        <v>5</v>
      </c>
      <c r="K5323" s="2">
        <v>88.724999999999994</v>
      </c>
      <c r="L5323" s="3">
        <f>(Table1[[#This Row],[Profit]]/Table1[[#This Row],[Sales]])*100</f>
        <v>25</v>
      </c>
    </row>
    <row r="5324" spans="1:12" x14ac:dyDescent="0.3">
      <c r="A5324" t="s">
        <v>6088</v>
      </c>
      <c r="B5324" s="1">
        <v>44168</v>
      </c>
      <c r="C5324" t="s">
        <v>2276</v>
      </c>
      <c r="D5324" t="s">
        <v>2277</v>
      </c>
      <c r="E5324" t="s">
        <v>14</v>
      </c>
      <c r="F5324" t="s">
        <v>23</v>
      </c>
      <c r="G5324" t="s">
        <v>16</v>
      </c>
      <c r="H5324" t="s">
        <v>3591</v>
      </c>
      <c r="I5324" s="2">
        <v>547.96</v>
      </c>
      <c r="J5324">
        <v>2</v>
      </c>
      <c r="K5324" s="2">
        <v>88.733199999999997</v>
      </c>
      <c r="L5324" s="3">
        <f>(Table1[[#This Row],[Profit]]/Table1[[#This Row],[Sales]])*100</f>
        <v>16.193371778961964</v>
      </c>
    </row>
    <row r="5325" spans="1:12" x14ac:dyDescent="0.3">
      <c r="A5325" t="s">
        <v>3719</v>
      </c>
      <c r="B5325" s="1">
        <v>43805</v>
      </c>
      <c r="C5325" t="s">
        <v>380</v>
      </c>
      <c r="D5325" t="s">
        <v>381</v>
      </c>
      <c r="E5325" t="s">
        <v>14</v>
      </c>
      <c r="F5325" t="s">
        <v>23</v>
      </c>
      <c r="G5325" t="s">
        <v>24</v>
      </c>
      <c r="H5325" t="s">
        <v>1608</v>
      </c>
      <c r="I5325" s="2">
        <v>189.7</v>
      </c>
      <c r="J5325">
        <v>5</v>
      </c>
      <c r="K5325" s="2">
        <v>89.159000000000006</v>
      </c>
      <c r="L5325" s="3">
        <f>(Table1[[#This Row],[Profit]]/Table1[[#This Row],[Sales]])*100</f>
        <v>47.000000000000007</v>
      </c>
    </row>
    <row r="5326" spans="1:12" x14ac:dyDescent="0.3">
      <c r="A5326" t="s">
        <v>4183</v>
      </c>
      <c r="B5326" s="1">
        <v>43887</v>
      </c>
      <c r="C5326" t="s">
        <v>169</v>
      </c>
      <c r="D5326" t="s">
        <v>170</v>
      </c>
      <c r="E5326" t="s">
        <v>14</v>
      </c>
      <c r="F5326" t="s">
        <v>23</v>
      </c>
      <c r="G5326" t="s">
        <v>16</v>
      </c>
      <c r="H5326" t="s">
        <v>4185</v>
      </c>
      <c r="I5326" s="2">
        <v>940.22400000000005</v>
      </c>
      <c r="J5326">
        <v>3</v>
      </c>
      <c r="K5326" s="2">
        <v>89.222399999999993</v>
      </c>
      <c r="L5326" s="3">
        <f>(Table1[[#This Row],[Profit]]/Table1[[#This Row],[Sales]])*100</f>
        <v>9.4894833571574431</v>
      </c>
    </row>
    <row r="5327" spans="1:12" x14ac:dyDescent="0.3">
      <c r="A5327" t="s">
        <v>4677</v>
      </c>
      <c r="B5327" s="1">
        <v>43970</v>
      </c>
      <c r="C5327" t="s">
        <v>4197</v>
      </c>
      <c r="D5327" t="s">
        <v>4198</v>
      </c>
      <c r="E5327" t="s">
        <v>14</v>
      </c>
      <c r="F5327" t="s">
        <v>15</v>
      </c>
      <c r="G5327" t="s">
        <v>18</v>
      </c>
      <c r="H5327" t="s">
        <v>1170</v>
      </c>
      <c r="I5327" s="2">
        <v>326.98</v>
      </c>
      <c r="J5327">
        <v>2</v>
      </c>
      <c r="K5327" s="2">
        <v>89.3142</v>
      </c>
      <c r="L5327" s="3">
        <f>(Table1[[#This Row],[Profit]]/Table1[[#This Row],[Sales]])*100</f>
        <v>27.314881644137255</v>
      </c>
    </row>
    <row r="5328" spans="1:12" x14ac:dyDescent="0.3">
      <c r="A5328" t="s">
        <v>6124</v>
      </c>
      <c r="B5328" s="1">
        <v>44172</v>
      </c>
      <c r="C5328" t="s">
        <v>460</v>
      </c>
      <c r="D5328" t="s">
        <v>461</v>
      </c>
      <c r="E5328" t="s">
        <v>14</v>
      </c>
      <c r="F5328" t="s">
        <v>41</v>
      </c>
      <c r="G5328" t="s">
        <v>24</v>
      </c>
      <c r="H5328" t="s">
        <v>630</v>
      </c>
      <c r="I5328" s="2">
        <v>354.64</v>
      </c>
      <c r="J5328">
        <v>4</v>
      </c>
      <c r="K5328" s="2">
        <v>89.779200000000003</v>
      </c>
      <c r="L5328" s="3">
        <f>(Table1[[#This Row],[Profit]]/Table1[[#This Row],[Sales]])*100</f>
        <v>25.315587638168285</v>
      </c>
    </row>
    <row r="5329" spans="1:12" x14ac:dyDescent="0.3">
      <c r="A5329" t="s">
        <v>2372</v>
      </c>
      <c r="B5329" s="1">
        <v>43696</v>
      </c>
      <c r="C5329" t="s">
        <v>2373</v>
      </c>
      <c r="D5329" t="s">
        <v>2374</v>
      </c>
      <c r="E5329" t="s">
        <v>14</v>
      </c>
      <c r="F5329" t="s">
        <v>15</v>
      </c>
      <c r="G5329" t="s">
        <v>24</v>
      </c>
      <c r="H5329" t="s">
        <v>642</v>
      </c>
      <c r="I5329" s="2">
        <v>276.78399999999999</v>
      </c>
      <c r="J5329">
        <v>2</v>
      </c>
      <c r="K5329" s="2">
        <v>89.954800000000006</v>
      </c>
      <c r="L5329" s="3">
        <f>(Table1[[#This Row],[Profit]]/Table1[[#This Row],[Sales]])*100</f>
        <v>32.5</v>
      </c>
    </row>
    <row r="5330" spans="1:12" x14ac:dyDescent="0.3">
      <c r="A5330" t="s">
        <v>2694</v>
      </c>
      <c r="B5330" s="1">
        <v>43718</v>
      </c>
      <c r="C5330" t="s">
        <v>2695</v>
      </c>
      <c r="D5330" t="s">
        <v>2696</v>
      </c>
      <c r="E5330" t="s">
        <v>14</v>
      </c>
      <c r="F5330" t="s">
        <v>23</v>
      </c>
      <c r="G5330" t="s">
        <v>24</v>
      </c>
      <c r="H5330" t="s">
        <v>642</v>
      </c>
      <c r="I5330" s="2">
        <v>276.78399999999999</v>
      </c>
      <c r="J5330">
        <v>2</v>
      </c>
      <c r="K5330" s="2">
        <v>89.954800000000006</v>
      </c>
      <c r="L5330" s="3">
        <f>(Table1[[#This Row],[Profit]]/Table1[[#This Row],[Sales]])*100</f>
        <v>32.5</v>
      </c>
    </row>
    <row r="5331" spans="1:12" x14ac:dyDescent="0.3">
      <c r="A5331" t="s">
        <v>3312</v>
      </c>
      <c r="B5331" s="1">
        <v>43776</v>
      </c>
      <c r="C5331" t="s">
        <v>1408</v>
      </c>
      <c r="D5331" t="s">
        <v>1409</v>
      </c>
      <c r="E5331" t="s">
        <v>14</v>
      </c>
      <c r="F5331" t="s">
        <v>15</v>
      </c>
      <c r="G5331" t="s">
        <v>24</v>
      </c>
      <c r="H5331" t="s">
        <v>642</v>
      </c>
      <c r="I5331" s="2">
        <v>276.78399999999999</v>
      </c>
      <c r="J5331">
        <v>2</v>
      </c>
      <c r="K5331" s="2">
        <v>89.954800000000006</v>
      </c>
      <c r="L5331" s="3">
        <f>(Table1[[#This Row],[Profit]]/Table1[[#This Row],[Sales]])*100</f>
        <v>32.5</v>
      </c>
    </row>
    <row r="5332" spans="1:12" x14ac:dyDescent="0.3">
      <c r="A5332" t="s">
        <v>4063</v>
      </c>
      <c r="B5332" s="1">
        <v>43854</v>
      </c>
      <c r="C5332" t="s">
        <v>2760</v>
      </c>
      <c r="D5332" t="s">
        <v>2761</v>
      </c>
      <c r="E5332" t="s">
        <v>14</v>
      </c>
      <c r="F5332" t="s">
        <v>23</v>
      </c>
      <c r="G5332" t="s">
        <v>24</v>
      </c>
      <c r="H5332" t="s">
        <v>642</v>
      </c>
      <c r="I5332" s="2">
        <v>311.78399999999999</v>
      </c>
      <c r="J5332">
        <v>2</v>
      </c>
      <c r="K5332" s="2">
        <v>89.954800000000006</v>
      </c>
      <c r="L5332" s="3">
        <f>(Table1[[#This Row],[Profit]]/Table1[[#This Row],[Sales]])*100</f>
        <v>28.8516408795833</v>
      </c>
    </row>
    <row r="5333" spans="1:12" x14ac:dyDescent="0.3">
      <c r="A5333" t="s">
        <v>691</v>
      </c>
      <c r="B5333" s="1">
        <v>43541</v>
      </c>
      <c r="C5333" t="s">
        <v>692</v>
      </c>
      <c r="D5333" t="s">
        <v>693</v>
      </c>
      <c r="E5333" t="s">
        <v>14</v>
      </c>
      <c r="F5333" t="s">
        <v>15</v>
      </c>
      <c r="G5333" t="s">
        <v>24</v>
      </c>
      <c r="H5333" t="s">
        <v>694</v>
      </c>
      <c r="I5333" s="2">
        <v>199.9</v>
      </c>
      <c r="J5333">
        <v>5</v>
      </c>
      <c r="K5333" s="2">
        <v>89.954999999999998</v>
      </c>
      <c r="L5333" s="3">
        <f>(Table1[[#This Row],[Profit]]/Table1[[#This Row],[Sales]])*100</f>
        <v>44.999999999999993</v>
      </c>
    </row>
    <row r="5334" spans="1:12" x14ac:dyDescent="0.3">
      <c r="A5334" t="s">
        <v>2077</v>
      </c>
      <c r="B5334" s="1">
        <v>43663</v>
      </c>
      <c r="C5334" t="s">
        <v>2078</v>
      </c>
      <c r="D5334" t="s">
        <v>2079</v>
      </c>
      <c r="E5334" t="s">
        <v>14</v>
      </c>
      <c r="F5334" t="s">
        <v>23</v>
      </c>
      <c r="G5334" t="s">
        <v>18</v>
      </c>
      <c r="H5334" t="s">
        <v>2081</v>
      </c>
      <c r="I5334" s="2">
        <v>428.4</v>
      </c>
      <c r="J5334">
        <v>3</v>
      </c>
      <c r="K5334" s="2">
        <v>89.963999999999999</v>
      </c>
      <c r="L5334" s="3">
        <f>(Table1[[#This Row],[Profit]]/Table1[[#This Row],[Sales]])*100</f>
        <v>21.000000000000004</v>
      </c>
    </row>
    <row r="5335" spans="1:12" x14ac:dyDescent="0.3">
      <c r="A5335" t="s">
        <v>3716</v>
      </c>
      <c r="B5335" s="1">
        <v>43805</v>
      </c>
      <c r="C5335" t="s">
        <v>1808</v>
      </c>
      <c r="D5335" t="s">
        <v>1809</v>
      </c>
      <c r="E5335" t="s">
        <v>14</v>
      </c>
      <c r="F5335" t="s">
        <v>15</v>
      </c>
      <c r="G5335" t="s">
        <v>18</v>
      </c>
      <c r="H5335" t="s">
        <v>3717</v>
      </c>
      <c r="I5335" s="2">
        <v>479.98399999999998</v>
      </c>
      <c r="J5335">
        <v>2</v>
      </c>
      <c r="K5335" s="2">
        <v>89.997</v>
      </c>
      <c r="L5335" s="3">
        <f>(Table1[[#This Row],[Profit]]/Table1[[#This Row],[Sales]])*100</f>
        <v>18.75</v>
      </c>
    </row>
    <row r="5336" spans="1:12" x14ac:dyDescent="0.3">
      <c r="A5336" t="s">
        <v>5026</v>
      </c>
      <c r="B5336" s="1">
        <v>44029</v>
      </c>
      <c r="C5336" t="s">
        <v>1869</v>
      </c>
      <c r="D5336" t="s">
        <v>1870</v>
      </c>
      <c r="E5336" t="s">
        <v>14</v>
      </c>
      <c r="F5336" t="s">
        <v>23</v>
      </c>
      <c r="G5336" t="s">
        <v>18</v>
      </c>
      <c r="H5336" t="s">
        <v>3717</v>
      </c>
      <c r="I5336" s="2">
        <v>525.98400000000004</v>
      </c>
      <c r="J5336">
        <v>2</v>
      </c>
      <c r="K5336" s="2">
        <v>89.997</v>
      </c>
      <c r="L5336" s="3">
        <f>(Table1[[#This Row],[Profit]]/Table1[[#This Row],[Sales]])*100</f>
        <v>17.110216280343128</v>
      </c>
    </row>
    <row r="5337" spans="1:12" x14ac:dyDescent="0.3">
      <c r="A5337" t="s">
        <v>5134</v>
      </c>
      <c r="B5337" s="1">
        <v>44055</v>
      </c>
      <c r="C5337" t="s">
        <v>5135</v>
      </c>
      <c r="D5337" t="s">
        <v>5136</v>
      </c>
      <c r="E5337" t="s">
        <v>14</v>
      </c>
      <c r="F5337" t="s">
        <v>23</v>
      </c>
      <c r="G5337" t="s">
        <v>18</v>
      </c>
      <c r="H5337" t="s">
        <v>42</v>
      </c>
      <c r="I5337" s="2">
        <v>337.99</v>
      </c>
      <c r="J5337">
        <v>1</v>
      </c>
      <c r="K5337" s="2">
        <v>89.997</v>
      </c>
      <c r="L5337" s="3">
        <f>(Table1[[#This Row],[Profit]]/Table1[[#This Row],[Sales]])*100</f>
        <v>26.627119145536849</v>
      </c>
    </row>
    <row r="5338" spans="1:12" x14ac:dyDescent="0.3">
      <c r="A5338" t="s">
        <v>2648</v>
      </c>
      <c r="B5338" s="1">
        <v>43714</v>
      </c>
      <c r="C5338" t="s">
        <v>2649</v>
      </c>
      <c r="D5338" t="s">
        <v>2650</v>
      </c>
      <c r="E5338" t="s">
        <v>14</v>
      </c>
      <c r="F5338" t="s">
        <v>15</v>
      </c>
      <c r="G5338" t="s">
        <v>16</v>
      </c>
      <c r="H5338" t="s">
        <v>1965</v>
      </c>
      <c r="I5338" s="2">
        <v>722.35199999999998</v>
      </c>
      <c r="J5338">
        <v>3</v>
      </c>
      <c r="K5338" s="2">
        <v>90.293999999999997</v>
      </c>
      <c r="L5338" s="3">
        <f>(Table1[[#This Row],[Profit]]/Table1[[#This Row],[Sales]])*100</f>
        <v>12.5</v>
      </c>
    </row>
    <row r="5339" spans="1:12" x14ac:dyDescent="0.3">
      <c r="A5339" t="s">
        <v>4839</v>
      </c>
      <c r="B5339" s="1">
        <v>43998</v>
      </c>
      <c r="C5339" t="s">
        <v>3041</v>
      </c>
      <c r="D5339" t="s">
        <v>3042</v>
      </c>
      <c r="E5339" t="s">
        <v>14</v>
      </c>
      <c r="F5339" t="s">
        <v>41</v>
      </c>
      <c r="G5339" t="s">
        <v>16</v>
      </c>
      <c r="H5339" t="s">
        <v>741</v>
      </c>
      <c r="I5339" s="2">
        <v>344.96</v>
      </c>
      <c r="J5339">
        <v>2</v>
      </c>
      <c r="K5339" s="2">
        <v>90.587999999999994</v>
      </c>
      <c r="L5339" s="3">
        <f>(Table1[[#This Row],[Profit]]/Table1[[#This Row],[Sales]])*100</f>
        <v>26.260435992578852</v>
      </c>
    </row>
    <row r="5340" spans="1:12" x14ac:dyDescent="0.3">
      <c r="A5340" t="s">
        <v>4049</v>
      </c>
      <c r="B5340" s="1">
        <v>43851</v>
      </c>
      <c r="C5340" t="s">
        <v>314</v>
      </c>
      <c r="D5340" t="s">
        <v>315</v>
      </c>
      <c r="E5340" t="s">
        <v>14</v>
      </c>
      <c r="F5340" t="s">
        <v>29</v>
      </c>
      <c r="G5340" t="s">
        <v>24</v>
      </c>
      <c r="H5340" t="s">
        <v>2395</v>
      </c>
      <c r="I5340" s="2">
        <v>299.57600000000002</v>
      </c>
      <c r="J5340">
        <v>4</v>
      </c>
      <c r="K5340" s="2">
        <v>90.644400000000005</v>
      </c>
      <c r="L5340" s="3">
        <f>(Table1[[#This Row],[Profit]]/Table1[[#This Row],[Sales]])*100</f>
        <v>30.257564023820333</v>
      </c>
    </row>
    <row r="5341" spans="1:12" x14ac:dyDescent="0.3">
      <c r="A5341" t="s">
        <v>1799</v>
      </c>
      <c r="B5341" s="1">
        <v>43634</v>
      </c>
      <c r="C5341" t="s">
        <v>637</v>
      </c>
      <c r="D5341" t="s">
        <v>638</v>
      </c>
      <c r="E5341" t="s">
        <v>14</v>
      </c>
      <c r="F5341" t="s">
        <v>15</v>
      </c>
      <c r="G5341" t="s">
        <v>24</v>
      </c>
      <c r="H5341" t="s">
        <v>1801</v>
      </c>
      <c r="I5341" s="2">
        <v>453.6</v>
      </c>
      <c r="J5341">
        <v>3</v>
      </c>
      <c r="K5341" s="2">
        <v>90.72</v>
      </c>
      <c r="L5341" s="3">
        <f>(Table1[[#This Row],[Profit]]/Table1[[#This Row],[Sales]])*100</f>
        <v>20</v>
      </c>
    </row>
    <row r="5342" spans="1:12" x14ac:dyDescent="0.3">
      <c r="A5342" t="s">
        <v>4917</v>
      </c>
      <c r="B5342" s="1">
        <v>44011</v>
      </c>
      <c r="C5342" t="s">
        <v>486</v>
      </c>
      <c r="D5342" t="s">
        <v>487</v>
      </c>
      <c r="E5342" t="s">
        <v>14</v>
      </c>
      <c r="F5342" t="s">
        <v>29</v>
      </c>
      <c r="G5342" t="s">
        <v>24</v>
      </c>
      <c r="H5342" t="s">
        <v>3777</v>
      </c>
      <c r="I5342" s="2">
        <v>401.94</v>
      </c>
      <c r="J5342">
        <v>3</v>
      </c>
      <c r="K5342" s="2">
        <v>90.734999999999999</v>
      </c>
      <c r="L5342" s="3">
        <f>(Table1[[#This Row],[Profit]]/Table1[[#This Row],[Sales]])*100</f>
        <v>22.574264815644128</v>
      </c>
    </row>
    <row r="5343" spans="1:12" x14ac:dyDescent="0.3">
      <c r="A5343" t="s">
        <v>4843</v>
      </c>
      <c r="B5343" s="1">
        <v>43998</v>
      </c>
      <c r="C5343" t="s">
        <v>2678</v>
      </c>
      <c r="D5343" t="s">
        <v>2679</v>
      </c>
      <c r="E5343" t="s">
        <v>14</v>
      </c>
      <c r="F5343" t="s">
        <v>23</v>
      </c>
      <c r="G5343" t="s">
        <v>16</v>
      </c>
      <c r="H5343" t="s">
        <v>273</v>
      </c>
      <c r="I5343" s="2">
        <v>1259.96</v>
      </c>
      <c r="J5343">
        <v>7</v>
      </c>
      <c r="K5343" s="2">
        <v>90.971999999999994</v>
      </c>
      <c r="L5343" s="3">
        <f>(Table1[[#This Row],[Profit]]/Table1[[#This Row],[Sales]])*100</f>
        <v>7.2202292136258279</v>
      </c>
    </row>
    <row r="5344" spans="1:12" x14ac:dyDescent="0.3">
      <c r="A5344" t="s">
        <v>2236</v>
      </c>
      <c r="B5344" s="1">
        <v>43678</v>
      </c>
      <c r="C5344" t="s">
        <v>2237</v>
      </c>
      <c r="D5344" t="s">
        <v>2238</v>
      </c>
      <c r="E5344" t="s">
        <v>14</v>
      </c>
      <c r="F5344" t="s">
        <v>23</v>
      </c>
      <c r="G5344" t="s">
        <v>18</v>
      </c>
      <c r="H5344" t="s">
        <v>576</v>
      </c>
      <c r="I5344" s="2">
        <v>1039.7280000000001</v>
      </c>
      <c r="J5344">
        <v>2</v>
      </c>
      <c r="K5344" s="2">
        <v>90.976200000000006</v>
      </c>
      <c r="L5344" s="3">
        <f>(Table1[[#This Row],[Profit]]/Table1[[#This Row],[Sales]])*100</f>
        <v>8.75</v>
      </c>
    </row>
    <row r="5345" spans="1:12" x14ac:dyDescent="0.3">
      <c r="A5345" t="s">
        <v>5738</v>
      </c>
      <c r="B5345" s="1">
        <v>44136</v>
      </c>
      <c r="C5345" t="s">
        <v>3822</v>
      </c>
      <c r="D5345" t="s">
        <v>3823</v>
      </c>
      <c r="E5345" t="s">
        <v>14</v>
      </c>
      <c r="F5345" t="s">
        <v>15</v>
      </c>
      <c r="G5345" t="s">
        <v>24</v>
      </c>
      <c r="H5345" t="s">
        <v>901</v>
      </c>
      <c r="I5345" s="2">
        <v>239.7</v>
      </c>
      <c r="J5345">
        <v>10</v>
      </c>
      <c r="K5345" s="2">
        <v>91.055999999999997</v>
      </c>
      <c r="L5345" s="3">
        <f>(Table1[[#This Row],[Profit]]/Table1[[#This Row],[Sales]])*100</f>
        <v>37.987484355444309</v>
      </c>
    </row>
    <row r="5346" spans="1:12" x14ac:dyDescent="0.3">
      <c r="A5346" t="s">
        <v>107</v>
      </c>
      <c r="B5346" s="1">
        <v>43480</v>
      </c>
      <c r="C5346" t="s">
        <v>108</v>
      </c>
      <c r="D5346" t="s">
        <v>109</v>
      </c>
      <c r="E5346" t="s">
        <v>14</v>
      </c>
      <c r="F5346" t="s">
        <v>15</v>
      </c>
      <c r="G5346" t="s">
        <v>18</v>
      </c>
      <c r="H5346" t="s">
        <v>112</v>
      </c>
      <c r="I5346" s="2">
        <v>254.97</v>
      </c>
      <c r="J5346">
        <v>3</v>
      </c>
      <c r="K5346" s="2">
        <v>91.789199999999994</v>
      </c>
      <c r="L5346" s="3">
        <f>(Table1[[#This Row],[Profit]]/Table1[[#This Row],[Sales]])*100</f>
        <v>36</v>
      </c>
    </row>
    <row r="5347" spans="1:12" x14ac:dyDescent="0.3">
      <c r="A5347" t="s">
        <v>2381</v>
      </c>
      <c r="B5347" s="1">
        <v>43698</v>
      </c>
      <c r="C5347" t="s">
        <v>1642</v>
      </c>
      <c r="D5347" t="s">
        <v>1643</v>
      </c>
      <c r="E5347" t="s">
        <v>14</v>
      </c>
      <c r="F5347" t="s">
        <v>23</v>
      </c>
      <c r="G5347" t="s">
        <v>18</v>
      </c>
      <c r="H5347" t="s">
        <v>112</v>
      </c>
      <c r="I5347" s="2">
        <v>254.97</v>
      </c>
      <c r="J5347">
        <v>3</v>
      </c>
      <c r="K5347" s="2">
        <v>91.789199999999994</v>
      </c>
      <c r="L5347" s="3">
        <f>(Table1[[#This Row],[Profit]]/Table1[[#This Row],[Sales]])*100</f>
        <v>36</v>
      </c>
    </row>
    <row r="5348" spans="1:12" x14ac:dyDescent="0.3">
      <c r="A5348" t="s">
        <v>4675</v>
      </c>
      <c r="B5348" s="1">
        <v>43970</v>
      </c>
      <c r="C5348" t="s">
        <v>2341</v>
      </c>
      <c r="D5348" t="s">
        <v>2342</v>
      </c>
      <c r="E5348" t="s">
        <v>14</v>
      </c>
      <c r="F5348" t="s">
        <v>41</v>
      </c>
      <c r="G5348" t="s">
        <v>24</v>
      </c>
      <c r="H5348" t="s">
        <v>1832</v>
      </c>
      <c r="I5348" s="2">
        <v>206.64</v>
      </c>
      <c r="J5348">
        <v>4</v>
      </c>
      <c r="K5348" s="2">
        <v>91.950800000000001</v>
      </c>
      <c r="L5348" s="3">
        <f>(Table1[[#This Row],[Profit]]/Table1[[#This Row],[Sales]])*100</f>
        <v>44.498064266356948</v>
      </c>
    </row>
    <row r="5349" spans="1:12" x14ac:dyDescent="0.3">
      <c r="A5349" t="s">
        <v>1485</v>
      </c>
      <c r="B5349" s="1">
        <v>43609</v>
      </c>
      <c r="C5349" t="s">
        <v>924</v>
      </c>
      <c r="D5349" t="s">
        <v>925</v>
      </c>
      <c r="E5349" t="s">
        <v>14</v>
      </c>
      <c r="F5349" t="s">
        <v>41</v>
      </c>
      <c r="G5349" t="s">
        <v>24</v>
      </c>
      <c r="H5349" t="s">
        <v>1022</v>
      </c>
      <c r="I5349" s="2">
        <v>191.6</v>
      </c>
      <c r="J5349">
        <v>4</v>
      </c>
      <c r="K5349" s="2">
        <v>91.968000000000004</v>
      </c>
      <c r="L5349" s="3">
        <f>(Table1[[#This Row],[Profit]]/Table1[[#This Row],[Sales]])*100</f>
        <v>48.000000000000007</v>
      </c>
    </row>
    <row r="5350" spans="1:12" x14ac:dyDescent="0.3">
      <c r="A5350" t="s">
        <v>4428</v>
      </c>
      <c r="B5350" s="1">
        <v>43930</v>
      </c>
      <c r="C5350" t="s">
        <v>4429</v>
      </c>
      <c r="D5350" t="s">
        <v>4430</v>
      </c>
      <c r="E5350" t="s">
        <v>14</v>
      </c>
      <c r="F5350" t="s">
        <v>15</v>
      </c>
      <c r="G5350" t="s">
        <v>24</v>
      </c>
      <c r="H5350" t="s">
        <v>4431</v>
      </c>
      <c r="I5350" s="2">
        <v>211.6</v>
      </c>
      <c r="J5350">
        <v>4</v>
      </c>
      <c r="K5350" s="2">
        <v>91.968000000000004</v>
      </c>
      <c r="L5350" s="3">
        <f>(Table1[[#This Row],[Profit]]/Table1[[#This Row],[Sales]])*100</f>
        <v>43.463137996219288</v>
      </c>
    </row>
    <row r="5351" spans="1:12" x14ac:dyDescent="0.3">
      <c r="A5351" t="s">
        <v>2623</v>
      </c>
      <c r="B5351" s="1">
        <v>43713</v>
      </c>
      <c r="C5351" t="s">
        <v>779</v>
      </c>
      <c r="D5351" t="s">
        <v>780</v>
      </c>
      <c r="E5351" t="s">
        <v>14</v>
      </c>
      <c r="F5351" t="s">
        <v>15</v>
      </c>
      <c r="G5351" t="s">
        <v>24</v>
      </c>
      <c r="H5351" t="s">
        <v>2624</v>
      </c>
      <c r="I5351" s="2">
        <v>192.16</v>
      </c>
      <c r="J5351">
        <v>4</v>
      </c>
      <c r="K5351" s="2">
        <v>92.236800000000002</v>
      </c>
      <c r="L5351" s="3">
        <f>(Table1[[#This Row],[Profit]]/Table1[[#This Row],[Sales]])*100</f>
        <v>48.000000000000007</v>
      </c>
    </row>
    <row r="5352" spans="1:12" x14ac:dyDescent="0.3">
      <c r="A5352" t="s">
        <v>4841</v>
      </c>
      <c r="B5352" s="1">
        <v>43998</v>
      </c>
      <c r="C5352" t="s">
        <v>1869</v>
      </c>
      <c r="D5352" t="s">
        <v>1870</v>
      </c>
      <c r="E5352" t="s">
        <v>14</v>
      </c>
      <c r="F5352" t="s">
        <v>23</v>
      </c>
      <c r="G5352" t="s">
        <v>24</v>
      </c>
      <c r="H5352" t="s">
        <v>2624</v>
      </c>
      <c r="I5352" s="2">
        <v>240.16</v>
      </c>
      <c r="J5352">
        <v>4</v>
      </c>
      <c r="K5352" s="2">
        <v>92.236800000000002</v>
      </c>
      <c r="L5352" s="3">
        <f>(Table1[[#This Row],[Profit]]/Table1[[#This Row],[Sales]])*100</f>
        <v>38.406395736175888</v>
      </c>
    </row>
    <row r="5353" spans="1:12" x14ac:dyDescent="0.3">
      <c r="A5353" t="s">
        <v>5134</v>
      </c>
      <c r="B5353" s="1">
        <v>44055</v>
      </c>
      <c r="C5353" t="s">
        <v>5135</v>
      </c>
      <c r="D5353" t="s">
        <v>5136</v>
      </c>
      <c r="E5353" t="s">
        <v>14</v>
      </c>
      <c r="F5353" t="s">
        <v>23</v>
      </c>
      <c r="G5353" t="s">
        <v>24</v>
      </c>
      <c r="H5353" t="s">
        <v>1798</v>
      </c>
      <c r="I5353" s="2">
        <v>222.16</v>
      </c>
      <c r="J5353">
        <v>4</v>
      </c>
      <c r="K5353" s="2">
        <v>92.236800000000002</v>
      </c>
      <c r="L5353" s="3">
        <f>(Table1[[#This Row],[Profit]]/Table1[[#This Row],[Sales]])*100</f>
        <v>41.518185091825714</v>
      </c>
    </row>
    <row r="5354" spans="1:12" x14ac:dyDescent="0.3">
      <c r="A5354" t="s">
        <v>5284</v>
      </c>
      <c r="B5354" s="1">
        <v>44078</v>
      </c>
      <c r="C5354" t="s">
        <v>1038</v>
      </c>
      <c r="D5354" t="s">
        <v>1039</v>
      </c>
      <c r="E5354" t="s">
        <v>14</v>
      </c>
      <c r="F5354" t="s">
        <v>23</v>
      </c>
      <c r="G5354" t="s">
        <v>16</v>
      </c>
      <c r="H5354" t="s">
        <v>1679</v>
      </c>
      <c r="I5354" s="2">
        <v>1511.2719999999999</v>
      </c>
      <c r="J5354">
        <v>8</v>
      </c>
      <c r="K5354" s="2">
        <v>92.391999999999996</v>
      </c>
      <c r="L5354" s="3">
        <f>(Table1[[#This Row],[Profit]]/Table1[[#This Row],[Sales]])*100</f>
        <v>6.1135255599256784</v>
      </c>
    </row>
    <row r="5355" spans="1:12" x14ac:dyDescent="0.3">
      <c r="A5355" t="s">
        <v>4941</v>
      </c>
      <c r="B5355" s="1">
        <v>44015</v>
      </c>
      <c r="C5355" t="s">
        <v>2827</v>
      </c>
      <c r="D5355" t="s">
        <v>2828</v>
      </c>
      <c r="E5355" t="s">
        <v>14</v>
      </c>
      <c r="F5355" t="s">
        <v>29</v>
      </c>
      <c r="G5355" t="s">
        <v>24</v>
      </c>
      <c r="H5355" t="s">
        <v>3007</v>
      </c>
      <c r="I5355" s="2">
        <v>297.89600000000002</v>
      </c>
      <c r="J5355">
        <v>7</v>
      </c>
      <c r="K5355" s="2">
        <v>92.439899999999994</v>
      </c>
      <c r="L5355" s="3">
        <f>(Table1[[#This Row],[Profit]]/Table1[[#This Row],[Sales]])*100</f>
        <v>31.030930257539541</v>
      </c>
    </row>
    <row r="5356" spans="1:12" x14ac:dyDescent="0.3">
      <c r="A5356" t="s">
        <v>4942</v>
      </c>
      <c r="B5356" s="1">
        <v>44015</v>
      </c>
      <c r="C5356" t="s">
        <v>1661</v>
      </c>
      <c r="D5356" t="s">
        <v>1662</v>
      </c>
      <c r="E5356" t="s">
        <v>14</v>
      </c>
      <c r="F5356" t="s">
        <v>15</v>
      </c>
      <c r="G5356" t="s">
        <v>18</v>
      </c>
      <c r="H5356" t="s">
        <v>4516</v>
      </c>
      <c r="I5356" s="2">
        <v>308.89999999999998</v>
      </c>
      <c r="J5356">
        <v>10</v>
      </c>
      <c r="K5356" s="2">
        <v>93.203999999999994</v>
      </c>
      <c r="L5356" s="3">
        <f>(Table1[[#This Row],[Profit]]/Table1[[#This Row],[Sales]])*100</f>
        <v>30.172871479443188</v>
      </c>
    </row>
    <row r="5357" spans="1:12" x14ac:dyDescent="0.3">
      <c r="A5357" t="s">
        <v>2998</v>
      </c>
      <c r="B5357" s="1">
        <v>43741</v>
      </c>
      <c r="C5357" t="s">
        <v>2999</v>
      </c>
      <c r="D5357" t="s">
        <v>3000</v>
      </c>
      <c r="E5357" t="s">
        <v>14</v>
      </c>
      <c r="F5357" t="s">
        <v>15</v>
      </c>
      <c r="G5357" t="s">
        <v>16</v>
      </c>
      <c r="H5357" t="s">
        <v>2887</v>
      </c>
      <c r="I5357" s="2">
        <v>599.29200000000003</v>
      </c>
      <c r="J5357">
        <v>6</v>
      </c>
      <c r="K5357" s="2">
        <v>93.223200000000006</v>
      </c>
      <c r="L5357" s="3">
        <f>(Table1[[#This Row],[Profit]]/Table1[[#This Row],[Sales]])*100</f>
        <v>15.555555555555555</v>
      </c>
    </row>
    <row r="5358" spans="1:12" x14ac:dyDescent="0.3">
      <c r="A5358" t="s">
        <v>4966</v>
      </c>
      <c r="B5358" s="1">
        <v>44019</v>
      </c>
      <c r="C5358" t="s">
        <v>3051</v>
      </c>
      <c r="D5358" t="s">
        <v>3052</v>
      </c>
      <c r="E5358" t="s">
        <v>14</v>
      </c>
      <c r="F5358" t="s">
        <v>15</v>
      </c>
      <c r="G5358" t="s">
        <v>18</v>
      </c>
      <c r="H5358" t="s">
        <v>3910</v>
      </c>
      <c r="I5358" s="2">
        <v>262</v>
      </c>
      <c r="J5358">
        <v>4</v>
      </c>
      <c r="K5358" s="2">
        <v>93.24</v>
      </c>
      <c r="L5358" s="3">
        <f>(Table1[[#This Row],[Profit]]/Table1[[#This Row],[Sales]])*100</f>
        <v>35.587786259541978</v>
      </c>
    </row>
    <row r="5359" spans="1:12" x14ac:dyDescent="0.3">
      <c r="A5359" t="s">
        <v>1625</v>
      </c>
      <c r="B5359" s="1">
        <v>43621</v>
      </c>
      <c r="C5359" t="s">
        <v>1626</v>
      </c>
      <c r="D5359" t="s">
        <v>1627</v>
      </c>
      <c r="E5359" t="s">
        <v>14</v>
      </c>
      <c r="F5359" t="s">
        <v>15</v>
      </c>
      <c r="G5359" t="s">
        <v>24</v>
      </c>
      <c r="H5359" t="s">
        <v>410</v>
      </c>
      <c r="I5359" s="2">
        <v>360.38</v>
      </c>
      <c r="J5359">
        <v>2</v>
      </c>
      <c r="K5359" s="2">
        <v>93.698800000000006</v>
      </c>
      <c r="L5359" s="3">
        <f>(Table1[[#This Row],[Profit]]/Table1[[#This Row],[Sales]])*100</f>
        <v>26</v>
      </c>
    </row>
    <row r="5360" spans="1:12" x14ac:dyDescent="0.3">
      <c r="A5360" t="s">
        <v>5008</v>
      </c>
      <c r="B5360" s="1">
        <v>44025</v>
      </c>
      <c r="C5360" t="s">
        <v>447</v>
      </c>
      <c r="D5360" t="s">
        <v>448</v>
      </c>
      <c r="E5360" t="s">
        <v>14</v>
      </c>
      <c r="F5360" t="s">
        <v>29</v>
      </c>
      <c r="G5360" t="s">
        <v>24</v>
      </c>
      <c r="H5360" t="s">
        <v>410</v>
      </c>
      <c r="I5360" s="2">
        <v>374.38</v>
      </c>
      <c r="J5360">
        <v>2</v>
      </c>
      <c r="K5360" s="2">
        <v>93.698800000000006</v>
      </c>
      <c r="L5360" s="3">
        <f>(Table1[[#This Row],[Profit]]/Table1[[#This Row],[Sales]])*100</f>
        <v>25.02772584005556</v>
      </c>
    </row>
    <row r="5361" spans="1:12" x14ac:dyDescent="0.3">
      <c r="A5361" t="s">
        <v>3686</v>
      </c>
      <c r="B5361" s="1">
        <v>43802</v>
      </c>
      <c r="C5361" t="s">
        <v>565</v>
      </c>
      <c r="D5361" t="s">
        <v>566</v>
      </c>
      <c r="E5361" t="s">
        <v>14</v>
      </c>
      <c r="F5361" t="s">
        <v>15</v>
      </c>
      <c r="G5361" t="s">
        <v>24</v>
      </c>
      <c r="H5361" t="s">
        <v>3687</v>
      </c>
      <c r="I5361" s="2">
        <v>394.81599999999997</v>
      </c>
      <c r="J5361">
        <v>4</v>
      </c>
      <c r="K5361" s="2">
        <v>93.768799999999999</v>
      </c>
      <c r="L5361" s="3">
        <f>(Table1[[#This Row],[Profit]]/Table1[[#This Row],[Sales]])*100</f>
        <v>23.75</v>
      </c>
    </row>
    <row r="5362" spans="1:12" x14ac:dyDescent="0.3">
      <c r="A5362" t="s">
        <v>5923</v>
      </c>
      <c r="B5362" s="1">
        <v>44152</v>
      </c>
      <c r="C5362" t="s">
        <v>602</v>
      </c>
      <c r="D5362" t="s">
        <v>603</v>
      </c>
      <c r="E5362" t="s">
        <v>14</v>
      </c>
      <c r="F5362" t="s">
        <v>41</v>
      </c>
      <c r="G5362" t="s">
        <v>24</v>
      </c>
      <c r="H5362" t="s">
        <v>5924</v>
      </c>
      <c r="I5362" s="2">
        <v>284.24</v>
      </c>
      <c r="J5362">
        <v>7</v>
      </c>
      <c r="K5362" s="2">
        <v>93.884</v>
      </c>
      <c r="L5362" s="3">
        <f>(Table1[[#This Row],[Profit]]/Table1[[#This Row],[Sales]])*100</f>
        <v>33.029833943146635</v>
      </c>
    </row>
    <row r="5363" spans="1:12" x14ac:dyDescent="0.3">
      <c r="A5363" t="s">
        <v>5382</v>
      </c>
      <c r="B5363" s="1">
        <v>44088</v>
      </c>
      <c r="C5363" t="s">
        <v>4189</v>
      </c>
      <c r="D5363" t="s">
        <v>4190</v>
      </c>
      <c r="E5363" t="s">
        <v>14</v>
      </c>
      <c r="F5363" t="s">
        <v>41</v>
      </c>
      <c r="G5363" t="s">
        <v>24</v>
      </c>
      <c r="H5363" t="s">
        <v>2322</v>
      </c>
      <c r="I5363" s="2">
        <v>977.78399999999999</v>
      </c>
      <c r="J5363">
        <v>4</v>
      </c>
      <c r="K5363" s="2">
        <v>94.278400000000005</v>
      </c>
      <c r="L5363" s="3">
        <f>(Table1[[#This Row],[Profit]]/Table1[[#This Row],[Sales]])*100</f>
        <v>9.6420477324235208</v>
      </c>
    </row>
    <row r="5364" spans="1:12" x14ac:dyDescent="0.3">
      <c r="A5364" t="s">
        <v>1735</v>
      </c>
      <c r="B5364" s="1">
        <v>43629</v>
      </c>
      <c r="C5364" t="s">
        <v>231</v>
      </c>
      <c r="D5364" t="s">
        <v>232</v>
      </c>
      <c r="E5364" t="s">
        <v>14</v>
      </c>
      <c r="F5364" t="s">
        <v>29</v>
      </c>
      <c r="G5364" t="s">
        <v>18</v>
      </c>
      <c r="H5364" t="s">
        <v>1736</v>
      </c>
      <c r="I5364" s="2">
        <v>377.97</v>
      </c>
      <c r="J5364">
        <v>3</v>
      </c>
      <c r="K5364" s="2">
        <v>94.492500000000007</v>
      </c>
      <c r="L5364" s="3">
        <f>(Table1[[#This Row],[Profit]]/Table1[[#This Row],[Sales]])*100</f>
        <v>25</v>
      </c>
    </row>
    <row r="5365" spans="1:12" x14ac:dyDescent="0.3">
      <c r="A5365" t="s">
        <v>6238</v>
      </c>
      <c r="B5365" s="1">
        <v>44187</v>
      </c>
      <c r="C5365" t="s">
        <v>3612</v>
      </c>
      <c r="D5365" t="s">
        <v>3613</v>
      </c>
      <c r="E5365" t="s">
        <v>14</v>
      </c>
      <c r="F5365" t="s">
        <v>15</v>
      </c>
      <c r="G5365" t="s">
        <v>18</v>
      </c>
      <c r="H5365" t="s">
        <v>3111</v>
      </c>
      <c r="I5365" s="2">
        <v>212.958</v>
      </c>
      <c r="J5365">
        <v>7</v>
      </c>
      <c r="K5365" s="2">
        <v>94.493700000000004</v>
      </c>
      <c r="L5365" s="3">
        <f>(Table1[[#This Row],[Profit]]/Table1[[#This Row],[Sales]])*100</f>
        <v>44.371988842870429</v>
      </c>
    </row>
    <row r="5366" spans="1:12" x14ac:dyDescent="0.3">
      <c r="A5366" t="s">
        <v>3461</v>
      </c>
      <c r="B5366" s="1">
        <v>43787</v>
      </c>
      <c r="C5366" t="s">
        <v>356</v>
      </c>
      <c r="D5366" t="s">
        <v>357</v>
      </c>
      <c r="E5366" t="s">
        <v>14</v>
      </c>
      <c r="F5366" t="s">
        <v>23</v>
      </c>
      <c r="G5366" t="s">
        <v>18</v>
      </c>
      <c r="H5366" t="s">
        <v>2417</v>
      </c>
      <c r="I5366" s="2">
        <v>595</v>
      </c>
      <c r="J5366">
        <v>5</v>
      </c>
      <c r="K5366" s="2">
        <v>95.2</v>
      </c>
      <c r="L5366" s="3">
        <f>(Table1[[#This Row],[Profit]]/Table1[[#This Row],[Sales]])*100</f>
        <v>16</v>
      </c>
    </row>
    <row r="5367" spans="1:12" x14ac:dyDescent="0.3">
      <c r="A5367" t="s">
        <v>5603</v>
      </c>
      <c r="B5367" s="1">
        <v>44116</v>
      </c>
      <c r="C5367" t="s">
        <v>4343</v>
      </c>
      <c r="D5367" t="s">
        <v>4344</v>
      </c>
      <c r="E5367" t="s">
        <v>14</v>
      </c>
      <c r="F5367" t="s">
        <v>23</v>
      </c>
      <c r="G5367" t="s">
        <v>18</v>
      </c>
      <c r="H5367" t="s">
        <v>2417</v>
      </c>
      <c r="I5367" s="2">
        <v>645</v>
      </c>
      <c r="J5367">
        <v>5</v>
      </c>
      <c r="K5367" s="2">
        <v>95.2</v>
      </c>
      <c r="L5367" s="3">
        <f>(Table1[[#This Row],[Profit]]/Table1[[#This Row],[Sales]])*100</f>
        <v>14.75968992248062</v>
      </c>
    </row>
    <row r="5368" spans="1:12" x14ac:dyDescent="0.3">
      <c r="A5368" t="s">
        <v>4636</v>
      </c>
      <c r="B5368" s="1">
        <v>43964</v>
      </c>
      <c r="C5368" t="s">
        <v>2950</v>
      </c>
      <c r="D5368" t="s">
        <v>2951</v>
      </c>
      <c r="E5368" t="s">
        <v>14</v>
      </c>
      <c r="F5368" t="s">
        <v>29</v>
      </c>
      <c r="G5368" t="s">
        <v>24</v>
      </c>
      <c r="H5368" t="s">
        <v>2076</v>
      </c>
      <c r="I5368" s="2">
        <v>549.34</v>
      </c>
      <c r="J5368">
        <v>2</v>
      </c>
      <c r="K5368" s="2">
        <v>95.461200000000005</v>
      </c>
      <c r="L5368" s="3">
        <f>(Table1[[#This Row],[Profit]]/Table1[[#This Row],[Sales]])*100</f>
        <v>17.377434739869663</v>
      </c>
    </row>
    <row r="5369" spans="1:12" x14ac:dyDescent="0.3">
      <c r="A5369" t="s">
        <v>5450</v>
      </c>
      <c r="B5369" s="1">
        <v>44094</v>
      </c>
      <c r="C5369" t="s">
        <v>1698</v>
      </c>
      <c r="D5369" t="s">
        <v>1699</v>
      </c>
      <c r="E5369" t="s">
        <v>14</v>
      </c>
      <c r="F5369" t="s">
        <v>15</v>
      </c>
      <c r="G5369" t="s">
        <v>18</v>
      </c>
      <c r="H5369" t="s">
        <v>5451</v>
      </c>
      <c r="I5369" s="2">
        <v>237.8</v>
      </c>
      <c r="J5369">
        <v>2</v>
      </c>
      <c r="K5369" s="2">
        <v>95.76</v>
      </c>
      <c r="L5369" s="3">
        <f>(Table1[[#This Row],[Profit]]/Table1[[#This Row],[Sales]])*100</f>
        <v>40.269133725820019</v>
      </c>
    </row>
    <row r="5370" spans="1:12" x14ac:dyDescent="0.3">
      <c r="A5370" t="s">
        <v>5213</v>
      </c>
      <c r="B5370" s="1">
        <v>44070</v>
      </c>
      <c r="C5370" t="s">
        <v>754</v>
      </c>
      <c r="D5370" t="s">
        <v>755</v>
      </c>
      <c r="E5370" t="s">
        <v>14</v>
      </c>
      <c r="F5370" t="s">
        <v>23</v>
      </c>
      <c r="G5370" t="s">
        <v>24</v>
      </c>
      <c r="H5370" t="s">
        <v>1728</v>
      </c>
      <c r="I5370" s="2">
        <v>337.92</v>
      </c>
      <c r="J5370">
        <v>4</v>
      </c>
      <c r="K5370" s="2">
        <v>96.575999999999993</v>
      </c>
      <c r="L5370" s="3">
        <f>(Table1[[#This Row],[Profit]]/Table1[[#This Row],[Sales]])*100</f>
        <v>28.579545454545453</v>
      </c>
    </row>
    <row r="5371" spans="1:12" x14ac:dyDescent="0.3">
      <c r="A5371" t="s">
        <v>2192</v>
      </c>
      <c r="B5371" s="1">
        <v>43671</v>
      </c>
      <c r="C5371" t="s">
        <v>1456</v>
      </c>
      <c r="D5371" t="s">
        <v>1457</v>
      </c>
      <c r="E5371" t="s">
        <v>14</v>
      </c>
      <c r="F5371" t="s">
        <v>29</v>
      </c>
      <c r="G5371" t="s">
        <v>16</v>
      </c>
      <c r="H5371" t="s">
        <v>2194</v>
      </c>
      <c r="I5371" s="2">
        <v>403.56</v>
      </c>
      <c r="J5371">
        <v>4</v>
      </c>
      <c r="K5371" s="2">
        <v>96.854399999999998</v>
      </c>
      <c r="L5371" s="3">
        <f>(Table1[[#This Row],[Profit]]/Table1[[#This Row],[Sales]])*100</f>
        <v>24</v>
      </c>
    </row>
    <row r="5372" spans="1:12" x14ac:dyDescent="0.3">
      <c r="A5372" t="s">
        <v>1838</v>
      </c>
      <c r="B5372" s="1">
        <v>43639</v>
      </c>
      <c r="C5372" t="s">
        <v>1839</v>
      </c>
      <c r="D5372" t="s">
        <v>1840</v>
      </c>
      <c r="E5372" t="s">
        <v>14</v>
      </c>
      <c r="F5372" t="s">
        <v>23</v>
      </c>
      <c r="G5372" t="s">
        <v>18</v>
      </c>
      <c r="H5372" t="s">
        <v>1170</v>
      </c>
      <c r="I5372" s="2">
        <v>862.34400000000005</v>
      </c>
      <c r="J5372">
        <v>7</v>
      </c>
      <c r="K5372" s="2">
        <v>97.0137</v>
      </c>
      <c r="L5372" s="3">
        <f>(Table1[[#This Row],[Profit]]/Table1[[#This Row],[Sales]])*100</f>
        <v>11.249999999999998</v>
      </c>
    </row>
    <row r="5373" spans="1:12" x14ac:dyDescent="0.3">
      <c r="A5373" t="s">
        <v>5480</v>
      </c>
      <c r="B5373" s="1">
        <v>44097</v>
      </c>
      <c r="C5373" t="s">
        <v>3968</v>
      </c>
      <c r="D5373" t="s">
        <v>3969</v>
      </c>
      <c r="E5373" t="s">
        <v>14</v>
      </c>
      <c r="F5373" t="s">
        <v>23</v>
      </c>
      <c r="G5373" t="s">
        <v>24</v>
      </c>
      <c r="H5373" t="s">
        <v>1237</v>
      </c>
      <c r="I5373" s="2">
        <v>223.04</v>
      </c>
      <c r="J5373">
        <v>8</v>
      </c>
      <c r="K5373" s="2">
        <v>97.078400000000002</v>
      </c>
      <c r="L5373" s="3">
        <f>(Table1[[#This Row],[Profit]]/Table1[[#This Row],[Sales]])*100</f>
        <v>43.525107604017222</v>
      </c>
    </row>
    <row r="5374" spans="1:12" x14ac:dyDescent="0.3">
      <c r="A5374" t="s">
        <v>6237</v>
      </c>
      <c r="B5374" s="1">
        <v>44187</v>
      </c>
      <c r="C5374" t="s">
        <v>5103</v>
      </c>
      <c r="D5374" t="s">
        <v>5104</v>
      </c>
      <c r="E5374" t="s">
        <v>14</v>
      </c>
      <c r="F5374" t="s">
        <v>29</v>
      </c>
      <c r="G5374" t="s">
        <v>16</v>
      </c>
      <c r="H5374" t="s">
        <v>477</v>
      </c>
      <c r="I5374" s="2">
        <v>463.52</v>
      </c>
      <c r="J5374">
        <v>2</v>
      </c>
      <c r="K5374" s="2">
        <v>97.203199999999995</v>
      </c>
      <c r="L5374" s="3">
        <f>(Table1[[#This Row],[Profit]]/Table1[[#This Row],[Sales]])*100</f>
        <v>20.970659302726961</v>
      </c>
    </row>
    <row r="5375" spans="1:12" x14ac:dyDescent="0.3">
      <c r="A5375" t="s">
        <v>1521</v>
      </c>
      <c r="B5375" s="1">
        <v>43612</v>
      </c>
      <c r="C5375" t="s">
        <v>1522</v>
      </c>
      <c r="D5375" t="s">
        <v>1523</v>
      </c>
      <c r="E5375" t="s">
        <v>14</v>
      </c>
      <c r="F5375" t="s">
        <v>29</v>
      </c>
      <c r="G5375" t="s">
        <v>24</v>
      </c>
      <c r="H5375" t="s">
        <v>410</v>
      </c>
      <c r="I5375" s="2">
        <v>1297.3679999999999</v>
      </c>
      <c r="J5375">
        <v>9</v>
      </c>
      <c r="K5375" s="2">
        <v>97.302599999999998</v>
      </c>
      <c r="L5375" s="3">
        <f>(Table1[[#This Row],[Profit]]/Table1[[#This Row],[Sales]])*100</f>
        <v>7.5</v>
      </c>
    </row>
    <row r="5376" spans="1:12" x14ac:dyDescent="0.3">
      <c r="A5376" t="s">
        <v>5158</v>
      </c>
      <c r="B5376" s="1">
        <v>44060</v>
      </c>
      <c r="C5376" t="s">
        <v>633</v>
      </c>
      <c r="D5376" t="s">
        <v>634</v>
      </c>
      <c r="E5376" t="s">
        <v>14</v>
      </c>
      <c r="F5376" t="s">
        <v>15</v>
      </c>
      <c r="G5376" t="s">
        <v>16</v>
      </c>
      <c r="H5376" t="s">
        <v>1900</v>
      </c>
      <c r="I5376" s="2">
        <v>482.56400000000002</v>
      </c>
      <c r="J5376">
        <v>2</v>
      </c>
      <c r="K5376" s="2">
        <v>97.6524</v>
      </c>
      <c r="L5376" s="3">
        <f>(Table1[[#This Row],[Profit]]/Table1[[#This Row],[Sales]])*100</f>
        <v>20.236155204283783</v>
      </c>
    </row>
    <row r="5377" spans="1:12" x14ac:dyDescent="0.3">
      <c r="A5377" t="s">
        <v>4421</v>
      </c>
      <c r="B5377" s="1">
        <v>43929</v>
      </c>
      <c r="C5377" t="s">
        <v>1926</v>
      </c>
      <c r="D5377" t="s">
        <v>1927</v>
      </c>
      <c r="E5377" t="s">
        <v>14</v>
      </c>
      <c r="F5377" t="s">
        <v>23</v>
      </c>
      <c r="G5377" t="s">
        <v>24</v>
      </c>
      <c r="H5377" t="s">
        <v>1143</v>
      </c>
      <c r="I5377" s="2">
        <v>235.76</v>
      </c>
      <c r="J5377">
        <v>4</v>
      </c>
      <c r="K5377" s="2">
        <v>97.88</v>
      </c>
      <c r="L5377" s="3">
        <f>(Table1[[#This Row],[Profit]]/Table1[[#This Row],[Sales]])*100</f>
        <v>41.516796742449948</v>
      </c>
    </row>
    <row r="5378" spans="1:12" x14ac:dyDescent="0.3">
      <c r="A5378" t="s">
        <v>4676</v>
      </c>
      <c r="B5378" s="1">
        <v>43970</v>
      </c>
      <c r="C5378" t="s">
        <v>2937</v>
      </c>
      <c r="D5378" t="s">
        <v>2938</v>
      </c>
      <c r="E5378" t="s">
        <v>14</v>
      </c>
      <c r="F5378" t="s">
        <v>41</v>
      </c>
      <c r="G5378" t="s">
        <v>18</v>
      </c>
      <c r="H5378" t="s">
        <v>4680</v>
      </c>
      <c r="I5378" s="2">
        <v>404.97</v>
      </c>
      <c r="J5378">
        <v>3</v>
      </c>
      <c r="K5378" s="2">
        <v>98.272199999999998</v>
      </c>
      <c r="L5378" s="3">
        <f>(Table1[[#This Row],[Profit]]/Table1[[#This Row],[Sales]])*100</f>
        <v>24.266538262093487</v>
      </c>
    </row>
    <row r="5379" spans="1:12" x14ac:dyDescent="0.3">
      <c r="A5379" t="s">
        <v>2449</v>
      </c>
      <c r="B5379" s="1">
        <v>43703</v>
      </c>
      <c r="C5379" t="s">
        <v>2073</v>
      </c>
      <c r="D5379" t="s">
        <v>2074</v>
      </c>
      <c r="E5379" t="s">
        <v>14</v>
      </c>
      <c r="F5379" t="s">
        <v>29</v>
      </c>
      <c r="G5379" t="s">
        <v>16</v>
      </c>
      <c r="H5379" t="s">
        <v>2452</v>
      </c>
      <c r="I5379" s="2">
        <v>447.84</v>
      </c>
      <c r="J5379">
        <v>4</v>
      </c>
      <c r="K5379" s="2">
        <v>98.524799999999999</v>
      </c>
      <c r="L5379" s="3">
        <f>(Table1[[#This Row],[Profit]]/Table1[[#This Row],[Sales]])*100</f>
        <v>22</v>
      </c>
    </row>
    <row r="5380" spans="1:12" x14ac:dyDescent="0.3">
      <c r="A5380" t="s">
        <v>4976</v>
      </c>
      <c r="B5380" s="1">
        <v>44020</v>
      </c>
      <c r="C5380" t="s">
        <v>4977</v>
      </c>
      <c r="D5380" t="s">
        <v>4978</v>
      </c>
      <c r="E5380" t="s">
        <v>14</v>
      </c>
      <c r="F5380" t="s">
        <v>23</v>
      </c>
      <c r="G5380" t="s">
        <v>16</v>
      </c>
      <c r="H5380" t="s">
        <v>1357</v>
      </c>
      <c r="I5380" s="2">
        <v>233.46</v>
      </c>
      <c r="J5380">
        <v>2</v>
      </c>
      <c r="K5380" s="2">
        <v>99.23</v>
      </c>
      <c r="L5380" s="3">
        <f>(Table1[[#This Row],[Profit]]/Table1[[#This Row],[Sales]])*100</f>
        <v>42.504069219566517</v>
      </c>
    </row>
    <row r="5381" spans="1:12" x14ac:dyDescent="0.3">
      <c r="A5381" t="s">
        <v>5213</v>
      </c>
      <c r="B5381" s="1">
        <v>44070</v>
      </c>
      <c r="C5381" t="s">
        <v>754</v>
      </c>
      <c r="D5381" t="s">
        <v>755</v>
      </c>
      <c r="E5381" t="s">
        <v>14</v>
      </c>
      <c r="F5381" t="s">
        <v>23</v>
      </c>
      <c r="G5381" t="s">
        <v>16</v>
      </c>
      <c r="H5381" t="s">
        <v>1357</v>
      </c>
      <c r="I5381" s="2">
        <v>242.46</v>
      </c>
      <c r="J5381">
        <v>2</v>
      </c>
      <c r="K5381" s="2">
        <v>99.23</v>
      </c>
      <c r="L5381" s="3">
        <f>(Table1[[#This Row],[Profit]]/Table1[[#This Row],[Sales]])*100</f>
        <v>40.926338365091148</v>
      </c>
    </row>
    <row r="5382" spans="1:12" x14ac:dyDescent="0.3">
      <c r="A5382" t="s">
        <v>3745</v>
      </c>
      <c r="B5382" s="1">
        <v>43808</v>
      </c>
      <c r="C5382" t="s">
        <v>550</v>
      </c>
      <c r="D5382" t="s">
        <v>551</v>
      </c>
      <c r="E5382" t="s">
        <v>14</v>
      </c>
      <c r="F5382" t="s">
        <v>23</v>
      </c>
      <c r="G5382" t="s">
        <v>24</v>
      </c>
      <c r="H5382" t="s">
        <v>3504</v>
      </c>
      <c r="I5382" s="2">
        <v>273.92</v>
      </c>
      <c r="J5382">
        <v>8</v>
      </c>
      <c r="K5382" s="2">
        <v>99.296000000000006</v>
      </c>
      <c r="L5382" s="3">
        <f>(Table1[[#This Row],[Profit]]/Table1[[#This Row],[Sales]])*100</f>
        <v>36.25</v>
      </c>
    </row>
    <row r="5383" spans="1:12" x14ac:dyDescent="0.3">
      <c r="A5383" t="s">
        <v>2358</v>
      </c>
      <c r="B5383" s="1">
        <v>43695</v>
      </c>
      <c r="C5383" t="s">
        <v>2359</v>
      </c>
      <c r="D5383" t="s">
        <v>2360</v>
      </c>
      <c r="E5383" t="s">
        <v>14</v>
      </c>
      <c r="F5383" t="s">
        <v>15</v>
      </c>
      <c r="G5383" t="s">
        <v>24</v>
      </c>
      <c r="H5383" t="s">
        <v>2361</v>
      </c>
      <c r="I5383" s="2">
        <v>355.32</v>
      </c>
      <c r="J5383">
        <v>9</v>
      </c>
      <c r="K5383" s="2">
        <v>99.489599999999996</v>
      </c>
      <c r="L5383" s="3">
        <f>(Table1[[#This Row],[Profit]]/Table1[[#This Row],[Sales]])*100</f>
        <v>27.999999999999996</v>
      </c>
    </row>
    <row r="5384" spans="1:12" x14ac:dyDescent="0.3">
      <c r="A5384" t="s">
        <v>4184</v>
      </c>
      <c r="B5384" s="1">
        <v>43887</v>
      </c>
      <c r="C5384" t="s">
        <v>2548</v>
      </c>
      <c r="D5384" t="s">
        <v>2549</v>
      </c>
      <c r="E5384" t="s">
        <v>14</v>
      </c>
      <c r="F5384" t="s">
        <v>23</v>
      </c>
      <c r="G5384" t="s">
        <v>24</v>
      </c>
      <c r="H5384" t="s">
        <v>2335</v>
      </c>
      <c r="I5384" s="2">
        <v>380.79</v>
      </c>
      <c r="J5384">
        <v>7</v>
      </c>
      <c r="K5384" s="2">
        <v>99.901200000000003</v>
      </c>
      <c r="L5384" s="3">
        <f>(Table1[[#This Row],[Profit]]/Table1[[#This Row],[Sales]])*100</f>
        <v>26.235247774363824</v>
      </c>
    </row>
    <row r="5385" spans="1:12" x14ac:dyDescent="0.3">
      <c r="A5385" t="s">
        <v>2434</v>
      </c>
      <c r="B5385" s="1">
        <v>43703</v>
      </c>
      <c r="C5385" t="s">
        <v>2435</v>
      </c>
      <c r="D5385" t="s">
        <v>2436</v>
      </c>
      <c r="E5385" t="s">
        <v>14</v>
      </c>
      <c r="F5385" t="s">
        <v>23</v>
      </c>
      <c r="G5385" t="s">
        <v>16</v>
      </c>
      <c r="H5385" t="s">
        <v>1557</v>
      </c>
      <c r="I5385" s="2">
        <v>1603.136</v>
      </c>
      <c r="J5385">
        <v>4</v>
      </c>
      <c r="K5385" s="2">
        <v>100.196</v>
      </c>
      <c r="L5385" s="3">
        <f>(Table1[[#This Row],[Profit]]/Table1[[#This Row],[Sales]])*100</f>
        <v>6.25</v>
      </c>
    </row>
    <row r="5386" spans="1:12" x14ac:dyDescent="0.3">
      <c r="A5386" t="s">
        <v>3311</v>
      </c>
      <c r="B5386" s="1">
        <v>43776</v>
      </c>
      <c r="C5386" t="s">
        <v>3278</v>
      </c>
      <c r="D5386" t="s">
        <v>3279</v>
      </c>
      <c r="E5386" t="s">
        <v>14</v>
      </c>
      <c r="F5386" t="s">
        <v>23</v>
      </c>
      <c r="G5386" t="s">
        <v>16</v>
      </c>
      <c r="H5386" t="s">
        <v>1557</v>
      </c>
      <c r="I5386" s="2">
        <v>1603.136</v>
      </c>
      <c r="J5386">
        <v>4</v>
      </c>
      <c r="K5386" s="2">
        <v>100.196</v>
      </c>
      <c r="L5386" s="3">
        <f>(Table1[[#This Row],[Profit]]/Table1[[#This Row],[Sales]])*100</f>
        <v>6.25</v>
      </c>
    </row>
    <row r="5387" spans="1:12" x14ac:dyDescent="0.3">
      <c r="A5387" t="s">
        <v>5073</v>
      </c>
      <c r="B5387" s="1">
        <v>44040</v>
      </c>
      <c r="C5387" t="s">
        <v>2569</v>
      </c>
      <c r="D5387" t="s">
        <v>2570</v>
      </c>
      <c r="E5387" t="s">
        <v>14</v>
      </c>
      <c r="F5387" t="s">
        <v>23</v>
      </c>
      <c r="G5387" t="s">
        <v>18</v>
      </c>
      <c r="H5387" t="s">
        <v>1545</v>
      </c>
      <c r="I5387" s="2">
        <v>1175.5999999999999</v>
      </c>
      <c r="J5387">
        <v>4</v>
      </c>
      <c r="K5387" s="2">
        <v>100.24</v>
      </c>
      <c r="L5387" s="3">
        <f>(Table1[[#This Row],[Profit]]/Table1[[#This Row],[Sales]])*100</f>
        <v>8.5267097652262667</v>
      </c>
    </row>
    <row r="5388" spans="1:12" x14ac:dyDescent="0.3">
      <c r="A5388" t="s">
        <v>3606</v>
      </c>
      <c r="B5388" s="1">
        <v>43796</v>
      </c>
      <c r="C5388" t="s">
        <v>3607</v>
      </c>
      <c r="D5388" t="s">
        <v>3608</v>
      </c>
      <c r="E5388" t="s">
        <v>14</v>
      </c>
      <c r="F5388" t="s">
        <v>15</v>
      </c>
      <c r="G5388" t="s">
        <v>24</v>
      </c>
      <c r="H5388" t="s">
        <v>974</v>
      </c>
      <c r="I5388" s="2">
        <v>204.95</v>
      </c>
      <c r="J5388">
        <v>5</v>
      </c>
      <c r="K5388" s="2">
        <v>100.4255</v>
      </c>
      <c r="L5388" s="3">
        <f>(Table1[[#This Row],[Profit]]/Table1[[#This Row],[Sales]])*100</f>
        <v>49.000000000000007</v>
      </c>
    </row>
    <row r="5389" spans="1:12" x14ac:dyDescent="0.3">
      <c r="A5389" t="s">
        <v>4926</v>
      </c>
      <c r="B5389" s="1">
        <v>44012</v>
      </c>
      <c r="C5389" t="s">
        <v>1376</v>
      </c>
      <c r="D5389" t="s">
        <v>1377</v>
      </c>
      <c r="E5389" t="s">
        <v>14</v>
      </c>
      <c r="F5389" t="s">
        <v>23</v>
      </c>
      <c r="G5389" t="s">
        <v>24</v>
      </c>
      <c r="H5389" t="s">
        <v>2471</v>
      </c>
      <c r="I5389" s="2">
        <v>216.95</v>
      </c>
      <c r="J5389">
        <v>5</v>
      </c>
      <c r="K5389" s="2">
        <v>100.4255</v>
      </c>
      <c r="L5389" s="3">
        <f>(Table1[[#This Row],[Profit]]/Table1[[#This Row],[Sales]])*100</f>
        <v>46.289698087116847</v>
      </c>
    </row>
    <row r="5390" spans="1:12" x14ac:dyDescent="0.3">
      <c r="A5390" t="s">
        <v>5631</v>
      </c>
      <c r="B5390" s="1">
        <v>44119</v>
      </c>
      <c r="C5390" t="s">
        <v>4197</v>
      </c>
      <c r="D5390" t="s">
        <v>4198</v>
      </c>
      <c r="E5390" t="s">
        <v>14</v>
      </c>
      <c r="F5390" t="s">
        <v>23</v>
      </c>
      <c r="G5390" t="s">
        <v>24</v>
      </c>
      <c r="H5390" t="s">
        <v>2471</v>
      </c>
      <c r="I5390" s="2">
        <v>238.95</v>
      </c>
      <c r="J5390">
        <v>5</v>
      </c>
      <c r="K5390" s="2">
        <v>100.4255</v>
      </c>
      <c r="L5390" s="3">
        <f>(Table1[[#This Row],[Profit]]/Table1[[#This Row],[Sales]])*100</f>
        <v>42.027830089976987</v>
      </c>
    </row>
    <row r="5391" spans="1:12" x14ac:dyDescent="0.3">
      <c r="A5391" t="s">
        <v>6299</v>
      </c>
      <c r="B5391" s="1">
        <v>44194</v>
      </c>
      <c r="C5391" t="s">
        <v>1635</v>
      </c>
      <c r="D5391" t="s">
        <v>1636</v>
      </c>
      <c r="E5391" t="s">
        <v>14</v>
      </c>
      <c r="F5391" t="s">
        <v>29</v>
      </c>
      <c r="G5391" t="s">
        <v>24</v>
      </c>
      <c r="H5391" t="s">
        <v>1520</v>
      </c>
      <c r="I5391" s="2">
        <v>180.7</v>
      </c>
      <c r="J5391">
        <v>2</v>
      </c>
      <c r="K5391" s="2">
        <v>100.65600000000001</v>
      </c>
      <c r="L5391" s="3">
        <f>(Table1[[#This Row],[Profit]]/Table1[[#This Row],[Sales]])*100</f>
        <v>55.703375760929731</v>
      </c>
    </row>
    <row r="5392" spans="1:12" x14ac:dyDescent="0.3">
      <c r="A5392" t="s">
        <v>2733</v>
      </c>
      <c r="B5392" s="1">
        <v>43721</v>
      </c>
      <c r="C5392" t="s">
        <v>2734</v>
      </c>
      <c r="D5392" t="s">
        <v>2735</v>
      </c>
      <c r="E5392" t="s">
        <v>14</v>
      </c>
      <c r="F5392" t="s">
        <v>29</v>
      </c>
      <c r="G5392" t="s">
        <v>24</v>
      </c>
      <c r="H5392" t="s">
        <v>302</v>
      </c>
      <c r="I5392" s="2">
        <v>373.08</v>
      </c>
      <c r="J5392">
        <v>6</v>
      </c>
      <c r="K5392" s="2">
        <v>100.7316</v>
      </c>
      <c r="L5392" s="3">
        <f>(Table1[[#This Row],[Profit]]/Table1[[#This Row],[Sales]])*100</f>
        <v>27</v>
      </c>
    </row>
    <row r="5393" spans="1:12" x14ac:dyDescent="0.3">
      <c r="A5393" t="s">
        <v>3312</v>
      </c>
      <c r="B5393" s="1">
        <v>43776</v>
      </c>
      <c r="C5393" t="s">
        <v>1408</v>
      </c>
      <c r="D5393" t="s">
        <v>1409</v>
      </c>
      <c r="E5393" t="s">
        <v>14</v>
      </c>
      <c r="F5393" t="s">
        <v>15</v>
      </c>
      <c r="G5393" t="s">
        <v>18</v>
      </c>
      <c r="H5393" t="s">
        <v>3314</v>
      </c>
      <c r="I5393" s="2">
        <v>359.97</v>
      </c>
      <c r="J5393">
        <v>3</v>
      </c>
      <c r="K5393" s="2">
        <v>100.7916</v>
      </c>
      <c r="L5393" s="3">
        <f>(Table1[[#This Row],[Profit]]/Table1[[#This Row],[Sales]])*100</f>
        <v>27.999999999999996</v>
      </c>
    </row>
    <row r="5394" spans="1:12" x14ac:dyDescent="0.3">
      <c r="A5394" t="s">
        <v>5215</v>
      </c>
      <c r="B5394" s="1">
        <v>44070</v>
      </c>
      <c r="C5394" t="s">
        <v>4983</v>
      </c>
      <c r="D5394" t="s">
        <v>4984</v>
      </c>
      <c r="E5394" t="s">
        <v>14</v>
      </c>
      <c r="F5394" t="s">
        <v>15</v>
      </c>
      <c r="G5394" t="s">
        <v>18</v>
      </c>
      <c r="H5394" t="s">
        <v>19</v>
      </c>
      <c r="I5394" s="2">
        <v>367.97</v>
      </c>
      <c r="J5394">
        <v>3</v>
      </c>
      <c r="K5394" s="2">
        <v>100.9113</v>
      </c>
      <c r="L5394" s="3">
        <f>(Table1[[#This Row],[Profit]]/Table1[[#This Row],[Sales]])*100</f>
        <v>27.423784547653341</v>
      </c>
    </row>
    <row r="5395" spans="1:12" x14ac:dyDescent="0.3">
      <c r="A5395" t="s">
        <v>4729</v>
      </c>
      <c r="B5395" s="1">
        <v>43979</v>
      </c>
      <c r="C5395" t="s">
        <v>4730</v>
      </c>
      <c r="D5395" t="s">
        <v>4731</v>
      </c>
      <c r="E5395" t="s">
        <v>14</v>
      </c>
      <c r="F5395" t="s">
        <v>15</v>
      </c>
      <c r="G5395" t="s">
        <v>16</v>
      </c>
      <c r="H5395" t="s">
        <v>2110</v>
      </c>
      <c r="I5395" s="2">
        <v>270.44</v>
      </c>
      <c r="J5395">
        <v>8</v>
      </c>
      <c r="K5395" s="2">
        <v>101.4504</v>
      </c>
      <c r="L5395" s="3">
        <f>(Table1[[#This Row],[Profit]]/Table1[[#This Row],[Sales]])*100</f>
        <v>37.513089779618404</v>
      </c>
    </row>
    <row r="5396" spans="1:12" x14ac:dyDescent="0.3">
      <c r="A5396" t="s">
        <v>4916</v>
      </c>
      <c r="B5396" s="1">
        <v>44011</v>
      </c>
      <c r="C5396" t="s">
        <v>2320</v>
      </c>
      <c r="D5396" t="s">
        <v>2321</v>
      </c>
      <c r="E5396" t="s">
        <v>14</v>
      </c>
      <c r="F5396" t="s">
        <v>23</v>
      </c>
      <c r="G5396" t="s">
        <v>24</v>
      </c>
      <c r="H5396" t="s">
        <v>542</v>
      </c>
      <c r="I5396" s="2">
        <v>339.55200000000002</v>
      </c>
      <c r="J5396">
        <v>9</v>
      </c>
      <c r="K5396" s="2">
        <v>101.57940000000001</v>
      </c>
      <c r="L5396" s="3">
        <f>(Table1[[#This Row],[Profit]]/Table1[[#This Row],[Sales]])*100</f>
        <v>29.915712468193384</v>
      </c>
    </row>
    <row r="5397" spans="1:12" x14ac:dyDescent="0.3">
      <c r="A5397" t="s">
        <v>4188</v>
      </c>
      <c r="B5397" s="1">
        <v>43892</v>
      </c>
      <c r="C5397" t="s">
        <v>4189</v>
      </c>
      <c r="D5397" t="s">
        <v>4190</v>
      </c>
      <c r="E5397" t="s">
        <v>14</v>
      </c>
      <c r="F5397" t="s">
        <v>15</v>
      </c>
      <c r="G5397" t="s">
        <v>16</v>
      </c>
      <c r="H5397" t="s">
        <v>4194</v>
      </c>
      <c r="I5397" s="2">
        <v>460.96</v>
      </c>
      <c r="J5397">
        <v>2</v>
      </c>
      <c r="K5397" s="2">
        <v>101.6508</v>
      </c>
      <c r="L5397" s="3">
        <f>(Table1[[#This Row],[Profit]]/Table1[[#This Row],[Sales]])*100</f>
        <v>22.051978479694554</v>
      </c>
    </row>
    <row r="5398" spans="1:12" x14ac:dyDescent="0.3">
      <c r="A5398" t="s">
        <v>5486</v>
      </c>
      <c r="B5398" s="1">
        <v>44097</v>
      </c>
      <c r="C5398" t="s">
        <v>1013</v>
      </c>
      <c r="D5398" t="s">
        <v>1014</v>
      </c>
      <c r="E5398" t="s">
        <v>14</v>
      </c>
      <c r="F5398" t="s">
        <v>29</v>
      </c>
      <c r="G5398" t="s">
        <v>18</v>
      </c>
      <c r="H5398" t="s">
        <v>1010</v>
      </c>
      <c r="I5398" s="2">
        <v>316.95999999999998</v>
      </c>
      <c r="J5398">
        <v>4</v>
      </c>
      <c r="K5398" s="2">
        <v>102.18600000000001</v>
      </c>
      <c r="L5398" s="3">
        <f>(Table1[[#This Row],[Profit]]/Table1[[#This Row],[Sales]])*100</f>
        <v>32.239399293286226</v>
      </c>
    </row>
    <row r="5399" spans="1:12" x14ac:dyDescent="0.3">
      <c r="A5399" t="s">
        <v>3682</v>
      </c>
      <c r="B5399" s="1">
        <v>43802</v>
      </c>
      <c r="C5399" t="s">
        <v>3683</v>
      </c>
      <c r="D5399" t="s">
        <v>3684</v>
      </c>
      <c r="E5399" t="s">
        <v>14</v>
      </c>
      <c r="F5399" t="s">
        <v>15</v>
      </c>
      <c r="G5399" t="s">
        <v>16</v>
      </c>
      <c r="H5399" t="s">
        <v>798</v>
      </c>
      <c r="I5399" s="2">
        <v>542.64599999999996</v>
      </c>
      <c r="J5399">
        <v>3</v>
      </c>
      <c r="K5399" s="2">
        <v>102.49979999999999</v>
      </c>
      <c r="L5399" s="3">
        <f>(Table1[[#This Row],[Profit]]/Table1[[#This Row],[Sales]])*100</f>
        <v>18.888888888888889</v>
      </c>
    </row>
    <row r="5400" spans="1:12" x14ac:dyDescent="0.3">
      <c r="A5400" t="s">
        <v>4307</v>
      </c>
      <c r="B5400" s="1">
        <v>43910</v>
      </c>
      <c r="C5400" t="s">
        <v>4308</v>
      </c>
      <c r="D5400" t="s">
        <v>4309</v>
      </c>
      <c r="E5400" t="s">
        <v>14</v>
      </c>
      <c r="F5400" t="s">
        <v>29</v>
      </c>
      <c r="G5400" t="s">
        <v>24</v>
      </c>
      <c r="H5400" t="s">
        <v>3087</v>
      </c>
      <c r="I5400" s="2">
        <v>284.06400000000002</v>
      </c>
      <c r="J5400">
        <v>7</v>
      </c>
      <c r="K5400" s="2">
        <v>102.774</v>
      </c>
      <c r="L5400" s="3">
        <f>(Table1[[#This Row],[Profit]]/Table1[[#This Row],[Sales]])*100</f>
        <v>36.179874957755999</v>
      </c>
    </row>
    <row r="5401" spans="1:12" x14ac:dyDescent="0.3">
      <c r="A5401" t="s">
        <v>5394</v>
      </c>
      <c r="B5401" s="1">
        <v>44089</v>
      </c>
      <c r="C5401" t="s">
        <v>5395</v>
      </c>
      <c r="D5401" t="s">
        <v>5396</v>
      </c>
      <c r="E5401" t="s">
        <v>14</v>
      </c>
      <c r="F5401" t="s">
        <v>15</v>
      </c>
      <c r="G5401" t="s">
        <v>18</v>
      </c>
      <c r="H5401" t="s">
        <v>5405</v>
      </c>
      <c r="I5401" s="2">
        <v>429.94</v>
      </c>
      <c r="J5401">
        <v>6</v>
      </c>
      <c r="K5401" s="2">
        <v>102.9444</v>
      </c>
      <c r="L5401" s="3">
        <f>(Table1[[#This Row],[Profit]]/Table1[[#This Row],[Sales]])*100</f>
        <v>23.943899148718426</v>
      </c>
    </row>
    <row r="5402" spans="1:12" x14ac:dyDescent="0.3">
      <c r="A5402" t="s">
        <v>3004</v>
      </c>
      <c r="B5402" s="1">
        <v>43741</v>
      </c>
      <c r="C5402" t="s">
        <v>847</v>
      </c>
      <c r="D5402" t="s">
        <v>848</v>
      </c>
      <c r="E5402" t="s">
        <v>14</v>
      </c>
      <c r="F5402" t="s">
        <v>23</v>
      </c>
      <c r="G5402" t="s">
        <v>16</v>
      </c>
      <c r="H5402" t="s">
        <v>3006</v>
      </c>
      <c r="I5402" s="2">
        <v>915.13599999999997</v>
      </c>
      <c r="J5402">
        <v>4</v>
      </c>
      <c r="K5402" s="2">
        <v>102.9528</v>
      </c>
      <c r="L5402" s="3">
        <f>(Table1[[#This Row],[Profit]]/Table1[[#This Row],[Sales]])*100</f>
        <v>11.25</v>
      </c>
    </row>
    <row r="5403" spans="1:12" x14ac:dyDescent="0.3">
      <c r="A5403" t="s">
        <v>3698</v>
      </c>
      <c r="B5403" s="1">
        <v>43804</v>
      </c>
      <c r="C5403" t="s">
        <v>3699</v>
      </c>
      <c r="D5403" t="s">
        <v>3700</v>
      </c>
      <c r="E5403" t="s">
        <v>14</v>
      </c>
      <c r="F5403" t="s">
        <v>29</v>
      </c>
      <c r="G5403" t="s">
        <v>18</v>
      </c>
      <c r="H5403" t="s">
        <v>294</v>
      </c>
      <c r="I5403" s="2">
        <v>384.45</v>
      </c>
      <c r="J5403">
        <v>11</v>
      </c>
      <c r="K5403" s="2">
        <v>103.8015</v>
      </c>
      <c r="L5403" s="3">
        <f>(Table1[[#This Row],[Profit]]/Table1[[#This Row],[Sales]])*100</f>
        <v>27</v>
      </c>
    </row>
    <row r="5404" spans="1:12" x14ac:dyDescent="0.3">
      <c r="A5404" t="s">
        <v>5240</v>
      </c>
      <c r="B5404" s="1">
        <v>44075</v>
      </c>
      <c r="C5404" t="s">
        <v>4601</v>
      </c>
      <c r="D5404" t="s">
        <v>4602</v>
      </c>
      <c r="E5404" t="s">
        <v>14</v>
      </c>
      <c r="F5404" t="s">
        <v>23</v>
      </c>
      <c r="G5404" t="s">
        <v>24</v>
      </c>
      <c r="H5404" t="s">
        <v>2227</v>
      </c>
      <c r="I5404" s="2">
        <v>341.6</v>
      </c>
      <c r="J5404">
        <v>4</v>
      </c>
      <c r="K5404" s="2">
        <v>103.818</v>
      </c>
      <c r="L5404" s="3">
        <f>(Table1[[#This Row],[Profit]]/Table1[[#This Row],[Sales]])*100</f>
        <v>30.391686182669787</v>
      </c>
    </row>
    <row r="5405" spans="1:12" x14ac:dyDescent="0.3">
      <c r="A5405" t="s">
        <v>5975</v>
      </c>
      <c r="B5405" s="1">
        <v>44156</v>
      </c>
      <c r="C5405" t="s">
        <v>1631</v>
      </c>
      <c r="D5405" t="s">
        <v>1632</v>
      </c>
      <c r="E5405" t="s">
        <v>14</v>
      </c>
      <c r="F5405" t="s">
        <v>23</v>
      </c>
      <c r="G5405" t="s">
        <v>18</v>
      </c>
      <c r="H5405" t="s">
        <v>5977</v>
      </c>
      <c r="I5405" s="2">
        <v>1053.992</v>
      </c>
      <c r="J5405">
        <v>1</v>
      </c>
      <c r="K5405" s="2">
        <v>103.9992</v>
      </c>
      <c r="L5405" s="3">
        <f>(Table1[[#This Row],[Profit]]/Table1[[#This Row],[Sales]])*100</f>
        <v>9.8671716673371339</v>
      </c>
    </row>
    <row r="5406" spans="1:12" x14ac:dyDescent="0.3">
      <c r="A5406" t="s">
        <v>5616</v>
      </c>
      <c r="B5406" s="1">
        <v>44117</v>
      </c>
      <c r="C5406" t="s">
        <v>390</v>
      </c>
      <c r="D5406" t="s">
        <v>391</v>
      </c>
      <c r="E5406" t="s">
        <v>14</v>
      </c>
      <c r="F5406" t="s">
        <v>41</v>
      </c>
      <c r="G5406" t="s">
        <v>24</v>
      </c>
      <c r="H5406" t="s">
        <v>4913</v>
      </c>
      <c r="I5406" s="2">
        <v>389.56</v>
      </c>
      <c r="J5406">
        <v>8</v>
      </c>
      <c r="K5406" s="2">
        <v>104.568</v>
      </c>
      <c r="L5406" s="3">
        <f>(Table1[[#This Row],[Profit]]/Table1[[#This Row],[Sales]])*100</f>
        <v>26.842591641852348</v>
      </c>
    </row>
    <row r="5407" spans="1:12" x14ac:dyDescent="0.3">
      <c r="A5407" t="s">
        <v>3681</v>
      </c>
      <c r="B5407" s="1">
        <v>43802</v>
      </c>
      <c r="C5407" t="s">
        <v>1125</v>
      </c>
      <c r="D5407" t="s">
        <v>1126</v>
      </c>
      <c r="E5407" t="s">
        <v>14</v>
      </c>
      <c r="F5407" t="s">
        <v>29</v>
      </c>
      <c r="G5407" t="s">
        <v>16</v>
      </c>
      <c r="H5407" t="s">
        <v>3074</v>
      </c>
      <c r="I5407" s="2">
        <v>581.96</v>
      </c>
      <c r="J5407">
        <v>2</v>
      </c>
      <c r="K5407" s="2">
        <v>104.75279999999999</v>
      </c>
      <c r="L5407" s="3">
        <f>(Table1[[#This Row],[Profit]]/Table1[[#This Row],[Sales]])*100</f>
        <v>17.999999999999996</v>
      </c>
    </row>
    <row r="5408" spans="1:12" x14ac:dyDescent="0.3">
      <c r="A5408" t="s">
        <v>996</v>
      </c>
      <c r="B5408" s="1">
        <v>43569</v>
      </c>
      <c r="C5408" t="s">
        <v>738</v>
      </c>
      <c r="D5408" t="s">
        <v>739</v>
      </c>
      <c r="E5408" t="s">
        <v>14</v>
      </c>
      <c r="F5408" t="s">
        <v>23</v>
      </c>
      <c r="G5408" t="s">
        <v>16</v>
      </c>
      <c r="H5408" t="s">
        <v>997</v>
      </c>
      <c r="I5408" s="2">
        <v>933.53599999999994</v>
      </c>
      <c r="J5408">
        <v>4</v>
      </c>
      <c r="K5408" s="2">
        <v>105.0228</v>
      </c>
      <c r="L5408" s="3">
        <f>(Table1[[#This Row],[Profit]]/Table1[[#This Row],[Sales]])*100</f>
        <v>11.250000000000002</v>
      </c>
    </row>
    <row r="5409" spans="1:12" x14ac:dyDescent="0.3">
      <c r="A5409" t="s">
        <v>450</v>
      </c>
      <c r="B5409" s="1">
        <v>43525</v>
      </c>
      <c r="C5409" t="s">
        <v>451</v>
      </c>
      <c r="D5409" t="s">
        <v>452</v>
      </c>
      <c r="E5409" t="s">
        <v>14</v>
      </c>
      <c r="F5409" t="s">
        <v>15</v>
      </c>
      <c r="G5409" t="s">
        <v>24</v>
      </c>
      <c r="H5409" t="s">
        <v>453</v>
      </c>
      <c r="I5409" s="2">
        <v>362.92</v>
      </c>
      <c r="J5409">
        <v>2</v>
      </c>
      <c r="K5409" s="2">
        <v>105.24679999999999</v>
      </c>
      <c r="L5409" s="3">
        <f>(Table1[[#This Row],[Profit]]/Table1[[#This Row],[Sales]])*100</f>
        <v>28.999999999999996</v>
      </c>
    </row>
    <row r="5410" spans="1:12" x14ac:dyDescent="0.3">
      <c r="A5410" t="s">
        <v>5280</v>
      </c>
      <c r="B5410" s="1">
        <v>44078</v>
      </c>
      <c r="C5410" t="s">
        <v>3636</v>
      </c>
      <c r="D5410" t="s">
        <v>3637</v>
      </c>
      <c r="E5410" t="s">
        <v>14</v>
      </c>
      <c r="F5410" t="s">
        <v>23</v>
      </c>
      <c r="G5410" t="s">
        <v>24</v>
      </c>
      <c r="H5410" t="s">
        <v>3621</v>
      </c>
      <c r="I5410" s="2">
        <v>469.1</v>
      </c>
      <c r="J5410">
        <v>2</v>
      </c>
      <c r="K5410" s="2">
        <v>105.27500000000001</v>
      </c>
      <c r="L5410" s="3">
        <f>(Table1[[#This Row],[Profit]]/Table1[[#This Row],[Sales]])*100</f>
        <v>22.441910040503092</v>
      </c>
    </row>
    <row r="5411" spans="1:12" x14ac:dyDescent="0.3">
      <c r="A5411" t="s">
        <v>6264</v>
      </c>
      <c r="B5411" s="1">
        <v>44189</v>
      </c>
      <c r="C5411" t="s">
        <v>1762</v>
      </c>
      <c r="D5411" t="s">
        <v>1763</v>
      </c>
      <c r="E5411" t="s">
        <v>14</v>
      </c>
      <c r="F5411" t="s">
        <v>23</v>
      </c>
      <c r="G5411" t="s">
        <v>16</v>
      </c>
      <c r="H5411" t="s">
        <v>2804</v>
      </c>
      <c r="I5411" s="2">
        <v>814.37599999999998</v>
      </c>
      <c r="J5411">
        <v>3</v>
      </c>
      <c r="K5411" s="2">
        <v>105.297</v>
      </c>
      <c r="L5411" s="3">
        <f>(Table1[[#This Row],[Profit]]/Table1[[#This Row],[Sales]])*100</f>
        <v>12.929776908946236</v>
      </c>
    </row>
    <row r="5412" spans="1:12" x14ac:dyDescent="0.3">
      <c r="A5412" t="s">
        <v>5397</v>
      </c>
      <c r="B5412" s="1">
        <v>44089</v>
      </c>
      <c r="C5412" t="s">
        <v>501</v>
      </c>
      <c r="D5412" t="s">
        <v>502</v>
      </c>
      <c r="E5412" t="s">
        <v>14</v>
      </c>
      <c r="F5412" t="s">
        <v>23</v>
      </c>
      <c r="G5412" t="s">
        <v>16</v>
      </c>
      <c r="H5412" t="s">
        <v>1290</v>
      </c>
      <c r="I5412" s="2">
        <v>549.9</v>
      </c>
      <c r="J5412">
        <v>5</v>
      </c>
      <c r="K5412" s="2">
        <v>105.98</v>
      </c>
      <c r="L5412" s="3">
        <f>(Table1[[#This Row],[Profit]]/Table1[[#This Row],[Sales]])*100</f>
        <v>19.272595017275869</v>
      </c>
    </row>
    <row r="5413" spans="1:12" x14ac:dyDescent="0.3">
      <c r="A5413" t="s">
        <v>4327</v>
      </c>
      <c r="B5413" s="1">
        <v>43914</v>
      </c>
      <c r="C5413" t="s">
        <v>2950</v>
      </c>
      <c r="D5413" t="s">
        <v>2951</v>
      </c>
      <c r="E5413" t="s">
        <v>14</v>
      </c>
      <c r="F5413" t="s">
        <v>15</v>
      </c>
      <c r="G5413" t="s">
        <v>24</v>
      </c>
      <c r="H5413" t="s">
        <v>4328</v>
      </c>
      <c r="I5413" s="2">
        <v>234.92</v>
      </c>
      <c r="J5413">
        <v>4</v>
      </c>
      <c r="K5413" s="2">
        <v>106.52160000000001</v>
      </c>
      <c r="L5413" s="3">
        <f>(Table1[[#This Row],[Profit]]/Table1[[#This Row],[Sales]])*100</f>
        <v>45.34377660480164</v>
      </c>
    </row>
    <row r="5414" spans="1:12" x14ac:dyDescent="0.3">
      <c r="A5414" t="s">
        <v>4299</v>
      </c>
      <c r="B5414" s="1">
        <v>43909</v>
      </c>
      <c r="C5414" t="s">
        <v>4300</v>
      </c>
      <c r="D5414" t="s">
        <v>4301</v>
      </c>
      <c r="E5414" t="s">
        <v>14</v>
      </c>
      <c r="F5414" t="s">
        <v>23</v>
      </c>
      <c r="G5414" t="s">
        <v>24</v>
      </c>
      <c r="H5414" t="s">
        <v>416</v>
      </c>
      <c r="I5414" s="2">
        <v>421.36</v>
      </c>
      <c r="J5414">
        <v>7</v>
      </c>
      <c r="K5414" s="2">
        <v>106.7808</v>
      </c>
      <c r="L5414" s="3">
        <f>(Table1[[#This Row],[Profit]]/Table1[[#This Row],[Sales]])*100</f>
        <v>25.341940383520029</v>
      </c>
    </row>
    <row r="5415" spans="1:12" x14ac:dyDescent="0.3">
      <c r="A5415" t="s">
        <v>5402</v>
      </c>
      <c r="B5415" s="1">
        <v>44089</v>
      </c>
      <c r="C5415" t="s">
        <v>5181</v>
      </c>
      <c r="D5415" t="s">
        <v>5182</v>
      </c>
      <c r="E5415" t="s">
        <v>14</v>
      </c>
      <c r="F5415" t="s">
        <v>23</v>
      </c>
      <c r="G5415" t="s">
        <v>24</v>
      </c>
      <c r="H5415" t="s">
        <v>4250</v>
      </c>
      <c r="I5415" s="2">
        <v>317.05599999999998</v>
      </c>
      <c r="J5415">
        <v>9</v>
      </c>
      <c r="K5415" s="2">
        <v>106.95780000000001</v>
      </c>
      <c r="L5415" s="3">
        <f>(Table1[[#This Row],[Profit]]/Table1[[#This Row],[Sales]])*100</f>
        <v>33.734671477593871</v>
      </c>
    </row>
    <row r="5416" spans="1:12" x14ac:dyDescent="0.3">
      <c r="A5416" t="s">
        <v>6061</v>
      </c>
      <c r="B5416" s="1">
        <v>44166</v>
      </c>
      <c r="C5416" t="s">
        <v>2249</v>
      </c>
      <c r="D5416" t="s">
        <v>2250</v>
      </c>
      <c r="E5416" t="s">
        <v>14</v>
      </c>
      <c r="F5416" t="s">
        <v>23</v>
      </c>
      <c r="G5416" t="s">
        <v>16</v>
      </c>
      <c r="H5416" t="s">
        <v>2558</v>
      </c>
      <c r="I5416" s="2">
        <v>669.64</v>
      </c>
      <c r="J5416">
        <v>9</v>
      </c>
      <c r="K5416" s="2">
        <v>107.03879999999999</v>
      </c>
      <c r="L5416" s="3">
        <f>(Table1[[#This Row],[Profit]]/Table1[[#This Row],[Sales]])*100</f>
        <v>15.984529000657069</v>
      </c>
    </row>
    <row r="5417" spans="1:12" x14ac:dyDescent="0.3">
      <c r="A5417" t="s">
        <v>1323</v>
      </c>
      <c r="B5417" s="1">
        <v>43594</v>
      </c>
      <c r="C5417" t="s">
        <v>1324</v>
      </c>
      <c r="D5417" t="s">
        <v>1325</v>
      </c>
      <c r="E5417" t="s">
        <v>14</v>
      </c>
      <c r="F5417" t="s">
        <v>29</v>
      </c>
      <c r="G5417" t="s">
        <v>24</v>
      </c>
      <c r="H5417" t="s">
        <v>1326</v>
      </c>
      <c r="I5417" s="2">
        <v>856.65599999999995</v>
      </c>
      <c r="J5417">
        <v>6</v>
      </c>
      <c r="K5417" s="2">
        <v>107.08199999999999</v>
      </c>
      <c r="L5417" s="3">
        <f>(Table1[[#This Row],[Profit]]/Table1[[#This Row],[Sales]])*100</f>
        <v>12.5</v>
      </c>
    </row>
    <row r="5418" spans="1:12" x14ac:dyDescent="0.3">
      <c r="A5418" t="s">
        <v>2819</v>
      </c>
      <c r="B5418" s="1">
        <v>43727</v>
      </c>
      <c r="C5418" t="s">
        <v>2020</v>
      </c>
      <c r="D5418" t="s">
        <v>2021</v>
      </c>
      <c r="E5418" t="s">
        <v>14</v>
      </c>
      <c r="F5418" t="s">
        <v>41</v>
      </c>
      <c r="G5418" t="s">
        <v>18</v>
      </c>
      <c r="H5418" t="s">
        <v>184</v>
      </c>
      <c r="I5418" s="2">
        <v>249.95</v>
      </c>
      <c r="J5418">
        <v>5</v>
      </c>
      <c r="K5418" s="2">
        <v>107.4785</v>
      </c>
      <c r="L5418" s="3">
        <f>(Table1[[#This Row],[Profit]]/Table1[[#This Row],[Sales]])*100</f>
        <v>43</v>
      </c>
    </row>
    <row r="5419" spans="1:12" x14ac:dyDescent="0.3">
      <c r="A5419" t="s">
        <v>1781</v>
      </c>
      <c r="B5419" s="1">
        <v>43633</v>
      </c>
      <c r="C5419" t="s">
        <v>1782</v>
      </c>
      <c r="D5419" t="s">
        <v>1783</v>
      </c>
      <c r="E5419" t="s">
        <v>14</v>
      </c>
      <c r="F5419" t="s">
        <v>23</v>
      </c>
      <c r="G5419" t="s">
        <v>24</v>
      </c>
      <c r="H5419" t="s">
        <v>1199</v>
      </c>
      <c r="I5419" s="2">
        <v>219.84</v>
      </c>
      <c r="J5419">
        <v>4</v>
      </c>
      <c r="K5419" s="2">
        <v>107.7216</v>
      </c>
      <c r="L5419" s="3">
        <f>(Table1[[#This Row],[Profit]]/Table1[[#This Row],[Sales]])*100</f>
        <v>49</v>
      </c>
    </row>
    <row r="5420" spans="1:12" x14ac:dyDescent="0.3">
      <c r="A5420" t="s">
        <v>5464</v>
      </c>
      <c r="B5420" s="1">
        <v>44096</v>
      </c>
      <c r="C5420" t="s">
        <v>1465</v>
      </c>
      <c r="D5420" t="s">
        <v>1466</v>
      </c>
      <c r="E5420" t="s">
        <v>14</v>
      </c>
      <c r="F5420" t="s">
        <v>29</v>
      </c>
      <c r="G5420" t="s">
        <v>24</v>
      </c>
      <c r="H5420" t="s">
        <v>5467</v>
      </c>
      <c r="I5420" s="2">
        <v>268.83999999999997</v>
      </c>
      <c r="J5420">
        <v>4</v>
      </c>
      <c r="K5420" s="2">
        <v>107.7216</v>
      </c>
      <c r="L5420" s="3">
        <f>(Table1[[#This Row],[Profit]]/Table1[[#This Row],[Sales]])*100</f>
        <v>40.069037345633092</v>
      </c>
    </row>
    <row r="5421" spans="1:12" x14ac:dyDescent="0.3">
      <c r="A5421" t="s">
        <v>5923</v>
      </c>
      <c r="B5421" s="1">
        <v>44152</v>
      </c>
      <c r="C5421" t="s">
        <v>602</v>
      </c>
      <c r="D5421" t="s">
        <v>603</v>
      </c>
      <c r="E5421" t="s">
        <v>14</v>
      </c>
      <c r="F5421" t="s">
        <v>41</v>
      </c>
      <c r="G5421" t="s">
        <v>18</v>
      </c>
      <c r="H5421" t="s">
        <v>1151</v>
      </c>
      <c r="I5421" s="2">
        <v>479.16</v>
      </c>
      <c r="J5421">
        <v>5</v>
      </c>
      <c r="K5421" s="2">
        <v>107.79</v>
      </c>
      <c r="L5421" s="3">
        <f>(Table1[[#This Row],[Profit]]/Table1[[#This Row],[Sales]])*100</f>
        <v>22.495617330328074</v>
      </c>
    </row>
    <row r="5422" spans="1:12" x14ac:dyDescent="0.3">
      <c r="A5422" t="s">
        <v>1989</v>
      </c>
      <c r="B5422" s="1">
        <v>43654</v>
      </c>
      <c r="C5422" t="s">
        <v>1642</v>
      </c>
      <c r="D5422" t="s">
        <v>1643</v>
      </c>
      <c r="E5422" t="s">
        <v>14</v>
      </c>
      <c r="F5422" t="s">
        <v>29</v>
      </c>
      <c r="G5422" t="s">
        <v>18</v>
      </c>
      <c r="H5422" t="s">
        <v>1990</v>
      </c>
      <c r="I5422" s="2">
        <v>863.64</v>
      </c>
      <c r="J5422">
        <v>9</v>
      </c>
      <c r="K5422" s="2">
        <v>107.955</v>
      </c>
      <c r="L5422" s="3">
        <f>(Table1[[#This Row],[Profit]]/Table1[[#This Row],[Sales]])*100</f>
        <v>12.5</v>
      </c>
    </row>
    <row r="5423" spans="1:12" x14ac:dyDescent="0.3">
      <c r="A5423" t="s">
        <v>5697</v>
      </c>
      <c r="B5423" s="1">
        <v>44127</v>
      </c>
      <c r="C5423" t="s">
        <v>5698</v>
      </c>
      <c r="D5423" t="s">
        <v>5699</v>
      </c>
      <c r="E5423" t="s">
        <v>14</v>
      </c>
      <c r="F5423" t="s">
        <v>41</v>
      </c>
      <c r="G5423" t="s">
        <v>18</v>
      </c>
      <c r="H5423" t="s">
        <v>516</v>
      </c>
      <c r="I5423" s="2">
        <v>900.88</v>
      </c>
      <c r="J5423">
        <v>3</v>
      </c>
      <c r="K5423" s="2">
        <v>107.985</v>
      </c>
      <c r="L5423" s="3">
        <f>(Table1[[#This Row],[Profit]]/Table1[[#This Row],[Sales]])*100</f>
        <v>11.986613089423674</v>
      </c>
    </row>
    <row r="5424" spans="1:12" x14ac:dyDescent="0.3">
      <c r="A5424" t="s">
        <v>4842</v>
      </c>
      <c r="B5424" s="1">
        <v>43998</v>
      </c>
      <c r="C5424" t="s">
        <v>684</v>
      </c>
      <c r="D5424" t="s">
        <v>685</v>
      </c>
      <c r="E5424" t="s">
        <v>14</v>
      </c>
      <c r="F5424" t="s">
        <v>15</v>
      </c>
      <c r="G5424" t="s">
        <v>18</v>
      </c>
      <c r="H5424" t="s">
        <v>4678</v>
      </c>
      <c r="I5424" s="2">
        <v>492.952</v>
      </c>
      <c r="J5424">
        <v>6</v>
      </c>
      <c r="K5424" s="2">
        <v>107.9892</v>
      </c>
      <c r="L5424" s="3">
        <f>(Table1[[#This Row],[Profit]]/Table1[[#This Row],[Sales]])*100</f>
        <v>21.906635940213246</v>
      </c>
    </row>
    <row r="5425" spans="1:12" x14ac:dyDescent="0.3">
      <c r="A5425" t="s">
        <v>5322</v>
      </c>
      <c r="B5425" s="1">
        <v>44082</v>
      </c>
      <c r="C5425" t="s">
        <v>1976</v>
      </c>
      <c r="D5425" t="s">
        <v>1977</v>
      </c>
      <c r="E5425" t="s">
        <v>14</v>
      </c>
      <c r="F5425" t="s">
        <v>29</v>
      </c>
      <c r="G5425" t="s">
        <v>18</v>
      </c>
      <c r="H5425" t="s">
        <v>2708</v>
      </c>
      <c r="I5425" s="2">
        <v>331.98399999999998</v>
      </c>
      <c r="J5425">
        <v>2</v>
      </c>
      <c r="K5425" s="2">
        <v>107.99460000000001</v>
      </c>
      <c r="L5425" s="3">
        <f>(Table1[[#This Row],[Profit]]/Table1[[#This Row],[Sales]])*100</f>
        <v>32.530061689719993</v>
      </c>
    </row>
    <row r="5426" spans="1:12" x14ac:dyDescent="0.3">
      <c r="A5426" t="s">
        <v>3678</v>
      </c>
      <c r="B5426" s="1">
        <v>43802</v>
      </c>
      <c r="C5426" t="s">
        <v>3679</v>
      </c>
      <c r="D5426" t="s">
        <v>3680</v>
      </c>
      <c r="E5426" t="s">
        <v>14</v>
      </c>
      <c r="F5426" t="s">
        <v>23</v>
      </c>
      <c r="G5426" t="s">
        <v>24</v>
      </c>
      <c r="H5426" t="s">
        <v>963</v>
      </c>
      <c r="I5426" s="2">
        <v>772.68</v>
      </c>
      <c r="J5426">
        <v>4</v>
      </c>
      <c r="K5426" s="2">
        <v>108.1752</v>
      </c>
      <c r="L5426" s="3">
        <f>(Table1[[#This Row],[Profit]]/Table1[[#This Row],[Sales]])*100</f>
        <v>14.000000000000002</v>
      </c>
    </row>
    <row r="5427" spans="1:12" x14ac:dyDescent="0.3">
      <c r="A5427" t="s">
        <v>4123</v>
      </c>
      <c r="B5427" s="1">
        <v>43872</v>
      </c>
      <c r="C5427" t="s">
        <v>4124</v>
      </c>
      <c r="D5427" t="s">
        <v>4125</v>
      </c>
      <c r="E5427" t="s">
        <v>14</v>
      </c>
      <c r="F5427" t="s">
        <v>23</v>
      </c>
      <c r="G5427" t="s">
        <v>16</v>
      </c>
      <c r="H5427" t="s">
        <v>3400</v>
      </c>
      <c r="I5427" s="2">
        <v>986.13599999999997</v>
      </c>
      <c r="J5427">
        <v>4</v>
      </c>
      <c r="K5427" s="2">
        <v>108.3528</v>
      </c>
      <c r="L5427" s="3">
        <f>(Table1[[#This Row],[Profit]]/Table1[[#This Row],[Sales]])*100</f>
        <v>10.987612256321643</v>
      </c>
    </row>
    <row r="5428" spans="1:12" x14ac:dyDescent="0.3">
      <c r="A5428" t="s">
        <v>3511</v>
      </c>
      <c r="B5428" s="1">
        <v>43790</v>
      </c>
      <c r="C5428" t="s">
        <v>1794</v>
      </c>
      <c r="D5428" t="s">
        <v>1795</v>
      </c>
      <c r="E5428" t="s">
        <v>14</v>
      </c>
      <c r="F5428" t="s">
        <v>29</v>
      </c>
      <c r="G5428" t="s">
        <v>18</v>
      </c>
      <c r="H5428" t="s">
        <v>1995</v>
      </c>
      <c r="I5428" s="2">
        <v>404.94</v>
      </c>
      <c r="J5428">
        <v>3</v>
      </c>
      <c r="K5428" s="2">
        <v>109.3338</v>
      </c>
      <c r="L5428" s="3">
        <f>(Table1[[#This Row],[Profit]]/Table1[[#This Row],[Sales]])*100</f>
        <v>27</v>
      </c>
    </row>
    <row r="5429" spans="1:12" x14ac:dyDescent="0.3">
      <c r="A5429" t="s">
        <v>1576</v>
      </c>
      <c r="B5429" s="1">
        <v>43615</v>
      </c>
      <c r="C5429" t="s">
        <v>1577</v>
      </c>
      <c r="D5429" t="s">
        <v>1578</v>
      </c>
      <c r="E5429" t="s">
        <v>14</v>
      </c>
      <c r="F5429" t="s">
        <v>29</v>
      </c>
      <c r="G5429" t="s">
        <v>24</v>
      </c>
      <c r="H5429" t="s">
        <v>1579</v>
      </c>
      <c r="I5429" s="2">
        <v>364.74</v>
      </c>
      <c r="J5429">
        <v>3</v>
      </c>
      <c r="K5429" s="2">
        <v>109.422</v>
      </c>
      <c r="L5429" s="3">
        <f>(Table1[[#This Row],[Profit]]/Table1[[#This Row],[Sales]])*100</f>
        <v>30</v>
      </c>
    </row>
    <row r="5430" spans="1:12" x14ac:dyDescent="0.3">
      <c r="A5430" t="s">
        <v>4183</v>
      </c>
      <c r="B5430" s="1">
        <v>43887</v>
      </c>
      <c r="C5430" t="s">
        <v>169</v>
      </c>
      <c r="D5430" t="s">
        <v>170</v>
      </c>
      <c r="E5430" t="s">
        <v>14</v>
      </c>
      <c r="F5430" t="s">
        <v>23</v>
      </c>
      <c r="G5430" t="s">
        <v>24</v>
      </c>
      <c r="H5430" t="s">
        <v>1716</v>
      </c>
      <c r="I5430" s="2">
        <v>249.92</v>
      </c>
      <c r="J5430">
        <v>4</v>
      </c>
      <c r="K5430" s="2">
        <v>109.7208</v>
      </c>
      <c r="L5430" s="3">
        <f>(Table1[[#This Row],[Profit]]/Table1[[#This Row],[Sales]])*100</f>
        <v>43.902368758002567</v>
      </c>
    </row>
    <row r="5431" spans="1:12" x14ac:dyDescent="0.3">
      <c r="A5431" t="s">
        <v>4677</v>
      </c>
      <c r="B5431" s="1">
        <v>43970</v>
      </c>
      <c r="C5431" t="s">
        <v>4197</v>
      </c>
      <c r="D5431" t="s">
        <v>4198</v>
      </c>
      <c r="E5431" t="s">
        <v>14</v>
      </c>
      <c r="F5431" t="s">
        <v>15</v>
      </c>
      <c r="G5431" t="s">
        <v>24</v>
      </c>
      <c r="H5431" t="s">
        <v>4274</v>
      </c>
      <c r="I5431" s="2">
        <v>323.33999999999997</v>
      </c>
      <c r="J5431">
        <v>6</v>
      </c>
      <c r="K5431" s="2">
        <v>109.7226</v>
      </c>
      <c r="L5431" s="3">
        <f>(Table1[[#This Row],[Profit]]/Table1[[#This Row],[Sales]])*100</f>
        <v>33.934125069586194</v>
      </c>
    </row>
    <row r="5432" spans="1:12" x14ac:dyDescent="0.3">
      <c r="A5432" t="s">
        <v>5498</v>
      </c>
      <c r="B5432" s="1">
        <v>44098</v>
      </c>
      <c r="C5432" t="s">
        <v>3178</v>
      </c>
      <c r="D5432" t="s">
        <v>3179</v>
      </c>
      <c r="E5432" t="s">
        <v>14</v>
      </c>
      <c r="F5432" t="s">
        <v>15</v>
      </c>
      <c r="G5432" t="s">
        <v>18</v>
      </c>
      <c r="H5432" t="s">
        <v>1549</v>
      </c>
      <c r="I5432" s="2">
        <v>432.98</v>
      </c>
      <c r="J5432">
        <v>2</v>
      </c>
      <c r="K5432" s="2">
        <v>109.7544</v>
      </c>
      <c r="L5432" s="3">
        <f>(Table1[[#This Row],[Profit]]/Table1[[#This Row],[Sales]])*100</f>
        <v>25.348607325973489</v>
      </c>
    </row>
    <row r="5433" spans="1:12" x14ac:dyDescent="0.3">
      <c r="A5433" t="s">
        <v>3774</v>
      </c>
      <c r="B5433" s="1">
        <v>43810</v>
      </c>
      <c r="C5433" t="s">
        <v>118</v>
      </c>
      <c r="D5433" t="s">
        <v>119</v>
      </c>
      <c r="E5433" t="s">
        <v>14</v>
      </c>
      <c r="F5433" t="s">
        <v>23</v>
      </c>
      <c r="G5433" t="s">
        <v>16</v>
      </c>
      <c r="H5433" t="s">
        <v>625</v>
      </c>
      <c r="I5433" s="2">
        <v>892.13599999999997</v>
      </c>
      <c r="J5433">
        <v>7</v>
      </c>
      <c r="K5433" s="2">
        <v>111.517</v>
      </c>
      <c r="L5433" s="3">
        <f>(Table1[[#This Row],[Profit]]/Table1[[#This Row],[Sales]])*100</f>
        <v>12.5</v>
      </c>
    </row>
    <row r="5434" spans="1:12" x14ac:dyDescent="0.3">
      <c r="A5434" t="s">
        <v>5639</v>
      </c>
      <c r="B5434" s="1">
        <v>44120</v>
      </c>
      <c r="C5434" t="s">
        <v>3615</v>
      </c>
      <c r="D5434" t="s">
        <v>3616</v>
      </c>
      <c r="E5434" t="s">
        <v>14</v>
      </c>
      <c r="F5434" t="s">
        <v>23</v>
      </c>
      <c r="G5434" t="s">
        <v>24</v>
      </c>
      <c r="H5434" t="s">
        <v>3671</v>
      </c>
      <c r="I5434" s="2">
        <v>331.77600000000001</v>
      </c>
      <c r="J5434">
        <v>7</v>
      </c>
      <c r="K5434" s="2">
        <v>111.5688</v>
      </c>
      <c r="L5434" s="3">
        <f>(Table1[[#This Row],[Profit]]/Table1[[#This Row],[Sales]])*100</f>
        <v>33.627748842592595</v>
      </c>
    </row>
    <row r="5435" spans="1:12" x14ac:dyDescent="0.3">
      <c r="A5435" t="s">
        <v>4046</v>
      </c>
      <c r="B5435" s="1">
        <v>43851</v>
      </c>
      <c r="C5435" t="s">
        <v>2414</v>
      </c>
      <c r="D5435" t="s">
        <v>2415</v>
      </c>
      <c r="E5435" t="s">
        <v>14</v>
      </c>
      <c r="F5435" t="s">
        <v>29</v>
      </c>
      <c r="G5435" t="s">
        <v>18</v>
      </c>
      <c r="H5435" t="s">
        <v>137</v>
      </c>
      <c r="I5435" s="2">
        <v>669.95</v>
      </c>
      <c r="J5435">
        <v>5</v>
      </c>
      <c r="K5435" s="2">
        <v>111.59099999999999</v>
      </c>
      <c r="L5435" s="3">
        <f>(Table1[[#This Row],[Profit]]/Table1[[#This Row],[Sales]])*100</f>
        <v>16.656616165385472</v>
      </c>
    </row>
    <row r="5436" spans="1:12" x14ac:dyDescent="0.3">
      <c r="A5436" t="s">
        <v>4890</v>
      </c>
      <c r="B5436" s="1">
        <v>44006</v>
      </c>
      <c r="C5436" t="s">
        <v>2904</v>
      </c>
      <c r="D5436" t="s">
        <v>2905</v>
      </c>
      <c r="E5436" t="s">
        <v>14</v>
      </c>
      <c r="F5436" t="s">
        <v>23</v>
      </c>
      <c r="G5436" t="s">
        <v>24</v>
      </c>
      <c r="H5436" t="s">
        <v>2009</v>
      </c>
      <c r="I5436" s="2">
        <v>431.6</v>
      </c>
      <c r="J5436">
        <v>8</v>
      </c>
      <c r="K5436" s="2">
        <v>111.824</v>
      </c>
      <c r="L5436" s="3">
        <f>(Table1[[#This Row],[Profit]]/Table1[[#This Row],[Sales]])*100</f>
        <v>25.909175162187211</v>
      </c>
    </row>
    <row r="5437" spans="1:12" x14ac:dyDescent="0.3">
      <c r="A5437" t="s">
        <v>5841</v>
      </c>
      <c r="B5437" s="1">
        <v>44145</v>
      </c>
      <c r="C5437" t="s">
        <v>3316</v>
      </c>
      <c r="D5437" t="s">
        <v>3317</v>
      </c>
      <c r="E5437" t="s">
        <v>14</v>
      </c>
      <c r="F5437" t="s">
        <v>23</v>
      </c>
      <c r="G5437" t="s">
        <v>24</v>
      </c>
      <c r="H5437" t="s">
        <v>630</v>
      </c>
      <c r="I5437" s="2">
        <v>412.8</v>
      </c>
      <c r="J5437">
        <v>5</v>
      </c>
      <c r="K5437" s="2">
        <v>112.224</v>
      </c>
      <c r="L5437" s="3">
        <f>(Table1[[#This Row],[Profit]]/Table1[[#This Row],[Sales]])*100</f>
        <v>27.186046511627911</v>
      </c>
    </row>
    <row r="5438" spans="1:12" x14ac:dyDescent="0.3">
      <c r="A5438" t="s">
        <v>5033</v>
      </c>
      <c r="B5438" s="1">
        <v>44032</v>
      </c>
      <c r="C5438" t="s">
        <v>2477</v>
      </c>
      <c r="D5438" t="s">
        <v>2478</v>
      </c>
      <c r="E5438" t="s">
        <v>14</v>
      </c>
      <c r="F5438" t="s">
        <v>29</v>
      </c>
      <c r="G5438" t="s">
        <v>24</v>
      </c>
      <c r="H5438" t="s">
        <v>1706</v>
      </c>
      <c r="I5438" s="2">
        <v>435.32</v>
      </c>
      <c r="J5438">
        <v>2</v>
      </c>
      <c r="K5438" s="2">
        <v>112.4064</v>
      </c>
      <c r="L5438" s="3">
        <f>(Table1[[#This Row],[Profit]]/Table1[[#This Row],[Sales]])*100</f>
        <v>25.821556556096663</v>
      </c>
    </row>
    <row r="5439" spans="1:12" x14ac:dyDescent="0.3">
      <c r="A5439" t="s">
        <v>5820</v>
      </c>
      <c r="B5439" s="1">
        <v>44143</v>
      </c>
      <c r="C5439" t="s">
        <v>5821</v>
      </c>
      <c r="D5439" t="s">
        <v>5822</v>
      </c>
      <c r="E5439" t="s">
        <v>14</v>
      </c>
      <c r="F5439" t="s">
        <v>15</v>
      </c>
      <c r="G5439" t="s">
        <v>16</v>
      </c>
      <c r="H5439" t="s">
        <v>3079</v>
      </c>
      <c r="I5439" s="2">
        <v>291.2</v>
      </c>
      <c r="J5439">
        <v>10</v>
      </c>
      <c r="K5439" s="2">
        <v>112.422</v>
      </c>
      <c r="L5439" s="3">
        <f>(Table1[[#This Row],[Profit]]/Table1[[#This Row],[Sales]])*100</f>
        <v>38.606456043956044</v>
      </c>
    </row>
    <row r="5440" spans="1:12" x14ac:dyDescent="0.3">
      <c r="A5440" t="s">
        <v>4217</v>
      </c>
      <c r="B5440" s="1">
        <v>43895</v>
      </c>
      <c r="C5440" t="s">
        <v>182</v>
      </c>
      <c r="D5440" t="s">
        <v>183</v>
      </c>
      <c r="E5440" t="s">
        <v>14</v>
      </c>
      <c r="F5440" t="s">
        <v>41</v>
      </c>
      <c r="G5440" t="s">
        <v>24</v>
      </c>
      <c r="H5440" t="s">
        <v>2939</v>
      </c>
      <c r="I5440" s="2">
        <v>271.36</v>
      </c>
      <c r="J5440">
        <v>6</v>
      </c>
      <c r="K5440" s="2">
        <v>112.4928</v>
      </c>
      <c r="L5440" s="3">
        <f>(Table1[[#This Row],[Profit]]/Table1[[#This Row],[Sales]])*100</f>
        <v>41.455188679245282</v>
      </c>
    </row>
    <row r="5441" spans="1:12" x14ac:dyDescent="0.3">
      <c r="A5441" t="s">
        <v>3843</v>
      </c>
      <c r="B5441" s="1">
        <v>43817</v>
      </c>
      <c r="C5441" t="s">
        <v>2685</v>
      </c>
      <c r="D5441" t="s">
        <v>2686</v>
      </c>
      <c r="E5441" t="s">
        <v>14</v>
      </c>
      <c r="F5441" t="s">
        <v>29</v>
      </c>
      <c r="G5441" t="s">
        <v>16</v>
      </c>
      <c r="H5441" t="s">
        <v>3388</v>
      </c>
      <c r="I5441" s="2">
        <v>563.94000000000005</v>
      </c>
      <c r="J5441">
        <v>3</v>
      </c>
      <c r="K5441" s="2">
        <v>112.788</v>
      </c>
      <c r="L5441" s="3">
        <f>(Table1[[#This Row],[Profit]]/Table1[[#This Row],[Sales]])*100</f>
        <v>20</v>
      </c>
    </row>
    <row r="5442" spans="1:12" x14ac:dyDescent="0.3">
      <c r="A5442" t="s">
        <v>5708</v>
      </c>
      <c r="B5442" s="1">
        <v>44130</v>
      </c>
      <c r="C5442" t="s">
        <v>1681</v>
      </c>
      <c r="D5442" t="s">
        <v>1682</v>
      </c>
      <c r="E5442" t="s">
        <v>14</v>
      </c>
      <c r="F5442" t="s">
        <v>41</v>
      </c>
      <c r="G5442" t="s">
        <v>24</v>
      </c>
      <c r="H5442" t="s">
        <v>3396</v>
      </c>
      <c r="I5442" s="2">
        <v>281.58</v>
      </c>
      <c r="J5442">
        <v>7</v>
      </c>
      <c r="K5442" s="2">
        <v>113.211</v>
      </c>
      <c r="L5442" s="3">
        <f>(Table1[[#This Row],[Profit]]/Table1[[#This Row],[Sales]])*100</f>
        <v>40.205625399531222</v>
      </c>
    </row>
    <row r="5443" spans="1:12" x14ac:dyDescent="0.3">
      <c r="A5443" t="s">
        <v>1712</v>
      </c>
      <c r="B5443" s="1">
        <v>43628</v>
      </c>
      <c r="C5443" t="s">
        <v>1713</v>
      </c>
      <c r="D5443" t="s">
        <v>1714</v>
      </c>
      <c r="E5443" t="s">
        <v>14</v>
      </c>
      <c r="F5443" t="s">
        <v>29</v>
      </c>
      <c r="G5443" t="s">
        <v>24</v>
      </c>
      <c r="H5443" t="s">
        <v>1716</v>
      </c>
      <c r="I5443" s="2">
        <v>313.488</v>
      </c>
      <c r="J5443">
        <v>7</v>
      </c>
      <c r="K5443" s="2">
        <v>113.63939999999999</v>
      </c>
      <c r="L5443" s="3">
        <f>(Table1[[#This Row],[Profit]]/Table1[[#This Row],[Sales]])*100</f>
        <v>36.25</v>
      </c>
    </row>
    <row r="5444" spans="1:12" x14ac:dyDescent="0.3">
      <c r="A5444" t="s">
        <v>5468</v>
      </c>
      <c r="B5444" s="1">
        <v>44096</v>
      </c>
      <c r="C5444" t="s">
        <v>309</v>
      </c>
      <c r="D5444" t="s">
        <v>310</v>
      </c>
      <c r="E5444" t="s">
        <v>14</v>
      </c>
      <c r="F5444" t="s">
        <v>15</v>
      </c>
      <c r="G5444" t="s">
        <v>18</v>
      </c>
      <c r="H5444" t="s">
        <v>3732</v>
      </c>
      <c r="I5444" s="2">
        <v>429.98</v>
      </c>
      <c r="J5444">
        <v>2</v>
      </c>
      <c r="K5444" s="2">
        <v>113.6742</v>
      </c>
      <c r="L5444" s="3">
        <f>(Table1[[#This Row],[Profit]]/Table1[[#This Row],[Sales]])*100</f>
        <v>26.437090097213822</v>
      </c>
    </row>
    <row r="5445" spans="1:12" x14ac:dyDescent="0.3">
      <c r="A5445" t="s">
        <v>5367</v>
      </c>
      <c r="B5445" s="1">
        <v>44085</v>
      </c>
      <c r="C5445" t="s">
        <v>3607</v>
      </c>
      <c r="D5445" t="s">
        <v>3608</v>
      </c>
      <c r="E5445" t="s">
        <v>14</v>
      </c>
      <c r="F5445" t="s">
        <v>23</v>
      </c>
      <c r="G5445" t="s">
        <v>24</v>
      </c>
      <c r="H5445" t="s">
        <v>1097</v>
      </c>
      <c r="I5445" s="2">
        <v>447.6</v>
      </c>
      <c r="J5445">
        <v>5</v>
      </c>
      <c r="K5445" s="2">
        <v>113.848</v>
      </c>
      <c r="L5445" s="3">
        <f>(Table1[[#This Row],[Profit]]/Table1[[#This Row],[Sales]])*100</f>
        <v>25.435210008936547</v>
      </c>
    </row>
    <row r="5446" spans="1:12" x14ac:dyDescent="0.3">
      <c r="A5446" t="s">
        <v>4677</v>
      </c>
      <c r="B5446" s="1">
        <v>43970</v>
      </c>
      <c r="C5446" t="s">
        <v>4197</v>
      </c>
      <c r="D5446" t="s">
        <v>4198</v>
      </c>
      <c r="E5446" t="s">
        <v>14</v>
      </c>
      <c r="F5446" t="s">
        <v>15</v>
      </c>
      <c r="G5446" t="s">
        <v>18</v>
      </c>
      <c r="H5446" t="s">
        <v>4678</v>
      </c>
      <c r="I5446" s="2">
        <v>311.97000000000003</v>
      </c>
      <c r="J5446">
        <v>3</v>
      </c>
      <c r="K5446" s="2">
        <v>113.98860000000001</v>
      </c>
      <c r="L5446" s="3">
        <f>(Table1[[#This Row],[Profit]]/Table1[[#This Row],[Sales]])*100</f>
        <v>36.538320992403115</v>
      </c>
    </row>
    <row r="5447" spans="1:12" x14ac:dyDescent="0.3">
      <c r="A5447" t="s">
        <v>4946</v>
      </c>
      <c r="B5447" s="1">
        <v>44015</v>
      </c>
      <c r="C5447" t="s">
        <v>309</v>
      </c>
      <c r="D5447" t="s">
        <v>310</v>
      </c>
      <c r="E5447" t="s">
        <v>14</v>
      </c>
      <c r="F5447" t="s">
        <v>23</v>
      </c>
      <c r="G5447" t="s">
        <v>16</v>
      </c>
      <c r="H5447" t="s">
        <v>4947</v>
      </c>
      <c r="I5447" s="2">
        <v>592.85</v>
      </c>
      <c r="J5447">
        <v>9</v>
      </c>
      <c r="K5447" s="2">
        <v>114.6285</v>
      </c>
      <c r="L5447" s="3">
        <f>(Table1[[#This Row],[Profit]]/Table1[[#This Row],[Sales]])*100</f>
        <v>19.335160664586322</v>
      </c>
    </row>
    <row r="5448" spans="1:12" x14ac:dyDescent="0.3">
      <c r="A5448" t="s">
        <v>4421</v>
      </c>
      <c r="B5448" s="1">
        <v>43929</v>
      </c>
      <c r="C5448" t="s">
        <v>1926</v>
      </c>
      <c r="D5448" t="s">
        <v>1927</v>
      </c>
      <c r="E5448" t="s">
        <v>14</v>
      </c>
      <c r="F5448" t="s">
        <v>23</v>
      </c>
      <c r="G5448" t="s">
        <v>24</v>
      </c>
      <c r="H5448" t="s">
        <v>3007</v>
      </c>
      <c r="I5448" s="2">
        <v>284.55</v>
      </c>
      <c r="J5448">
        <v>5</v>
      </c>
      <c r="K5448" s="2">
        <v>114.9385</v>
      </c>
      <c r="L5448" s="3">
        <f>(Table1[[#This Row],[Profit]]/Table1[[#This Row],[Sales]])*100</f>
        <v>40.393076787910736</v>
      </c>
    </row>
    <row r="5449" spans="1:12" x14ac:dyDescent="0.3">
      <c r="A5449" t="s">
        <v>5126</v>
      </c>
      <c r="B5449" s="1">
        <v>44050</v>
      </c>
      <c r="C5449" t="s">
        <v>3862</v>
      </c>
      <c r="D5449" t="s">
        <v>3863</v>
      </c>
      <c r="E5449" t="s">
        <v>14</v>
      </c>
      <c r="F5449" t="s">
        <v>23</v>
      </c>
      <c r="G5449" t="s">
        <v>24</v>
      </c>
      <c r="H5449" t="s">
        <v>3007</v>
      </c>
      <c r="I5449" s="2">
        <v>269.55</v>
      </c>
      <c r="J5449">
        <v>5</v>
      </c>
      <c r="K5449" s="2">
        <v>114.9385</v>
      </c>
      <c r="L5449" s="3">
        <f>(Table1[[#This Row],[Profit]]/Table1[[#This Row],[Sales]])*100</f>
        <v>42.640882953069934</v>
      </c>
    </row>
    <row r="5450" spans="1:12" x14ac:dyDescent="0.3">
      <c r="A5450" t="s">
        <v>5434</v>
      </c>
      <c r="B5450" s="1">
        <v>44092</v>
      </c>
      <c r="C5450" t="s">
        <v>3913</v>
      </c>
      <c r="D5450" t="s">
        <v>3914</v>
      </c>
      <c r="E5450" t="s">
        <v>14</v>
      </c>
      <c r="F5450" t="s">
        <v>41</v>
      </c>
      <c r="G5450" t="s">
        <v>24</v>
      </c>
      <c r="H5450" t="s">
        <v>4646</v>
      </c>
      <c r="I5450" s="2">
        <v>260.55</v>
      </c>
      <c r="J5450">
        <v>5</v>
      </c>
      <c r="K5450" s="2">
        <v>114.9385</v>
      </c>
      <c r="L5450" s="3">
        <f>(Table1[[#This Row],[Profit]]/Table1[[#This Row],[Sales]])*100</f>
        <v>44.113797735559395</v>
      </c>
    </row>
    <row r="5451" spans="1:12" x14ac:dyDescent="0.3">
      <c r="A5451" t="s">
        <v>6029</v>
      </c>
      <c r="B5451" s="1">
        <v>44162</v>
      </c>
      <c r="C5451" t="s">
        <v>1259</v>
      </c>
      <c r="D5451" t="s">
        <v>1260</v>
      </c>
      <c r="E5451" t="s">
        <v>14</v>
      </c>
      <c r="F5451" t="s">
        <v>23</v>
      </c>
      <c r="G5451" t="s">
        <v>24</v>
      </c>
      <c r="H5451" t="s">
        <v>1832</v>
      </c>
      <c r="I5451" s="2">
        <v>276.55</v>
      </c>
      <c r="J5451">
        <v>5</v>
      </c>
      <c r="K5451" s="2">
        <v>114.9385</v>
      </c>
      <c r="L5451" s="3">
        <f>(Table1[[#This Row],[Profit]]/Table1[[#This Row],[Sales]])*100</f>
        <v>41.561562104501895</v>
      </c>
    </row>
    <row r="5452" spans="1:12" x14ac:dyDescent="0.3">
      <c r="A5452" t="s">
        <v>2585</v>
      </c>
      <c r="B5452" s="1">
        <v>43712</v>
      </c>
      <c r="C5452" t="s">
        <v>2355</v>
      </c>
      <c r="D5452" t="s">
        <v>2356</v>
      </c>
      <c r="E5452" t="s">
        <v>14</v>
      </c>
      <c r="F5452" t="s">
        <v>41</v>
      </c>
      <c r="G5452" t="s">
        <v>24</v>
      </c>
      <c r="H5452" t="s">
        <v>2586</v>
      </c>
      <c r="I5452" s="2">
        <v>239.5</v>
      </c>
      <c r="J5452">
        <v>5</v>
      </c>
      <c r="K5452" s="2">
        <v>114.96</v>
      </c>
      <c r="L5452" s="3">
        <f>(Table1[[#This Row],[Profit]]/Table1[[#This Row],[Sales]])*100</f>
        <v>48</v>
      </c>
    </row>
    <row r="5453" spans="1:12" x14ac:dyDescent="0.3">
      <c r="A5453" t="s">
        <v>3418</v>
      </c>
      <c r="B5453" s="1">
        <v>43783</v>
      </c>
      <c r="C5453" t="s">
        <v>2005</v>
      </c>
      <c r="D5453" t="s">
        <v>2006</v>
      </c>
      <c r="E5453" t="s">
        <v>14</v>
      </c>
      <c r="F5453" t="s">
        <v>41</v>
      </c>
      <c r="G5453" t="s">
        <v>18</v>
      </c>
      <c r="H5453" t="s">
        <v>2299</v>
      </c>
      <c r="I5453" s="2">
        <v>499.98</v>
      </c>
      <c r="J5453">
        <v>2</v>
      </c>
      <c r="K5453" s="2">
        <v>114.9954</v>
      </c>
      <c r="L5453" s="3">
        <f>(Table1[[#This Row],[Profit]]/Table1[[#This Row],[Sales]])*100</f>
        <v>23</v>
      </c>
    </row>
    <row r="5454" spans="1:12" x14ac:dyDescent="0.3">
      <c r="A5454" t="s">
        <v>5591</v>
      </c>
      <c r="B5454" s="1">
        <v>44112</v>
      </c>
      <c r="C5454" t="s">
        <v>1907</v>
      </c>
      <c r="D5454" t="s">
        <v>1908</v>
      </c>
      <c r="E5454" t="s">
        <v>14</v>
      </c>
      <c r="F5454" t="s">
        <v>23</v>
      </c>
      <c r="G5454" t="s">
        <v>18</v>
      </c>
      <c r="H5454" t="s">
        <v>2272</v>
      </c>
      <c r="I5454" s="2">
        <v>269.95999999999998</v>
      </c>
      <c r="J5454">
        <v>4</v>
      </c>
      <c r="K5454" s="2">
        <v>115.1808</v>
      </c>
      <c r="L5454" s="3">
        <f>(Table1[[#This Row],[Profit]]/Table1[[#This Row],[Sales]])*100</f>
        <v>42.66587642613721</v>
      </c>
    </row>
    <row r="5455" spans="1:12" x14ac:dyDescent="0.3">
      <c r="A5455" t="s">
        <v>5581</v>
      </c>
      <c r="B5455" s="1">
        <v>44110</v>
      </c>
      <c r="C5455" t="s">
        <v>4146</v>
      </c>
      <c r="D5455" t="s">
        <v>4147</v>
      </c>
      <c r="E5455" t="s">
        <v>14</v>
      </c>
      <c r="F5455" t="s">
        <v>15</v>
      </c>
      <c r="G5455" t="s">
        <v>18</v>
      </c>
      <c r="H5455" t="s">
        <v>5582</v>
      </c>
      <c r="I5455" s="2">
        <v>331.96</v>
      </c>
      <c r="J5455">
        <v>4</v>
      </c>
      <c r="K5455" s="2">
        <v>115.18559999999999</v>
      </c>
      <c r="L5455" s="3">
        <f>(Table1[[#This Row],[Profit]]/Table1[[#This Row],[Sales]])*100</f>
        <v>34.698638390167488</v>
      </c>
    </row>
    <row r="5456" spans="1:12" x14ac:dyDescent="0.3">
      <c r="A5456" t="s">
        <v>1506</v>
      </c>
      <c r="B5456" s="1">
        <v>43611</v>
      </c>
      <c r="C5456" t="s">
        <v>1507</v>
      </c>
      <c r="D5456" t="s">
        <v>1508</v>
      </c>
      <c r="E5456" t="s">
        <v>14</v>
      </c>
      <c r="F5456" t="s">
        <v>23</v>
      </c>
      <c r="G5456" t="s">
        <v>18</v>
      </c>
      <c r="H5456" t="s">
        <v>1513</v>
      </c>
      <c r="I5456" s="2">
        <v>371.976</v>
      </c>
      <c r="J5456">
        <v>3</v>
      </c>
      <c r="K5456" s="2">
        <v>116.24250000000001</v>
      </c>
      <c r="L5456" s="3">
        <f>(Table1[[#This Row],[Profit]]/Table1[[#This Row],[Sales]])*100</f>
        <v>31.25</v>
      </c>
    </row>
    <row r="5457" spans="1:12" x14ac:dyDescent="0.3">
      <c r="A5457" t="s">
        <v>5400</v>
      </c>
      <c r="B5457" s="1">
        <v>44089</v>
      </c>
      <c r="C5457" t="s">
        <v>3654</v>
      </c>
      <c r="D5457" t="s">
        <v>3655</v>
      </c>
      <c r="E5457" t="s">
        <v>14</v>
      </c>
      <c r="F5457" t="s">
        <v>15</v>
      </c>
      <c r="G5457" t="s">
        <v>24</v>
      </c>
      <c r="H5457" t="s">
        <v>5401</v>
      </c>
      <c r="I5457" s="2">
        <v>291.48</v>
      </c>
      <c r="J5457">
        <v>7</v>
      </c>
      <c r="K5457" s="2">
        <v>116.3904</v>
      </c>
      <c r="L5457" s="3">
        <f>(Table1[[#This Row],[Profit]]/Table1[[#This Row],[Sales]])*100</f>
        <v>39.930835734870314</v>
      </c>
    </row>
    <row r="5458" spans="1:12" x14ac:dyDescent="0.3">
      <c r="A5458" t="s">
        <v>3102</v>
      </c>
      <c r="B5458" s="1">
        <v>43753</v>
      </c>
      <c r="C5458" t="s">
        <v>967</v>
      </c>
      <c r="D5458" t="s">
        <v>968</v>
      </c>
      <c r="E5458" t="s">
        <v>14</v>
      </c>
      <c r="F5458" t="s">
        <v>41</v>
      </c>
      <c r="G5458" t="s">
        <v>24</v>
      </c>
      <c r="H5458" t="s">
        <v>1753</v>
      </c>
      <c r="I5458" s="2">
        <v>232.96</v>
      </c>
      <c r="J5458">
        <v>7</v>
      </c>
      <c r="K5458" s="2">
        <v>116.48</v>
      </c>
      <c r="L5458" s="3">
        <f>(Table1[[#This Row],[Profit]]/Table1[[#This Row],[Sales]])*100</f>
        <v>50</v>
      </c>
    </row>
    <row r="5459" spans="1:12" x14ac:dyDescent="0.3">
      <c r="A5459" t="s">
        <v>3719</v>
      </c>
      <c r="B5459" s="1">
        <v>43805</v>
      </c>
      <c r="C5459" t="s">
        <v>380</v>
      </c>
      <c r="D5459" t="s">
        <v>381</v>
      </c>
      <c r="E5459" t="s">
        <v>14</v>
      </c>
      <c r="F5459" t="s">
        <v>23</v>
      </c>
      <c r="G5459" t="s">
        <v>24</v>
      </c>
      <c r="H5459" t="s">
        <v>388</v>
      </c>
      <c r="I5459" s="2">
        <v>248.08</v>
      </c>
      <c r="J5459">
        <v>7</v>
      </c>
      <c r="K5459" s="2">
        <v>116.5976</v>
      </c>
      <c r="L5459" s="3">
        <f>(Table1[[#This Row],[Profit]]/Table1[[#This Row],[Sales]])*100</f>
        <v>47</v>
      </c>
    </row>
    <row r="5460" spans="1:12" x14ac:dyDescent="0.3">
      <c r="A5460" t="s">
        <v>6160</v>
      </c>
      <c r="B5460" s="1">
        <v>44175</v>
      </c>
      <c r="C5460" t="s">
        <v>3316</v>
      </c>
      <c r="D5460" t="s">
        <v>3317</v>
      </c>
      <c r="E5460" t="s">
        <v>14</v>
      </c>
      <c r="F5460" t="s">
        <v>23</v>
      </c>
      <c r="G5460" t="s">
        <v>16</v>
      </c>
      <c r="H5460" t="s">
        <v>229</v>
      </c>
      <c r="I5460" s="2">
        <v>904.6</v>
      </c>
      <c r="J5460">
        <v>4</v>
      </c>
      <c r="K5460" s="2">
        <v>116.872</v>
      </c>
      <c r="L5460" s="3">
        <f>(Table1[[#This Row],[Profit]]/Table1[[#This Row],[Sales]])*100</f>
        <v>12.919743533053282</v>
      </c>
    </row>
    <row r="5461" spans="1:12" x14ac:dyDescent="0.3">
      <c r="A5461" t="s">
        <v>2795</v>
      </c>
      <c r="B5461" s="1">
        <v>43726</v>
      </c>
      <c r="C5461" t="s">
        <v>2796</v>
      </c>
      <c r="D5461" t="s">
        <v>2797</v>
      </c>
      <c r="E5461" t="s">
        <v>14</v>
      </c>
      <c r="F5461" t="s">
        <v>41</v>
      </c>
      <c r="G5461" t="s">
        <v>24</v>
      </c>
      <c r="H5461" t="s">
        <v>338</v>
      </c>
      <c r="I5461" s="2">
        <v>900.08</v>
      </c>
      <c r="J5461">
        <v>4</v>
      </c>
      <c r="K5461" s="2">
        <v>117.0104</v>
      </c>
      <c r="L5461" s="3">
        <f>(Table1[[#This Row],[Profit]]/Table1[[#This Row],[Sales]])*100</f>
        <v>13</v>
      </c>
    </row>
    <row r="5462" spans="1:12" x14ac:dyDescent="0.3">
      <c r="A5462" t="s">
        <v>3840</v>
      </c>
      <c r="B5462" s="1">
        <v>43817</v>
      </c>
      <c r="C5462" t="s">
        <v>1020</v>
      </c>
      <c r="D5462" t="s">
        <v>1021</v>
      </c>
      <c r="E5462" t="s">
        <v>14</v>
      </c>
      <c r="F5462" t="s">
        <v>15</v>
      </c>
      <c r="G5462" t="s">
        <v>24</v>
      </c>
      <c r="H5462" t="s">
        <v>338</v>
      </c>
      <c r="I5462" s="2">
        <v>900.08</v>
      </c>
      <c r="J5462">
        <v>4</v>
      </c>
      <c r="K5462" s="2">
        <v>117.0104</v>
      </c>
      <c r="L5462" s="3">
        <f>(Table1[[#This Row],[Profit]]/Table1[[#This Row],[Sales]])*100</f>
        <v>13</v>
      </c>
    </row>
    <row r="5463" spans="1:12" x14ac:dyDescent="0.3">
      <c r="A5463" t="s">
        <v>3231</v>
      </c>
      <c r="B5463" s="1">
        <v>43770</v>
      </c>
      <c r="C5463" t="s">
        <v>2186</v>
      </c>
      <c r="D5463" t="s">
        <v>2187</v>
      </c>
      <c r="E5463" t="s">
        <v>14</v>
      </c>
      <c r="F5463" t="s">
        <v>41</v>
      </c>
      <c r="G5463" t="s">
        <v>24</v>
      </c>
      <c r="H5463" t="s">
        <v>2395</v>
      </c>
      <c r="I5463" s="2">
        <v>251.79</v>
      </c>
      <c r="J5463">
        <v>3</v>
      </c>
      <c r="K5463" s="2">
        <v>118.3413</v>
      </c>
      <c r="L5463" s="3">
        <f>(Table1[[#This Row],[Profit]]/Table1[[#This Row],[Sales]])*100</f>
        <v>47</v>
      </c>
    </row>
    <row r="5464" spans="1:12" x14ac:dyDescent="0.3">
      <c r="A5464" t="s">
        <v>3570</v>
      </c>
      <c r="B5464" s="1">
        <v>43794</v>
      </c>
      <c r="C5464" t="s">
        <v>3571</v>
      </c>
      <c r="D5464" t="s">
        <v>3572</v>
      </c>
      <c r="E5464" t="s">
        <v>14</v>
      </c>
      <c r="F5464" t="s">
        <v>15</v>
      </c>
      <c r="G5464" t="s">
        <v>18</v>
      </c>
      <c r="H5464" t="s">
        <v>3573</v>
      </c>
      <c r="I5464" s="2">
        <v>319.92</v>
      </c>
      <c r="J5464">
        <v>8</v>
      </c>
      <c r="K5464" s="2">
        <v>118.3704</v>
      </c>
      <c r="L5464" s="3">
        <f>(Table1[[#This Row],[Profit]]/Table1[[#This Row],[Sales]])*100</f>
        <v>37</v>
      </c>
    </row>
    <row r="5465" spans="1:12" x14ac:dyDescent="0.3">
      <c r="A5465" t="s">
        <v>74</v>
      </c>
      <c r="B5465" s="1">
        <v>43474</v>
      </c>
      <c r="C5465" t="s">
        <v>75</v>
      </c>
      <c r="D5465" t="s">
        <v>76</v>
      </c>
      <c r="E5465" t="s">
        <v>14</v>
      </c>
      <c r="F5465" t="s">
        <v>23</v>
      </c>
      <c r="G5465" t="s">
        <v>18</v>
      </c>
      <c r="H5465" t="s">
        <v>77</v>
      </c>
      <c r="I5465" s="2">
        <v>349.95</v>
      </c>
      <c r="J5465">
        <v>5</v>
      </c>
      <c r="K5465" s="2">
        <v>118.983</v>
      </c>
      <c r="L5465" s="3">
        <f>(Table1[[#This Row],[Profit]]/Table1[[#This Row],[Sales]])*100</f>
        <v>34</v>
      </c>
    </row>
    <row r="5466" spans="1:12" x14ac:dyDescent="0.3">
      <c r="A5466" t="s">
        <v>5778</v>
      </c>
      <c r="B5466" s="1">
        <v>44139</v>
      </c>
      <c r="C5466" t="s">
        <v>2869</v>
      </c>
      <c r="D5466" t="s">
        <v>2870</v>
      </c>
      <c r="E5466" t="s">
        <v>14</v>
      </c>
      <c r="F5466" t="s">
        <v>41</v>
      </c>
      <c r="G5466" t="s">
        <v>18</v>
      </c>
      <c r="H5466" t="s">
        <v>3600</v>
      </c>
      <c r="I5466" s="2">
        <v>1376.96</v>
      </c>
      <c r="J5466">
        <v>5</v>
      </c>
      <c r="K5466" s="2">
        <v>118.9965</v>
      </c>
      <c r="L5466" s="3">
        <f>(Table1[[#This Row],[Profit]]/Table1[[#This Row],[Sales]])*100</f>
        <v>8.641972170578665</v>
      </c>
    </row>
    <row r="5467" spans="1:12" x14ac:dyDescent="0.3">
      <c r="A5467" t="s">
        <v>4600</v>
      </c>
      <c r="B5467" s="1">
        <v>43958</v>
      </c>
      <c r="C5467" t="s">
        <v>4601</v>
      </c>
      <c r="D5467" t="s">
        <v>4602</v>
      </c>
      <c r="E5467" t="s">
        <v>14</v>
      </c>
      <c r="F5467" t="s">
        <v>29</v>
      </c>
      <c r="G5467" t="s">
        <v>16</v>
      </c>
      <c r="H5467" t="s">
        <v>4603</v>
      </c>
      <c r="I5467" s="2">
        <v>517.79999999999995</v>
      </c>
      <c r="J5467">
        <v>2</v>
      </c>
      <c r="K5467" s="2">
        <v>119.2</v>
      </c>
      <c r="L5467" s="3">
        <f>(Table1[[#This Row],[Profit]]/Table1[[#This Row],[Sales]])*100</f>
        <v>23.020471224410972</v>
      </c>
    </row>
    <row r="5468" spans="1:12" x14ac:dyDescent="0.3">
      <c r="A5468" t="s">
        <v>5434</v>
      </c>
      <c r="B5468" s="1">
        <v>44092</v>
      </c>
      <c r="C5468" t="s">
        <v>3913</v>
      </c>
      <c r="D5468" t="s">
        <v>3914</v>
      </c>
      <c r="E5468" t="s">
        <v>14</v>
      </c>
      <c r="F5468" t="s">
        <v>41</v>
      </c>
      <c r="G5468" t="s">
        <v>18</v>
      </c>
      <c r="H5468" t="s">
        <v>2657</v>
      </c>
      <c r="I5468" s="2">
        <v>429.98</v>
      </c>
      <c r="J5468">
        <v>2</v>
      </c>
      <c r="K5468" s="2">
        <v>119.4742</v>
      </c>
      <c r="L5468" s="3">
        <f>(Table1[[#This Row],[Profit]]/Table1[[#This Row],[Sales]])*100</f>
        <v>27.785990046048653</v>
      </c>
    </row>
    <row r="5469" spans="1:12" x14ac:dyDescent="0.3">
      <c r="A5469" t="s">
        <v>38</v>
      </c>
      <c r="B5469" s="1">
        <v>43469</v>
      </c>
      <c r="C5469" t="s">
        <v>39</v>
      </c>
      <c r="D5469" t="s">
        <v>40</v>
      </c>
      <c r="E5469" t="s">
        <v>14</v>
      </c>
      <c r="F5469" t="s">
        <v>41</v>
      </c>
      <c r="G5469" t="s">
        <v>18</v>
      </c>
      <c r="H5469" t="s">
        <v>42</v>
      </c>
      <c r="I5469" s="2">
        <v>959.96799999999996</v>
      </c>
      <c r="J5469">
        <v>4</v>
      </c>
      <c r="K5469" s="2">
        <v>119.996</v>
      </c>
      <c r="L5469" s="3">
        <f>(Table1[[#This Row],[Profit]]/Table1[[#This Row],[Sales]])*100</f>
        <v>12.5</v>
      </c>
    </row>
    <row r="5470" spans="1:12" x14ac:dyDescent="0.3">
      <c r="A5470" t="s">
        <v>2107</v>
      </c>
      <c r="B5470" s="1">
        <v>43665</v>
      </c>
      <c r="C5470" t="s">
        <v>2108</v>
      </c>
      <c r="D5470" t="s">
        <v>2109</v>
      </c>
      <c r="E5470" t="s">
        <v>14</v>
      </c>
      <c r="F5470" t="s">
        <v>41</v>
      </c>
      <c r="G5470" t="s">
        <v>24</v>
      </c>
      <c r="H5470" t="s">
        <v>126</v>
      </c>
      <c r="I5470" s="2">
        <v>245.94</v>
      </c>
      <c r="J5470">
        <v>6</v>
      </c>
      <c r="K5470" s="2">
        <v>120.5106</v>
      </c>
      <c r="L5470" s="3">
        <f>(Table1[[#This Row],[Profit]]/Table1[[#This Row],[Sales]])*100</f>
        <v>49</v>
      </c>
    </row>
    <row r="5471" spans="1:12" x14ac:dyDescent="0.3">
      <c r="A5471" t="s">
        <v>4264</v>
      </c>
      <c r="B5471" s="1">
        <v>43903</v>
      </c>
      <c r="C5471" t="s">
        <v>2937</v>
      </c>
      <c r="D5471" t="s">
        <v>2938</v>
      </c>
      <c r="E5471" t="s">
        <v>14</v>
      </c>
      <c r="F5471" t="s">
        <v>15</v>
      </c>
      <c r="G5471" t="s">
        <v>24</v>
      </c>
      <c r="H5471" t="s">
        <v>2943</v>
      </c>
      <c r="I5471" s="2">
        <v>507.16</v>
      </c>
      <c r="J5471">
        <v>2</v>
      </c>
      <c r="K5471" s="2">
        <v>120.94159999999999</v>
      </c>
      <c r="L5471" s="3">
        <f>(Table1[[#This Row],[Profit]]/Table1[[#This Row],[Sales]])*100</f>
        <v>23.846833346478427</v>
      </c>
    </row>
    <row r="5472" spans="1:12" x14ac:dyDescent="0.3">
      <c r="A5472" t="s">
        <v>4735</v>
      </c>
      <c r="B5472" s="1">
        <v>43980</v>
      </c>
      <c r="C5472" t="s">
        <v>2973</v>
      </c>
      <c r="D5472" t="s">
        <v>2974</v>
      </c>
      <c r="E5472" t="s">
        <v>14</v>
      </c>
      <c r="F5472" t="s">
        <v>29</v>
      </c>
      <c r="G5472" t="s">
        <v>24</v>
      </c>
      <c r="H5472" t="s">
        <v>2943</v>
      </c>
      <c r="I5472" s="2">
        <v>480.16</v>
      </c>
      <c r="J5472">
        <v>2</v>
      </c>
      <c r="K5472" s="2">
        <v>120.94159999999999</v>
      </c>
      <c r="L5472" s="3">
        <f>(Table1[[#This Row],[Profit]]/Table1[[#This Row],[Sales]])*100</f>
        <v>25.187770743085636</v>
      </c>
    </row>
    <row r="5473" spans="1:12" x14ac:dyDescent="0.3">
      <c r="A5473" t="s">
        <v>3703</v>
      </c>
      <c r="B5473" s="1">
        <v>43804</v>
      </c>
      <c r="C5473" t="s">
        <v>2167</v>
      </c>
      <c r="D5473" t="s">
        <v>2168</v>
      </c>
      <c r="E5473" t="s">
        <v>14</v>
      </c>
      <c r="F5473" t="s">
        <v>15</v>
      </c>
      <c r="G5473" t="s">
        <v>24</v>
      </c>
      <c r="H5473" t="s">
        <v>3221</v>
      </c>
      <c r="I5473" s="2">
        <v>465.18</v>
      </c>
      <c r="J5473">
        <v>3</v>
      </c>
      <c r="K5473" s="2">
        <v>120.9468</v>
      </c>
      <c r="L5473" s="3">
        <f>(Table1[[#This Row],[Profit]]/Table1[[#This Row],[Sales]])*100</f>
        <v>26</v>
      </c>
    </row>
    <row r="5474" spans="1:12" x14ac:dyDescent="0.3">
      <c r="A5474" t="s">
        <v>1910</v>
      </c>
      <c r="B5474" s="1">
        <v>43644</v>
      </c>
      <c r="C5474" t="s">
        <v>1911</v>
      </c>
      <c r="D5474" t="s">
        <v>1912</v>
      </c>
      <c r="E5474" t="s">
        <v>14</v>
      </c>
      <c r="F5474" t="s">
        <v>15</v>
      </c>
      <c r="G5474" t="s">
        <v>24</v>
      </c>
      <c r="H5474" t="s">
        <v>1916</v>
      </c>
      <c r="I5474" s="2">
        <v>275.24</v>
      </c>
      <c r="J5474">
        <v>4</v>
      </c>
      <c r="K5474" s="2">
        <v>121.1056</v>
      </c>
      <c r="L5474" s="3">
        <f>(Table1[[#This Row],[Profit]]/Table1[[#This Row],[Sales]])*100</f>
        <v>43.999999999999993</v>
      </c>
    </row>
    <row r="5475" spans="1:12" x14ac:dyDescent="0.3">
      <c r="A5475" t="s">
        <v>5043</v>
      </c>
      <c r="B5475" s="1">
        <v>44033</v>
      </c>
      <c r="C5475" t="s">
        <v>1756</v>
      </c>
      <c r="D5475" t="s">
        <v>1757</v>
      </c>
      <c r="E5475" t="s">
        <v>14</v>
      </c>
      <c r="F5475" t="s">
        <v>23</v>
      </c>
      <c r="G5475" t="s">
        <v>18</v>
      </c>
      <c r="H5475" t="s">
        <v>3437</v>
      </c>
      <c r="I5475" s="2">
        <v>1652.192</v>
      </c>
      <c r="J5475">
        <v>9</v>
      </c>
      <c r="K5475" s="2">
        <v>121.9644</v>
      </c>
      <c r="L5475" s="3">
        <f>(Table1[[#This Row],[Profit]]/Table1[[#This Row],[Sales]])*100</f>
        <v>7.3819749762739431</v>
      </c>
    </row>
    <row r="5476" spans="1:12" x14ac:dyDescent="0.3">
      <c r="A5476" t="s">
        <v>3793</v>
      </c>
      <c r="B5476" s="1">
        <v>43811</v>
      </c>
      <c r="C5476" t="s">
        <v>1061</v>
      </c>
      <c r="D5476" t="s">
        <v>1062</v>
      </c>
      <c r="E5476" t="s">
        <v>14</v>
      </c>
      <c r="F5476" t="s">
        <v>23</v>
      </c>
      <c r="G5476" t="s">
        <v>16</v>
      </c>
      <c r="H5476" t="s">
        <v>629</v>
      </c>
      <c r="I5476" s="2">
        <v>383.64</v>
      </c>
      <c r="J5476">
        <v>6</v>
      </c>
      <c r="K5476" s="2">
        <v>122.76479999999999</v>
      </c>
      <c r="L5476" s="3">
        <f>(Table1[[#This Row],[Profit]]/Table1[[#This Row],[Sales]])*100</f>
        <v>32</v>
      </c>
    </row>
    <row r="5477" spans="1:12" x14ac:dyDescent="0.3">
      <c r="A5477" t="s">
        <v>1849</v>
      </c>
      <c r="B5477" s="1">
        <v>43640</v>
      </c>
      <c r="C5477" t="s">
        <v>1850</v>
      </c>
      <c r="D5477" t="s">
        <v>1851</v>
      </c>
      <c r="E5477" t="s">
        <v>14</v>
      </c>
      <c r="F5477" t="s">
        <v>29</v>
      </c>
      <c r="G5477" t="s">
        <v>18</v>
      </c>
      <c r="H5477" t="s">
        <v>1852</v>
      </c>
      <c r="I5477" s="2">
        <v>440.91</v>
      </c>
      <c r="J5477">
        <v>9</v>
      </c>
      <c r="K5477" s="2">
        <v>123.45480000000001</v>
      </c>
      <c r="L5477" s="3">
        <f>(Table1[[#This Row],[Profit]]/Table1[[#This Row],[Sales]])*100</f>
        <v>27.999999999999996</v>
      </c>
    </row>
    <row r="5478" spans="1:12" x14ac:dyDescent="0.3">
      <c r="A5478" t="s">
        <v>3729</v>
      </c>
      <c r="B5478" s="1">
        <v>43807</v>
      </c>
      <c r="C5478" t="s">
        <v>3730</v>
      </c>
      <c r="D5478" t="s">
        <v>3731</v>
      </c>
      <c r="E5478" t="s">
        <v>14</v>
      </c>
      <c r="F5478" t="s">
        <v>29</v>
      </c>
      <c r="G5478" t="s">
        <v>18</v>
      </c>
      <c r="H5478" t="s">
        <v>3732</v>
      </c>
      <c r="I5478" s="2">
        <v>97.543999999999997</v>
      </c>
      <c r="J5478">
        <v>7</v>
      </c>
      <c r="K5478" s="2">
        <v>123.47369999999999</v>
      </c>
      <c r="L5478" s="3">
        <f>(Table1[[#This Row],[Profit]]/Table1[[#This Row],[Sales]])*100</f>
        <v>126.58256786680882</v>
      </c>
    </row>
    <row r="5479" spans="1:12" x14ac:dyDescent="0.3">
      <c r="A5479" t="s">
        <v>6158</v>
      </c>
      <c r="B5479" s="1">
        <v>44175</v>
      </c>
      <c r="C5479" t="s">
        <v>475</v>
      </c>
      <c r="D5479" t="s">
        <v>476</v>
      </c>
      <c r="E5479" t="s">
        <v>14</v>
      </c>
      <c r="F5479" t="s">
        <v>15</v>
      </c>
      <c r="G5479" t="s">
        <v>24</v>
      </c>
      <c r="H5479" t="s">
        <v>2177</v>
      </c>
      <c r="I5479" s="2">
        <v>607.79</v>
      </c>
      <c r="J5479">
        <v>7</v>
      </c>
      <c r="K5479" s="2">
        <v>123.76909999999999</v>
      </c>
      <c r="L5479" s="3">
        <f>(Table1[[#This Row],[Profit]]/Table1[[#This Row],[Sales]])*100</f>
        <v>20.363793415488903</v>
      </c>
    </row>
    <row r="5480" spans="1:12" x14ac:dyDescent="0.3">
      <c r="A5480" t="s">
        <v>799</v>
      </c>
      <c r="B5480" s="1">
        <v>43553</v>
      </c>
      <c r="C5480" t="s">
        <v>800</v>
      </c>
      <c r="D5480" t="s">
        <v>801</v>
      </c>
      <c r="E5480" t="s">
        <v>14</v>
      </c>
      <c r="F5480" t="s">
        <v>15</v>
      </c>
      <c r="G5480" t="s">
        <v>16</v>
      </c>
      <c r="H5480" t="s">
        <v>804</v>
      </c>
      <c r="I5480" s="2">
        <v>414</v>
      </c>
      <c r="J5480">
        <v>8</v>
      </c>
      <c r="K5480" s="2">
        <v>124.2</v>
      </c>
      <c r="L5480" s="3">
        <f>(Table1[[#This Row],[Profit]]/Table1[[#This Row],[Sales]])*100</f>
        <v>30</v>
      </c>
    </row>
    <row r="5481" spans="1:12" x14ac:dyDescent="0.3">
      <c r="A5481" t="s">
        <v>355</v>
      </c>
      <c r="B5481" s="1">
        <v>43511</v>
      </c>
      <c r="C5481" t="s">
        <v>356</v>
      </c>
      <c r="D5481" t="s">
        <v>357</v>
      </c>
      <c r="E5481" t="s">
        <v>14</v>
      </c>
      <c r="F5481" t="s">
        <v>15</v>
      </c>
      <c r="G5481" t="s">
        <v>24</v>
      </c>
      <c r="H5481" t="s">
        <v>358</v>
      </c>
      <c r="I5481" s="2">
        <v>398.35199999999998</v>
      </c>
      <c r="J5481">
        <v>3</v>
      </c>
      <c r="K5481" s="2">
        <v>124.485</v>
      </c>
      <c r="L5481" s="3">
        <f>(Table1[[#This Row],[Profit]]/Table1[[#This Row],[Sales]])*100</f>
        <v>31.25</v>
      </c>
    </row>
    <row r="5482" spans="1:12" x14ac:dyDescent="0.3">
      <c r="A5482" t="s">
        <v>856</v>
      </c>
      <c r="B5482" s="1">
        <v>43558</v>
      </c>
      <c r="C5482" t="s">
        <v>857</v>
      </c>
      <c r="D5482" t="s">
        <v>858</v>
      </c>
      <c r="E5482" t="s">
        <v>14</v>
      </c>
      <c r="F5482" t="s">
        <v>29</v>
      </c>
      <c r="G5482" t="s">
        <v>18</v>
      </c>
      <c r="H5482" t="s">
        <v>689</v>
      </c>
      <c r="I5482" s="2">
        <v>259.95999999999998</v>
      </c>
      <c r="J5482">
        <v>4</v>
      </c>
      <c r="K5482" s="2">
        <v>124.7808</v>
      </c>
      <c r="L5482" s="3">
        <f>(Table1[[#This Row],[Profit]]/Table1[[#This Row],[Sales]])*100</f>
        <v>48.000000000000007</v>
      </c>
    </row>
    <row r="5483" spans="1:12" x14ac:dyDescent="0.3">
      <c r="A5483" t="s">
        <v>5842</v>
      </c>
      <c r="B5483" s="1">
        <v>44145</v>
      </c>
      <c r="C5483" t="s">
        <v>2827</v>
      </c>
      <c r="D5483" t="s">
        <v>2828</v>
      </c>
      <c r="E5483" t="s">
        <v>14</v>
      </c>
      <c r="F5483" t="s">
        <v>15</v>
      </c>
      <c r="G5483" t="s">
        <v>18</v>
      </c>
      <c r="H5483" t="s">
        <v>4664</v>
      </c>
      <c r="I5483" s="2">
        <v>469.88</v>
      </c>
      <c r="J5483">
        <v>2</v>
      </c>
      <c r="K5483" s="2">
        <v>124.9552</v>
      </c>
      <c r="L5483" s="3">
        <f>(Table1[[#This Row],[Profit]]/Table1[[#This Row],[Sales]])*100</f>
        <v>26.593002468715415</v>
      </c>
    </row>
    <row r="5484" spans="1:12" x14ac:dyDescent="0.3">
      <c r="A5484" t="s">
        <v>591</v>
      </c>
      <c r="B5484" s="1">
        <v>43535</v>
      </c>
      <c r="C5484" t="s">
        <v>592</v>
      </c>
      <c r="D5484" t="s">
        <v>593</v>
      </c>
      <c r="E5484" t="s">
        <v>14</v>
      </c>
      <c r="F5484" t="s">
        <v>41</v>
      </c>
      <c r="G5484" t="s">
        <v>24</v>
      </c>
      <c r="H5484" t="s">
        <v>186</v>
      </c>
      <c r="I5484" s="2">
        <v>481.32</v>
      </c>
      <c r="J5484">
        <v>4</v>
      </c>
      <c r="K5484" s="2">
        <v>125.14319999999999</v>
      </c>
      <c r="L5484" s="3">
        <f>(Table1[[#This Row],[Profit]]/Table1[[#This Row],[Sales]])*100</f>
        <v>26</v>
      </c>
    </row>
    <row r="5485" spans="1:12" x14ac:dyDescent="0.3">
      <c r="A5485" t="s">
        <v>3956</v>
      </c>
      <c r="B5485" s="1">
        <v>43829</v>
      </c>
      <c r="C5485" t="s">
        <v>592</v>
      </c>
      <c r="D5485" t="s">
        <v>593</v>
      </c>
      <c r="E5485" t="s">
        <v>14</v>
      </c>
      <c r="F5485" t="s">
        <v>23</v>
      </c>
      <c r="G5485" t="s">
        <v>24</v>
      </c>
      <c r="H5485" t="s">
        <v>186</v>
      </c>
      <c r="I5485" s="2">
        <v>481.32</v>
      </c>
      <c r="J5485">
        <v>4</v>
      </c>
      <c r="K5485" s="2">
        <v>125.14319999999999</v>
      </c>
      <c r="L5485" s="3">
        <f>(Table1[[#This Row],[Profit]]/Table1[[#This Row],[Sales]])*100</f>
        <v>26</v>
      </c>
    </row>
    <row r="5486" spans="1:12" x14ac:dyDescent="0.3">
      <c r="A5486" t="s">
        <v>6200</v>
      </c>
      <c r="B5486" s="1">
        <v>44182</v>
      </c>
      <c r="C5486" t="s">
        <v>27</v>
      </c>
      <c r="D5486" t="s">
        <v>28</v>
      </c>
      <c r="E5486" t="s">
        <v>14</v>
      </c>
      <c r="F5486" t="s">
        <v>23</v>
      </c>
      <c r="G5486" t="s">
        <v>24</v>
      </c>
      <c r="H5486" t="s">
        <v>186</v>
      </c>
      <c r="I5486" s="2">
        <v>682.32</v>
      </c>
      <c r="J5486">
        <v>4</v>
      </c>
      <c r="K5486" s="2">
        <v>125.14319999999999</v>
      </c>
      <c r="L5486" s="3">
        <f>(Table1[[#This Row],[Profit]]/Table1[[#This Row],[Sales]])*100</f>
        <v>18.340837143862114</v>
      </c>
    </row>
    <row r="5487" spans="1:12" x14ac:dyDescent="0.3">
      <c r="A5487" t="s">
        <v>2952</v>
      </c>
      <c r="B5487" s="1">
        <v>43735</v>
      </c>
      <c r="C5487" t="s">
        <v>2953</v>
      </c>
      <c r="D5487" t="s">
        <v>2954</v>
      </c>
      <c r="E5487" t="s">
        <v>14</v>
      </c>
      <c r="F5487" t="s">
        <v>23</v>
      </c>
      <c r="G5487" t="s">
        <v>18</v>
      </c>
      <c r="H5487" t="s">
        <v>2955</v>
      </c>
      <c r="I5487" s="2">
        <v>1001.5839999999999</v>
      </c>
      <c r="J5487">
        <v>2</v>
      </c>
      <c r="K5487" s="2">
        <v>125.19799999999999</v>
      </c>
      <c r="L5487" s="3">
        <f>(Table1[[#This Row],[Profit]]/Table1[[#This Row],[Sales]])*100</f>
        <v>12.5</v>
      </c>
    </row>
    <row r="5488" spans="1:12" x14ac:dyDescent="0.3">
      <c r="A5488" t="s">
        <v>4929</v>
      </c>
      <c r="B5488" s="1">
        <v>44012</v>
      </c>
      <c r="C5488" t="s">
        <v>2292</v>
      </c>
      <c r="D5488" t="s">
        <v>2293</v>
      </c>
      <c r="E5488" t="s">
        <v>14</v>
      </c>
      <c r="F5488" t="s">
        <v>29</v>
      </c>
      <c r="G5488" t="s">
        <v>18</v>
      </c>
      <c r="H5488" t="s">
        <v>2955</v>
      </c>
      <c r="I5488" s="2">
        <v>1033.5840000000001</v>
      </c>
      <c r="J5488">
        <v>2</v>
      </c>
      <c r="K5488" s="2">
        <v>125.19799999999999</v>
      </c>
      <c r="L5488" s="3">
        <f>(Table1[[#This Row],[Profit]]/Table1[[#This Row],[Sales]])*100</f>
        <v>12.112997105218346</v>
      </c>
    </row>
    <row r="5489" spans="1:12" x14ac:dyDescent="0.3">
      <c r="A5489" t="s">
        <v>4217</v>
      </c>
      <c r="B5489" s="1">
        <v>43895</v>
      </c>
      <c r="C5489" t="s">
        <v>182</v>
      </c>
      <c r="D5489" t="s">
        <v>183</v>
      </c>
      <c r="E5489" t="s">
        <v>14</v>
      </c>
      <c r="F5489" t="s">
        <v>41</v>
      </c>
      <c r="G5489" t="s">
        <v>18</v>
      </c>
      <c r="H5489" t="s">
        <v>2432</v>
      </c>
      <c r="I5489" s="2">
        <v>339.97</v>
      </c>
      <c r="J5489">
        <v>3</v>
      </c>
      <c r="K5489" s="2">
        <v>125.98739999999999</v>
      </c>
      <c r="L5489" s="3">
        <f>(Table1[[#This Row],[Profit]]/Table1[[#This Row],[Sales]])*100</f>
        <v>37.05838750477983</v>
      </c>
    </row>
    <row r="5490" spans="1:12" x14ac:dyDescent="0.3">
      <c r="A5490" t="s">
        <v>4872</v>
      </c>
      <c r="B5490" s="1">
        <v>44002</v>
      </c>
      <c r="C5490" t="s">
        <v>148</v>
      </c>
      <c r="D5490" t="s">
        <v>149</v>
      </c>
      <c r="E5490" t="s">
        <v>14</v>
      </c>
      <c r="F5490" t="s">
        <v>41</v>
      </c>
      <c r="G5490" t="s">
        <v>18</v>
      </c>
      <c r="H5490" t="s">
        <v>756</v>
      </c>
      <c r="I5490" s="2">
        <v>521.96</v>
      </c>
      <c r="J5490">
        <v>4</v>
      </c>
      <c r="K5490" s="2">
        <v>125.99</v>
      </c>
      <c r="L5490" s="3">
        <f>(Table1[[#This Row],[Profit]]/Table1[[#This Row],[Sales]])*100</f>
        <v>24.137864970495819</v>
      </c>
    </row>
    <row r="5491" spans="1:12" x14ac:dyDescent="0.3">
      <c r="A5491" t="s">
        <v>285</v>
      </c>
      <c r="B5491" s="1">
        <v>43501</v>
      </c>
      <c r="C5491" t="s">
        <v>286</v>
      </c>
      <c r="D5491" t="s">
        <v>287</v>
      </c>
      <c r="E5491" t="s">
        <v>14</v>
      </c>
      <c r="F5491" t="s">
        <v>41</v>
      </c>
      <c r="G5491" t="s">
        <v>18</v>
      </c>
      <c r="H5491" t="s">
        <v>295</v>
      </c>
      <c r="I5491" s="2">
        <v>484.83</v>
      </c>
      <c r="J5491">
        <v>3</v>
      </c>
      <c r="K5491" s="2">
        <v>126.0558</v>
      </c>
      <c r="L5491" s="3">
        <f>(Table1[[#This Row],[Profit]]/Table1[[#This Row],[Sales]])*100</f>
        <v>26</v>
      </c>
    </row>
    <row r="5492" spans="1:12" x14ac:dyDescent="0.3">
      <c r="A5492" t="s">
        <v>2107</v>
      </c>
      <c r="B5492" s="1">
        <v>43665</v>
      </c>
      <c r="C5492" t="s">
        <v>2108</v>
      </c>
      <c r="D5492" t="s">
        <v>2109</v>
      </c>
      <c r="E5492" t="s">
        <v>14</v>
      </c>
      <c r="F5492" t="s">
        <v>41</v>
      </c>
      <c r="G5492" t="s">
        <v>16</v>
      </c>
      <c r="H5492" t="s">
        <v>2112</v>
      </c>
      <c r="I5492" s="2">
        <v>504.9</v>
      </c>
      <c r="J5492">
        <v>5</v>
      </c>
      <c r="K5492" s="2">
        <v>126.22499999999999</v>
      </c>
      <c r="L5492" s="3">
        <f>(Table1[[#This Row],[Profit]]/Table1[[#This Row],[Sales]])*100</f>
        <v>25</v>
      </c>
    </row>
    <row r="5493" spans="1:12" x14ac:dyDescent="0.3">
      <c r="A5493" t="s">
        <v>319</v>
      </c>
      <c r="B5493" s="1">
        <v>43504</v>
      </c>
      <c r="C5493" t="s">
        <v>320</v>
      </c>
      <c r="D5493" t="s">
        <v>321</v>
      </c>
      <c r="E5493" t="s">
        <v>14</v>
      </c>
      <c r="F5493" t="s">
        <v>41</v>
      </c>
      <c r="G5493" t="s">
        <v>18</v>
      </c>
      <c r="H5493" t="s">
        <v>322</v>
      </c>
      <c r="I5493" s="2">
        <v>1127.9760000000001</v>
      </c>
      <c r="J5493">
        <v>3</v>
      </c>
      <c r="K5493" s="2">
        <v>126.8973</v>
      </c>
      <c r="L5493" s="3">
        <f>(Table1[[#This Row],[Profit]]/Table1[[#This Row],[Sales]])*100</f>
        <v>11.249999999999998</v>
      </c>
    </row>
    <row r="5494" spans="1:12" x14ac:dyDescent="0.3">
      <c r="A5494" t="s">
        <v>5606</v>
      </c>
      <c r="B5494" s="1">
        <v>44116</v>
      </c>
      <c r="C5494" t="s">
        <v>3535</v>
      </c>
      <c r="D5494" t="s">
        <v>3536</v>
      </c>
      <c r="E5494" t="s">
        <v>14</v>
      </c>
      <c r="F5494" t="s">
        <v>29</v>
      </c>
      <c r="G5494" t="s">
        <v>18</v>
      </c>
      <c r="H5494" t="s">
        <v>1568</v>
      </c>
      <c r="I5494" s="2">
        <v>802.88</v>
      </c>
      <c r="J5494">
        <v>3</v>
      </c>
      <c r="K5494" s="2">
        <v>128.68049999999999</v>
      </c>
      <c r="L5494" s="3">
        <f>(Table1[[#This Row],[Profit]]/Table1[[#This Row],[Sales]])*100</f>
        <v>16.027363989637305</v>
      </c>
    </row>
    <row r="5495" spans="1:12" x14ac:dyDescent="0.3">
      <c r="A5495" t="s">
        <v>5609</v>
      </c>
      <c r="B5495" s="1">
        <v>44116</v>
      </c>
      <c r="C5495" t="s">
        <v>2100</v>
      </c>
      <c r="D5495" t="s">
        <v>2101</v>
      </c>
      <c r="E5495" t="s">
        <v>14</v>
      </c>
      <c r="F5495" t="s">
        <v>15</v>
      </c>
      <c r="G5495" t="s">
        <v>16</v>
      </c>
      <c r="H5495" t="s">
        <v>5429</v>
      </c>
      <c r="I5495" s="2">
        <v>2185.9</v>
      </c>
      <c r="J5495">
        <v>5</v>
      </c>
      <c r="K5495" s="2">
        <v>129.29400000000001</v>
      </c>
      <c r="L5495" s="3">
        <f>(Table1[[#This Row],[Profit]]/Table1[[#This Row],[Sales]])*100</f>
        <v>5.9149091907223577</v>
      </c>
    </row>
    <row r="5496" spans="1:12" x14ac:dyDescent="0.3">
      <c r="A5496" t="s">
        <v>1644</v>
      </c>
      <c r="B5496" s="1">
        <v>43622</v>
      </c>
      <c r="C5496" t="s">
        <v>602</v>
      </c>
      <c r="D5496" t="s">
        <v>603</v>
      </c>
      <c r="E5496" t="s">
        <v>14</v>
      </c>
      <c r="F5496" t="s">
        <v>41</v>
      </c>
      <c r="G5496" t="s">
        <v>18</v>
      </c>
      <c r="H5496" t="s">
        <v>1151</v>
      </c>
      <c r="I5496" s="2">
        <v>323.37</v>
      </c>
      <c r="J5496">
        <v>3</v>
      </c>
      <c r="K5496" s="2">
        <v>129.34800000000001</v>
      </c>
      <c r="L5496" s="3">
        <f>(Table1[[#This Row],[Profit]]/Table1[[#This Row],[Sales]])*100</f>
        <v>40</v>
      </c>
    </row>
    <row r="5497" spans="1:12" x14ac:dyDescent="0.3">
      <c r="A5497" t="s">
        <v>3395</v>
      </c>
      <c r="B5497" s="1">
        <v>43781</v>
      </c>
      <c r="C5497" t="s">
        <v>2827</v>
      </c>
      <c r="D5497" t="s">
        <v>2828</v>
      </c>
      <c r="E5497" t="s">
        <v>14</v>
      </c>
      <c r="F5497" t="s">
        <v>29</v>
      </c>
      <c r="G5497" t="s">
        <v>24</v>
      </c>
      <c r="H5497" t="s">
        <v>3396</v>
      </c>
      <c r="I5497" s="2">
        <v>287.52</v>
      </c>
      <c r="J5497">
        <v>8</v>
      </c>
      <c r="K5497" s="2">
        <v>129.38399999999999</v>
      </c>
      <c r="L5497" s="3">
        <f>(Table1[[#This Row],[Profit]]/Table1[[#This Row],[Sales]])*100</f>
        <v>44.999999999999993</v>
      </c>
    </row>
    <row r="5498" spans="1:12" x14ac:dyDescent="0.3">
      <c r="A5498" t="s">
        <v>459</v>
      </c>
      <c r="B5498" s="1">
        <v>43527</v>
      </c>
      <c r="C5498" t="s">
        <v>460</v>
      </c>
      <c r="D5498" t="s">
        <v>461</v>
      </c>
      <c r="E5498" t="s">
        <v>14</v>
      </c>
      <c r="F5498" t="s">
        <v>15</v>
      </c>
      <c r="G5498" t="s">
        <v>18</v>
      </c>
      <c r="H5498" t="s">
        <v>463</v>
      </c>
      <c r="I5498" s="2">
        <v>479.95</v>
      </c>
      <c r="J5498">
        <v>5</v>
      </c>
      <c r="K5498" s="2">
        <v>129.5865</v>
      </c>
      <c r="L5498" s="3">
        <f>(Table1[[#This Row],[Profit]]/Table1[[#This Row],[Sales]])*100</f>
        <v>27</v>
      </c>
    </row>
    <row r="5499" spans="1:12" x14ac:dyDescent="0.3">
      <c r="A5499" t="s">
        <v>4405</v>
      </c>
      <c r="B5499" s="1">
        <v>43923</v>
      </c>
      <c r="C5499" t="s">
        <v>2407</v>
      </c>
      <c r="D5499" t="s">
        <v>2408</v>
      </c>
      <c r="E5499" t="s">
        <v>14</v>
      </c>
      <c r="F5499" t="s">
        <v>41</v>
      </c>
      <c r="G5499" t="s">
        <v>18</v>
      </c>
      <c r="H5499" t="s">
        <v>3170</v>
      </c>
      <c r="I5499" s="2">
        <v>404</v>
      </c>
      <c r="J5499">
        <v>4</v>
      </c>
      <c r="K5499" s="2">
        <v>129.6</v>
      </c>
      <c r="L5499" s="3">
        <f>(Table1[[#This Row],[Profit]]/Table1[[#This Row],[Sales]])*100</f>
        <v>32.079207920792079</v>
      </c>
    </row>
    <row r="5500" spans="1:12" x14ac:dyDescent="0.3">
      <c r="A5500" t="s">
        <v>2836</v>
      </c>
      <c r="B5500" s="1">
        <v>43728</v>
      </c>
      <c r="C5500" t="s">
        <v>2837</v>
      </c>
      <c r="D5500" t="s">
        <v>2838</v>
      </c>
      <c r="E5500" t="s">
        <v>14</v>
      </c>
      <c r="F5500" t="s">
        <v>15</v>
      </c>
      <c r="G5500" t="s">
        <v>24</v>
      </c>
      <c r="H5500" t="s">
        <v>2227</v>
      </c>
      <c r="I5500" s="2">
        <v>393.25</v>
      </c>
      <c r="J5500">
        <v>5</v>
      </c>
      <c r="K5500" s="2">
        <v>129.77250000000001</v>
      </c>
      <c r="L5500" s="3">
        <f>(Table1[[#This Row],[Profit]]/Table1[[#This Row],[Sales]])*100</f>
        <v>33</v>
      </c>
    </row>
    <row r="5501" spans="1:12" x14ac:dyDescent="0.3">
      <c r="A5501" t="s">
        <v>4806</v>
      </c>
      <c r="B5501" s="1">
        <v>43993</v>
      </c>
      <c r="C5501" t="s">
        <v>1000</v>
      </c>
      <c r="D5501" t="s">
        <v>1001</v>
      </c>
      <c r="E5501" t="s">
        <v>14</v>
      </c>
      <c r="F5501" t="s">
        <v>23</v>
      </c>
      <c r="G5501" t="s">
        <v>18</v>
      </c>
      <c r="H5501" t="s">
        <v>4809</v>
      </c>
      <c r="I5501" s="2">
        <v>420.8</v>
      </c>
      <c r="J5501">
        <v>5</v>
      </c>
      <c r="K5501" s="2">
        <v>130.20750000000001</v>
      </c>
      <c r="L5501" s="3">
        <f>(Table1[[#This Row],[Profit]]/Table1[[#This Row],[Sales]])*100</f>
        <v>30.942846958174908</v>
      </c>
    </row>
    <row r="5502" spans="1:12" x14ac:dyDescent="0.3">
      <c r="A5502" t="s">
        <v>5851</v>
      </c>
      <c r="B5502" s="1">
        <v>44146</v>
      </c>
      <c r="C5502" t="s">
        <v>3373</v>
      </c>
      <c r="D5502" t="s">
        <v>3374</v>
      </c>
      <c r="E5502" t="s">
        <v>14</v>
      </c>
      <c r="F5502" t="s">
        <v>41</v>
      </c>
      <c r="G5502" t="s">
        <v>24</v>
      </c>
      <c r="H5502" t="s">
        <v>3100</v>
      </c>
      <c r="I5502" s="2">
        <v>1197.1199999999999</v>
      </c>
      <c r="J5502">
        <v>5</v>
      </c>
      <c r="K5502" s="2">
        <v>130.2885</v>
      </c>
      <c r="L5502" s="3">
        <f>(Table1[[#This Row],[Profit]]/Table1[[#This Row],[Sales]])*100</f>
        <v>10.883495388933442</v>
      </c>
    </row>
    <row r="5503" spans="1:12" x14ac:dyDescent="0.3">
      <c r="A5503" t="s">
        <v>4038</v>
      </c>
      <c r="B5503" s="1">
        <v>43850</v>
      </c>
      <c r="C5503" t="s">
        <v>4039</v>
      </c>
      <c r="D5503" t="s">
        <v>4040</v>
      </c>
      <c r="E5503" t="s">
        <v>14</v>
      </c>
      <c r="F5503" t="s">
        <v>23</v>
      </c>
      <c r="G5503" t="s">
        <v>18</v>
      </c>
      <c r="H5503" t="s">
        <v>3111</v>
      </c>
      <c r="I5503" s="2">
        <v>394.976</v>
      </c>
      <c r="J5503">
        <v>3</v>
      </c>
      <c r="K5503" s="2">
        <v>130.4913</v>
      </c>
      <c r="L5503" s="3">
        <f>(Table1[[#This Row],[Profit]]/Table1[[#This Row],[Sales]])*100</f>
        <v>33.037779510653806</v>
      </c>
    </row>
    <row r="5504" spans="1:12" x14ac:dyDescent="0.3">
      <c r="A5504" t="s">
        <v>5607</v>
      </c>
      <c r="B5504" s="1">
        <v>44116</v>
      </c>
      <c r="C5504" t="s">
        <v>1559</v>
      </c>
      <c r="D5504" t="s">
        <v>1560</v>
      </c>
      <c r="E5504" t="s">
        <v>14</v>
      </c>
      <c r="F5504" t="s">
        <v>23</v>
      </c>
      <c r="G5504" t="s">
        <v>18</v>
      </c>
      <c r="H5504" t="s">
        <v>1297</v>
      </c>
      <c r="I5504" s="2">
        <v>461.84</v>
      </c>
      <c r="J5504">
        <v>12</v>
      </c>
      <c r="K5504" s="2">
        <v>130.75200000000001</v>
      </c>
      <c r="L5504" s="3">
        <f>(Table1[[#This Row],[Profit]]/Table1[[#This Row],[Sales]])*100</f>
        <v>28.311103412437213</v>
      </c>
    </row>
    <row r="5505" spans="1:12" x14ac:dyDescent="0.3">
      <c r="A5505" t="s">
        <v>2740</v>
      </c>
      <c r="B5505" s="1">
        <v>43722</v>
      </c>
      <c r="C5505" t="s">
        <v>1292</v>
      </c>
      <c r="D5505" t="s">
        <v>1293</v>
      </c>
      <c r="E5505" t="s">
        <v>14</v>
      </c>
      <c r="F5505" t="s">
        <v>15</v>
      </c>
      <c r="G5505" t="s">
        <v>18</v>
      </c>
      <c r="H5505" t="s">
        <v>2741</v>
      </c>
      <c r="I5505" s="2">
        <v>437.85</v>
      </c>
      <c r="J5505">
        <v>3</v>
      </c>
      <c r="K5505" s="2">
        <v>131.35499999999999</v>
      </c>
      <c r="L5505" s="3">
        <f>(Table1[[#This Row],[Profit]]/Table1[[#This Row],[Sales]])*100</f>
        <v>29.999999999999993</v>
      </c>
    </row>
    <row r="5506" spans="1:12" x14ac:dyDescent="0.3">
      <c r="A5506" t="s">
        <v>2774</v>
      </c>
      <c r="B5506" s="1">
        <v>43725</v>
      </c>
      <c r="C5506" t="s">
        <v>75</v>
      </c>
      <c r="D5506" t="s">
        <v>76</v>
      </c>
      <c r="E5506" t="s">
        <v>14</v>
      </c>
      <c r="F5506" t="s">
        <v>15</v>
      </c>
      <c r="G5506" t="s">
        <v>18</v>
      </c>
      <c r="H5506" t="s">
        <v>2741</v>
      </c>
      <c r="I5506" s="2">
        <v>437.85</v>
      </c>
      <c r="J5506">
        <v>3</v>
      </c>
      <c r="K5506" s="2">
        <v>131.35499999999999</v>
      </c>
      <c r="L5506" s="3">
        <f>(Table1[[#This Row],[Profit]]/Table1[[#This Row],[Sales]])*100</f>
        <v>29.999999999999993</v>
      </c>
    </row>
    <row r="5507" spans="1:12" x14ac:dyDescent="0.3">
      <c r="A5507" t="s">
        <v>5498</v>
      </c>
      <c r="B5507" s="1">
        <v>44098</v>
      </c>
      <c r="C5507" t="s">
        <v>3178</v>
      </c>
      <c r="D5507" t="s">
        <v>3179</v>
      </c>
      <c r="E5507" t="s">
        <v>14</v>
      </c>
      <c r="F5507" t="s">
        <v>15</v>
      </c>
      <c r="G5507" t="s">
        <v>18</v>
      </c>
      <c r="H5507" t="s">
        <v>2741</v>
      </c>
      <c r="I5507" s="2">
        <v>474.85</v>
      </c>
      <c r="J5507">
        <v>3</v>
      </c>
      <c r="K5507" s="2">
        <v>131.35499999999999</v>
      </c>
      <c r="L5507" s="3">
        <f>(Table1[[#This Row],[Profit]]/Table1[[#This Row],[Sales]])*100</f>
        <v>27.662419711487836</v>
      </c>
    </row>
    <row r="5508" spans="1:12" x14ac:dyDescent="0.3">
      <c r="A5508" t="s">
        <v>1694</v>
      </c>
      <c r="B5508" s="1">
        <v>43627</v>
      </c>
      <c r="C5508" t="s">
        <v>261</v>
      </c>
      <c r="D5508" t="s">
        <v>262</v>
      </c>
      <c r="E5508" t="s">
        <v>14</v>
      </c>
      <c r="F5508" t="s">
        <v>23</v>
      </c>
      <c r="G5508" t="s">
        <v>18</v>
      </c>
      <c r="H5508" t="s">
        <v>1696</v>
      </c>
      <c r="I5508" s="2">
        <v>389.97</v>
      </c>
      <c r="J5508">
        <v>3</v>
      </c>
      <c r="K5508" s="2">
        <v>132.5898</v>
      </c>
      <c r="L5508" s="3">
        <f>(Table1[[#This Row],[Profit]]/Table1[[#This Row],[Sales]])*100</f>
        <v>34</v>
      </c>
    </row>
    <row r="5509" spans="1:12" x14ac:dyDescent="0.3">
      <c r="A5509" t="s">
        <v>2113</v>
      </c>
      <c r="B5509" s="1">
        <v>43665</v>
      </c>
      <c r="C5509" t="s">
        <v>2114</v>
      </c>
      <c r="D5509" t="s">
        <v>2115</v>
      </c>
      <c r="E5509" t="s">
        <v>14</v>
      </c>
      <c r="F5509" t="s">
        <v>23</v>
      </c>
      <c r="G5509" t="s">
        <v>18</v>
      </c>
      <c r="H5509" t="s">
        <v>1696</v>
      </c>
      <c r="I5509" s="2">
        <v>389.97</v>
      </c>
      <c r="J5509">
        <v>3</v>
      </c>
      <c r="K5509" s="2">
        <v>132.5898</v>
      </c>
      <c r="L5509" s="3">
        <f>(Table1[[#This Row],[Profit]]/Table1[[#This Row],[Sales]])*100</f>
        <v>34</v>
      </c>
    </row>
    <row r="5510" spans="1:12" x14ac:dyDescent="0.3">
      <c r="A5510" t="s">
        <v>5033</v>
      </c>
      <c r="B5510" s="1">
        <v>44032</v>
      </c>
      <c r="C5510" t="s">
        <v>2477</v>
      </c>
      <c r="D5510" t="s">
        <v>2478</v>
      </c>
      <c r="E5510" t="s">
        <v>14</v>
      </c>
      <c r="F5510" t="s">
        <v>29</v>
      </c>
      <c r="G5510" t="s">
        <v>18</v>
      </c>
      <c r="H5510" t="s">
        <v>1696</v>
      </c>
      <c r="I5510" s="2">
        <v>400.97</v>
      </c>
      <c r="J5510">
        <v>3</v>
      </c>
      <c r="K5510" s="2">
        <v>132.5898</v>
      </c>
      <c r="L5510" s="3">
        <f>(Table1[[#This Row],[Profit]]/Table1[[#This Row],[Sales]])*100</f>
        <v>33.067261889916949</v>
      </c>
    </row>
    <row r="5511" spans="1:12" x14ac:dyDescent="0.3">
      <c r="A5511" t="s">
        <v>3704</v>
      </c>
      <c r="B5511" s="1">
        <v>43804</v>
      </c>
      <c r="C5511" t="s">
        <v>1828</v>
      </c>
      <c r="D5511" t="s">
        <v>1829</v>
      </c>
      <c r="E5511" t="s">
        <v>14</v>
      </c>
      <c r="F5511" t="s">
        <v>23</v>
      </c>
      <c r="G5511" t="s">
        <v>24</v>
      </c>
      <c r="H5511" t="s">
        <v>2832</v>
      </c>
      <c r="I5511" s="2">
        <v>407.976</v>
      </c>
      <c r="J5511">
        <v>3</v>
      </c>
      <c r="K5511" s="2">
        <v>132.59219999999999</v>
      </c>
      <c r="L5511" s="3">
        <f>(Table1[[#This Row],[Profit]]/Table1[[#This Row],[Sales]])*100</f>
        <v>32.499999999999993</v>
      </c>
    </row>
    <row r="5512" spans="1:12" x14ac:dyDescent="0.3">
      <c r="A5512" t="s">
        <v>5249</v>
      </c>
      <c r="B5512" s="1">
        <v>44076</v>
      </c>
      <c r="C5512" t="s">
        <v>1745</v>
      </c>
      <c r="D5512" t="s">
        <v>1746</v>
      </c>
      <c r="E5512" t="s">
        <v>14</v>
      </c>
      <c r="F5512" t="s">
        <v>23</v>
      </c>
      <c r="G5512" t="s">
        <v>16</v>
      </c>
      <c r="H5512" t="s">
        <v>4423</v>
      </c>
      <c r="I5512" s="2">
        <v>559.5</v>
      </c>
      <c r="J5512">
        <v>5</v>
      </c>
      <c r="K5512" s="2">
        <v>132.99</v>
      </c>
      <c r="L5512" s="3">
        <f>(Table1[[#This Row],[Profit]]/Table1[[#This Row],[Sales]])*100</f>
        <v>23.769436997319037</v>
      </c>
    </row>
    <row r="5513" spans="1:12" x14ac:dyDescent="0.3">
      <c r="A5513" t="s">
        <v>4313</v>
      </c>
      <c r="B5513" s="1">
        <v>43911</v>
      </c>
      <c r="C5513" t="s">
        <v>1559</v>
      </c>
      <c r="D5513" t="s">
        <v>1560</v>
      </c>
      <c r="E5513" t="s">
        <v>14</v>
      </c>
      <c r="F5513" t="s">
        <v>29</v>
      </c>
      <c r="G5513" t="s">
        <v>24</v>
      </c>
      <c r="H5513" t="s">
        <v>2071</v>
      </c>
      <c r="I5513" s="2">
        <v>300.39999999999998</v>
      </c>
      <c r="J5513">
        <v>5</v>
      </c>
      <c r="K5513" s="2">
        <v>133.15199999999999</v>
      </c>
      <c r="L5513" s="3">
        <f>(Table1[[#This Row],[Profit]]/Table1[[#This Row],[Sales]])*100</f>
        <v>44.324900133155793</v>
      </c>
    </row>
    <row r="5514" spans="1:12" x14ac:dyDescent="0.3">
      <c r="A5514" t="s">
        <v>5190</v>
      </c>
      <c r="B5514" s="1">
        <v>44064</v>
      </c>
      <c r="C5514" t="s">
        <v>4906</v>
      </c>
      <c r="D5514" t="s">
        <v>4907</v>
      </c>
      <c r="E5514" t="s">
        <v>14</v>
      </c>
      <c r="F5514" t="s">
        <v>15</v>
      </c>
      <c r="G5514" t="s">
        <v>24</v>
      </c>
      <c r="H5514" t="s">
        <v>4328</v>
      </c>
      <c r="I5514" s="2">
        <v>311.39999999999998</v>
      </c>
      <c r="J5514">
        <v>5</v>
      </c>
      <c r="K5514" s="2">
        <v>133.15199999999999</v>
      </c>
      <c r="L5514" s="3">
        <f>(Table1[[#This Row],[Profit]]/Table1[[#This Row],[Sales]])*100</f>
        <v>42.75915221579961</v>
      </c>
    </row>
    <row r="5515" spans="1:12" x14ac:dyDescent="0.3">
      <c r="A5515" t="s">
        <v>5309</v>
      </c>
      <c r="B5515" s="1">
        <v>44081</v>
      </c>
      <c r="C5515" t="s">
        <v>3726</v>
      </c>
      <c r="D5515" t="s">
        <v>3727</v>
      </c>
      <c r="E5515" t="s">
        <v>14</v>
      </c>
      <c r="F5515" t="s">
        <v>15</v>
      </c>
      <c r="G5515" t="s">
        <v>24</v>
      </c>
      <c r="H5515" t="s">
        <v>4382</v>
      </c>
      <c r="I5515" s="2">
        <v>491.08</v>
      </c>
      <c r="J5515">
        <v>8</v>
      </c>
      <c r="K5515" s="2">
        <v>133.86240000000001</v>
      </c>
      <c r="L5515" s="3">
        <f>(Table1[[#This Row],[Profit]]/Table1[[#This Row],[Sales]])*100</f>
        <v>27.258776574081615</v>
      </c>
    </row>
    <row r="5516" spans="1:12" x14ac:dyDescent="0.3">
      <c r="A5516" t="s">
        <v>5077</v>
      </c>
      <c r="B5516" s="1">
        <v>44041</v>
      </c>
      <c r="C5516" t="s">
        <v>1903</v>
      </c>
      <c r="D5516" t="s">
        <v>1904</v>
      </c>
      <c r="E5516" t="s">
        <v>14</v>
      </c>
      <c r="F5516" t="s">
        <v>29</v>
      </c>
      <c r="G5516" t="s">
        <v>18</v>
      </c>
      <c r="H5516" t="s">
        <v>1170</v>
      </c>
      <c r="I5516" s="2">
        <v>491.97</v>
      </c>
      <c r="J5516">
        <v>3</v>
      </c>
      <c r="K5516" s="2">
        <v>133.97130000000001</v>
      </c>
      <c r="L5516" s="3">
        <f>(Table1[[#This Row],[Profit]]/Table1[[#This Row],[Sales]])*100</f>
        <v>27.231599487773643</v>
      </c>
    </row>
    <row r="5517" spans="1:12" x14ac:dyDescent="0.3">
      <c r="A5517" t="s">
        <v>5241</v>
      </c>
      <c r="B5517" s="1">
        <v>44075</v>
      </c>
      <c r="C5517" t="s">
        <v>3788</v>
      </c>
      <c r="D5517" t="s">
        <v>3789</v>
      </c>
      <c r="E5517" t="s">
        <v>14</v>
      </c>
      <c r="F5517" t="s">
        <v>29</v>
      </c>
      <c r="G5517" t="s">
        <v>16</v>
      </c>
      <c r="H5517" t="s">
        <v>2777</v>
      </c>
      <c r="I5517" s="2">
        <v>519.26</v>
      </c>
      <c r="J5517">
        <v>7</v>
      </c>
      <c r="K5517" s="2">
        <v>134.53020000000001</v>
      </c>
      <c r="L5517" s="3">
        <f>(Table1[[#This Row],[Profit]]/Table1[[#This Row],[Sales]])*100</f>
        <v>25.908061472094907</v>
      </c>
    </row>
    <row r="5518" spans="1:12" x14ac:dyDescent="0.3">
      <c r="A5518" t="s">
        <v>4985</v>
      </c>
      <c r="B5518" s="1">
        <v>44021</v>
      </c>
      <c r="C5518" t="s">
        <v>3662</v>
      </c>
      <c r="D5518" t="s">
        <v>3663</v>
      </c>
      <c r="E5518" t="s">
        <v>14</v>
      </c>
      <c r="F5518" t="s">
        <v>15</v>
      </c>
      <c r="G5518" t="s">
        <v>24</v>
      </c>
      <c r="H5518" t="s">
        <v>1199</v>
      </c>
      <c r="I5518" s="2">
        <v>313.8</v>
      </c>
      <c r="J5518">
        <v>5</v>
      </c>
      <c r="K5518" s="2">
        <v>134.65199999999999</v>
      </c>
      <c r="L5518" s="3">
        <f>(Table1[[#This Row],[Profit]]/Table1[[#This Row],[Sales]])*100</f>
        <v>42.910133843212236</v>
      </c>
    </row>
    <row r="5519" spans="1:12" x14ac:dyDescent="0.3">
      <c r="A5519" t="s">
        <v>945</v>
      </c>
      <c r="B5519" s="1">
        <v>43564</v>
      </c>
      <c r="C5519" t="s">
        <v>946</v>
      </c>
      <c r="D5519" t="s">
        <v>947</v>
      </c>
      <c r="E5519" t="s">
        <v>14</v>
      </c>
      <c r="F5519" t="s">
        <v>29</v>
      </c>
      <c r="G5519" t="s">
        <v>18</v>
      </c>
      <c r="H5519" t="s">
        <v>886</v>
      </c>
      <c r="I5519" s="2">
        <v>517.9</v>
      </c>
      <c r="J5519">
        <v>2</v>
      </c>
      <c r="K5519" s="2">
        <v>134.654</v>
      </c>
      <c r="L5519" s="3">
        <f>(Table1[[#This Row],[Profit]]/Table1[[#This Row],[Sales]])*100</f>
        <v>26</v>
      </c>
    </row>
    <row r="5520" spans="1:12" x14ac:dyDescent="0.3">
      <c r="A5520" t="s">
        <v>3661</v>
      </c>
      <c r="B5520" s="1">
        <v>43801</v>
      </c>
      <c r="C5520" t="s">
        <v>3662</v>
      </c>
      <c r="D5520" t="s">
        <v>3663</v>
      </c>
      <c r="E5520" t="s">
        <v>14</v>
      </c>
      <c r="F5520" t="s">
        <v>15</v>
      </c>
      <c r="G5520" t="s">
        <v>24</v>
      </c>
      <c r="H5520" t="s">
        <v>642</v>
      </c>
      <c r="I5520" s="2">
        <v>415.17599999999999</v>
      </c>
      <c r="J5520">
        <v>3</v>
      </c>
      <c r="K5520" s="2">
        <v>134.93219999999999</v>
      </c>
      <c r="L5520" s="3">
        <f>(Table1[[#This Row],[Profit]]/Table1[[#This Row],[Sales]])*100</f>
        <v>32.5</v>
      </c>
    </row>
    <row r="5521" spans="1:12" x14ac:dyDescent="0.3">
      <c r="A5521" t="s">
        <v>4647</v>
      </c>
      <c r="B5521" s="1">
        <v>43965</v>
      </c>
      <c r="C5521" t="s">
        <v>1255</v>
      </c>
      <c r="D5521" t="s">
        <v>1256</v>
      </c>
      <c r="E5521" t="s">
        <v>14</v>
      </c>
      <c r="F5521" t="s">
        <v>15</v>
      </c>
      <c r="G5521" t="s">
        <v>18</v>
      </c>
      <c r="H5521" t="s">
        <v>3720</v>
      </c>
      <c r="I5521" s="2">
        <v>564.97</v>
      </c>
      <c r="J5521">
        <v>3</v>
      </c>
      <c r="K5521" s="2">
        <v>134.99250000000001</v>
      </c>
      <c r="L5521" s="3">
        <f>(Table1[[#This Row],[Profit]]/Table1[[#This Row],[Sales]])*100</f>
        <v>23.893746570614368</v>
      </c>
    </row>
    <row r="5522" spans="1:12" x14ac:dyDescent="0.3">
      <c r="A5522" t="s">
        <v>4719</v>
      </c>
      <c r="B5522" s="1">
        <v>43978</v>
      </c>
      <c r="C5522" t="s">
        <v>55</v>
      </c>
      <c r="D5522" t="s">
        <v>56</v>
      </c>
      <c r="E5522" t="s">
        <v>14</v>
      </c>
      <c r="F5522" t="s">
        <v>41</v>
      </c>
      <c r="G5522" t="s">
        <v>18</v>
      </c>
      <c r="H5522" t="s">
        <v>3720</v>
      </c>
      <c r="I5522" s="2">
        <v>560.97</v>
      </c>
      <c r="J5522">
        <v>3</v>
      </c>
      <c r="K5522" s="2">
        <v>134.99250000000001</v>
      </c>
      <c r="L5522" s="3">
        <f>(Table1[[#This Row],[Profit]]/Table1[[#This Row],[Sales]])*100</f>
        <v>24.06412107599337</v>
      </c>
    </row>
    <row r="5523" spans="1:12" x14ac:dyDescent="0.3">
      <c r="A5523" t="s">
        <v>2135</v>
      </c>
      <c r="B5523" s="1">
        <v>43668</v>
      </c>
      <c r="C5523" t="s">
        <v>2078</v>
      </c>
      <c r="D5523" t="s">
        <v>2079</v>
      </c>
      <c r="E5523" t="s">
        <v>14</v>
      </c>
      <c r="F5523" t="s">
        <v>29</v>
      </c>
      <c r="G5523" t="s">
        <v>24</v>
      </c>
      <c r="H5523" t="s">
        <v>963</v>
      </c>
      <c r="I5523" s="2">
        <v>965.85</v>
      </c>
      <c r="J5523">
        <v>5</v>
      </c>
      <c r="K5523" s="2">
        <v>135.21899999999999</v>
      </c>
      <c r="L5523" s="3">
        <f>(Table1[[#This Row],[Profit]]/Table1[[#This Row],[Sales]])*100</f>
        <v>13.999999999999998</v>
      </c>
    </row>
    <row r="5524" spans="1:12" x14ac:dyDescent="0.3">
      <c r="A5524" t="s">
        <v>4905</v>
      </c>
      <c r="B5524" s="1">
        <v>44008</v>
      </c>
      <c r="C5524" t="s">
        <v>4906</v>
      </c>
      <c r="D5524" t="s">
        <v>4907</v>
      </c>
      <c r="E5524" t="s">
        <v>14</v>
      </c>
      <c r="F5524" t="s">
        <v>29</v>
      </c>
      <c r="G5524" t="s">
        <v>18</v>
      </c>
      <c r="H5524" t="s">
        <v>2611</v>
      </c>
      <c r="I5524" s="2">
        <v>592.91999999999996</v>
      </c>
      <c r="J5524">
        <v>8</v>
      </c>
      <c r="K5524" s="2">
        <v>135.97999999999999</v>
      </c>
      <c r="L5524" s="3">
        <f>(Table1[[#This Row],[Profit]]/Table1[[#This Row],[Sales]])*100</f>
        <v>22.933953990420292</v>
      </c>
    </row>
    <row r="5525" spans="1:12" x14ac:dyDescent="0.3">
      <c r="A5525" t="s">
        <v>5071</v>
      </c>
      <c r="B5525" s="1">
        <v>44039</v>
      </c>
      <c r="C5525" t="s">
        <v>4377</v>
      </c>
      <c r="D5525" t="s">
        <v>4378</v>
      </c>
      <c r="E5525" t="s">
        <v>14</v>
      </c>
      <c r="F5525" t="s">
        <v>15</v>
      </c>
      <c r="G5525" t="s">
        <v>18</v>
      </c>
      <c r="H5525" t="s">
        <v>2611</v>
      </c>
      <c r="I5525" s="2">
        <v>565.91999999999996</v>
      </c>
      <c r="J5525">
        <v>8</v>
      </c>
      <c r="K5525" s="2">
        <v>135.97999999999999</v>
      </c>
      <c r="L5525" s="3">
        <f>(Table1[[#This Row],[Profit]]/Table1[[#This Row],[Sales]])*100</f>
        <v>24.028131184619735</v>
      </c>
    </row>
    <row r="5526" spans="1:12" x14ac:dyDescent="0.3">
      <c r="A5526" t="s">
        <v>2733</v>
      </c>
      <c r="B5526" s="1">
        <v>43721</v>
      </c>
      <c r="C5526" t="s">
        <v>2734</v>
      </c>
      <c r="D5526" t="s">
        <v>2735</v>
      </c>
      <c r="E5526" t="s">
        <v>14</v>
      </c>
      <c r="F5526" t="s">
        <v>29</v>
      </c>
      <c r="G5526" t="s">
        <v>24</v>
      </c>
      <c r="H5526" t="s">
        <v>1801</v>
      </c>
      <c r="I5526" s="2">
        <v>378</v>
      </c>
      <c r="J5526">
        <v>2</v>
      </c>
      <c r="K5526" s="2">
        <v>136.08000000000001</v>
      </c>
      <c r="L5526" s="3">
        <f>(Table1[[#This Row],[Profit]]/Table1[[#This Row],[Sales]])*100</f>
        <v>36.000000000000007</v>
      </c>
    </row>
    <row r="5527" spans="1:12" x14ac:dyDescent="0.3">
      <c r="A5527" t="s">
        <v>4329</v>
      </c>
      <c r="B5527" s="1">
        <v>43914</v>
      </c>
      <c r="C5527" t="s">
        <v>4330</v>
      </c>
      <c r="D5527" t="s">
        <v>4331</v>
      </c>
      <c r="E5527" t="s">
        <v>14</v>
      </c>
      <c r="F5527" t="s">
        <v>15</v>
      </c>
      <c r="G5527" t="s">
        <v>18</v>
      </c>
      <c r="H5527" t="s">
        <v>322</v>
      </c>
      <c r="I5527" s="2">
        <v>479.99</v>
      </c>
      <c r="J5527">
        <v>1</v>
      </c>
      <c r="K5527" s="2">
        <v>136.2971</v>
      </c>
      <c r="L5527" s="3">
        <f>(Table1[[#This Row],[Profit]]/Table1[[#This Row],[Sales]])*100</f>
        <v>28.395820746265549</v>
      </c>
    </row>
    <row r="5528" spans="1:12" x14ac:dyDescent="0.3">
      <c r="A5528" t="s">
        <v>2279</v>
      </c>
      <c r="B5528" s="1">
        <v>43685</v>
      </c>
      <c r="C5528" t="s">
        <v>1149</v>
      </c>
      <c r="D5528" t="s">
        <v>1150</v>
      </c>
      <c r="E5528" t="s">
        <v>14</v>
      </c>
      <c r="F5528" t="s">
        <v>23</v>
      </c>
      <c r="G5528" t="s">
        <v>24</v>
      </c>
      <c r="H5528" t="s">
        <v>1097</v>
      </c>
      <c r="I5528" s="2">
        <v>487.92</v>
      </c>
      <c r="J5528">
        <v>6</v>
      </c>
      <c r="K5528" s="2">
        <v>136.61760000000001</v>
      </c>
      <c r="L5528" s="3">
        <f>(Table1[[#This Row],[Profit]]/Table1[[#This Row],[Sales]])*100</f>
        <v>28.000000000000004</v>
      </c>
    </row>
    <row r="5529" spans="1:12" x14ac:dyDescent="0.3">
      <c r="A5529" t="s">
        <v>4080</v>
      </c>
      <c r="B5529" s="1">
        <v>43858</v>
      </c>
      <c r="C5529" t="s">
        <v>538</v>
      </c>
      <c r="D5529" t="s">
        <v>539</v>
      </c>
      <c r="E5529" t="s">
        <v>14</v>
      </c>
      <c r="F5529" t="s">
        <v>29</v>
      </c>
      <c r="G5529" t="s">
        <v>24</v>
      </c>
      <c r="H5529" t="s">
        <v>1778</v>
      </c>
      <c r="I5529" s="2">
        <v>292.89999999999998</v>
      </c>
      <c r="J5529">
        <v>5</v>
      </c>
      <c r="K5529" s="2">
        <v>137.15100000000001</v>
      </c>
      <c r="L5529" s="3">
        <f>(Table1[[#This Row],[Profit]]/Table1[[#This Row],[Sales]])*100</f>
        <v>46.825196312734732</v>
      </c>
    </row>
    <row r="5530" spans="1:12" x14ac:dyDescent="0.3">
      <c r="A5530" t="s">
        <v>6218</v>
      </c>
      <c r="B5530" s="1">
        <v>44185</v>
      </c>
      <c r="C5530" t="s">
        <v>6219</v>
      </c>
      <c r="D5530" t="s">
        <v>6220</v>
      </c>
      <c r="E5530" t="s">
        <v>14</v>
      </c>
      <c r="F5530" t="s">
        <v>15</v>
      </c>
      <c r="G5530" t="s">
        <v>24</v>
      </c>
      <c r="H5530" t="s">
        <v>1716</v>
      </c>
      <c r="I5530" s="2">
        <v>582.9</v>
      </c>
      <c r="J5530">
        <v>5</v>
      </c>
      <c r="K5530" s="2">
        <v>137.15100000000001</v>
      </c>
      <c r="L5530" s="3">
        <f>(Table1[[#This Row],[Profit]]/Table1[[#This Row],[Sales]])*100</f>
        <v>23.52907874420999</v>
      </c>
    </row>
    <row r="5531" spans="1:12" x14ac:dyDescent="0.3">
      <c r="A5531" t="s">
        <v>413</v>
      </c>
      <c r="B5531" s="1">
        <v>43518</v>
      </c>
      <c r="C5531" t="s">
        <v>414</v>
      </c>
      <c r="D5531" t="s">
        <v>415</v>
      </c>
      <c r="E5531" t="s">
        <v>14</v>
      </c>
      <c r="F5531" t="s">
        <v>29</v>
      </c>
      <c r="G5531" t="s">
        <v>24</v>
      </c>
      <c r="H5531" t="s">
        <v>416</v>
      </c>
      <c r="I5531" s="2">
        <v>490.32</v>
      </c>
      <c r="J5531">
        <v>9</v>
      </c>
      <c r="K5531" s="2">
        <v>137.28960000000001</v>
      </c>
      <c r="L5531" s="3">
        <f>(Table1[[#This Row],[Profit]]/Table1[[#This Row],[Sales]])*100</f>
        <v>28.000000000000004</v>
      </c>
    </row>
    <row r="5532" spans="1:12" x14ac:dyDescent="0.3">
      <c r="A5532" t="s">
        <v>3903</v>
      </c>
      <c r="B5532" s="1">
        <v>43824</v>
      </c>
      <c r="C5532" t="s">
        <v>3904</v>
      </c>
      <c r="D5532" t="s">
        <v>3905</v>
      </c>
      <c r="E5532" t="s">
        <v>14</v>
      </c>
      <c r="F5532" t="s">
        <v>41</v>
      </c>
      <c r="G5532" t="s">
        <v>16</v>
      </c>
      <c r="H5532" t="s">
        <v>3198</v>
      </c>
      <c r="I5532" s="2">
        <v>343.85</v>
      </c>
      <c r="J5532">
        <v>5</v>
      </c>
      <c r="K5532" s="2">
        <v>137.54</v>
      </c>
      <c r="L5532" s="3">
        <f>(Table1[[#This Row],[Profit]]/Table1[[#This Row],[Sales]])*100</f>
        <v>40</v>
      </c>
    </row>
    <row r="5533" spans="1:12" x14ac:dyDescent="0.3">
      <c r="A5533" t="s">
        <v>5989</v>
      </c>
      <c r="B5533" s="1">
        <v>44158</v>
      </c>
      <c r="C5533" t="s">
        <v>3477</v>
      </c>
      <c r="D5533" t="s">
        <v>3478</v>
      </c>
      <c r="E5533" t="s">
        <v>14</v>
      </c>
      <c r="F5533" t="s">
        <v>29</v>
      </c>
      <c r="G5533" t="s">
        <v>24</v>
      </c>
      <c r="H5533" t="s">
        <v>3321</v>
      </c>
      <c r="I5533" s="2">
        <v>297.92</v>
      </c>
      <c r="J5533">
        <v>8</v>
      </c>
      <c r="K5533" s="2">
        <v>138.20160000000001</v>
      </c>
      <c r="L5533" s="3">
        <f>(Table1[[#This Row],[Profit]]/Table1[[#This Row],[Sales]])*100</f>
        <v>46.388829215896891</v>
      </c>
    </row>
    <row r="5534" spans="1:12" x14ac:dyDescent="0.3">
      <c r="A5534" t="s">
        <v>4257</v>
      </c>
      <c r="B5534" s="1">
        <v>43903</v>
      </c>
      <c r="C5534" t="s">
        <v>1677</v>
      </c>
      <c r="D5534" t="s">
        <v>1678</v>
      </c>
      <c r="E5534" t="s">
        <v>14</v>
      </c>
      <c r="F5534" t="s">
        <v>23</v>
      </c>
      <c r="G5534" t="s">
        <v>24</v>
      </c>
      <c r="H5534" t="s">
        <v>2624</v>
      </c>
      <c r="I5534" s="2">
        <v>303.24</v>
      </c>
      <c r="J5534">
        <v>6</v>
      </c>
      <c r="K5534" s="2">
        <v>138.3552</v>
      </c>
      <c r="L5534" s="3">
        <f>(Table1[[#This Row],[Profit]]/Table1[[#This Row],[Sales]])*100</f>
        <v>45.625643055005931</v>
      </c>
    </row>
    <row r="5535" spans="1:12" x14ac:dyDescent="0.3">
      <c r="A5535" t="s">
        <v>4718</v>
      </c>
      <c r="B5535" s="1">
        <v>43978</v>
      </c>
      <c r="C5535" t="s">
        <v>1100</v>
      </c>
      <c r="D5535" t="s">
        <v>1101</v>
      </c>
      <c r="E5535" t="s">
        <v>14</v>
      </c>
      <c r="F5535" t="s">
        <v>29</v>
      </c>
      <c r="G5535" t="s">
        <v>16</v>
      </c>
      <c r="H5535" t="s">
        <v>2738</v>
      </c>
      <c r="I5535" s="2">
        <v>521.29999999999995</v>
      </c>
      <c r="J5535">
        <v>5</v>
      </c>
      <c r="K5535" s="2">
        <v>138.417</v>
      </c>
      <c r="L5535" s="3">
        <f>(Table1[[#This Row],[Profit]]/Table1[[#This Row],[Sales]])*100</f>
        <v>26.552273163245733</v>
      </c>
    </row>
    <row r="5536" spans="1:12" x14ac:dyDescent="0.3">
      <c r="A5536" t="s">
        <v>6210</v>
      </c>
      <c r="B5536" s="1">
        <v>44183</v>
      </c>
      <c r="C5536" t="s">
        <v>3465</v>
      </c>
      <c r="D5536" t="s">
        <v>3466</v>
      </c>
      <c r="E5536" t="s">
        <v>14</v>
      </c>
      <c r="F5536" t="s">
        <v>15</v>
      </c>
      <c r="G5536" t="s">
        <v>16</v>
      </c>
      <c r="H5536" t="s">
        <v>2165</v>
      </c>
      <c r="I5536" s="2">
        <v>1406.9380000000001</v>
      </c>
      <c r="J5536">
        <v>9</v>
      </c>
      <c r="K5536" s="2">
        <v>139.5702</v>
      </c>
      <c r="L5536" s="3">
        <f>(Table1[[#This Row],[Profit]]/Table1[[#This Row],[Sales]])*100</f>
        <v>9.9201386272884804</v>
      </c>
    </row>
    <row r="5537" spans="1:12" x14ac:dyDescent="0.3">
      <c r="A5537" t="s">
        <v>2801</v>
      </c>
      <c r="B5537" s="1">
        <v>43726</v>
      </c>
      <c r="C5537" t="s">
        <v>2802</v>
      </c>
      <c r="D5537" t="s">
        <v>2803</v>
      </c>
      <c r="E5537" t="s">
        <v>14</v>
      </c>
      <c r="F5537" t="s">
        <v>15</v>
      </c>
      <c r="G5537" t="s">
        <v>16</v>
      </c>
      <c r="H5537" t="s">
        <v>2804</v>
      </c>
      <c r="I5537" s="2">
        <v>631.78200000000004</v>
      </c>
      <c r="J5537">
        <v>2</v>
      </c>
      <c r="K5537" s="2">
        <v>140.39599999999999</v>
      </c>
      <c r="L5537" s="3">
        <f>(Table1[[#This Row],[Profit]]/Table1[[#This Row],[Sales]])*100</f>
        <v>22.222222222222218</v>
      </c>
    </row>
    <row r="5538" spans="1:12" x14ac:dyDescent="0.3">
      <c r="A5538" t="s">
        <v>5156</v>
      </c>
      <c r="B5538" s="1">
        <v>44060</v>
      </c>
      <c r="C5538" t="s">
        <v>4601</v>
      </c>
      <c r="D5538" t="s">
        <v>4602</v>
      </c>
      <c r="E5538" t="s">
        <v>14</v>
      </c>
      <c r="F5538" t="s">
        <v>23</v>
      </c>
      <c r="G5538" t="s">
        <v>24</v>
      </c>
      <c r="H5538" t="s">
        <v>410</v>
      </c>
      <c r="I5538" s="2">
        <v>568.57000000000005</v>
      </c>
      <c r="J5538">
        <v>3</v>
      </c>
      <c r="K5538" s="2">
        <v>140.54820000000001</v>
      </c>
      <c r="L5538" s="3">
        <f>(Table1[[#This Row],[Profit]]/Table1[[#This Row],[Sales]])*100</f>
        <v>24.719594772851185</v>
      </c>
    </row>
    <row r="5539" spans="1:12" x14ac:dyDescent="0.3">
      <c r="A5539" t="s">
        <v>4220</v>
      </c>
      <c r="B5539" s="1">
        <v>43896</v>
      </c>
      <c r="C5539" t="s">
        <v>3109</v>
      </c>
      <c r="D5539" t="s">
        <v>3110</v>
      </c>
      <c r="E5539" t="s">
        <v>14</v>
      </c>
      <c r="F5539" t="s">
        <v>23</v>
      </c>
      <c r="G5539" t="s">
        <v>24</v>
      </c>
      <c r="H5539" t="s">
        <v>126</v>
      </c>
      <c r="I5539" s="2">
        <v>327.93</v>
      </c>
      <c r="J5539">
        <v>7</v>
      </c>
      <c r="K5539" s="2">
        <v>140.59569999999999</v>
      </c>
      <c r="L5539" s="3">
        <f>(Table1[[#This Row],[Profit]]/Table1[[#This Row],[Sales]])*100</f>
        <v>42.873692556338241</v>
      </c>
    </row>
    <row r="5540" spans="1:12" x14ac:dyDescent="0.3">
      <c r="A5540" t="s">
        <v>4676</v>
      </c>
      <c r="B5540" s="1">
        <v>43970</v>
      </c>
      <c r="C5540" t="s">
        <v>2937</v>
      </c>
      <c r="D5540" t="s">
        <v>2938</v>
      </c>
      <c r="E5540" t="s">
        <v>14</v>
      </c>
      <c r="F5540" t="s">
        <v>41</v>
      </c>
      <c r="G5540" t="s">
        <v>24</v>
      </c>
      <c r="H5540" t="s">
        <v>974</v>
      </c>
      <c r="I5540" s="2">
        <v>298.93</v>
      </c>
      <c r="J5540">
        <v>7</v>
      </c>
      <c r="K5540" s="2">
        <v>140.59569999999999</v>
      </c>
      <c r="L5540" s="3">
        <f>(Table1[[#This Row],[Profit]]/Table1[[#This Row],[Sales]])*100</f>
        <v>47.032984310708187</v>
      </c>
    </row>
    <row r="5541" spans="1:12" x14ac:dyDescent="0.3">
      <c r="A5541" t="s">
        <v>4783</v>
      </c>
      <c r="B5541" s="1">
        <v>43990</v>
      </c>
      <c r="C5541" t="s">
        <v>4784</v>
      </c>
      <c r="D5541" t="s">
        <v>4785</v>
      </c>
      <c r="E5541" t="s">
        <v>14</v>
      </c>
      <c r="F5541" t="s">
        <v>23</v>
      </c>
      <c r="G5541" t="s">
        <v>16</v>
      </c>
      <c r="H5541" t="s">
        <v>2659</v>
      </c>
      <c r="I5541" s="2">
        <v>1510.6659999999999</v>
      </c>
      <c r="J5541">
        <v>2</v>
      </c>
      <c r="K5541" s="2">
        <v>140.95679999999999</v>
      </c>
      <c r="L5541" s="3">
        <f>(Table1[[#This Row],[Profit]]/Table1[[#This Row],[Sales]])*100</f>
        <v>9.3307719906319466</v>
      </c>
    </row>
    <row r="5542" spans="1:12" x14ac:dyDescent="0.3">
      <c r="A5542" t="s">
        <v>74</v>
      </c>
      <c r="B5542" s="1">
        <v>43474</v>
      </c>
      <c r="C5542" t="s">
        <v>75</v>
      </c>
      <c r="D5542" t="s">
        <v>76</v>
      </c>
      <c r="E5542" t="s">
        <v>14</v>
      </c>
      <c r="F5542" t="s">
        <v>23</v>
      </c>
      <c r="G5542" t="s">
        <v>18</v>
      </c>
      <c r="H5542" t="s">
        <v>78</v>
      </c>
      <c r="I5542" s="2">
        <v>377.928</v>
      </c>
      <c r="J5542">
        <v>9</v>
      </c>
      <c r="K5542" s="2">
        <v>141.72300000000001</v>
      </c>
      <c r="L5542" s="3">
        <f>(Table1[[#This Row],[Profit]]/Table1[[#This Row],[Sales]])*100</f>
        <v>37.500000000000007</v>
      </c>
    </row>
    <row r="5543" spans="1:12" x14ac:dyDescent="0.3">
      <c r="A5543" t="s">
        <v>6236</v>
      </c>
      <c r="B5543" s="1">
        <v>44187</v>
      </c>
      <c r="C5543" t="s">
        <v>4389</v>
      </c>
      <c r="D5543" t="s">
        <v>4390</v>
      </c>
      <c r="E5543" t="s">
        <v>14</v>
      </c>
      <c r="F5543" t="s">
        <v>23</v>
      </c>
      <c r="G5543" t="s">
        <v>18</v>
      </c>
      <c r="H5543" t="s">
        <v>640</v>
      </c>
      <c r="I5543" s="2">
        <v>263.95</v>
      </c>
      <c r="J5543">
        <v>5</v>
      </c>
      <c r="K5543" s="2">
        <v>142.48500000000001</v>
      </c>
      <c r="L5543" s="3">
        <f>(Table1[[#This Row],[Profit]]/Table1[[#This Row],[Sales]])*100</f>
        <v>53.981814737639709</v>
      </c>
    </row>
    <row r="5544" spans="1:12" x14ac:dyDescent="0.3">
      <c r="A5544" t="s">
        <v>4817</v>
      </c>
      <c r="B5544" s="1">
        <v>43994</v>
      </c>
      <c r="C5544" t="s">
        <v>4118</v>
      </c>
      <c r="D5544" t="s">
        <v>4119</v>
      </c>
      <c r="E5544" t="s">
        <v>14</v>
      </c>
      <c r="F5544" t="s">
        <v>15</v>
      </c>
      <c r="G5544" t="s">
        <v>16</v>
      </c>
      <c r="H5544" t="s">
        <v>4603</v>
      </c>
      <c r="I5544" s="2">
        <v>882.24</v>
      </c>
      <c r="J5544">
        <v>4</v>
      </c>
      <c r="K5544" s="2">
        <v>143.04</v>
      </c>
      <c r="L5544" s="3">
        <f>(Table1[[#This Row],[Profit]]/Table1[[#This Row],[Sales]])*100</f>
        <v>16.213275299238301</v>
      </c>
    </row>
    <row r="5545" spans="1:12" x14ac:dyDescent="0.3">
      <c r="A5545" t="s">
        <v>2901</v>
      </c>
      <c r="B5545" s="1">
        <v>43732</v>
      </c>
      <c r="C5545" t="s">
        <v>633</v>
      </c>
      <c r="D5545" t="s">
        <v>634</v>
      </c>
      <c r="E5545" t="s">
        <v>14</v>
      </c>
      <c r="F5545" t="s">
        <v>23</v>
      </c>
      <c r="G5545" t="s">
        <v>24</v>
      </c>
      <c r="H5545" t="s">
        <v>548</v>
      </c>
      <c r="I5545" s="2">
        <v>304.89999999999998</v>
      </c>
      <c r="J5545">
        <v>5</v>
      </c>
      <c r="K5545" s="2">
        <v>143.303</v>
      </c>
      <c r="L5545" s="3">
        <f>(Table1[[#This Row],[Profit]]/Table1[[#This Row],[Sales]])*100</f>
        <v>47</v>
      </c>
    </row>
    <row r="5546" spans="1:12" x14ac:dyDescent="0.3">
      <c r="A5546" t="s">
        <v>5394</v>
      </c>
      <c r="B5546" s="1">
        <v>44089</v>
      </c>
      <c r="C5546" t="s">
        <v>5395</v>
      </c>
      <c r="D5546" t="s">
        <v>5396</v>
      </c>
      <c r="E5546" t="s">
        <v>14</v>
      </c>
      <c r="F5546" t="s">
        <v>15</v>
      </c>
      <c r="G5546" t="s">
        <v>16</v>
      </c>
      <c r="H5546" t="s">
        <v>3085</v>
      </c>
      <c r="I5546" s="2">
        <v>555.96</v>
      </c>
      <c r="J5546">
        <v>4</v>
      </c>
      <c r="K5546" s="2">
        <v>143.62880000000001</v>
      </c>
      <c r="L5546" s="3">
        <f>(Table1[[#This Row],[Profit]]/Table1[[#This Row],[Sales]])*100</f>
        <v>25.834376573854236</v>
      </c>
    </row>
    <row r="5547" spans="1:12" x14ac:dyDescent="0.3">
      <c r="A5547" t="s">
        <v>5052</v>
      </c>
      <c r="B5547" s="1">
        <v>44035</v>
      </c>
      <c r="C5547" t="s">
        <v>1713</v>
      </c>
      <c r="D5547" t="s">
        <v>1714</v>
      </c>
      <c r="E5547" t="s">
        <v>14</v>
      </c>
      <c r="F5547" t="s">
        <v>29</v>
      </c>
      <c r="G5547" t="s">
        <v>18</v>
      </c>
      <c r="H5547" t="s">
        <v>4606</v>
      </c>
      <c r="I5547" s="2">
        <v>410.95</v>
      </c>
      <c r="J5547">
        <v>5</v>
      </c>
      <c r="K5547" s="2">
        <v>143.982</v>
      </c>
      <c r="L5547" s="3">
        <f>(Table1[[#This Row],[Profit]]/Table1[[#This Row],[Sales]])*100</f>
        <v>35.036379121547633</v>
      </c>
    </row>
    <row r="5548" spans="1:12" x14ac:dyDescent="0.3">
      <c r="A5548" t="s">
        <v>6093</v>
      </c>
      <c r="B5548" s="1">
        <v>44169</v>
      </c>
      <c r="C5548" t="s">
        <v>2020</v>
      </c>
      <c r="D5548" t="s">
        <v>2021</v>
      </c>
      <c r="E5548" t="s">
        <v>14</v>
      </c>
      <c r="F5548" t="s">
        <v>29</v>
      </c>
      <c r="G5548" t="s">
        <v>18</v>
      </c>
      <c r="H5548" t="s">
        <v>5582</v>
      </c>
      <c r="I5548" s="2">
        <v>438.95</v>
      </c>
      <c r="J5548">
        <v>5</v>
      </c>
      <c r="K5548" s="2">
        <v>143.982</v>
      </c>
      <c r="L5548" s="3">
        <f>(Table1[[#This Row],[Profit]]/Table1[[#This Row],[Sales]])*100</f>
        <v>32.801458024831987</v>
      </c>
    </row>
    <row r="5549" spans="1:12" x14ac:dyDescent="0.3">
      <c r="A5549" t="s">
        <v>224</v>
      </c>
      <c r="B5549" s="1">
        <v>43495</v>
      </c>
      <c r="C5549" t="s">
        <v>225</v>
      </c>
      <c r="D5549" t="s">
        <v>226</v>
      </c>
      <c r="E5549" t="s">
        <v>14</v>
      </c>
      <c r="F5549" t="s">
        <v>29</v>
      </c>
      <c r="G5549" t="s">
        <v>18</v>
      </c>
      <c r="H5549" t="s">
        <v>227</v>
      </c>
      <c r="I5549" s="2">
        <v>1439.9680000000001</v>
      </c>
      <c r="J5549">
        <v>4</v>
      </c>
      <c r="K5549" s="2">
        <v>143.99680000000001</v>
      </c>
      <c r="L5549" s="3">
        <f>(Table1[[#This Row],[Profit]]/Table1[[#This Row],[Sales]])*100</f>
        <v>10</v>
      </c>
    </row>
    <row r="5550" spans="1:12" x14ac:dyDescent="0.3">
      <c r="A5550" t="s">
        <v>5813</v>
      </c>
      <c r="B5550" s="1">
        <v>44142</v>
      </c>
      <c r="C5550" t="s">
        <v>2915</v>
      </c>
      <c r="D5550" t="s">
        <v>2916</v>
      </c>
      <c r="E5550" t="s">
        <v>14</v>
      </c>
      <c r="F5550" t="s">
        <v>23</v>
      </c>
      <c r="G5550" t="s">
        <v>18</v>
      </c>
      <c r="H5550" t="s">
        <v>2136</v>
      </c>
      <c r="I5550" s="2">
        <v>449.8</v>
      </c>
      <c r="J5550">
        <v>4</v>
      </c>
      <c r="K5550" s="2">
        <v>145.13399999999999</v>
      </c>
      <c r="L5550" s="3">
        <f>(Table1[[#This Row],[Profit]]/Table1[[#This Row],[Sales]])*100</f>
        <v>32.26634059582036</v>
      </c>
    </row>
    <row r="5551" spans="1:12" x14ac:dyDescent="0.3">
      <c r="A5551" t="s">
        <v>891</v>
      </c>
      <c r="B5551" s="1">
        <v>43562</v>
      </c>
      <c r="C5551" t="s">
        <v>892</v>
      </c>
      <c r="D5551" t="s">
        <v>893</v>
      </c>
      <c r="E5551" t="s">
        <v>14</v>
      </c>
      <c r="F5551" t="s">
        <v>15</v>
      </c>
      <c r="G5551" t="s">
        <v>16</v>
      </c>
      <c r="H5551" t="s">
        <v>843</v>
      </c>
      <c r="I5551" s="2">
        <v>658.74599999999998</v>
      </c>
      <c r="J5551">
        <v>3</v>
      </c>
      <c r="K5551" s="2">
        <v>146.38800000000001</v>
      </c>
      <c r="L5551" s="3">
        <f>(Table1[[#This Row],[Profit]]/Table1[[#This Row],[Sales]])*100</f>
        <v>22.222222222222225</v>
      </c>
    </row>
    <row r="5552" spans="1:12" x14ac:dyDescent="0.3">
      <c r="A5552" t="s">
        <v>4879</v>
      </c>
      <c r="B5552" s="1">
        <v>44004</v>
      </c>
      <c r="C5552" t="s">
        <v>554</v>
      </c>
      <c r="D5552" t="s">
        <v>555</v>
      </c>
      <c r="E5552" t="s">
        <v>14</v>
      </c>
      <c r="F5552" t="s">
        <v>29</v>
      </c>
      <c r="G5552" t="s">
        <v>16</v>
      </c>
      <c r="H5552" t="s">
        <v>843</v>
      </c>
      <c r="I5552" s="2">
        <v>504.96</v>
      </c>
      <c r="J5552">
        <v>2</v>
      </c>
      <c r="K5552" s="2">
        <v>146.38800000000001</v>
      </c>
      <c r="L5552" s="3">
        <f>(Table1[[#This Row],[Profit]]/Table1[[#This Row],[Sales]])*100</f>
        <v>28.990019011406847</v>
      </c>
    </row>
    <row r="5553" spans="1:12" x14ac:dyDescent="0.3">
      <c r="A5553" t="s">
        <v>730</v>
      </c>
      <c r="B5553" s="1">
        <v>43544</v>
      </c>
      <c r="C5553" t="s">
        <v>731</v>
      </c>
      <c r="D5553" t="s">
        <v>732</v>
      </c>
      <c r="E5553" t="s">
        <v>14</v>
      </c>
      <c r="F5553" t="s">
        <v>29</v>
      </c>
      <c r="G5553" t="s">
        <v>16</v>
      </c>
      <c r="H5553" t="s">
        <v>200</v>
      </c>
      <c r="I5553" s="2">
        <v>697.16</v>
      </c>
      <c r="J5553">
        <v>4</v>
      </c>
      <c r="K5553" s="2">
        <v>146.40360000000001</v>
      </c>
      <c r="L5553" s="3">
        <f>(Table1[[#This Row],[Profit]]/Table1[[#This Row],[Sales]])*100</f>
        <v>21.000000000000004</v>
      </c>
    </row>
    <row r="5554" spans="1:12" x14ac:dyDescent="0.3">
      <c r="A5554" t="s">
        <v>3841</v>
      </c>
      <c r="B5554" s="1">
        <v>43817</v>
      </c>
      <c r="C5554" t="s">
        <v>3175</v>
      </c>
      <c r="D5554" t="s">
        <v>3176</v>
      </c>
      <c r="E5554" t="s">
        <v>14</v>
      </c>
      <c r="F5554" t="s">
        <v>23</v>
      </c>
      <c r="G5554" t="s">
        <v>18</v>
      </c>
      <c r="H5554" t="s">
        <v>767</v>
      </c>
      <c r="I5554" s="2">
        <v>772.47</v>
      </c>
      <c r="J5554">
        <v>3</v>
      </c>
      <c r="K5554" s="2">
        <v>146.76929999999999</v>
      </c>
      <c r="L5554" s="3">
        <f>(Table1[[#This Row],[Profit]]/Table1[[#This Row],[Sales]])*100</f>
        <v>18.999999999999996</v>
      </c>
    </row>
    <row r="5555" spans="1:12" x14ac:dyDescent="0.3">
      <c r="A5555" t="s">
        <v>1074</v>
      </c>
      <c r="B5555" s="1">
        <v>43574</v>
      </c>
      <c r="C5555" t="s">
        <v>876</v>
      </c>
      <c r="D5555" t="s">
        <v>877</v>
      </c>
      <c r="E5555" t="s">
        <v>14</v>
      </c>
      <c r="F5555" t="s">
        <v>15</v>
      </c>
      <c r="G5555" t="s">
        <v>24</v>
      </c>
      <c r="H5555" t="s">
        <v>1076</v>
      </c>
      <c r="I5555" s="2">
        <v>419.4</v>
      </c>
      <c r="J5555">
        <v>5</v>
      </c>
      <c r="K5555" s="2">
        <v>146.79</v>
      </c>
      <c r="L5555" s="3">
        <f>(Table1[[#This Row],[Profit]]/Table1[[#This Row],[Sales]])*100</f>
        <v>35</v>
      </c>
    </row>
    <row r="5556" spans="1:12" x14ac:dyDescent="0.3">
      <c r="A5556" t="s">
        <v>4105</v>
      </c>
      <c r="B5556" s="1">
        <v>43864</v>
      </c>
      <c r="C5556" t="s">
        <v>341</v>
      </c>
      <c r="D5556" t="s">
        <v>342</v>
      </c>
      <c r="E5556" t="s">
        <v>14</v>
      </c>
      <c r="F5556" t="s">
        <v>29</v>
      </c>
      <c r="G5556" t="s">
        <v>24</v>
      </c>
      <c r="H5556" t="s">
        <v>1076</v>
      </c>
      <c r="I5556" s="2">
        <v>443.4</v>
      </c>
      <c r="J5556">
        <v>5</v>
      </c>
      <c r="K5556" s="2">
        <v>146.79</v>
      </c>
      <c r="L5556" s="3">
        <f>(Table1[[#This Row],[Profit]]/Table1[[#This Row],[Sales]])*100</f>
        <v>33.105548037889037</v>
      </c>
    </row>
    <row r="5557" spans="1:12" x14ac:dyDescent="0.3">
      <c r="A5557" t="s">
        <v>6144</v>
      </c>
      <c r="B5557" s="1">
        <v>44174</v>
      </c>
      <c r="C5557" t="s">
        <v>3625</v>
      </c>
      <c r="D5557" t="s">
        <v>3626</v>
      </c>
      <c r="E5557" t="s">
        <v>14</v>
      </c>
      <c r="F5557" t="s">
        <v>23</v>
      </c>
      <c r="G5557" t="s">
        <v>24</v>
      </c>
      <c r="H5557" t="s">
        <v>3246</v>
      </c>
      <c r="I5557" s="2">
        <v>461.4</v>
      </c>
      <c r="J5557">
        <v>5</v>
      </c>
      <c r="K5557" s="2">
        <v>146.79</v>
      </c>
      <c r="L5557" s="3">
        <f>(Table1[[#This Row],[Profit]]/Table1[[#This Row],[Sales]])*100</f>
        <v>31.81404421326398</v>
      </c>
    </row>
    <row r="5558" spans="1:12" x14ac:dyDescent="0.3">
      <c r="A5558" t="s">
        <v>676</v>
      </c>
      <c r="B5558" s="1">
        <v>43539</v>
      </c>
      <c r="C5558" t="s">
        <v>544</v>
      </c>
      <c r="D5558" t="s">
        <v>545</v>
      </c>
      <c r="E5558" t="s">
        <v>14</v>
      </c>
      <c r="F5558" t="s">
        <v>41</v>
      </c>
      <c r="G5558" t="s">
        <v>24</v>
      </c>
      <c r="H5558" t="s">
        <v>677</v>
      </c>
      <c r="I5558" s="2">
        <v>319.76</v>
      </c>
      <c r="J5558">
        <v>14</v>
      </c>
      <c r="K5558" s="2">
        <v>147.08959999999999</v>
      </c>
      <c r="L5558" s="3">
        <f>(Table1[[#This Row],[Profit]]/Table1[[#This Row],[Sales]])*100</f>
        <v>46</v>
      </c>
    </row>
    <row r="5559" spans="1:12" x14ac:dyDescent="0.3">
      <c r="A5559" t="s">
        <v>4896</v>
      </c>
      <c r="B5559" s="1">
        <v>44007</v>
      </c>
      <c r="C5559" t="s">
        <v>2796</v>
      </c>
      <c r="D5559" t="s">
        <v>2797</v>
      </c>
      <c r="E5559" t="s">
        <v>14</v>
      </c>
      <c r="F5559" t="s">
        <v>23</v>
      </c>
      <c r="G5559" t="s">
        <v>16</v>
      </c>
      <c r="H5559" t="s">
        <v>4792</v>
      </c>
      <c r="I5559" s="2">
        <v>917.4</v>
      </c>
      <c r="J5559">
        <v>4</v>
      </c>
      <c r="K5559" s="2">
        <v>148.13800000000001</v>
      </c>
      <c r="L5559" s="3">
        <f>(Table1[[#This Row],[Profit]]/Table1[[#This Row],[Sales]])*100</f>
        <v>16.147591018094616</v>
      </c>
    </row>
    <row r="5560" spans="1:12" x14ac:dyDescent="0.3">
      <c r="A5560" t="s">
        <v>6248</v>
      </c>
      <c r="B5560" s="1">
        <v>44188</v>
      </c>
      <c r="C5560" t="s">
        <v>6249</v>
      </c>
      <c r="D5560" t="s">
        <v>6250</v>
      </c>
      <c r="E5560" t="s">
        <v>14</v>
      </c>
      <c r="F5560" t="s">
        <v>41</v>
      </c>
      <c r="G5560" t="s">
        <v>18</v>
      </c>
      <c r="H5560" t="s">
        <v>4048</v>
      </c>
      <c r="I5560" s="2">
        <v>678.97</v>
      </c>
      <c r="J5560">
        <v>3</v>
      </c>
      <c r="K5560" s="2">
        <v>148.49100000000001</v>
      </c>
      <c r="L5560" s="3">
        <f>(Table1[[#This Row],[Profit]]/Table1[[#This Row],[Sales]])*100</f>
        <v>21.870038440579116</v>
      </c>
    </row>
    <row r="5561" spans="1:12" x14ac:dyDescent="0.3">
      <c r="A5561" t="s">
        <v>1471</v>
      </c>
      <c r="B5561" s="1">
        <v>43608</v>
      </c>
      <c r="C5561" t="s">
        <v>1472</v>
      </c>
      <c r="D5561" t="s">
        <v>1473</v>
      </c>
      <c r="E5561" t="s">
        <v>14</v>
      </c>
      <c r="F5561" t="s">
        <v>29</v>
      </c>
      <c r="G5561" t="s">
        <v>18</v>
      </c>
      <c r="H5561" t="s">
        <v>1474</v>
      </c>
      <c r="I5561" s="2">
        <v>1979.9280000000001</v>
      </c>
      <c r="J5561">
        <v>9</v>
      </c>
      <c r="K5561" s="2">
        <v>148.49459999999999</v>
      </c>
      <c r="L5561" s="3">
        <f>(Table1[[#This Row],[Profit]]/Table1[[#This Row],[Sales]])*100</f>
        <v>7.5</v>
      </c>
    </row>
    <row r="5562" spans="1:12" x14ac:dyDescent="0.3">
      <c r="A5562" t="s">
        <v>3113</v>
      </c>
      <c r="B5562" s="1">
        <v>43755</v>
      </c>
      <c r="C5562" t="s">
        <v>1214</v>
      </c>
      <c r="D5562" t="s">
        <v>1215</v>
      </c>
      <c r="E5562" t="s">
        <v>14</v>
      </c>
      <c r="F5562" t="s">
        <v>15</v>
      </c>
      <c r="G5562" t="s">
        <v>24</v>
      </c>
      <c r="H5562" t="s">
        <v>1009</v>
      </c>
      <c r="I5562" s="2">
        <v>315.98</v>
      </c>
      <c r="J5562">
        <v>1</v>
      </c>
      <c r="K5562" s="2">
        <v>148.51060000000001</v>
      </c>
      <c r="L5562" s="3">
        <f>(Table1[[#This Row],[Profit]]/Table1[[#This Row],[Sales]])*100</f>
        <v>47</v>
      </c>
    </row>
    <row r="5563" spans="1:12" x14ac:dyDescent="0.3">
      <c r="A5563" t="s">
        <v>5011</v>
      </c>
      <c r="B5563" s="1">
        <v>44026</v>
      </c>
      <c r="C5563" t="s">
        <v>1183</v>
      </c>
      <c r="D5563" t="s">
        <v>1184</v>
      </c>
      <c r="E5563" t="s">
        <v>14</v>
      </c>
      <c r="F5563" t="s">
        <v>15</v>
      </c>
      <c r="G5563" t="s">
        <v>16</v>
      </c>
      <c r="H5563" t="s">
        <v>1357</v>
      </c>
      <c r="I5563" s="2">
        <v>421.92</v>
      </c>
      <c r="J5563">
        <v>5</v>
      </c>
      <c r="K5563" s="2">
        <v>148.845</v>
      </c>
      <c r="L5563" s="3">
        <f>(Table1[[#This Row],[Profit]]/Table1[[#This Row],[Sales]])*100</f>
        <v>35.278014789533557</v>
      </c>
    </row>
    <row r="5564" spans="1:12" x14ac:dyDescent="0.3">
      <c r="A5564" t="s">
        <v>1156</v>
      </c>
      <c r="B5564" s="1">
        <v>43579</v>
      </c>
      <c r="C5564" t="s">
        <v>1157</v>
      </c>
      <c r="D5564" t="s">
        <v>1158</v>
      </c>
      <c r="E5564" t="s">
        <v>14</v>
      </c>
      <c r="F5564" t="s">
        <v>23</v>
      </c>
      <c r="G5564" t="s">
        <v>16</v>
      </c>
      <c r="H5564" t="s">
        <v>639</v>
      </c>
      <c r="I5564" s="2">
        <v>1325.76</v>
      </c>
      <c r="J5564">
        <v>6</v>
      </c>
      <c r="K5564" s="2">
        <v>149.148</v>
      </c>
      <c r="L5564" s="3">
        <f>(Table1[[#This Row],[Profit]]/Table1[[#This Row],[Sales]])*100</f>
        <v>11.25</v>
      </c>
    </row>
    <row r="5565" spans="1:12" x14ac:dyDescent="0.3">
      <c r="A5565" t="s">
        <v>4637</v>
      </c>
      <c r="B5565" s="1">
        <v>43964</v>
      </c>
      <c r="C5565" t="s">
        <v>3265</v>
      </c>
      <c r="D5565" t="s">
        <v>3266</v>
      </c>
      <c r="E5565" t="s">
        <v>14</v>
      </c>
      <c r="F5565" t="s">
        <v>15</v>
      </c>
      <c r="G5565" t="s">
        <v>24</v>
      </c>
      <c r="H5565" t="s">
        <v>1753</v>
      </c>
      <c r="I5565" s="2">
        <v>323.52</v>
      </c>
      <c r="J5565">
        <v>9</v>
      </c>
      <c r="K5565" s="2">
        <v>149.76</v>
      </c>
      <c r="L5565" s="3">
        <f>(Table1[[#This Row],[Profit]]/Table1[[#This Row],[Sales]])*100</f>
        <v>46.290801186943618</v>
      </c>
    </row>
    <row r="5566" spans="1:12" x14ac:dyDescent="0.3">
      <c r="A5566" t="s">
        <v>4376</v>
      </c>
      <c r="B5566" s="1">
        <v>43920</v>
      </c>
      <c r="C5566" t="s">
        <v>4377</v>
      </c>
      <c r="D5566" t="s">
        <v>4378</v>
      </c>
      <c r="E5566" t="s">
        <v>14</v>
      </c>
      <c r="F5566" t="s">
        <v>29</v>
      </c>
      <c r="G5566" t="s">
        <v>24</v>
      </c>
      <c r="H5566" t="s">
        <v>4379</v>
      </c>
      <c r="I5566" s="2">
        <v>370.86</v>
      </c>
      <c r="J5566">
        <v>2</v>
      </c>
      <c r="K5566" s="2">
        <v>149.8956</v>
      </c>
      <c r="L5566" s="3">
        <f>(Table1[[#This Row],[Profit]]/Table1[[#This Row],[Sales]])*100</f>
        <v>40.418378903090115</v>
      </c>
    </row>
    <row r="5567" spans="1:12" x14ac:dyDescent="0.3">
      <c r="A5567" t="s">
        <v>5798</v>
      </c>
      <c r="B5567" s="1">
        <v>44141</v>
      </c>
      <c r="C5567" t="s">
        <v>3551</v>
      </c>
      <c r="D5567" t="s">
        <v>3552</v>
      </c>
      <c r="E5567" t="s">
        <v>14</v>
      </c>
      <c r="F5567" t="s">
        <v>15</v>
      </c>
      <c r="G5567" t="s">
        <v>24</v>
      </c>
      <c r="H5567" t="s">
        <v>3909</v>
      </c>
      <c r="I5567" s="2">
        <v>339.96</v>
      </c>
      <c r="J5567">
        <v>9</v>
      </c>
      <c r="K5567" s="2">
        <v>149.91120000000001</v>
      </c>
      <c r="L5567" s="3">
        <f>(Table1[[#This Row],[Profit]]/Table1[[#This Row],[Sales]])*100</f>
        <v>44.09671726085422</v>
      </c>
    </row>
    <row r="5568" spans="1:12" x14ac:dyDescent="0.3">
      <c r="A5568" t="s">
        <v>5884</v>
      </c>
      <c r="B5568" s="1">
        <v>44148</v>
      </c>
      <c r="C5568" t="s">
        <v>1339</v>
      </c>
      <c r="D5568" t="s">
        <v>1340</v>
      </c>
      <c r="E5568" t="s">
        <v>14</v>
      </c>
      <c r="F5568" t="s">
        <v>23</v>
      </c>
      <c r="G5568" t="s">
        <v>16</v>
      </c>
      <c r="H5568" t="s">
        <v>1557</v>
      </c>
      <c r="I5568" s="2">
        <v>2422.7040000000002</v>
      </c>
      <c r="J5568">
        <v>6</v>
      </c>
      <c r="K5568" s="2">
        <v>150.29400000000001</v>
      </c>
      <c r="L5568" s="3">
        <f>(Table1[[#This Row],[Profit]]/Table1[[#This Row],[Sales]])*100</f>
        <v>6.2035642818932892</v>
      </c>
    </row>
    <row r="5569" spans="1:12" x14ac:dyDescent="0.3">
      <c r="A5569" t="s">
        <v>3639</v>
      </c>
      <c r="B5569" s="1">
        <v>43800</v>
      </c>
      <c r="C5569" t="s">
        <v>3502</v>
      </c>
      <c r="D5569" t="s">
        <v>3503</v>
      </c>
      <c r="E5569" t="s">
        <v>14</v>
      </c>
      <c r="F5569" t="s">
        <v>15</v>
      </c>
      <c r="G5569" t="s">
        <v>16</v>
      </c>
      <c r="H5569" t="s">
        <v>3388</v>
      </c>
      <c r="I5569" s="2">
        <v>751.92</v>
      </c>
      <c r="J5569">
        <v>4</v>
      </c>
      <c r="K5569" s="2">
        <v>150.38399999999999</v>
      </c>
      <c r="L5569" s="3">
        <f>(Table1[[#This Row],[Profit]]/Table1[[#This Row],[Sales]])*100</f>
        <v>20</v>
      </c>
    </row>
    <row r="5570" spans="1:12" x14ac:dyDescent="0.3">
      <c r="A5570" t="s">
        <v>1518</v>
      </c>
      <c r="B5570" s="1">
        <v>43612</v>
      </c>
      <c r="C5570" t="s">
        <v>75</v>
      </c>
      <c r="D5570" t="s">
        <v>76</v>
      </c>
      <c r="E5570" t="s">
        <v>14</v>
      </c>
      <c r="F5570" t="s">
        <v>29</v>
      </c>
      <c r="G5570" t="s">
        <v>24</v>
      </c>
      <c r="H5570" t="s">
        <v>1520</v>
      </c>
      <c r="I5570" s="2">
        <v>314.55</v>
      </c>
      <c r="J5570">
        <v>3</v>
      </c>
      <c r="K5570" s="2">
        <v>150.98400000000001</v>
      </c>
      <c r="L5570" s="3">
        <f>(Table1[[#This Row],[Profit]]/Table1[[#This Row],[Sales]])*100</f>
        <v>48.000000000000007</v>
      </c>
    </row>
    <row r="5571" spans="1:12" x14ac:dyDescent="0.3">
      <c r="A5571" t="s">
        <v>3242</v>
      </c>
      <c r="B5571" s="1">
        <v>43772</v>
      </c>
      <c r="C5571" t="s">
        <v>2456</v>
      </c>
      <c r="D5571" t="s">
        <v>2457</v>
      </c>
      <c r="E5571" t="s">
        <v>14</v>
      </c>
      <c r="F5571" t="s">
        <v>23</v>
      </c>
      <c r="G5571" t="s">
        <v>24</v>
      </c>
      <c r="H5571" t="s">
        <v>3246</v>
      </c>
      <c r="I5571" s="2">
        <v>314.55</v>
      </c>
      <c r="J5571">
        <v>3</v>
      </c>
      <c r="K5571" s="2">
        <v>150.98400000000001</v>
      </c>
      <c r="L5571" s="3">
        <f>(Table1[[#This Row],[Profit]]/Table1[[#This Row],[Sales]])*100</f>
        <v>48.000000000000007</v>
      </c>
    </row>
    <row r="5572" spans="1:12" x14ac:dyDescent="0.3">
      <c r="A5572" t="s">
        <v>3492</v>
      </c>
      <c r="B5572" s="1">
        <v>43789</v>
      </c>
      <c r="C5572" t="s">
        <v>3493</v>
      </c>
      <c r="D5572" t="s">
        <v>3494</v>
      </c>
      <c r="E5572" t="s">
        <v>14</v>
      </c>
      <c r="F5572" t="s">
        <v>29</v>
      </c>
      <c r="G5572" t="s">
        <v>24</v>
      </c>
      <c r="H5572" t="s">
        <v>1076</v>
      </c>
      <c r="I5572" s="2">
        <v>314.55</v>
      </c>
      <c r="J5572">
        <v>3</v>
      </c>
      <c r="K5572" s="2">
        <v>150.98400000000001</v>
      </c>
      <c r="L5572" s="3">
        <f>(Table1[[#This Row],[Profit]]/Table1[[#This Row],[Sales]])*100</f>
        <v>48.000000000000007</v>
      </c>
    </row>
    <row r="5573" spans="1:12" x14ac:dyDescent="0.3">
      <c r="A5573" t="s">
        <v>4263</v>
      </c>
      <c r="B5573" s="1">
        <v>43903</v>
      </c>
      <c r="C5573" t="s">
        <v>573</v>
      </c>
      <c r="D5573" t="s">
        <v>574</v>
      </c>
      <c r="E5573" t="s">
        <v>14</v>
      </c>
      <c r="F5573" t="s">
        <v>23</v>
      </c>
      <c r="G5573" t="s">
        <v>24</v>
      </c>
      <c r="H5573" t="s">
        <v>3246</v>
      </c>
      <c r="I5573" s="2">
        <v>364.55</v>
      </c>
      <c r="J5573">
        <v>3</v>
      </c>
      <c r="K5573" s="2">
        <v>150.98400000000001</v>
      </c>
      <c r="L5573" s="3">
        <f>(Table1[[#This Row],[Profit]]/Table1[[#This Row],[Sales]])*100</f>
        <v>41.416540940886023</v>
      </c>
    </row>
    <row r="5574" spans="1:12" x14ac:dyDescent="0.3">
      <c r="A5574" t="s">
        <v>6068</v>
      </c>
      <c r="B5574" s="1">
        <v>44167</v>
      </c>
      <c r="C5574" t="s">
        <v>3138</v>
      </c>
      <c r="D5574" t="s">
        <v>3139</v>
      </c>
      <c r="E5574" t="s">
        <v>14</v>
      </c>
      <c r="F5574" t="s">
        <v>23</v>
      </c>
      <c r="G5574" t="s">
        <v>24</v>
      </c>
      <c r="H5574" t="s">
        <v>302</v>
      </c>
      <c r="I5574" s="2">
        <v>596.62</v>
      </c>
      <c r="J5574">
        <v>9</v>
      </c>
      <c r="K5574" s="2">
        <v>151.09739999999999</v>
      </c>
      <c r="L5574" s="3">
        <f>(Table1[[#This Row],[Profit]]/Table1[[#This Row],[Sales]])*100</f>
        <v>25.325567362810496</v>
      </c>
    </row>
    <row r="5575" spans="1:12" x14ac:dyDescent="0.3">
      <c r="A5575" t="s">
        <v>4030</v>
      </c>
      <c r="B5575" s="1">
        <v>43849</v>
      </c>
      <c r="C5575" t="s">
        <v>933</v>
      </c>
      <c r="D5575" t="s">
        <v>934</v>
      </c>
      <c r="E5575" t="s">
        <v>14</v>
      </c>
      <c r="F5575" t="s">
        <v>15</v>
      </c>
      <c r="G5575" t="s">
        <v>24</v>
      </c>
      <c r="H5575" t="s">
        <v>4032</v>
      </c>
      <c r="I5575" s="2">
        <v>573.94000000000005</v>
      </c>
      <c r="J5575">
        <v>3</v>
      </c>
      <c r="K5575" s="2">
        <v>152.0232</v>
      </c>
      <c r="L5575" s="3">
        <f>(Table1[[#This Row],[Profit]]/Table1[[#This Row],[Sales]])*100</f>
        <v>26.487646792347629</v>
      </c>
    </row>
    <row r="5576" spans="1:12" x14ac:dyDescent="0.3">
      <c r="A5576" t="s">
        <v>5138</v>
      </c>
      <c r="B5576" s="1">
        <v>44055</v>
      </c>
      <c r="C5576" t="s">
        <v>1570</v>
      </c>
      <c r="D5576" t="s">
        <v>1571</v>
      </c>
      <c r="E5576" t="s">
        <v>14</v>
      </c>
      <c r="F5576" t="s">
        <v>23</v>
      </c>
      <c r="G5576" t="s">
        <v>24</v>
      </c>
      <c r="H5576" t="s">
        <v>4032</v>
      </c>
      <c r="I5576" s="2">
        <v>555.94000000000005</v>
      </c>
      <c r="J5576">
        <v>3</v>
      </c>
      <c r="K5576" s="2">
        <v>152.0232</v>
      </c>
      <c r="L5576" s="3">
        <f>(Table1[[#This Row],[Profit]]/Table1[[#This Row],[Sales]])*100</f>
        <v>27.345253084865274</v>
      </c>
    </row>
    <row r="5577" spans="1:12" x14ac:dyDescent="0.3">
      <c r="A5577" t="s">
        <v>4046</v>
      </c>
      <c r="B5577" s="1">
        <v>43851</v>
      </c>
      <c r="C5577" t="s">
        <v>2414</v>
      </c>
      <c r="D5577" t="s">
        <v>2415</v>
      </c>
      <c r="E5577" t="s">
        <v>14</v>
      </c>
      <c r="F5577" t="s">
        <v>29</v>
      </c>
      <c r="G5577" t="s">
        <v>18</v>
      </c>
      <c r="H5577" t="s">
        <v>4050</v>
      </c>
      <c r="I5577" s="2">
        <v>361.97300000000001</v>
      </c>
      <c r="J5577">
        <v>3</v>
      </c>
      <c r="K5577" s="2">
        <v>152.0883</v>
      </c>
      <c r="L5577" s="3">
        <f>(Table1[[#This Row],[Profit]]/Table1[[#This Row],[Sales]])*100</f>
        <v>42.016476367021852</v>
      </c>
    </row>
    <row r="5578" spans="1:12" x14ac:dyDescent="0.3">
      <c r="A5578" t="s">
        <v>1491</v>
      </c>
      <c r="B5578" s="1">
        <v>43610</v>
      </c>
      <c r="C5578" t="s">
        <v>514</v>
      </c>
      <c r="D5578" t="s">
        <v>515</v>
      </c>
      <c r="E5578" t="s">
        <v>14</v>
      </c>
      <c r="F5578" t="s">
        <v>41</v>
      </c>
      <c r="G5578" t="s">
        <v>24</v>
      </c>
      <c r="H5578" t="s">
        <v>1494</v>
      </c>
      <c r="I5578" s="2">
        <v>1267.6500000000001</v>
      </c>
      <c r="J5578">
        <v>9</v>
      </c>
      <c r="K5578" s="2">
        <v>152.11799999999999</v>
      </c>
      <c r="L5578" s="3">
        <f>(Table1[[#This Row],[Profit]]/Table1[[#This Row],[Sales]])*100</f>
        <v>11.999999999999998</v>
      </c>
    </row>
    <row r="5579" spans="1:12" x14ac:dyDescent="0.3">
      <c r="A5579" t="s">
        <v>5279</v>
      </c>
      <c r="B5579" s="1">
        <v>44078</v>
      </c>
      <c r="C5579" t="s">
        <v>2255</v>
      </c>
      <c r="D5579" t="s">
        <v>2256</v>
      </c>
      <c r="E5579" t="s">
        <v>14</v>
      </c>
      <c r="F5579" t="s">
        <v>23</v>
      </c>
      <c r="G5579" t="s">
        <v>24</v>
      </c>
      <c r="H5579" t="s">
        <v>3560</v>
      </c>
      <c r="I5579" s="2">
        <v>522.98400000000004</v>
      </c>
      <c r="J5579">
        <v>2</v>
      </c>
      <c r="K5579" s="2">
        <v>152.495</v>
      </c>
      <c r="L5579" s="3">
        <f>(Table1[[#This Row],[Profit]]/Table1[[#This Row],[Sales]])*100</f>
        <v>29.158635828247135</v>
      </c>
    </row>
    <row r="5580" spans="1:12" x14ac:dyDescent="0.3">
      <c r="A5580" t="s">
        <v>1789</v>
      </c>
      <c r="B5580" s="1">
        <v>43633</v>
      </c>
      <c r="C5580" t="s">
        <v>1448</v>
      </c>
      <c r="D5580" t="s">
        <v>1449</v>
      </c>
      <c r="E5580" t="s">
        <v>14</v>
      </c>
      <c r="F5580" t="s">
        <v>15</v>
      </c>
      <c r="G5580" t="s">
        <v>18</v>
      </c>
      <c r="H5580" t="s">
        <v>1791</v>
      </c>
      <c r="I5580" s="2">
        <v>566.97</v>
      </c>
      <c r="J5580">
        <v>3</v>
      </c>
      <c r="K5580" s="2">
        <v>153.08189999999999</v>
      </c>
      <c r="L5580" s="3">
        <f>(Table1[[#This Row],[Profit]]/Table1[[#This Row],[Sales]])*100</f>
        <v>26.999999999999996</v>
      </c>
    </row>
    <row r="5581" spans="1:12" x14ac:dyDescent="0.3">
      <c r="A5581" t="s">
        <v>3718</v>
      </c>
      <c r="B5581" s="1">
        <v>43805</v>
      </c>
      <c r="C5581" t="s">
        <v>1476</v>
      </c>
      <c r="D5581" t="s">
        <v>1477</v>
      </c>
      <c r="E5581" t="s">
        <v>14</v>
      </c>
      <c r="F5581" t="s">
        <v>23</v>
      </c>
      <c r="G5581" t="s">
        <v>24</v>
      </c>
      <c r="H5581" t="s">
        <v>2939</v>
      </c>
      <c r="I5581" s="2">
        <v>437.47199999999998</v>
      </c>
      <c r="J5581">
        <v>14</v>
      </c>
      <c r="K5581" s="2">
        <v>153.11519999999999</v>
      </c>
      <c r="L5581" s="3">
        <f>(Table1[[#This Row],[Profit]]/Table1[[#This Row],[Sales]])*100</f>
        <v>35</v>
      </c>
    </row>
    <row r="5582" spans="1:12" x14ac:dyDescent="0.3">
      <c r="A5582" t="s">
        <v>5013</v>
      </c>
      <c r="B5582" s="1">
        <v>44027</v>
      </c>
      <c r="C5582" t="s">
        <v>1314</v>
      </c>
      <c r="D5582" t="s">
        <v>1315</v>
      </c>
      <c r="E5582" t="s">
        <v>14</v>
      </c>
      <c r="F5582" t="s">
        <v>41</v>
      </c>
      <c r="G5582" t="s">
        <v>16</v>
      </c>
      <c r="H5582" t="s">
        <v>3074</v>
      </c>
      <c r="I5582" s="2">
        <v>901.94</v>
      </c>
      <c r="J5582">
        <v>3</v>
      </c>
      <c r="K5582" s="2">
        <v>157.1292</v>
      </c>
      <c r="L5582" s="3">
        <f>(Table1[[#This Row],[Profit]]/Table1[[#This Row],[Sales]])*100</f>
        <v>17.421247533095325</v>
      </c>
    </row>
    <row r="5583" spans="1:12" x14ac:dyDescent="0.3">
      <c r="A5583" t="s">
        <v>5996</v>
      </c>
      <c r="B5583" s="1">
        <v>44159</v>
      </c>
      <c r="C5583" t="s">
        <v>4197</v>
      </c>
      <c r="D5583" t="s">
        <v>4198</v>
      </c>
      <c r="E5583" t="s">
        <v>14</v>
      </c>
      <c r="F5583" t="s">
        <v>41</v>
      </c>
      <c r="G5583" t="s">
        <v>24</v>
      </c>
      <c r="H5583" t="s">
        <v>2610</v>
      </c>
      <c r="I5583" s="2">
        <v>337.84</v>
      </c>
      <c r="J5583">
        <v>8</v>
      </c>
      <c r="K5583" s="2">
        <v>157.36320000000001</v>
      </c>
      <c r="L5583" s="3">
        <f>(Table1[[#This Row],[Profit]]/Table1[[#This Row],[Sales]])*100</f>
        <v>46.579209093061806</v>
      </c>
    </row>
    <row r="5584" spans="1:12" x14ac:dyDescent="0.3">
      <c r="A5584" t="s">
        <v>4081</v>
      </c>
      <c r="B5584" s="1">
        <v>43858</v>
      </c>
      <c r="C5584" t="s">
        <v>1157</v>
      </c>
      <c r="D5584" t="s">
        <v>1158</v>
      </c>
      <c r="E5584" t="s">
        <v>14</v>
      </c>
      <c r="F5584" t="s">
        <v>15</v>
      </c>
      <c r="G5584" t="s">
        <v>18</v>
      </c>
      <c r="H5584" t="s">
        <v>571</v>
      </c>
      <c r="I5584" s="2">
        <v>470.91</v>
      </c>
      <c r="J5584">
        <v>9</v>
      </c>
      <c r="K5584" s="2">
        <v>157.46850000000001</v>
      </c>
      <c r="L5584" s="3">
        <f>(Table1[[#This Row],[Profit]]/Table1[[#This Row],[Sales]])*100</f>
        <v>33.439192202331661</v>
      </c>
    </row>
    <row r="5585" spans="1:12" x14ac:dyDescent="0.3">
      <c r="A5585" t="s">
        <v>5828</v>
      </c>
      <c r="B5585" s="1">
        <v>44144</v>
      </c>
      <c r="C5585" t="s">
        <v>2950</v>
      </c>
      <c r="D5585" t="s">
        <v>2951</v>
      </c>
      <c r="E5585" t="s">
        <v>14</v>
      </c>
      <c r="F5585" t="s">
        <v>15</v>
      </c>
      <c r="G5585" t="s">
        <v>24</v>
      </c>
      <c r="H5585" t="s">
        <v>453</v>
      </c>
      <c r="I5585" s="2">
        <v>586.38</v>
      </c>
      <c r="J5585">
        <v>3</v>
      </c>
      <c r="K5585" s="2">
        <v>157.87020000000001</v>
      </c>
      <c r="L5585" s="3">
        <f>(Table1[[#This Row],[Profit]]/Table1[[#This Row],[Sales]])*100</f>
        <v>26.922848664688431</v>
      </c>
    </row>
    <row r="5586" spans="1:12" x14ac:dyDescent="0.3">
      <c r="A5586" t="s">
        <v>6202</v>
      </c>
      <c r="B5586" s="1">
        <v>44182</v>
      </c>
      <c r="C5586" t="s">
        <v>538</v>
      </c>
      <c r="D5586" t="s">
        <v>539</v>
      </c>
      <c r="E5586" t="s">
        <v>14</v>
      </c>
      <c r="F5586" t="s">
        <v>41</v>
      </c>
      <c r="G5586" t="s">
        <v>24</v>
      </c>
      <c r="H5586" t="s">
        <v>453</v>
      </c>
      <c r="I5586" s="2">
        <v>935.38</v>
      </c>
      <c r="J5586">
        <v>3</v>
      </c>
      <c r="K5586" s="2">
        <v>157.87020000000001</v>
      </c>
      <c r="L5586" s="3">
        <f>(Table1[[#This Row],[Profit]]/Table1[[#This Row],[Sales]])*100</f>
        <v>16.877654001582247</v>
      </c>
    </row>
    <row r="5587" spans="1:12" x14ac:dyDescent="0.3">
      <c r="A5587" t="s">
        <v>3742</v>
      </c>
      <c r="B5587" s="1">
        <v>43808</v>
      </c>
      <c r="C5587" t="s">
        <v>3743</v>
      </c>
      <c r="D5587" t="s">
        <v>3744</v>
      </c>
      <c r="E5587" t="s">
        <v>14</v>
      </c>
      <c r="F5587" t="s">
        <v>41</v>
      </c>
      <c r="G5587" t="s">
        <v>16</v>
      </c>
      <c r="H5587" t="s">
        <v>2380</v>
      </c>
      <c r="I5587" s="2">
        <v>1056.8599999999999</v>
      </c>
      <c r="J5587">
        <v>7</v>
      </c>
      <c r="K5587" s="2">
        <v>158.529</v>
      </c>
      <c r="L5587" s="3">
        <f>(Table1[[#This Row],[Profit]]/Table1[[#This Row],[Sales]])*100</f>
        <v>15.000000000000002</v>
      </c>
    </row>
    <row r="5588" spans="1:12" x14ac:dyDescent="0.3">
      <c r="A5588" t="s">
        <v>4636</v>
      </c>
      <c r="B5588" s="1">
        <v>43964</v>
      </c>
      <c r="C5588" t="s">
        <v>2950</v>
      </c>
      <c r="D5588" t="s">
        <v>2951</v>
      </c>
      <c r="E5588" t="s">
        <v>14</v>
      </c>
      <c r="F5588" t="s">
        <v>29</v>
      </c>
      <c r="G5588" t="s">
        <v>18</v>
      </c>
      <c r="H5588" t="s">
        <v>3721</v>
      </c>
      <c r="I5588" s="2">
        <v>611.97</v>
      </c>
      <c r="J5588">
        <v>3</v>
      </c>
      <c r="K5588" s="2">
        <v>158.75190000000001</v>
      </c>
      <c r="L5588" s="3">
        <f>(Table1[[#This Row],[Profit]]/Table1[[#This Row],[Sales]])*100</f>
        <v>25.941124564929652</v>
      </c>
    </row>
    <row r="5589" spans="1:12" x14ac:dyDescent="0.3">
      <c r="A5589" t="s">
        <v>6137</v>
      </c>
      <c r="B5589" s="1">
        <v>44173</v>
      </c>
      <c r="C5589" t="s">
        <v>3265</v>
      </c>
      <c r="D5589" t="s">
        <v>3266</v>
      </c>
      <c r="E5589" t="s">
        <v>14</v>
      </c>
      <c r="F5589" t="s">
        <v>15</v>
      </c>
      <c r="G5589" t="s">
        <v>24</v>
      </c>
      <c r="H5589" t="s">
        <v>404</v>
      </c>
      <c r="I5589" s="2">
        <v>612.74</v>
      </c>
      <c r="J5589">
        <v>6</v>
      </c>
      <c r="K5589" s="2">
        <v>160.03980000000001</v>
      </c>
      <c r="L5589" s="3">
        <f>(Table1[[#This Row],[Profit]]/Table1[[#This Row],[Sales]])*100</f>
        <v>26.118712667689397</v>
      </c>
    </row>
    <row r="5590" spans="1:12" x14ac:dyDescent="0.3">
      <c r="A5590" t="s">
        <v>3240</v>
      </c>
      <c r="B5590" s="1">
        <v>43772</v>
      </c>
      <c r="C5590" t="s">
        <v>1024</v>
      </c>
      <c r="D5590" t="s">
        <v>1025</v>
      </c>
      <c r="E5590" t="s">
        <v>14</v>
      </c>
      <c r="F5590" t="s">
        <v>41</v>
      </c>
      <c r="G5590" t="s">
        <v>16</v>
      </c>
      <c r="H5590" t="s">
        <v>1261</v>
      </c>
      <c r="I5590" s="2">
        <v>842.94</v>
      </c>
      <c r="J5590">
        <v>3</v>
      </c>
      <c r="K5590" s="2">
        <v>160.15860000000001</v>
      </c>
      <c r="L5590" s="3">
        <f>(Table1[[#This Row],[Profit]]/Table1[[#This Row],[Sales]])*100</f>
        <v>19</v>
      </c>
    </row>
    <row r="5591" spans="1:12" x14ac:dyDescent="0.3">
      <c r="A5591" t="s">
        <v>3595</v>
      </c>
      <c r="B5591" s="1">
        <v>43795</v>
      </c>
      <c r="C5591" t="s">
        <v>279</v>
      </c>
      <c r="D5591" t="s">
        <v>280</v>
      </c>
      <c r="E5591" t="s">
        <v>14</v>
      </c>
      <c r="F5591" t="s">
        <v>23</v>
      </c>
      <c r="G5591" t="s">
        <v>16</v>
      </c>
      <c r="H5591" t="s">
        <v>3596</v>
      </c>
      <c r="I5591" s="2">
        <v>3406.6640000000002</v>
      </c>
      <c r="J5591">
        <v>8</v>
      </c>
      <c r="K5591" s="2">
        <v>160.31360000000001</v>
      </c>
      <c r="L5591" s="3">
        <f>(Table1[[#This Row],[Profit]]/Table1[[#This Row],[Sales]])*100</f>
        <v>4.7058823529411766</v>
      </c>
    </row>
    <row r="5592" spans="1:12" x14ac:dyDescent="0.3">
      <c r="A5592" t="s">
        <v>2583</v>
      </c>
      <c r="B5592" s="1">
        <v>43712</v>
      </c>
      <c r="C5592" t="s">
        <v>1400</v>
      </c>
      <c r="D5592" t="s">
        <v>1401</v>
      </c>
      <c r="E5592" t="s">
        <v>14</v>
      </c>
      <c r="F5592" t="s">
        <v>29</v>
      </c>
      <c r="G5592" t="s">
        <v>24</v>
      </c>
      <c r="H5592" t="s">
        <v>1326</v>
      </c>
      <c r="I5592" s="2">
        <v>535.41</v>
      </c>
      <c r="J5592">
        <v>3</v>
      </c>
      <c r="K5592" s="2">
        <v>160.62299999999999</v>
      </c>
      <c r="L5592" s="3">
        <f>(Table1[[#This Row],[Profit]]/Table1[[#This Row],[Sales]])*100</f>
        <v>30</v>
      </c>
    </row>
    <row r="5593" spans="1:12" x14ac:dyDescent="0.3">
      <c r="A5593" t="s">
        <v>285</v>
      </c>
      <c r="B5593" s="1">
        <v>43501</v>
      </c>
      <c r="C5593" t="s">
        <v>286</v>
      </c>
      <c r="D5593" t="s">
        <v>287</v>
      </c>
      <c r="E5593" t="s">
        <v>14</v>
      </c>
      <c r="F5593" t="s">
        <v>41</v>
      </c>
      <c r="G5593" t="s">
        <v>24</v>
      </c>
      <c r="H5593" t="s">
        <v>223</v>
      </c>
      <c r="I5593" s="2">
        <v>342.37</v>
      </c>
      <c r="J5593">
        <v>7</v>
      </c>
      <c r="K5593" s="2">
        <v>160.91390000000001</v>
      </c>
      <c r="L5593" s="3">
        <f>(Table1[[#This Row],[Profit]]/Table1[[#This Row],[Sales]])*100</f>
        <v>47</v>
      </c>
    </row>
    <row r="5594" spans="1:12" x14ac:dyDescent="0.3">
      <c r="A5594" t="s">
        <v>1651</v>
      </c>
      <c r="B5594" s="1">
        <v>43622</v>
      </c>
      <c r="C5594" t="s">
        <v>795</v>
      </c>
      <c r="D5594" t="s">
        <v>796</v>
      </c>
      <c r="E5594" t="s">
        <v>14</v>
      </c>
      <c r="F5594" t="s">
        <v>23</v>
      </c>
      <c r="G5594" t="s">
        <v>18</v>
      </c>
      <c r="H5594" t="s">
        <v>1654</v>
      </c>
      <c r="I5594" s="2">
        <v>477.6</v>
      </c>
      <c r="J5594">
        <v>3</v>
      </c>
      <c r="K5594" s="2">
        <v>161.19</v>
      </c>
      <c r="L5594" s="3">
        <f>(Table1[[#This Row],[Profit]]/Table1[[#This Row],[Sales]])*100</f>
        <v>33.75</v>
      </c>
    </row>
    <row r="5595" spans="1:12" x14ac:dyDescent="0.3">
      <c r="A5595" t="s">
        <v>2920</v>
      </c>
      <c r="B5595" s="1">
        <v>43733</v>
      </c>
      <c r="C5595" t="s">
        <v>431</v>
      </c>
      <c r="D5595" t="s">
        <v>432</v>
      </c>
      <c r="E5595" t="s">
        <v>14</v>
      </c>
      <c r="F5595" t="s">
        <v>23</v>
      </c>
      <c r="G5595" t="s">
        <v>18</v>
      </c>
      <c r="H5595" t="s">
        <v>2708</v>
      </c>
      <c r="I5595" s="2">
        <v>479.976</v>
      </c>
      <c r="J5595">
        <v>3</v>
      </c>
      <c r="K5595" s="2">
        <v>161.99189999999999</v>
      </c>
      <c r="L5595" s="3">
        <f>(Table1[[#This Row],[Profit]]/Table1[[#This Row],[Sales]])*100</f>
        <v>33.75</v>
      </c>
    </row>
    <row r="5596" spans="1:12" x14ac:dyDescent="0.3">
      <c r="A5596" t="s">
        <v>3167</v>
      </c>
      <c r="B5596" s="1">
        <v>43762</v>
      </c>
      <c r="C5596" t="s">
        <v>3168</v>
      </c>
      <c r="D5596" t="s">
        <v>3169</v>
      </c>
      <c r="E5596" t="s">
        <v>14</v>
      </c>
      <c r="F5596" t="s">
        <v>23</v>
      </c>
      <c r="G5596" t="s">
        <v>18</v>
      </c>
      <c r="H5596" t="s">
        <v>3170</v>
      </c>
      <c r="I5596" s="2">
        <v>450</v>
      </c>
      <c r="J5596">
        <v>5</v>
      </c>
      <c r="K5596" s="2">
        <v>162</v>
      </c>
      <c r="L5596" s="3">
        <f>(Table1[[#This Row],[Profit]]/Table1[[#This Row],[Sales]])*100</f>
        <v>36</v>
      </c>
    </row>
    <row r="5597" spans="1:12" x14ac:dyDescent="0.3">
      <c r="A5597" t="s">
        <v>4689</v>
      </c>
      <c r="B5597" s="1">
        <v>43971</v>
      </c>
      <c r="C5597" t="s">
        <v>3539</v>
      </c>
      <c r="D5597" t="s">
        <v>3540</v>
      </c>
      <c r="E5597" t="s">
        <v>14</v>
      </c>
      <c r="F5597" t="s">
        <v>29</v>
      </c>
      <c r="G5597" t="s">
        <v>24</v>
      </c>
      <c r="H5597" t="s">
        <v>2217</v>
      </c>
      <c r="I5597" s="2">
        <v>725.76</v>
      </c>
      <c r="J5597">
        <v>4</v>
      </c>
      <c r="K5597" s="2">
        <v>162.09479999999999</v>
      </c>
      <c r="L5597" s="3">
        <f>(Table1[[#This Row],[Profit]]/Table1[[#This Row],[Sales]])*100</f>
        <v>22.33449074074074</v>
      </c>
    </row>
    <row r="5598" spans="1:12" x14ac:dyDescent="0.3">
      <c r="A5598" t="s">
        <v>3760</v>
      </c>
      <c r="B5598" s="1">
        <v>43809</v>
      </c>
      <c r="C5598" t="s">
        <v>2578</v>
      </c>
      <c r="D5598" t="s">
        <v>2579</v>
      </c>
      <c r="E5598" t="s">
        <v>14</v>
      </c>
      <c r="F5598" t="s">
        <v>15</v>
      </c>
      <c r="G5598" t="s">
        <v>24</v>
      </c>
      <c r="H5598" t="s">
        <v>3761</v>
      </c>
      <c r="I5598" s="2">
        <v>361.92</v>
      </c>
      <c r="J5598">
        <v>4</v>
      </c>
      <c r="K5598" s="2">
        <v>162.864</v>
      </c>
      <c r="L5598" s="3">
        <f>(Table1[[#This Row],[Profit]]/Table1[[#This Row],[Sales]])*100</f>
        <v>45</v>
      </c>
    </row>
    <row r="5599" spans="1:12" x14ac:dyDescent="0.3">
      <c r="A5599" t="s">
        <v>2449</v>
      </c>
      <c r="B5599" s="1">
        <v>43703</v>
      </c>
      <c r="C5599" t="s">
        <v>2073</v>
      </c>
      <c r="D5599" t="s">
        <v>2074</v>
      </c>
      <c r="E5599" t="s">
        <v>14</v>
      </c>
      <c r="F5599" t="s">
        <v>29</v>
      </c>
      <c r="G5599" t="s">
        <v>18</v>
      </c>
      <c r="H5599" t="s">
        <v>2453</v>
      </c>
      <c r="I5599" s="2">
        <v>479.97</v>
      </c>
      <c r="J5599">
        <v>3</v>
      </c>
      <c r="K5599" s="2">
        <v>163.18979999999999</v>
      </c>
      <c r="L5599" s="3">
        <f>(Table1[[#This Row],[Profit]]/Table1[[#This Row],[Sales]])*100</f>
        <v>34</v>
      </c>
    </row>
    <row r="5600" spans="1:12" x14ac:dyDescent="0.3">
      <c r="A5600" t="s">
        <v>3319</v>
      </c>
      <c r="B5600" s="1">
        <v>43776</v>
      </c>
      <c r="C5600" t="s">
        <v>2603</v>
      </c>
      <c r="D5600" t="s">
        <v>2604</v>
      </c>
      <c r="E5600" t="s">
        <v>14</v>
      </c>
      <c r="F5600" t="s">
        <v>23</v>
      </c>
      <c r="G5600" t="s">
        <v>18</v>
      </c>
      <c r="H5600" t="s">
        <v>2453</v>
      </c>
      <c r="I5600" s="2">
        <v>479.97</v>
      </c>
      <c r="J5600">
        <v>3</v>
      </c>
      <c r="K5600" s="2">
        <v>163.18979999999999</v>
      </c>
      <c r="L5600" s="3">
        <f>(Table1[[#This Row],[Profit]]/Table1[[#This Row],[Sales]])*100</f>
        <v>34</v>
      </c>
    </row>
    <row r="5601" spans="1:12" x14ac:dyDescent="0.3">
      <c r="A5601" t="s">
        <v>5885</v>
      </c>
      <c r="B5601" s="1">
        <v>44148</v>
      </c>
      <c r="C5601" t="s">
        <v>1635</v>
      </c>
      <c r="D5601" t="s">
        <v>1636</v>
      </c>
      <c r="E5601" t="s">
        <v>14</v>
      </c>
      <c r="F5601" t="s">
        <v>15</v>
      </c>
      <c r="G5601" t="s">
        <v>18</v>
      </c>
      <c r="H5601" t="s">
        <v>4680</v>
      </c>
      <c r="I5601" s="2">
        <v>674.95</v>
      </c>
      <c r="J5601">
        <v>5</v>
      </c>
      <c r="K5601" s="2">
        <v>163.78700000000001</v>
      </c>
      <c r="L5601" s="3">
        <f>(Table1[[#This Row],[Profit]]/Table1[[#This Row],[Sales]])*100</f>
        <v>24.266538262093487</v>
      </c>
    </row>
    <row r="5602" spans="1:12" x14ac:dyDescent="0.3">
      <c r="A5602" t="s">
        <v>6040</v>
      </c>
      <c r="B5602" s="1">
        <v>44165</v>
      </c>
      <c r="C5602" t="s">
        <v>4924</v>
      </c>
      <c r="D5602" t="s">
        <v>4925</v>
      </c>
      <c r="E5602" t="s">
        <v>14</v>
      </c>
      <c r="F5602" t="s">
        <v>15</v>
      </c>
      <c r="G5602" t="s">
        <v>18</v>
      </c>
      <c r="H5602" t="s">
        <v>6046</v>
      </c>
      <c r="I5602" s="2">
        <v>590.05999999999995</v>
      </c>
      <c r="J5602">
        <v>3</v>
      </c>
      <c r="K5602" s="2">
        <v>163.81800000000001</v>
      </c>
      <c r="L5602" s="3">
        <f>(Table1[[#This Row],[Profit]]/Table1[[#This Row],[Sales]])*100</f>
        <v>27.762939362098777</v>
      </c>
    </row>
    <row r="5603" spans="1:12" x14ac:dyDescent="0.3">
      <c r="A5603" t="s">
        <v>2226</v>
      </c>
      <c r="B5603" s="1">
        <v>43677</v>
      </c>
      <c r="C5603" t="s">
        <v>1472</v>
      </c>
      <c r="D5603" t="s">
        <v>1473</v>
      </c>
      <c r="E5603" t="s">
        <v>14</v>
      </c>
      <c r="F5603" t="s">
        <v>29</v>
      </c>
      <c r="G5603" t="s">
        <v>18</v>
      </c>
      <c r="H5603" t="s">
        <v>2228</v>
      </c>
      <c r="I5603" s="2">
        <v>635.96</v>
      </c>
      <c r="J5603">
        <v>4</v>
      </c>
      <c r="K5603" s="2">
        <v>165.34960000000001</v>
      </c>
      <c r="L5603" s="3">
        <f>(Table1[[#This Row],[Profit]]/Table1[[#This Row],[Sales]])*100</f>
        <v>26</v>
      </c>
    </row>
    <row r="5604" spans="1:12" x14ac:dyDescent="0.3">
      <c r="A5604" t="s">
        <v>4580</v>
      </c>
      <c r="B5604" s="1">
        <v>43955</v>
      </c>
      <c r="C5604" t="s">
        <v>3673</v>
      </c>
      <c r="D5604" t="s">
        <v>3674</v>
      </c>
      <c r="E5604" t="s">
        <v>14</v>
      </c>
      <c r="F5604" t="s">
        <v>41</v>
      </c>
      <c r="G5604" t="s">
        <v>24</v>
      </c>
      <c r="H5604" t="s">
        <v>1640</v>
      </c>
      <c r="I5604" s="2">
        <v>621.44000000000005</v>
      </c>
      <c r="J5604">
        <v>4</v>
      </c>
      <c r="K5604" s="2">
        <v>165.7176</v>
      </c>
      <c r="L5604" s="3">
        <f>(Table1[[#This Row],[Profit]]/Table1[[#This Row],[Sales]])*100</f>
        <v>26.666709577754887</v>
      </c>
    </row>
    <row r="5605" spans="1:12" x14ac:dyDescent="0.3">
      <c r="A5605" t="s">
        <v>5234</v>
      </c>
      <c r="B5605" s="1">
        <v>44074</v>
      </c>
      <c r="C5605" t="s">
        <v>3457</v>
      </c>
      <c r="D5605" t="s">
        <v>3458</v>
      </c>
      <c r="E5605" t="s">
        <v>14</v>
      </c>
      <c r="F5605" t="s">
        <v>29</v>
      </c>
      <c r="G5605" t="s">
        <v>24</v>
      </c>
      <c r="H5605" t="s">
        <v>2393</v>
      </c>
      <c r="I5605" s="2">
        <v>649.73</v>
      </c>
      <c r="J5605">
        <v>9</v>
      </c>
      <c r="K5605" s="2">
        <v>166.06979999999999</v>
      </c>
      <c r="L5605" s="3">
        <f>(Table1[[#This Row],[Profit]]/Table1[[#This Row],[Sales]])*100</f>
        <v>25.559817154818155</v>
      </c>
    </row>
    <row r="5606" spans="1:12" x14ac:dyDescent="0.3">
      <c r="A5606" t="s">
        <v>3878</v>
      </c>
      <c r="B5606" s="1">
        <v>43822</v>
      </c>
      <c r="C5606" t="s">
        <v>914</v>
      </c>
      <c r="D5606" t="s">
        <v>915</v>
      </c>
      <c r="E5606" t="s">
        <v>14</v>
      </c>
      <c r="F5606" t="s">
        <v>41</v>
      </c>
      <c r="G5606" t="s">
        <v>16</v>
      </c>
      <c r="H5606" t="s">
        <v>2738</v>
      </c>
      <c r="I5606" s="2">
        <v>572.76</v>
      </c>
      <c r="J5606">
        <v>6</v>
      </c>
      <c r="K5606" s="2">
        <v>166.10040000000001</v>
      </c>
      <c r="L5606" s="3">
        <f>(Table1[[#This Row],[Profit]]/Table1[[#This Row],[Sales]])*100</f>
        <v>29.000000000000004</v>
      </c>
    </row>
    <row r="5607" spans="1:12" x14ac:dyDescent="0.3">
      <c r="A5607" t="s">
        <v>4233</v>
      </c>
      <c r="B5607" s="1">
        <v>43898</v>
      </c>
      <c r="C5607" t="s">
        <v>3206</v>
      </c>
      <c r="D5607" t="s">
        <v>3207</v>
      </c>
      <c r="E5607" t="s">
        <v>14</v>
      </c>
      <c r="F5607" t="s">
        <v>41</v>
      </c>
      <c r="G5607" t="s">
        <v>24</v>
      </c>
      <c r="H5607" t="s">
        <v>4234</v>
      </c>
      <c r="I5607" s="2">
        <v>669.84</v>
      </c>
      <c r="J5607">
        <v>8</v>
      </c>
      <c r="K5607" s="2">
        <v>168.4384</v>
      </c>
      <c r="L5607" s="3">
        <f>(Table1[[#This Row],[Profit]]/Table1[[#This Row],[Sales]])*100</f>
        <v>25.146064731876265</v>
      </c>
    </row>
    <row r="5608" spans="1:12" x14ac:dyDescent="0.3">
      <c r="A5608" t="s">
        <v>6013</v>
      </c>
      <c r="B5608" s="1">
        <v>44160</v>
      </c>
      <c r="C5608" t="s">
        <v>2781</v>
      </c>
      <c r="D5608" t="s">
        <v>2782</v>
      </c>
      <c r="E5608" t="s">
        <v>14</v>
      </c>
      <c r="F5608" t="s">
        <v>41</v>
      </c>
      <c r="G5608" t="s">
        <v>16</v>
      </c>
      <c r="H5608" t="s">
        <v>2798</v>
      </c>
      <c r="I5608" s="2">
        <v>714.96</v>
      </c>
      <c r="J5608">
        <v>2</v>
      </c>
      <c r="K5608" s="2">
        <v>168.47040000000001</v>
      </c>
      <c r="L5608" s="3">
        <f>(Table1[[#This Row],[Profit]]/Table1[[#This Row],[Sales]])*100</f>
        <v>23.563611950318901</v>
      </c>
    </row>
    <row r="5609" spans="1:12" x14ac:dyDescent="0.3">
      <c r="A5609" t="s">
        <v>6076</v>
      </c>
      <c r="B5609" s="1">
        <v>44167</v>
      </c>
      <c r="C5609" t="s">
        <v>2333</v>
      </c>
      <c r="D5609" t="s">
        <v>2334</v>
      </c>
      <c r="E5609" t="s">
        <v>14</v>
      </c>
      <c r="F5609" t="s">
        <v>41</v>
      </c>
      <c r="G5609" t="s">
        <v>16</v>
      </c>
      <c r="H5609" t="s">
        <v>2798</v>
      </c>
      <c r="I5609" s="2">
        <v>723.96</v>
      </c>
      <c r="J5609">
        <v>2</v>
      </c>
      <c r="K5609" s="2">
        <v>168.47040000000001</v>
      </c>
      <c r="L5609" s="3">
        <f>(Table1[[#This Row],[Profit]]/Table1[[#This Row],[Sales]])*100</f>
        <v>23.270677938007626</v>
      </c>
    </row>
    <row r="5610" spans="1:12" x14ac:dyDescent="0.3">
      <c r="A5610" t="s">
        <v>285</v>
      </c>
      <c r="B5610" s="1">
        <v>43501</v>
      </c>
      <c r="C5610" t="s">
        <v>286</v>
      </c>
      <c r="D5610" t="s">
        <v>287</v>
      </c>
      <c r="E5610" t="s">
        <v>14</v>
      </c>
      <c r="F5610" t="s">
        <v>41</v>
      </c>
      <c r="G5610" t="s">
        <v>24</v>
      </c>
      <c r="H5610" t="s">
        <v>289</v>
      </c>
      <c r="I5610" s="2">
        <v>348.84</v>
      </c>
      <c r="J5610">
        <v>9</v>
      </c>
      <c r="K5610" s="2">
        <v>170.9316</v>
      </c>
      <c r="L5610" s="3">
        <f>(Table1[[#This Row],[Profit]]/Table1[[#This Row],[Sales]])*100</f>
        <v>49.000000000000007</v>
      </c>
    </row>
    <row r="5611" spans="1:12" x14ac:dyDescent="0.3">
      <c r="A5611" t="s">
        <v>5970</v>
      </c>
      <c r="B5611" s="1">
        <v>44155</v>
      </c>
      <c r="C5611" t="s">
        <v>1898</v>
      </c>
      <c r="D5611" t="s">
        <v>1899</v>
      </c>
      <c r="E5611" t="s">
        <v>14</v>
      </c>
      <c r="F5611" t="s">
        <v>15</v>
      </c>
      <c r="G5611" t="s">
        <v>18</v>
      </c>
      <c r="H5611" t="s">
        <v>4967</v>
      </c>
      <c r="I5611" s="2">
        <v>606.99</v>
      </c>
      <c r="J5611">
        <v>1</v>
      </c>
      <c r="K5611" s="2">
        <v>170.99700000000001</v>
      </c>
      <c r="L5611" s="3">
        <f>(Table1[[#This Row],[Profit]]/Table1[[#This Row],[Sales]])*100</f>
        <v>28.171304304848515</v>
      </c>
    </row>
    <row r="5612" spans="1:12" x14ac:dyDescent="0.3">
      <c r="A5612" t="s">
        <v>5470</v>
      </c>
      <c r="B5612" s="1">
        <v>44096</v>
      </c>
      <c r="C5612" t="s">
        <v>914</v>
      </c>
      <c r="D5612" t="s">
        <v>915</v>
      </c>
      <c r="E5612" t="s">
        <v>14</v>
      </c>
      <c r="F5612" t="s">
        <v>15</v>
      </c>
      <c r="G5612" t="s">
        <v>18</v>
      </c>
      <c r="H5612" t="s">
        <v>2417</v>
      </c>
      <c r="I5612" s="2">
        <v>1106</v>
      </c>
      <c r="J5612">
        <v>9</v>
      </c>
      <c r="K5612" s="2">
        <v>171.36</v>
      </c>
      <c r="L5612" s="3">
        <f>(Table1[[#This Row],[Profit]]/Table1[[#This Row],[Sales]])*100</f>
        <v>15.49367088607595</v>
      </c>
    </row>
    <row r="5613" spans="1:12" x14ac:dyDescent="0.3">
      <c r="A5613" t="s">
        <v>5791</v>
      </c>
      <c r="B5613" s="1">
        <v>44140</v>
      </c>
      <c r="C5613" t="s">
        <v>714</v>
      </c>
      <c r="D5613" t="s">
        <v>715</v>
      </c>
      <c r="E5613" t="s">
        <v>14</v>
      </c>
      <c r="F5613" t="s">
        <v>15</v>
      </c>
      <c r="G5613" t="s">
        <v>18</v>
      </c>
      <c r="H5613" t="s">
        <v>2514</v>
      </c>
      <c r="I5613" s="2">
        <v>427.75</v>
      </c>
      <c r="J5613">
        <v>5</v>
      </c>
      <c r="K5613" s="2">
        <v>171.93</v>
      </c>
      <c r="L5613" s="3">
        <f>(Table1[[#This Row],[Profit]]/Table1[[#This Row],[Sales]])*100</f>
        <v>40.194038573933369</v>
      </c>
    </row>
    <row r="5614" spans="1:12" x14ac:dyDescent="0.3">
      <c r="A5614" t="s">
        <v>3903</v>
      </c>
      <c r="B5614" s="1">
        <v>43824</v>
      </c>
      <c r="C5614" t="s">
        <v>3904</v>
      </c>
      <c r="D5614" t="s">
        <v>3905</v>
      </c>
      <c r="E5614" t="s">
        <v>14</v>
      </c>
      <c r="F5614" t="s">
        <v>41</v>
      </c>
      <c r="G5614" t="s">
        <v>18</v>
      </c>
      <c r="H5614" t="s">
        <v>3164</v>
      </c>
      <c r="I5614" s="2">
        <v>399.98</v>
      </c>
      <c r="J5614">
        <v>2</v>
      </c>
      <c r="K5614" s="2">
        <v>171.9914</v>
      </c>
      <c r="L5614" s="3">
        <f>(Table1[[#This Row],[Profit]]/Table1[[#This Row],[Sales]])*100</f>
        <v>43</v>
      </c>
    </row>
    <row r="5615" spans="1:12" x14ac:dyDescent="0.3">
      <c r="A5615" t="s">
        <v>1459</v>
      </c>
      <c r="B5615" s="1">
        <v>43607</v>
      </c>
      <c r="C5615" t="s">
        <v>1145</v>
      </c>
      <c r="D5615" t="s">
        <v>1146</v>
      </c>
      <c r="E5615" t="s">
        <v>14</v>
      </c>
      <c r="F5615" t="s">
        <v>15</v>
      </c>
      <c r="G5615" t="s">
        <v>24</v>
      </c>
      <c r="H5615" t="s">
        <v>1460</v>
      </c>
      <c r="I5615" s="2">
        <v>662.84</v>
      </c>
      <c r="J5615">
        <v>4</v>
      </c>
      <c r="K5615" s="2">
        <v>172.33840000000001</v>
      </c>
      <c r="L5615" s="3">
        <f>(Table1[[#This Row],[Profit]]/Table1[[#This Row],[Sales]])*100</f>
        <v>26</v>
      </c>
    </row>
    <row r="5616" spans="1:12" x14ac:dyDescent="0.3">
      <c r="A5616" t="s">
        <v>1676</v>
      </c>
      <c r="B5616" s="1">
        <v>43625</v>
      </c>
      <c r="C5616" t="s">
        <v>1677</v>
      </c>
      <c r="D5616" t="s">
        <v>1678</v>
      </c>
      <c r="E5616" t="s">
        <v>14</v>
      </c>
      <c r="F5616" t="s">
        <v>29</v>
      </c>
      <c r="G5616" t="s">
        <v>16</v>
      </c>
      <c r="H5616" t="s">
        <v>1679</v>
      </c>
      <c r="I5616" s="2">
        <v>692.94</v>
      </c>
      <c r="J5616">
        <v>3</v>
      </c>
      <c r="K5616" s="2">
        <v>173.23500000000001</v>
      </c>
      <c r="L5616" s="3">
        <f>(Table1[[#This Row],[Profit]]/Table1[[#This Row],[Sales]])*100</f>
        <v>25</v>
      </c>
    </row>
    <row r="5617" spans="1:12" x14ac:dyDescent="0.3">
      <c r="A5617" t="s">
        <v>3902</v>
      </c>
      <c r="B5617" s="1">
        <v>43824</v>
      </c>
      <c r="C5617" t="s">
        <v>2163</v>
      </c>
      <c r="D5617" t="s">
        <v>2164</v>
      </c>
      <c r="E5617" t="s">
        <v>14</v>
      </c>
      <c r="F5617" t="s">
        <v>15</v>
      </c>
      <c r="G5617" t="s">
        <v>16</v>
      </c>
      <c r="H5617" t="s">
        <v>610</v>
      </c>
      <c r="I5617" s="2">
        <v>866.64599999999996</v>
      </c>
      <c r="J5617">
        <v>3</v>
      </c>
      <c r="K5617" s="2">
        <v>173.32919999999999</v>
      </c>
      <c r="L5617" s="3">
        <f>(Table1[[#This Row],[Profit]]/Table1[[#This Row],[Sales]])*100</f>
        <v>20</v>
      </c>
    </row>
    <row r="5618" spans="1:12" x14ac:dyDescent="0.3">
      <c r="A5618" t="s">
        <v>6002</v>
      </c>
      <c r="B5618" s="1">
        <v>44159</v>
      </c>
      <c r="C5618" t="s">
        <v>4620</v>
      </c>
      <c r="D5618" t="s">
        <v>4621</v>
      </c>
      <c r="E5618" t="s">
        <v>14</v>
      </c>
      <c r="F5618" t="s">
        <v>15</v>
      </c>
      <c r="G5618" t="s">
        <v>16</v>
      </c>
      <c r="H5618" t="s">
        <v>146</v>
      </c>
      <c r="I5618" s="2">
        <v>1000.292</v>
      </c>
      <c r="J5618">
        <v>6</v>
      </c>
      <c r="K5618" s="2">
        <v>173.74080000000001</v>
      </c>
      <c r="L5618" s="3">
        <f>(Table1[[#This Row],[Profit]]/Table1[[#This Row],[Sales]])*100</f>
        <v>17.369008249591118</v>
      </c>
    </row>
    <row r="5619" spans="1:12" x14ac:dyDescent="0.3">
      <c r="A5619" t="s">
        <v>2911</v>
      </c>
      <c r="B5619" s="1">
        <v>43733</v>
      </c>
      <c r="C5619" t="s">
        <v>1970</v>
      </c>
      <c r="D5619" t="s">
        <v>1971</v>
      </c>
      <c r="E5619" t="s">
        <v>14</v>
      </c>
      <c r="F5619" t="s">
        <v>29</v>
      </c>
      <c r="G5619" t="s">
        <v>18</v>
      </c>
      <c r="H5619" t="s">
        <v>1133</v>
      </c>
      <c r="I5619" s="2">
        <v>499.95</v>
      </c>
      <c r="J5619">
        <v>5</v>
      </c>
      <c r="K5619" s="2">
        <v>174.98249999999999</v>
      </c>
      <c r="L5619" s="3">
        <f>(Table1[[#This Row],[Profit]]/Table1[[#This Row],[Sales]])*100</f>
        <v>35</v>
      </c>
    </row>
    <row r="5620" spans="1:12" x14ac:dyDescent="0.3">
      <c r="A5620" t="s">
        <v>5640</v>
      </c>
      <c r="B5620" s="1">
        <v>44120</v>
      </c>
      <c r="C5620" t="s">
        <v>1554</v>
      </c>
      <c r="D5620" t="s">
        <v>1555</v>
      </c>
      <c r="E5620" t="s">
        <v>14</v>
      </c>
      <c r="F5620" t="s">
        <v>15</v>
      </c>
      <c r="G5620" t="s">
        <v>16</v>
      </c>
      <c r="H5620" t="s">
        <v>4909</v>
      </c>
      <c r="I5620" s="2">
        <v>562.29999999999995</v>
      </c>
      <c r="J5620">
        <v>13</v>
      </c>
      <c r="K5620" s="2">
        <v>175.136</v>
      </c>
      <c r="L5620" s="3">
        <f>(Table1[[#This Row],[Profit]]/Table1[[#This Row],[Sales]])*100</f>
        <v>31.146363151342698</v>
      </c>
    </row>
    <row r="5621" spans="1:12" x14ac:dyDescent="0.3">
      <c r="A5621" t="s">
        <v>335</v>
      </c>
      <c r="B5621" s="1">
        <v>43508</v>
      </c>
      <c r="C5621" t="s">
        <v>336</v>
      </c>
      <c r="D5621" t="s">
        <v>337</v>
      </c>
      <c r="E5621" t="s">
        <v>14</v>
      </c>
      <c r="F5621" t="s">
        <v>41</v>
      </c>
      <c r="G5621" t="s">
        <v>24</v>
      </c>
      <c r="H5621" t="s">
        <v>338</v>
      </c>
      <c r="I5621" s="2">
        <v>1350.12</v>
      </c>
      <c r="J5621">
        <v>6</v>
      </c>
      <c r="K5621" s="2">
        <v>175.51560000000001</v>
      </c>
      <c r="L5621" s="3">
        <f>(Table1[[#This Row],[Profit]]/Table1[[#This Row],[Sales]])*100</f>
        <v>13</v>
      </c>
    </row>
    <row r="5622" spans="1:12" x14ac:dyDescent="0.3">
      <c r="A5622" t="s">
        <v>4388</v>
      </c>
      <c r="B5622" s="1">
        <v>43921</v>
      </c>
      <c r="C5622" t="s">
        <v>4389</v>
      </c>
      <c r="D5622" t="s">
        <v>4390</v>
      </c>
      <c r="E5622" t="s">
        <v>14</v>
      </c>
      <c r="F5622" t="s">
        <v>15</v>
      </c>
      <c r="G5622" t="s">
        <v>18</v>
      </c>
      <c r="H5622" t="s">
        <v>3437</v>
      </c>
      <c r="I5622" s="2">
        <v>720.58</v>
      </c>
      <c r="J5622">
        <v>3</v>
      </c>
      <c r="K5622" s="2">
        <v>176.17080000000001</v>
      </c>
      <c r="L5622" s="3">
        <f>(Table1[[#This Row],[Profit]]/Table1[[#This Row],[Sales]])*100</f>
        <v>24.448472064170527</v>
      </c>
    </row>
    <row r="5623" spans="1:12" x14ac:dyDescent="0.3">
      <c r="A5623" t="s">
        <v>3657</v>
      </c>
      <c r="B5623" s="1">
        <v>43801</v>
      </c>
      <c r="C5623" t="s">
        <v>2307</v>
      </c>
      <c r="D5623" t="s">
        <v>2308</v>
      </c>
      <c r="E5623" t="s">
        <v>14</v>
      </c>
      <c r="F5623" t="s">
        <v>15</v>
      </c>
      <c r="G5623" t="s">
        <v>18</v>
      </c>
      <c r="H5623" t="s">
        <v>1583</v>
      </c>
      <c r="I5623" s="2">
        <v>629.95000000000005</v>
      </c>
      <c r="J5623">
        <v>5</v>
      </c>
      <c r="K5623" s="2">
        <v>176.386</v>
      </c>
      <c r="L5623" s="3">
        <f>(Table1[[#This Row],[Profit]]/Table1[[#This Row],[Sales]])*100</f>
        <v>27.999999999999996</v>
      </c>
    </row>
    <row r="5624" spans="1:12" x14ac:dyDescent="0.3">
      <c r="A5624" t="s">
        <v>3733</v>
      </c>
      <c r="B5624" s="1">
        <v>43807</v>
      </c>
      <c r="C5624" t="s">
        <v>1403</v>
      </c>
      <c r="D5624" t="s">
        <v>1404</v>
      </c>
      <c r="E5624" t="s">
        <v>14</v>
      </c>
      <c r="F5624" t="s">
        <v>29</v>
      </c>
      <c r="G5624" t="s">
        <v>16</v>
      </c>
      <c r="H5624" t="s">
        <v>2003</v>
      </c>
      <c r="I5624" s="2">
        <v>680.01</v>
      </c>
      <c r="J5624">
        <v>3</v>
      </c>
      <c r="K5624" s="2">
        <v>176.80260000000001</v>
      </c>
      <c r="L5624" s="3">
        <f>(Table1[[#This Row],[Profit]]/Table1[[#This Row],[Sales]])*100</f>
        <v>26</v>
      </c>
    </row>
    <row r="5625" spans="1:12" x14ac:dyDescent="0.3">
      <c r="A5625" t="s">
        <v>5500</v>
      </c>
      <c r="B5625" s="1">
        <v>44098</v>
      </c>
      <c r="C5625" t="s">
        <v>3506</v>
      </c>
      <c r="D5625" t="s">
        <v>3507</v>
      </c>
      <c r="E5625" t="s">
        <v>14</v>
      </c>
      <c r="F5625" t="s">
        <v>23</v>
      </c>
      <c r="G5625" t="s">
        <v>18</v>
      </c>
      <c r="H5625" t="s">
        <v>5501</v>
      </c>
      <c r="I5625" s="2">
        <v>554.28</v>
      </c>
      <c r="J5625">
        <v>3</v>
      </c>
      <c r="K5625" s="2">
        <v>177.19800000000001</v>
      </c>
      <c r="L5625" s="3">
        <f>(Table1[[#This Row],[Profit]]/Table1[[#This Row],[Sales]])*100</f>
        <v>31.969040917947609</v>
      </c>
    </row>
    <row r="5626" spans="1:12" x14ac:dyDescent="0.3">
      <c r="A5626" t="s">
        <v>3325</v>
      </c>
      <c r="B5626" s="1">
        <v>43778</v>
      </c>
      <c r="C5626" t="s">
        <v>1921</v>
      </c>
      <c r="D5626" t="s">
        <v>1922</v>
      </c>
      <c r="E5626" t="s">
        <v>14</v>
      </c>
      <c r="F5626" t="s">
        <v>23</v>
      </c>
      <c r="G5626" t="s">
        <v>18</v>
      </c>
      <c r="H5626" t="s">
        <v>3326</v>
      </c>
      <c r="I5626" s="2">
        <v>479.97</v>
      </c>
      <c r="J5626">
        <v>3</v>
      </c>
      <c r="K5626" s="2">
        <v>177.5889</v>
      </c>
      <c r="L5626" s="3">
        <f>(Table1[[#This Row],[Profit]]/Table1[[#This Row],[Sales]])*100</f>
        <v>37</v>
      </c>
    </row>
    <row r="5627" spans="1:12" x14ac:dyDescent="0.3">
      <c r="A5627" t="s">
        <v>3155</v>
      </c>
      <c r="B5627" s="1">
        <v>43761</v>
      </c>
      <c r="C5627" t="s">
        <v>861</v>
      </c>
      <c r="D5627" t="s">
        <v>862</v>
      </c>
      <c r="E5627" t="s">
        <v>14</v>
      </c>
      <c r="F5627" t="s">
        <v>15</v>
      </c>
      <c r="G5627" t="s">
        <v>24</v>
      </c>
      <c r="H5627" t="s">
        <v>1608</v>
      </c>
      <c r="I5627" s="2">
        <v>379.4</v>
      </c>
      <c r="J5627">
        <v>10</v>
      </c>
      <c r="K5627" s="2">
        <v>178.31800000000001</v>
      </c>
      <c r="L5627" s="3">
        <f>(Table1[[#This Row],[Profit]]/Table1[[#This Row],[Sales]])*100</f>
        <v>47.000000000000007</v>
      </c>
    </row>
    <row r="5628" spans="1:12" x14ac:dyDescent="0.3">
      <c r="A5628" t="s">
        <v>2224</v>
      </c>
      <c r="B5628" s="1">
        <v>43676</v>
      </c>
      <c r="C5628" t="s">
        <v>509</v>
      </c>
      <c r="D5628" t="s">
        <v>510</v>
      </c>
      <c r="E5628" t="s">
        <v>14</v>
      </c>
      <c r="F5628" t="s">
        <v>23</v>
      </c>
      <c r="G5628" t="s">
        <v>24</v>
      </c>
      <c r="H5628" t="s">
        <v>2225</v>
      </c>
      <c r="I5628" s="2">
        <v>715.64</v>
      </c>
      <c r="J5628">
        <v>2</v>
      </c>
      <c r="K5628" s="2">
        <v>178.91</v>
      </c>
      <c r="L5628" s="3">
        <f>(Table1[[#This Row],[Profit]]/Table1[[#This Row],[Sales]])*100</f>
        <v>25</v>
      </c>
    </row>
    <row r="5629" spans="1:12" x14ac:dyDescent="0.3">
      <c r="A5629" t="s">
        <v>1443</v>
      </c>
      <c r="B5629" s="1">
        <v>43606</v>
      </c>
      <c r="C5629" t="s">
        <v>1444</v>
      </c>
      <c r="D5629" t="s">
        <v>1445</v>
      </c>
      <c r="E5629" t="s">
        <v>14</v>
      </c>
      <c r="F5629" t="s">
        <v>23</v>
      </c>
      <c r="G5629" t="s">
        <v>18</v>
      </c>
      <c r="H5629" t="s">
        <v>1446</v>
      </c>
      <c r="I5629" s="2">
        <v>2396.4</v>
      </c>
      <c r="J5629">
        <v>10</v>
      </c>
      <c r="K5629" s="2">
        <v>179.73</v>
      </c>
      <c r="L5629" s="3">
        <f>(Table1[[#This Row],[Profit]]/Table1[[#This Row],[Sales]])*100</f>
        <v>7.5</v>
      </c>
    </row>
    <row r="5630" spans="1:12" x14ac:dyDescent="0.3">
      <c r="A5630" t="s">
        <v>1415</v>
      </c>
      <c r="B5630" s="1">
        <v>43604</v>
      </c>
      <c r="C5630" t="s">
        <v>1416</v>
      </c>
      <c r="D5630" t="s">
        <v>1417</v>
      </c>
      <c r="E5630" t="s">
        <v>14</v>
      </c>
      <c r="F5630" t="s">
        <v>41</v>
      </c>
      <c r="G5630" t="s">
        <v>16</v>
      </c>
      <c r="H5630" t="s">
        <v>610</v>
      </c>
      <c r="I5630" s="2">
        <v>641.96</v>
      </c>
      <c r="J5630">
        <v>2</v>
      </c>
      <c r="K5630" s="2">
        <v>179.74879999999999</v>
      </c>
      <c r="L5630" s="3">
        <f>(Table1[[#This Row],[Profit]]/Table1[[#This Row],[Sales]])*100</f>
        <v>27.999999999999996</v>
      </c>
    </row>
    <row r="5631" spans="1:12" x14ac:dyDescent="0.3">
      <c r="A5631" t="s">
        <v>3427</v>
      </c>
      <c r="B5631" s="1">
        <v>43783</v>
      </c>
      <c r="C5631" t="s">
        <v>2710</v>
      </c>
      <c r="D5631" t="s">
        <v>2711</v>
      </c>
      <c r="E5631" t="s">
        <v>14</v>
      </c>
      <c r="F5631" t="s">
        <v>15</v>
      </c>
      <c r="G5631" t="s">
        <v>18</v>
      </c>
      <c r="H5631" t="s">
        <v>3428</v>
      </c>
      <c r="I5631" s="2">
        <v>1199.9760000000001</v>
      </c>
      <c r="J5631">
        <v>4</v>
      </c>
      <c r="K5631" s="2">
        <v>179.99639999999999</v>
      </c>
      <c r="L5631" s="3">
        <f>(Table1[[#This Row],[Profit]]/Table1[[#This Row],[Sales]])*100</f>
        <v>15</v>
      </c>
    </row>
    <row r="5632" spans="1:12" x14ac:dyDescent="0.3">
      <c r="A5632" t="s">
        <v>2381</v>
      </c>
      <c r="B5632" s="1">
        <v>43698</v>
      </c>
      <c r="C5632" t="s">
        <v>1642</v>
      </c>
      <c r="D5632" t="s">
        <v>1643</v>
      </c>
      <c r="E5632" t="s">
        <v>14</v>
      </c>
      <c r="F5632" t="s">
        <v>23</v>
      </c>
      <c r="G5632" t="s">
        <v>16</v>
      </c>
      <c r="H5632" t="s">
        <v>2383</v>
      </c>
      <c r="I5632" s="2">
        <v>2887.056</v>
      </c>
      <c r="J5632">
        <v>9</v>
      </c>
      <c r="K5632" s="2">
        <v>180.441</v>
      </c>
      <c r="L5632" s="3">
        <f>(Table1[[#This Row],[Profit]]/Table1[[#This Row],[Sales]])*100</f>
        <v>6.25</v>
      </c>
    </row>
    <row r="5633" spans="1:12" x14ac:dyDescent="0.3">
      <c r="A5633" t="s">
        <v>1878</v>
      </c>
      <c r="B5633" s="1">
        <v>43642</v>
      </c>
      <c r="C5633" t="s">
        <v>1879</v>
      </c>
      <c r="D5633" t="s">
        <v>1880</v>
      </c>
      <c r="E5633" t="s">
        <v>14</v>
      </c>
      <c r="F5633" t="s">
        <v>29</v>
      </c>
      <c r="G5633" t="s">
        <v>24</v>
      </c>
      <c r="H5633" t="s">
        <v>296</v>
      </c>
      <c r="I5633" s="2">
        <v>368.91</v>
      </c>
      <c r="J5633">
        <v>9</v>
      </c>
      <c r="K5633" s="2">
        <v>180.76589999999999</v>
      </c>
      <c r="L5633" s="3">
        <f>(Table1[[#This Row],[Profit]]/Table1[[#This Row],[Sales]])*100</f>
        <v>48.999999999999993</v>
      </c>
    </row>
    <row r="5634" spans="1:12" x14ac:dyDescent="0.3">
      <c r="A5634" t="s">
        <v>2807</v>
      </c>
      <c r="B5634" s="1">
        <v>43726</v>
      </c>
      <c r="C5634" t="s">
        <v>2808</v>
      </c>
      <c r="D5634" t="s">
        <v>2809</v>
      </c>
      <c r="E5634" t="s">
        <v>14</v>
      </c>
      <c r="F5634" t="s">
        <v>23</v>
      </c>
      <c r="G5634" t="s">
        <v>24</v>
      </c>
      <c r="H5634" t="s">
        <v>974</v>
      </c>
      <c r="I5634" s="2">
        <v>368.91</v>
      </c>
      <c r="J5634">
        <v>9</v>
      </c>
      <c r="K5634" s="2">
        <v>180.76589999999999</v>
      </c>
      <c r="L5634" s="3">
        <f>(Table1[[#This Row],[Profit]]/Table1[[#This Row],[Sales]])*100</f>
        <v>48.999999999999993</v>
      </c>
    </row>
    <row r="5635" spans="1:12" x14ac:dyDescent="0.3">
      <c r="A5635" t="s">
        <v>5494</v>
      </c>
      <c r="B5635" s="1">
        <v>44098</v>
      </c>
      <c r="C5635" t="s">
        <v>305</v>
      </c>
      <c r="D5635" t="s">
        <v>306</v>
      </c>
      <c r="E5635" t="s">
        <v>14</v>
      </c>
      <c r="F5635" t="s">
        <v>29</v>
      </c>
      <c r="G5635" t="s">
        <v>16</v>
      </c>
      <c r="H5635" t="s">
        <v>741</v>
      </c>
      <c r="I5635" s="2">
        <v>649.91999999999996</v>
      </c>
      <c r="J5635">
        <v>4</v>
      </c>
      <c r="K5635" s="2">
        <v>181.17599999999999</v>
      </c>
      <c r="L5635" s="3">
        <f>(Table1[[#This Row],[Profit]]/Table1[[#This Row],[Sales]])*100</f>
        <v>27.87666174298375</v>
      </c>
    </row>
    <row r="5636" spans="1:12" x14ac:dyDescent="0.3">
      <c r="A5636" t="s">
        <v>5178</v>
      </c>
      <c r="B5636" s="1">
        <v>44062</v>
      </c>
      <c r="C5636" t="s">
        <v>282</v>
      </c>
      <c r="D5636" t="s">
        <v>283</v>
      </c>
      <c r="E5636" t="s">
        <v>14</v>
      </c>
      <c r="F5636" t="s">
        <v>15</v>
      </c>
      <c r="G5636" t="s">
        <v>24</v>
      </c>
      <c r="H5636" t="s">
        <v>5172</v>
      </c>
      <c r="I5636" s="2">
        <v>404.99</v>
      </c>
      <c r="J5636">
        <v>1</v>
      </c>
      <c r="K5636" s="2">
        <v>182.3553</v>
      </c>
      <c r="L5636" s="3">
        <f>(Table1[[#This Row],[Profit]]/Table1[[#This Row],[Sales]])*100</f>
        <v>45.027111780537787</v>
      </c>
    </row>
    <row r="5637" spans="1:12" x14ac:dyDescent="0.3">
      <c r="A5637" t="s">
        <v>866</v>
      </c>
      <c r="B5637" s="1">
        <v>43559</v>
      </c>
      <c r="C5637" t="s">
        <v>867</v>
      </c>
      <c r="D5637" t="s">
        <v>868</v>
      </c>
      <c r="E5637" t="s">
        <v>14</v>
      </c>
      <c r="F5637" t="s">
        <v>15</v>
      </c>
      <c r="G5637" t="s">
        <v>24</v>
      </c>
      <c r="H5637" t="s">
        <v>869</v>
      </c>
      <c r="I5637" s="2">
        <v>588.78399999999999</v>
      </c>
      <c r="J5637">
        <v>2</v>
      </c>
      <c r="K5637" s="2">
        <v>183.995</v>
      </c>
      <c r="L5637" s="3">
        <f>(Table1[[#This Row],[Profit]]/Table1[[#This Row],[Sales]])*100</f>
        <v>31.25</v>
      </c>
    </row>
    <row r="5638" spans="1:12" x14ac:dyDescent="0.3">
      <c r="A5638" t="s">
        <v>3791</v>
      </c>
      <c r="B5638" s="1">
        <v>43811</v>
      </c>
      <c r="C5638" t="s">
        <v>3535</v>
      </c>
      <c r="D5638" t="s">
        <v>3536</v>
      </c>
      <c r="E5638" t="s">
        <v>14</v>
      </c>
      <c r="F5638" t="s">
        <v>29</v>
      </c>
      <c r="G5638" t="s">
        <v>18</v>
      </c>
      <c r="H5638" t="s">
        <v>3781</v>
      </c>
      <c r="I5638" s="2">
        <v>657.93</v>
      </c>
      <c r="J5638">
        <v>7</v>
      </c>
      <c r="K5638" s="2">
        <v>184.22040000000001</v>
      </c>
      <c r="L5638" s="3">
        <f>(Table1[[#This Row],[Profit]]/Table1[[#This Row],[Sales]])*100</f>
        <v>28.000000000000004</v>
      </c>
    </row>
    <row r="5639" spans="1:12" x14ac:dyDescent="0.3">
      <c r="A5639" t="s">
        <v>4918</v>
      </c>
      <c r="B5639" s="1">
        <v>44011</v>
      </c>
      <c r="C5639" t="s">
        <v>754</v>
      </c>
      <c r="D5639" t="s">
        <v>755</v>
      </c>
      <c r="E5639" t="s">
        <v>14</v>
      </c>
      <c r="F5639" t="s">
        <v>15</v>
      </c>
      <c r="G5639" t="s">
        <v>16</v>
      </c>
      <c r="H5639" t="s">
        <v>3519</v>
      </c>
      <c r="I5639" s="2">
        <v>672.82</v>
      </c>
      <c r="J5639">
        <v>9</v>
      </c>
      <c r="K5639" s="2">
        <v>185.2578</v>
      </c>
      <c r="L5639" s="3">
        <f>(Table1[[#This Row],[Profit]]/Table1[[#This Row],[Sales]])*100</f>
        <v>27.534526322047498</v>
      </c>
    </row>
    <row r="5640" spans="1:12" x14ac:dyDescent="0.3">
      <c r="A5640" t="s">
        <v>3352</v>
      </c>
      <c r="B5640" s="1">
        <v>43779</v>
      </c>
      <c r="C5640" t="s">
        <v>3353</v>
      </c>
      <c r="D5640" t="s">
        <v>3354</v>
      </c>
      <c r="E5640" t="s">
        <v>14</v>
      </c>
      <c r="F5640" t="s">
        <v>23</v>
      </c>
      <c r="G5640" t="s">
        <v>24</v>
      </c>
      <c r="H5640" t="s">
        <v>410</v>
      </c>
      <c r="I5640" s="2">
        <v>720.76</v>
      </c>
      <c r="J5640">
        <v>4</v>
      </c>
      <c r="K5640" s="2">
        <v>187.39760000000001</v>
      </c>
      <c r="L5640" s="3">
        <f>(Table1[[#This Row],[Profit]]/Table1[[#This Row],[Sales]])*100</f>
        <v>26</v>
      </c>
    </row>
    <row r="5641" spans="1:12" x14ac:dyDescent="0.3">
      <c r="A5641" t="s">
        <v>4383</v>
      </c>
      <c r="B5641" s="1">
        <v>43921</v>
      </c>
      <c r="C5641" t="s">
        <v>847</v>
      </c>
      <c r="D5641" t="s">
        <v>848</v>
      </c>
      <c r="E5641" t="s">
        <v>14</v>
      </c>
      <c r="F5641" t="s">
        <v>41</v>
      </c>
      <c r="G5641" t="s">
        <v>18</v>
      </c>
      <c r="H5641" t="s">
        <v>4144</v>
      </c>
      <c r="I5641" s="2">
        <v>706.93</v>
      </c>
      <c r="J5641">
        <v>7</v>
      </c>
      <c r="K5641" s="2">
        <v>188.1404</v>
      </c>
      <c r="L5641" s="3">
        <f>(Table1[[#This Row],[Profit]]/Table1[[#This Row],[Sales]])*100</f>
        <v>26.613724131102089</v>
      </c>
    </row>
    <row r="5642" spans="1:12" x14ac:dyDescent="0.3">
      <c r="A5642" t="s">
        <v>5424</v>
      </c>
      <c r="B5642" s="1">
        <v>44091</v>
      </c>
      <c r="C5642" t="s">
        <v>2494</v>
      </c>
      <c r="D5642" t="s">
        <v>2495</v>
      </c>
      <c r="E5642" t="s">
        <v>14</v>
      </c>
      <c r="F5642" t="s">
        <v>41</v>
      </c>
      <c r="G5642" t="s">
        <v>16</v>
      </c>
      <c r="H5642" t="s">
        <v>146</v>
      </c>
      <c r="I5642" s="2">
        <v>771.92</v>
      </c>
      <c r="J5642">
        <v>4</v>
      </c>
      <c r="K5642" s="2">
        <v>188.2192</v>
      </c>
      <c r="L5642" s="3">
        <f>(Table1[[#This Row],[Profit]]/Table1[[#This Row],[Sales]])*100</f>
        <v>24.383252150481916</v>
      </c>
    </row>
    <row r="5643" spans="1:12" x14ac:dyDescent="0.3">
      <c r="A5643" t="s">
        <v>5884</v>
      </c>
      <c r="B5643" s="1">
        <v>44148</v>
      </c>
      <c r="C5643" t="s">
        <v>1339</v>
      </c>
      <c r="D5643" t="s">
        <v>1340</v>
      </c>
      <c r="E5643" t="s">
        <v>14</v>
      </c>
      <c r="F5643" t="s">
        <v>23</v>
      </c>
      <c r="G5643" t="s">
        <v>24</v>
      </c>
      <c r="H5643" t="s">
        <v>1361</v>
      </c>
      <c r="I5643" s="2">
        <v>586.024</v>
      </c>
      <c r="J5643">
        <v>11</v>
      </c>
      <c r="K5643" s="2">
        <v>190.0206</v>
      </c>
      <c r="L5643" s="3">
        <f>(Table1[[#This Row],[Profit]]/Table1[[#This Row],[Sales]])*100</f>
        <v>32.425395546940052</v>
      </c>
    </row>
    <row r="5644" spans="1:12" x14ac:dyDescent="0.3">
      <c r="A5644" t="s">
        <v>2770</v>
      </c>
      <c r="B5644" s="1">
        <v>43725</v>
      </c>
      <c r="C5644" t="s">
        <v>2771</v>
      </c>
      <c r="D5644" t="s">
        <v>2772</v>
      </c>
      <c r="E5644" t="s">
        <v>14</v>
      </c>
      <c r="F5644" t="s">
        <v>41</v>
      </c>
      <c r="G5644" t="s">
        <v>18</v>
      </c>
      <c r="H5644" t="s">
        <v>2773</v>
      </c>
      <c r="I5644" s="2">
        <v>396</v>
      </c>
      <c r="J5644">
        <v>4</v>
      </c>
      <c r="K5644" s="2">
        <v>190.08</v>
      </c>
      <c r="L5644" s="3">
        <f>(Table1[[#This Row],[Profit]]/Table1[[#This Row],[Sales]])*100</f>
        <v>48.000000000000007</v>
      </c>
    </row>
    <row r="5645" spans="1:12" x14ac:dyDescent="0.3">
      <c r="A5645" t="s">
        <v>3556</v>
      </c>
      <c r="B5645" s="1">
        <v>43793</v>
      </c>
      <c r="C5645" t="s">
        <v>3557</v>
      </c>
      <c r="D5645" t="s">
        <v>3558</v>
      </c>
      <c r="E5645" t="s">
        <v>14</v>
      </c>
      <c r="F5645" t="s">
        <v>23</v>
      </c>
      <c r="G5645" t="s">
        <v>18</v>
      </c>
      <c r="H5645" t="s">
        <v>77</v>
      </c>
      <c r="I5645" s="2">
        <v>559.91999999999996</v>
      </c>
      <c r="J5645">
        <v>8</v>
      </c>
      <c r="K5645" s="2">
        <v>190.37280000000001</v>
      </c>
      <c r="L5645" s="3">
        <f>(Table1[[#This Row],[Profit]]/Table1[[#This Row],[Sales]])*100</f>
        <v>34</v>
      </c>
    </row>
    <row r="5646" spans="1:12" x14ac:dyDescent="0.3">
      <c r="A5646" t="s">
        <v>5389</v>
      </c>
      <c r="B5646" s="1">
        <v>44088</v>
      </c>
      <c r="C5646" t="s">
        <v>2337</v>
      </c>
      <c r="D5646" t="s">
        <v>2338</v>
      </c>
      <c r="E5646" t="s">
        <v>14</v>
      </c>
      <c r="F5646" t="s">
        <v>15</v>
      </c>
      <c r="G5646" t="s">
        <v>18</v>
      </c>
      <c r="H5646" t="s">
        <v>3326</v>
      </c>
      <c r="I5646" s="2">
        <v>943.94399999999996</v>
      </c>
      <c r="J5646">
        <v>7</v>
      </c>
      <c r="K5646" s="2">
        <v>190.38810000000001</v>
      </c>
      <c r="L5646" s="3">
        <f>(Table1[[#This Row],[Profit]]/Table1[[#This Row],[Sales]])*100</f>
        <v>20.169427423660728</v>
      </c>
    </row>
    <row r="5647" spans="1:12" x14ac:dyDescent="0.3">
      <c r="A5647" t="s">
        <v>3352</v>
      </c>
      <c r="B5647" s="1">
        <v>43779</v>
      </c>
      <c r="C5647" t="s">
        <v>3353</v>
      </c>
      <c r="D5647" t="s">
        <v>3354</v>
      </c>
      <c r="E5647" t="s">
        <v>14</v>
      </c>
      <c r="F5647" t="s">
        <v>23</v>
      </c>
      <c r="G5647" t="s">
        <v>16</v>
      </c>
      <c r="H5647" t="s">
        <v>3356</v>
      </c>
      <c r="I5647" s="2">
        <v>467.46</v>
      </c>
      <c r="J5647">
        <v>9</v>
      </c>
      <c r="K5647" s="2">
        <v>191.65860000000001</v>
      </c>
      <c r="L5647" s="3">
        <f>(Table1[[#This Row],[Profit]]/Table1[[#This Row],[Sales]])*100</f>
        <v>41</v>
      </c>
    </row>
    <row r="5648" spans="1:12" x14ac:dyDescent="0.3">
      <c r="A5648" t="s">
        <v>2171</v>
      </c>
      <c r="B5648" s="1">
        <v>43671</v>
      </c>
      <c r="C5648" t="s">
        <v>178</v>
      </c>
      <c r="D5648" t="s">
        <v>179</v>
      </c>
      <c r="E5648" t="s">
        <v>14</v>
      </c>
      <c r="F5648" t="s">
        <v>15</v>
      </c>
      <c r="G5648" t="s">
        <v>18</v>
      </c>
      <c r="H5648" t="s">
        <v>2172</v>
      </c>
      <c r="I5648" s="2">
        <v>1439.9760000000001</v>
      </c>
      <c r="J5648">
        <v>4</v>
      </c>
      <c r="K5648" s="2">
        <v>191.99680000000001</v>
      </c>
      <c r="L5648" s="3">
        <f>(Table1[[#This Row],[Profit]]/Table1[[#This Row],[Sales]])*100</f>
        <v>13.333333333333334</v>
      </c>
    </row>
    <row r="5649" spans="1:12" x14ac:dyDescent="0.3">
      <c r="A5649" t="s">
        <v>3701</v>
      </c>
      <c r="B5649" s="1">
        <v>43804</v>
      </c>
      <c r="C5649" t="s">
        <v>2020</v>
      </c>
      <c r="D5649" t="s">
        <v>2021</v>
      </c>
      <c r="E5649" t="s">
        <v>14</v>
      </c>
      <c r="F5649" t="s">
        <v>41</v>
      </c>
      <c r="G5649" t="s">
        <v>18</v>
      </c>
      <c r="H5649" t="s">
        <v>3702</v>
      </c>
      <c r="I5649" s="2">
        <v>699.98</v>
      </c>
      <c r="J5649">
        <v>2</v>
      </c>
      <c r="K5649" s="2">
        <v>195.99440000000001</v>
      </c>
      <c r="L5649" s="3">
        <f>(Table1[[#This Row],[Profit]]/Table1[[#This Row],[Sales]])*100</f>
        <v>28.000000000000004</v>
      </c>
    </row>
    <row r="5650" spans="1:12" x14ac:dyDescent="0.3">
      <c r="A5650" t="s">
        <v>632</v>
      </c>
      <c r="B5650" s="1">
        <v>43537</v>
      </c>
      <c r="C5650" t="s">
        <v>633</v>
      </c>
      <c r="D5650" t="s">
        <v>634</v>
      </c>
      <c r="E5650" t="s">
        <v>14</v>
      </c>
      <c r="F5650" t="s">
        <v>23</v>
      </c>
      <c r="G5650" t="s">
        <v>24</v>
      </c>
      <c r="H5650" t="s">
        <v>488</v>
      </c>
      <c r="I5650" s="2">
        <v>4912.59</v>
      </c>
      <c r="J5650">
        <v>3</v>
      </c>
      <c r="K5650" s="2">
        <v>196.50360000000001</v>
      </c>
      <c r="L5650" s="3">
        <f>(Table1[[#This Row],[Profit]]/Table1[[#This Row],[Sales]])*100</f>
        <v>4</v>
      </c>
    </row>
    <row r="5651" spans="1:12" x14ac:dyDescent="0.3">
      <c r="A5651" t="s">
        <v>2129</v>
      </c>
      <c r="B5651" s="1">
        <v>43667</v>
      </c>
      <c r="C5651" t="s">
        <v>769</v>
      </c>
      <c r="D5651" t="s">
        <v>770</v>
      </c>
      <c r="E5651" t="s">
        <v>14</v>
      </c>
      <c r="F5651" t="s">
        <v>23</v>
      </c>
      <c r="G5651" t="s">
        <v>24</v>
      </c>
      <c r="H5651" t="s">
        <v>293</v>
      </c>
      <c r="I5651" s="2">
        <v>419.9</v>
      </c>
      <c r="J5651">
        <v>5</v>
      </c>
      <c r="K5651" s="2">
        <v>197.35300000000001</v>
      </c>
      <c r="L5651" s="3">
        <f>(Table1[[#This Row],[Profit]]/Table1[[#This Row],[Sales]])*100</f>
        <v>47</v>
      </c>
    </row>
    <row r="5652" spans="1:12" x14ac:dyDescent="0.3">
      <c r="A5652" t="s">
        <v>1957</v>
      </c>
      <c r="B5652" s="1">
        <v>43649</v>
      </c>
      <c r="C5652" t="s">
        <v>605</v>
      </c>
      <c r="D5652" t="s">
        <v>606</v>
      </c>
      <c r="E5652" t="s">
        <v>14</v>
      </c>
      <c r="F5652" t="s">
        <v>15</v>
      </c>
      <c r="G5652" t="s">
        <v>24</v>
      </c>
      <c r="H5652" t="s">
        <v>1958</v>
      </c>
      <c r="I5652" s="2">
        <v>706.86</v>
      </c>
      <c r="J5652">
        <v>7</v>
      </c>
      <c r="K5652" s="2">
        <v>197.92080000000001</v>
      </c>
      <c r="L5652" s="3">
        <f>(Table1[[#This Row],[Profit]]/Table1[[#This Row],[Sales]])*100</f>
        <v>28.000000000000004</v>
      </c>
    </row>
    <row r="5653" spans="1:12" x14ac:dyDescent="0.3">
      <c r="A5653" t="s">
        <v>4662</v>
      </c>
      <c r="B5653" s="1">
        <v>43969</v>
      </c>
      <c r="C5653" t="s">
        <v>286</v>
      </c>
      <c r="D5653" t="s">
        <v>287</v>
      </c>
      <c r="E5653" t="s">
        <v>14</v>
      </c>
      <c r="F5653" t="s">
        <v>29</v>
      </c>
      <c r="G5653" t="s">
        <v>24</v>
      </c>
      <c r="H5653" t="s">
        <v>1958</v>
      </c>
      <c r="I5653" s="2">
        <v>725.86</v>
      </c>
      <c r="J5653">
        <v>7</v>
      </c>
      <c r="K5653" s="2">
        <v>197.92080000000001</v>
      </c>
      <c r="L5653" s="3">
        <f>(Table1[[#This Row],[Profit]]/Table1[[#This Row],[Sales]])*100</f>
        <v>27.267076295704406</v>
      </c>
    </row>
    <row r="5654" spans="1:12" x14ac:dyDescent="0.3">
      <c r="A5654" t="s">
        <v>3807</v>
      </c>
      <c r="B5654" s="1">
        <v>43813</v>
      </c>
      <c r="C5654" t="s">
        <v>1038</v>
      </c>
      <c r="D5654" t="s">
        <v>1039</v>
      </c>
      <c r="E5654" t="s">
        <v>14</v>
      </c>
      <c r="F5654" t="s">
        <v>15</v>
      </c>
      <c r="G5654" t="s">
        <v>16</v>
      </c>
      <c r="H5654" t="s">
        <v>1357</v>
      </c>
      <c r="I5654" s="2">
        <v>396.92</v>
      </c>
      <c r="J5654">
        <v>4</v>
      </c>
      <c r="K5654" s="2">
        <v>198.46</v>
      </c>
      <c r="L5654" s="3">
        <f>(Table1[[#This Row],[Profit]]/Table1[[#This Row],[Sales]])*100</f>
        <v>50</v>
      </c>
    </row>
    <row r="5655" spans="1:12" x14ac:dyDescent="0.3">
      <c r="A5655" t="s">
        <v>3973</v>
      </c>
      <c r="B5655" s="1">
        <v>43831</v>
      </c>
      <c r="C5655" t="s">
        <v>210</v>
      </c>
      <c r="D5655" t="s">
        <v>211</v>
      </c>
      <c r="E5655" t="s">
        <v>14</v>
      </c>
      <c r="F5655" t="s">
        <v>23</v>
      </c>
      <c r="G5655" t="s">
        <v>16</v>
      </c>
      <c r="H5655" t="s">
        <v>3974</v>
      </c>
      <c r="I5655" s="2">
        <v>487.43</v>
      </c>
      <c r="J5655">
        <v>11</v>
      </c>
      <c r="K5655" s="2">
        <v>199.26060000000001</v>
      </c>
      <c r="L5655" s="3">
        <f>(Table1[[#This Row],[Profit]]/Table1[[#This Row],[Sales]])*100</f>
        <v>40.879839156391689</v>
      </c>
    </row>
    <row r="5656" spans="1:12" x14ac:dyDescent="0.3">
      <c r="A5656" t="s">
        <v>5586</v>
      </c>
      <c r="B5656" s="1">
        <v>44111</v>
      </c>
      <c r="C5656" t="s">
        <v>5067</v>
      </c>
      <c r="D5656" t="s">
        <v>5068</v>
      </c>
      <c r="E5656" t="s">
        <v>14</v>
      </c>
      <c r="F5656" t="s">
        <v>23</v>
      </c>
      <c r="G5656" t="s">
        <v>18</v>
      </c>
      <c r="H5656" t="s">
        <v>137</v>
      </c>
      <c r="I5656" s="2">
        <v>1157.9100000000001</v>
      </c>
      <c r="J5656">
        <v>9</v>
      </c>
      <c r="K5656" s="2">
        <v>200.8638</v>
      </c>
      <c r="L5656" s="3">
        <f>(Table1[[#This Row],[Profit]]/Table1[[#This Row],[Sales]])*100</f>
        <v>17.347099515506383</v>
      </c>
    </row>
    <row r="5657" spans="1:12" x14ac:dyDescent="0.3">
      <c r="A5657" t="s">
        <v>5264</v>
      </c>
      <c r="B5657" s="1">
        <v>44077</v>
      </c>
      <c r="C5657" t="s">
        <v>5265</v>
      </c>
      <c r="D5657" t="s">
        <v>5266</v>
      </c>
      <c r="E5657" t="s">
        <v>14</v>
      </c>
      <c r="F5657" t="s">
        <v>15</v>
      </c>
      <c r="G5657" t="s">
        <v>24</v>
      </c>
      <c r="H5657" t="s">
        <v>1076</v>
      </c>
      <c r="I5657" s="2">
        <v>469.4</v>
      </c>
      <c r="J5657">
        <v>4</v>
      </c>
      <c r="K5657" s="2">
        <v>201.31200000000001</v>
      </c>
      <c r="L5657" s="3">
        <f>(Table1[[#This Row],[Profit]]/Table1[[#This Row],[Sales]])*100</f>
        <v>42.887089902002565</v>
      </c>
    </row>
    <row r="5658" spans="1:12" x14ac:dyDescent="0.3">
      <c r="A5658" t="s">
        <v>3866</v>
      </c>
      <c r="B5658" s="1">
        <v>43821</v>
      </c>
      <c r="C5658" t="s">
        <v>1100</v>
      </c>
      <c r="D5658" t="s">
        <v>1101</v>
      </c>
      <c r="E5658" t="s">
        <v>14</v>
      </c>
      <c r="F5658" t="s">
        <v>23</v>
      </c>
      <c r="G5658" t="s">
        <v>16</v>
      </c>
      <c r="H5658" t="s">
        <v>2535</v>
      </c>
      <c r="I5658" s="2">
        <v>842.72</v>
      </c>
      <c r="J5658">
        <v>8</v>
      </c>
      <c r="K5658" s="2">
        <v>202.25280000000001</v>
      </c>
      <c r="L5658" s="3">
        <f>(Table1[[#This Row],[Profit]]/Table1[[#This Row],[Sales]])*100</f>
        <v>24</v>
      </c>
    </row>
    <row r="5659" spans="1:12" x14ac:dyDescent="0.3">
      <c r="A5659" t="s">
        <v>5400</v>
      </c>
      <c r="B5659" s="1">
        <v>44089</v>
      </c>
      <c r="C5659" t="s">
        <v>3654</v>
      </c>
      <c r="D5659" t="s">
        <v>3655</v>
      </c>
      <c r="E5659" t="s">
        <v>14</v>
      </c>
      <c r="F5659" t="s">
        <v>15</v>
      </c>
      <c r="G5659" t="s">
        <v>16</v>
      </c>
      <c r="H5659" t="s">
        <v>66</v>
      </c>
      <c r="I5659" s="2">
        <v>801.94</v>
      </c>
      <c r="J5659">
        <v>3</v>
      </c>
      <c r="K5659" s="2">
        <v>203.56440000000001</v>
      </c>
      <c r="L5659" s="3">
        <f>(Table1[[#This Row],[Profit]]/Table1[[#This Row],[Sales]])*100</f>
        <v>25.383993814998629</v>
      </c>
    </row>
    <row r="5660" spans="1:12" x14ac:dyDescent="0.3">
      <c r="A5660" t="s">
        <v>5555</v>
      </c>
      <c r="B5660" s="1">
        <v>44106</v>
      </c>
      <c r="C5660" t="s">
        <v>414</v>
      </c>
      <c r="D5660" t="s">
        <v>415</v>
      </c>
      <c r="E5660" t="s">
        <v>14</v>
      </c>
      <c r="F5660" t="s">
        <v>23</v>
      </c>
      <c r="G5660" t="s">
        <v>24</v>
      </c>
      <c r="H5660" t="s">
        <v>338</v>
      </c>
      <c r="I5660" s="2">
        <v>1613.14</v>
      </c>
      <c r="J5660">
        <v>7</v>
      </c>
      <c r="K5660" s="2">
        <v>204.76820000000001</v>
      </c>
      <c r="L5660" s="3">
        <f>(Table1[[#This Row],[Profit]]/Table1[[#This Row],[Sales]])*100</f>
        <v>12.693764955304562</v>
      </c>
    </row>
    <row r="5661" spans="1:12" x14ac:dyDescent="0.3">
      <c r="A5661" t="s">
        <v>2513</v>
      </c>
      <c r="B5661" s="1">
        <v>43709</v>
      </c>
      <c r="C5661" t="s">
        <v>356</v>
      </c>
      <c r="D5661" t="s">
        <v>357</v>
      </c>
      <c r="E5661" t="s">
        <v>14</v>
      </c>
      <c r="F5661" t="s">
        <v>15</v>
      </c>
      <c r="G5661" t="s">
        <v>18</v>
      </c>
      <c r="H5661" t="s">
        <v>2514</v>
      </c>
      <c r="I5661" s="2">
        <v>468.9</v>
      </c>
      <c r="J5661">
        <v>6</v>
      </c>
      <c r="K5661" s="2">
        <v>206.316</v>
      </c>
      <c r="L5661" s="3">
        <f>(Table1[[#This Row],[Profit]]/Table1[[#This Row],[Sales]])*100</f>
        <v>44</v>
      </c>
    </row>
    <row r="5662" spans="1:12" x14ac:dyDescent="0.3">
      <c r="A5662" t="s">
        <v>5745</v>
      </c>
      <c r="B5662" s="1">
        <v>44137</v>
      </c>
      <c r="C5662" t="s">
        <v>1573</v>
      </c>
      <c r="D5662" t="s">
        <v>1574</v>
      </c>
      <c r="E5662" t="s">
        <v>14</v>
      </c>
      <c r="F5662" t="s">
        <v>23</v>
      </c>
      <c r="G5662" t="s">
        <v>24</v>
      </c>
      <c r="H5662" t="s">
        <v>5746</v>
      </c>
      <c r="I5662" s="2">
        <v>622.35199999999998</v>
      </c>
      <c r="J5662">
        <v>6</v>
      </c>
      <c r="K5662" s="2">
        <v>206.6232</v>
      </c>
      <c r="L5662" s="3">
        <f>(Table1[[#This Row],[Profit]]/Table1[[#This Row],[Sales]])*100</f>
        <v>33.200375350284084</v>
      </c>
    </row>
    <row r="5663" spans="1:12" x14ac:dyDescent="0.3">
      <c r="A5663" t="s">
        <v>4645</v>
      </c>
      <c r="B5663" s="1">
        <v>43965</v>
      </c>
      <c r="C5663" t="s">
        <v>84</v>
      </c>
      <c r="D5663" t="s">
        <v>85</v>
      </c>
      <c r="E5663" t="s">
        <v>14</v>
      </c>
      <c r="F5663" t="s">
        <v>23</v>
      </c>
      <c r="G5663" t="s">
        <v>24</v>
      </c>
      <c r="H5663" t="s">
        <v>4646</v>
      </c>
      <c r="I5663" s="2">
        <v>485.19</v>
      </c>
      <c r="J5663">
        <v>9</v>
      </c>
      <c r="K5663" s="2">
        <v>206.88929999999999</v>
      </c>
      <c r="L5663" s="3">
        <f>(Table1[[#This Row],[Profit]]/Table1[[#This Row],[Sales]])*100</f>
        <v>42.640882953069934</v>
      </c>
    </row>
    <row r="5664" spans="1:12" x14ac:dyDescent="0.3">
      <c r="A5664" t="s">
        <v>1639</v>
      </c>
      <c r="B5664" s="1">
        <v>43622</v>
      </c>
      <c r="C5664" t="s">
        <v>706</v>
      </c>
      <c r="D5664" t="s">
        <v>707</v>
      </c>
      <c r="E5664" t="s">
        <v>14</v>
      </c>
      <c r="F5664" t="s">
        <v>15</v>
      </c>
      <c r="G5664" t="s">
        <v>24</v>
      </c>
      <c r="H5664" t="s">
        <v>1640</v>
      </c>
      <c r="I5664" s="2">
        <v>714.3</v>
      </c>
      <c r="J5664">
        <v>5</v>
      </c>
      <c r="K5664" s="2">
        <v>207.14699999999999</v>
      </c>
      <c r="L5664" s="3">
        <f>(Table1[[#This Row],[Profit]]/Table1[[#This Row],[Sales]])*100</f>
        <v>28.999999999999996</v>
      </c>
    </row>
    <row r="5665" spans="1:12" x14ac:dyDescent="0.3">
      <c r="A5665" t="s">
        <v>4708</v>
      </c>
      <c r="B5665" s="1">
        <v>43976</v>
      </c>
      <c r="C5665" t="s">
        <v>1299</v>
      </c>
      <c r="D5665" t="s">
        <v>1300</v>
      </c>
      <c r="E5665" t="s">
        <v>14</v>
      </c>
      <c r="F5665" t="s">
        <v>15</v>
      </c>
      <c r="G5665" t="s">
        <v>24</v>
      </c>
      <c r="H5665" t="s">
        <v>358</v>
      </c>
      <c r="I5665" s="2">
        <v>697.92</v>
      </c>
      <c r="J5665">
        <v>5</v>
      </c>
      <c r="K5665" s="2">
        <v>207.47499999999999</v>
      </c>
      <c r="L5665" s="3">
        <f>(Table1[[#This Row],[Profit]]/Table1[[#This Row],[Sales]])*100</f>
        <v>29.727619211370932</v>
      </c>
    </row>
    <row r="5666" spans="1:12" x14ac:dyDescent="0.3">
      <c r="A5666" t="s">
        <v>3887</v>
      </c>
      <c r="B5666" s="1">
        <v>43823</v>
      </c>
      <c r="C5666" t="s">
        <v>1048</v>
      </c>
      <c r="D5666" t="s">
        <v>1049</v>
      </c>
      <c r="E5666" t="s">
        <v>14</v>
      </c>
      <c r="F5666" t="s">
        <v>15</v>
      </c>
      <c r="G5666" t="s">
        <v>16</v>
      </c>
      <c r="H5666" t="s">
        <v>3888</v>
      </c>
      <c r="I5666" s="2">
        <v>799.56</v>
      </c>
      <c r="J5666">
        <v>9</v>
      </c>
      <c r="K5666" s="2">
        <v>207.88560000000001</v>
      </c>
      <c r="L5666" s="3">
        <f>(Table1[[#This Row],[Profit]]/Table1[[#This Row],[Sales]])*100</f>
        <v>26</v>
      </c>
    </row>
    <row r="5667" spans="1:12" x14ac:dyDescent="0.3">
      <c r="A5667" t="s">
        <v>4949</v>
      </c>
      <c r="B5667" s="1">
        <v>44015</v>
      </c>
      <c r="C5667" t="s">
        <v>4950</v>
      </c>
      <c r="D5667" t="s">
        <v>4951</v>
      </c>
      <c r="E5667" t="s">
        <v>14</v>
      </c>
      <c r="F5667" t="s">
        <v>23</v>
      </c>
      <c r="G5667" t="s">
        <v>18</v>
      </c>
      <c r="H5667" t="s">
        <v>646</v>
      </c>
      <c r="I5667" s="2">
        <v>2443.1999999999998</v>
      </c>
      <c r="J5667">
        <v>6</v>
      </c>
      <c r="K5667" s="2">
        <v>209.58</v>
      </c>
      <c r="L5667" s="3">
        <f>(Table1[[#This Row],[Profit]]/Table1[[#This Row],[Sales]])*100</f>
        <v>8.5780943025540282</v>
      </c>
    </row>
    <row r="5668" spans="1:12" x14ac:dyDescent="0.3">
      <c r="A5668" t="s">
        <v>5217</v>
      </c>
      <c r="B5668" s="1">
        <v>44070</v>
      </c>
      <c r="C5668" t="s">
        <v>44</v>
      </c>
      <c r="D5668" t="s">
        <v>45</v>
      </c>
      <c r="E5668" t="s">
        <v>14</v>
      </c>
      <c r="F5668" t="s">
        <v>15</v>
      </c>
      <c r="G5668" t="s">
        <v>18</v>
      </c>
      <c r="H5668" t="s">
        <v>1133</v>
      </c>
      <c r="I5668" s="2">
        <v>1131.8879999999999</v>
      </c>
      <c r="J5668">
        <v>14</v>
      </c>
      <c r="K5668" s="2">
        <v>209.97900000000001</v>
      </c>
      <c r="L5668" s="3">
        <f>(Table1[[#This Row],[Profit]]/Table1[[#This Row],[Sales]])*100</f>
        <v>18.551217081548707</v>
      </c>
    </row>
    <row r="5669" spans="1:12" x14ac:dyDescent="0.3">
      <c r="A5669" t="s">
        <v>4315</v>
      </c>
      <c r="B5669" s="1">
        <v>43911</v>
      </c>
      <c r="C5669" t="s">
        <v>210</v>
      </c>
      <c r="D5669" t="s">
        <v>211</v>
      </c>
      <c r="E5669" t="s">
        <v>14</v>
      </c>
      <c r="F5669" t="s">
        <v>23</v>
      </c>
      <c r="G5669" t="s">
        <v>24</v>
      </c>
      <c r="H5669" t="s">
        <v>453</v>
      </c>
      <c r="I5669" s="2">
        <v>770.84</v>
      </c>
      <c r="J5669">
        <v>4</v>
      </c>
      <c r="K5669" s="2">
        <v>210.49359999999999</v>
      </c>
      <c r="L5669" s="3">
        <f>(Table1[[#This Row],[Profit]]/Table1[[#This Row],[Sales]])*100</f>
        <v>27.307041668828809</v>
      </c>
    </row>
    <row r="5670" spans="1:12" x14ac:dyDescent="0.3">
      <c r="A5670" t="s">
        <v>6291</v>
      </c>
      <c r="B5670" s="1">
        <v>44193</v>
      </c>
      <c r="C5670" t="s">
        <v>2014</v>
      </c>
      <c r="D5670" t="s">
        <v>2015</v>
      </c>
      <c r="E5670" t="s">
        <v>14</v>
      </c>
      <c r="F5670" t="s">
        <v>23</v>
      </c>
      <c r="G5670" t="s">
        <v>24</v>
      </c>
      <c r="H5670" t="s">
        <v>453</v>
      </c>
      <c r="I5670" s="2">
        <v>244.84</v>
      </c>
      <c r="J5670">
        <v>4</v>
      </c>
      <c r="K5670" s="2">
        <v>210.49359999999999</v>
      </c>
      <c r="L5670" s="3">
        <f>(Table1[[#This Row],[Profit]]/Table1[[#This Row],[Sales]])*100</f>
        <v>85.971900016337187</v>
      </c>
    </row>
    <row r="5671" spans="1:12" x14ac:dyDescent="0.3">
      <c r="A5671" t="s">
        <v>3556</v>
      </c>
      <c r="B5671" s="1">
        <v>43793</v>
      </c>
      <c r="C5671" t="s">
        <v>3557</v>
      </c>
      <c r="D5671" t="s">
        <v>3558</v>
      </c>
      <c r="E5671" t="s">
        <v>14</v>
      </c>
      <c r="F5671" t="s">
        <v>23</v>
      </c>
      <c r="G5671" t="s">
        <v>16</v>
      </c>
      <c r="H5671" t="s">
        <v>2804</v>
      </c>
      <c r="I5671" s="2">
        <v>1684.752</v>
      </c>
      <c r="J5671">
        <v>6</v>
      </c>
      <c r="K5671" s="2">
        <v>210.59399999999999</v>
      </c>
      <c r="L5671" s="3">
        <f>(Table1[[#This Row],[Profit]]/Table1[[#This Row],[Sales]])*100</f>
        <v>12.5</v>
      </c>
    </row>
    <row r="5672" spans="1:12" x14ac:dyDescent="0.3">
      <c r="A5672" t="s">
        <v>5024</v>
      </c>
      <c r="B5672" s="1">
        <v>44029</v>
      </c>
      <c r="C5672" t="s">
        <v>49</v>
      </c>
      <c r="D5672" t="s">
        <v>50</v>
      </c>
      <c r="E5672" t="s">
        <v>14</v>
      </c>
      <c r="F5672" t="s">
        <v>23</v>
      </c>
      <c r="G5672" t="s">
        <v>16</v>
      </c>
      <c r="H5672" t="s">
        <v>2919</v>
      </c>
      <c r="I5672" s="2">
        <v>1222.165</v>
      </c>
      <c r="J5672">
        <v>5</v>
      </c>
      <c r="K5672" s="2">
        <v>210.73500000000001</v>
      </c>
      <c r="L5672" s="3">
        <f>(Table1[[#This Row],[Profit]]/Table1[[#This Row],[Sales]])*100</f>
        <v>17.242761820212493</v>
      </c>
    </row>
    <row r="5673" spans="1:12" x14ac:dyDescent="0.3">
      <c r="A5673" t="s">
        <v>5950</v>
      </c>
      <c r="B5673" s="1">
        <v>44154</v>
      </c>
      <c r="C5673" t="s">
        <v>257</v>
      </c>
      <c r="D5673" t="s">
        <v>258</v>
      </c>
      <c r="E5673" t="s">
        <v>14</v>
      </c>
      <c r="F5673" t="s">
        <v>41</v>
      </c>
      <c r="G5673" t="s">
        <v>16</v>
      </c>
      <c r="H5673" t="s">
        <v>3294</v>
      </c>
      <c r="I5673" s="2">
        <v>862.88</v>
      </c>
      <c r="J5673">
        <v>6</v>
      </c>
      <c r="K5673" s="2">
        <v>213.68879999999999</v>
      </c>
      <c r="L5673" s="3">
        <f>(Table1[[#This Row],[Profit]]/Table1[[#This Row],[Sales]])*100</f>
        <v>24.76460226219173</v>
      </c>
    </row>
    <row r="5674" spans="1:12" x14ac:dyDescent="0.3">
      <c r="A5674" t="s">
        <v>5250</v>
      </c>
      <c r="B5674" s="1">
        <v>44076</v>
      </c>
      <c r="C5674" t="s">
        <v>4172</v>
      </c>
      <c r="D5674" t="s">
        <v>4173</v>
      </c>
      <c r="E5674" t="s">
        <v>14</v>
      </c>
      <c r="F5674" t="s">
        <v>15</v>
      </c>
      <c r="G5674" t="s">
        <v>16</v>
      </c>
      <c r="H5674" t="s">
        <v>3758</v>
      </c>
      <c r="I5674" s="2">
        <v>1311.41</v>
      </c>
      <c r="J5674">
        <v>5</v>
      </c>
      <c r="K5674" s="2">
        <v>213.73500000000001</v>
      </c>
      <c r="L5674" s="3">
        <f>(Table1[[#This Row],[Profit]]/Table1[[#This Row],[Sales]])*100</f>
        <v>16.298106618067575</v>
      </c>
    </row>
    <row r="5675" spans="1:12" x14ac:dyDescent="0.3">
      <c r="A5675" t="s">
        <v>4897</v>
      </c>
      <c r="B5675" s="1">
        <v>44008</v>
      </c>
      <c r="C5675" t="s">
        <v>4396</v>
      </c>
      <c r="D5675" t="s">
        <v>4397</v>
      </c>
      <c r="E5675" t="s">
        <v>14</v>
      </c>
      <c r="F5675" t="s">
        <v>15</v>
      </c>
      <c r="G5675" t="s">
        <v>24</v>
      </c>
      <c r="H5675" t="s">
        <v>1326</v>
      </c>
      <c r="I5675" s="2">
        <v>740.88</v>
      </c>
      <c r="J5675">
        <v>4</v>
      </c>
      <c r="K5675" s="2">
        <v>214.16399999999999</v>
      </c>
      <c r="L5675" s="3">
        <f>(Table1[[#This Row],[Profit]]/Table1[[#This Row],[Sales]])*100</f>
        <v>28.906705539358601</v>
      </c>
    </row>
    <row r="5676" spans="1:12" x14ac:dyDescent="0.3">
      <c r="A5676" t="s">
        <v>4176</v>
      </c>
      <c r="B5676" s="1">
        <v>43885</v>
      </c>
      <c r="C5676" t="s">
        <v>899</v>
      </c>
      <c r="D5676" t="s">
        <v>900</v>
      </c>
      <c r="E5676" t="s">
        <v>14</v>
      </c>
      <c r="F5676" t="s">
        <v>15</v>
      </c>
      <c r="G5676" t="s">
        <v>18</v>
      </c>
      <c r="H5676" t="s">
        <v>1568</v>
      </c>
      <c r="I5676" s="2">
        <v>1333.8</v>
      </c>
      <c r="J5676">
        <v>5</v>
      </c>
      <c r="K5676" s="2">
        <v>214.4675</v>
      </c>
      <c r="L5676" s="3">
        <f>(Table1[[#This Row],[Profit]]/Table1[[#This Row],[Sales]])*100</f>
        <v>16.079434697855753</v>
      </c>
    </row>
    <row r="5677" spans="1:12" x14ac:dyDescent="0.3">
      <c r="A5677" t="s">
        <v>5909</v>
      </c>
      <c r="B5677" s="1">
        <v>44151</v>
      </c>
      <c r="C5677" t="s">
        <v>5910</v>
      </c>
      <c r="D5677" t="s">
        <v>5911</v>
      </c>
      <c r="E5677" t="s">
        <v>14</v>
      </c>
      <c r="F5677" t="s">
        <v>23</v>
      </c>
      <c r="G5677" t="s">
        <v>18</v>
      </c>
      <c r="H5677" t="s">
        <v>1284</v>
      </c>
      <c r="I5677" s="2">
        <v>1931.9760000000001</v>
      </c>
      <c r="J5677">
        <v>3</v>
      </c>
      <c r="K5677" s="2">
        <v>215.9973</v>
      </c>
      <c r="L5677" s="3">
        <f>(Table1[[#This Row],[Profit]]/Table1[[#This Row],[Sales]])*100</f>
        <v>11.180123355569634</v>
      </c>
    </row>
    <row r="5678" spans="1:12" x14ac:dyDescent="0.3">
      <c r="A5678" t="s">
        <v>3556</v>
      </c>
      <c r="B5678" s="1">
        <v>43793</v>
      </c>
      <c r="C5678" t="s">
        <v>3557</v>
      </c>
      <c r="D5678" t="s">
        <v>3558</v>
      </c>
      <c r="E5678" t="s">
        <v>14</v>
      </c>
      <c r="F5678" t="s">
        <v>23</v>
      </c>
      <c r="G5678" t="s">
        <v>18</v>
      </c>
      <c r="H5678" t="s">
        <v>1568</v>
      </c>
      <c r="I5678" s="2">
        <v>659.9</v>
      </c>
      <c r="J5678">
        <v>2</v>
      </c>
      <c r="K5678" s="2">
        <v>217.767</v>
      </c>
      <c r="L5678" s="3">
        <f>(Table1[[#This Row],[Profit]]/Table1[[#This Row],[Sales]])*100</f>
        <v>33</v>
      </c>
    </row>
    <row r="5679" spans="1:12" x14ac:dyDescent="0.3">
      <c r="A5679" t="s">
        <v>5235</v>
      </c>
      <c r="B5679" s="1">
        <v>44074</v>
      </c>
      <c r="C5679" t="s">
        <v>3443</v>
      </c>
      <c r="D5679" t="s">
        <v>3444</v>
      </c>
      <c r="E5679" t="s">
        <v>14</v>
      </c>
      <c r="F5679" t="s">
        <v>41</v>
      </c>
      <c r="G5679" t="s">
        <v>18</v>
      </c>
      <c r="H5679" t="s">
        <v>1568</v>
      </c>
      <c r="I5679" s="2">
        <v>680.9</v>
      </c>
      <c r="J5679">
        <v>2</v>
      </c>
      <c r="K5679" s="2">
        <v>217.767</v>
      </c>
      <c r="L5679" s="3">
        <f>(Table1[[#This Row],[Profit]]/Table1[[#This Row],[Sales]])*100</f>
        <v>31.982229402261712</v>
      </c>
    </row>
    <row r="5680" spans="1:12" x14ac:dyDescent="0.3">
      <c r="A5680" t="s">
        <v>6239</v>
      </c>
      <c r="B5680" s="1">
        <v>44187</v>
      </c>
      <c r="C5680" t="s">
        <v>6240</v>
      </c>
      <c r="D5680" t="s">
        <v>6241</v>
      </c>
      <c r="E5680" t="s">
        <v>14</v>
      </c>
      <c r="F5680" t="s">
        <v>29</v>
      </c>
      <c r="G5680" t="s">
        <v>24</v>
      </c>
      <c r="H5680" t="s">
        <v>1816</v>
      </c>
      <c r="I5680" s="2">
        <v>468.43</v>
      </c>
      <c r="J5680">
        <v>3</v>
      </c>
      <c r="K5680" s="2">
        <v>218.2518</v>
      </c>
      <c r="L5680" s="3">
        <f>(Table1[[#This Row],[Profit]]/Table1[[#This Row],[Sales]])*100</f>
        <v>46.592190935678758</v>
      </c>
    </row>
    <row r="5681" spans="1:12" x14ac:dyDescent="0.3">
      <c r="A5681" t="s">
        <v>4877</v>
      </c>
      <c r="B5681" s="1">
        <v>44003</v>
      </c>
      <c r="C5681" t="s">
        <v>924</v>
      </c>
      <c r="D5681" t="s">
        <v>925</v>
      </c>
      <c r="E5681" t="s">
        <v>14</v>
      </c>
      <c r="F5681" t="s">
        <v>15</v>
      </c>
      <c r="G5681" t="s">
        <v>24</v>
      </c>
      <c r="H5681" t="s">
        <v>1716</v>
      </c>
      <c r="I5681" s="2">
        <v>467.84</v>
      </c>
      <c r="J5681">
        <v>8</v>
      </c>
      <c r="K5681" s="2">
        <v>219.44159999999999</v>
      </c>
      <c r="L5681" s="3">
        <f>(Table1[[#This Row],[Profit]]/Table1[[#This Row],[Sales]])*100</f>
        <v>46.905266757865938</v>
      </c>
    </row>
    <row r="5682" spans="1:12" x14ac:dyDescent="0.3">
      <c r="A5682" t="s">
        <v>459</v>
      </c>
      <c r="B5682" s="1">
        <v>43527</v>
      </c>
      <c r="C5682" t="s">
        <v>460</v>
      </c>
      <c r="D5682" t="s">
        <v>461</v>
      </c>
      <c r="E5682" t="s">
        <v>14</v>
      </c>
      <c r="F5682" t="s">
        <v>15</v>
      </c>
      <c r="G5682" t="s">
        <v>24</v>
      </c>
      <c r="H5682" t="s">
        <v>462</v>
      </c>
      <c r="I5682" s="2">
        <v>447.86</v>
      </c>
      <c r="J5682">
        <v>7</v>
      </c>
      <c r="K5682" s="2">
        <v>219.45140000000001</v>
      </c>
      <c r="L5682" s="3">
        <f>(Table1[[#This Row],[Profit]]/Table1[[#This Row],[Sales]])*100</f>
        <v>49</v>
      </c>
    </row>
    <row r="5683" spans="1:12" x14ac:dyDescent="0.3">
      <c r="A5683" t="s">
        <v>3322</v>
      </c>
      <c r="B5683" s="1">
        <v>43777</v>
      </c>
      <c r="C5683" t="s">
        <v>3323</v>
      </c>
      <c r="D5683" t="s">
        <v>3324</v>
      </c>
      <c r="E5683" t="s">
        <v>14</v>
      </c>
      <c r="F5683" t="s">
        <v>41</v>
      </c>
      <c r="G5683" t="s">
        <v>16</v>
      </c>
      <c r="H5683" t="s">
        <v>843</v>
      </c>
      <c r="I5683" s="2">
        <v>731.94</v>
      </c>
      <c r="J5683">
        <v>3</v>
      </c>
      <c r="K5683" s="2">
        <v>219.58199999999999</v>
      </c>
      <c r="L5683" s="3">
        <f>(Table1[[#This Row],[Profit]]/Table1[[#This Row],[Sales]])*100</f>
        <v>30</v>
      </c>
    </row>
    <row r="5684" spans="1:12" x14ac:dyDescent="0.3">
      <c r="A5684" t="s">
        <v>5132</v>
      </c>
      <c r="B5684" s="1">
        <v>44054</v>
      </c>
      <c r="C5684" t="s">
        <v>3011</v>
      </c>
      <c r="D5684" t="s">
        <v>3012</v>
      </c>
      <c r="E5684" t="s">
        <v>14</v>
      </c>
      <c r="F5684" t="s">
        <v>41</v>
      </c>
      <c r="G5684" t="s">
        <v>24</v>
      </c>
      <c r="H5684" t="s">
        <v>542</v>
      </c>
      <c r="I5684" s="2">
        <v>490.51</v>
      </c>
      <c r="J5684">
        <v>11</v>
      </c>
      <c r="K5684" s="2">
        <v>219.65459999999999</v>
      </c>
      <c r="L5684" s="3">
        <f>(Table1[[#This Row],[Profit]]/Table1[[#This Row],[Sales]])*100</f>
        <v>44.780860736784163</v>
      </c>
    </row>
    <row r="5685" spans="1:12" x14ac:dyDescent="0.3">
      <c r="A5685" t="s">
        <v>4433</v>
      </c>
      <c r="B5685" s="1">
        <v>43930</v>
      </c>
      <c r="C5685" t="s">
        <v>1472</v>
      </c>
      <c r="D5685" t="s">
        <v>1473</v>
      </c>
      <c r="E5685" t="s">
        <v>14</v>
      </c>
      <c r="F5685" t="s">
        <v>29</v>
      </c>
      <c r="G5685" t="s">
        <v>24</v>
      </c>
      <c r="H5685" t="s">
        <v>4434</v>
      </c>
      <c r="I5685" s="2">
        <v>493.24</v>
      </c>
      <c r="J5685">
        <v>8</v>
      </c>
      <c r="K5685" s="2">
        <v>219.99039999999999</v>
      </c>
      <c r="L5685" s="3">
        <f>(Table1[[#This Row],[Profit]]/Table1[[#This Row],[Sales]])*100</f>
        <v>44.601086692076883</v>
      </c>
    </row>
    <row r="5686" spans="1:12" x14ac:dyDescent="0.3">
      <c r="A5686" t="s">
        <v>3367</v>
      </c>
      <c r="B5686" s="1">
        <v>43779</v>
      </c>
      <c r="C5686" t="s">
        <v>3368</v>
      </c>
      <c r="D5686" t="s">
        <v>3369</v>
      </c>
      <c r="E5686" t="s">
        <v>14</v>
      </c>
      <c r="F5686" t="s">
        <v>15</v>
      </c>
      <c r="G5686" t="s">
        <v>18</v>
      </c>
      <c r="H5686" t="s">
        <v>756</v>
      </c>
      <c r="I5686" s="2">
        <v>881.93</v>
      </c>
      <c r="J5686">
        <v>7</v>
      </c>
      <c r="K5686" s="2">
        <v>220.48249999999999</v>
      </c>
      <c r="L5686" s="3">
        <f>(Table1[[#This Row],[Profit]]/Table1[[#This Row],[Sales]])*100</f>
        <v>25</v>
      </c>
    </row>
    <row r="5687" spans="1:12" x14ac:dyDescent="0.3">
      <c r="A5687" t="s">
        <v>3108</v>
      </c>
      <c r="B5687" s="1">
        <v>43755</v>
      </c>
      <c r="C5687" t="s">
        <v>3109</v>
      </c>
      <c r="D5687" t="s">
        <v>3110</v>
      </c>
      <c r="E5687" t="s">
        <v>14</v>
      </c>
      <c r="F5687" t="s">
        <v>29</v>
      </c>
      <c r="G5687" t="s">
        <v>18</v>
      </c>
      <c r="H5687" t="s">
        <v>3111</v>
      </c>
      <c r="I5687" s="2">
        <v>449.97</v>
      </c>
      <c r="J5687">
        <v>3</v>
      </c>
      <c r="K5687" s="2">
        <v>220.4853</v>
      </c>
      <c r="L5687" s="3">
        <f>(Table1[[#This Row],[Profit]]/Table1[[#This Row],[Sales]])*100</f>
        <v>48.999999999999993</v>
      </c>
    </row>
    <row r="5688" spans="1:12" x14ac:dyDescent="0.3">
      <c r="A5688" t="s">
        <v>3759</v>
      </c>
      <c r="B5688" s="1">
        <v>43809</v>
      </c>
      <c r="C5688" t="s">
        <v>1197</v>
      </c>
      <c r="D5688" t="s">
        <v>1198</v>
      </c>
      <c r="E5688" t="s">
        <v>14</v>
      </c>
      <c r="F5688" t="s">
        <v>15</v>
      </c>
      <c r="G5688" t="s">
        <v>24</v>
      </c>
      <c r="H5688" t="s">
        <v>2832</v>
      </c>
      <c r="I5688" s="2">
        <v>679.96</v>
      </c>
      <c r="J5688">
        <v>5</v>
      </c>
      <c r="K5688" s="2">
        <v>220.98699999999999</v>
      </c>
      <c r="L5688" s="3">
        <f>(Table1[[#This Row],[Profit]]/Table1[[#This Row],[Sales]])*100</f>
        <v>32.499999999999993</v>
      </c>
    </row>
    <row r="5689" spans="1:12" x14ac:dyDescent="0.3">
      <c r="A5689" t="s">
        <v>3634</v>
      </c>
      <c r="B5689" s="1">
        <v>43800</v>
      </c>
      <c r="C5689" t="s">
        <v>2520</v>
      </c>
      <c r="D5689" t="s">
        <v>2521</v>
      </c>
      <c r="E5689" t="s">
        <v>14</v>
      </c>
      <c r="F5689" t="s">
        <v>23</v>
      </c>
      <c r="G5689" t="s">
        <v>24</v>
      </c>
      <c r="H5689" t="s">
        <v>2091</v>
      </c>
      <c r="I5689" s="2">
        <v>1112.94</v>
      </c>
      <c r="J5689">
        <v>3</v>
      </c>
      <c r="K5689" s="2">
        <v>222.58799999999999</v>
      </c>
      <c r="L5689" s="3">
        <f>(Table1[[#This Row],[Profit]]/Table1[[#This Row],[Sales]])*100</f>
        <v>20</v>
      </c>
    </row>
    <row r="5690" spans="1:12" x14ac:dyDescent="0.3">
      <c r="A5690" t="s">
        <v>4829</v>
      </c>
      <c r="B5690" s="1">
        <v>43997</v>
      </c>
      <c r="C5690" t="s">
        <v>2237</v>
      </c>
      <c r="D5690" t="s">
        <v>2238</v>
      </c>
      <c r="E5690" t="s">
        <v>14</v>
      </c>
      <c r="F5690" t="s">
        <v>41</v>
      </c>
      <c r="G5690" t="s">
        <v>18</v>
      </c>
      <c r="H5690" t="s">
        <v>3702</v>
      </c>
      <c r="I5690" s="2">
        <v>2261.9360000000001</v>
      </c>
      <c r="J5690">
        <v>8</v>
      </c>
      <c r="K5690" s="2">
        <v>223.99359999999999</v>
      </c>
      <c r="L5690" s="3">
        <f>(Table1[[#This Row],[Profit]]/Table1[[#This Row],[Sales]])*100</f>
        <v>9.9027381853421126</v>
      </c>
    </row>
    <row r="5691" spans="1:12" x14ac:dyDescent="0.3">
      <c r="A5691" t="s">
        <v>6030</v>
      </c>
      <c r="B5691" s="1">
        <v>44162</v>
      </c>
      <c r="C5691" t="s">
        <v>328</v>
      </c>
      <c r="D5691" t="s">
        <v>329</v>
      </c>
      <c r="E5691" t="s">
        <v>14</v>
      </c>
      <c r="F5691" t="s">
        <v>29</v>
      </c>
      <c r="G5691" t="s">
        <v>24</v>
      </c>
      <c r="H5691" t="s">
        <v>358</v>
      </c>
      <c r="I5691" s="2">
        <v>510.94</v>
      </c>
      <c r="J5691">
        <v>3</v>
      </c>
      <c r="K5691" s="2">
        <v>224.07300000000001</v>
      </c>
      <c r="L5691" s="3">
        <f>(Table1[[#This Row],[Profit]]/Table1[[#This Row],[Sales]])*100</f>
        <v>43.855051473754258</v>
      </c>
    </row>
    <row r="5692" spans="1:12" x14ac:dyDescent="0.3">
      <c r="A5692" t="s">
        <v>5170</v>
      </c>
      <c r="B5692" s="1">
        <v>44061</v>
      </c>
      <c r="C5692" t="s">
        <v>2359</v>
      </c>
      <c r="D5692" t="s">
        <v>2360</v>
      </c>
      <c r="E5692" t="s">
        <v>14</v>
      </c>
      <c r="F5692" t="s">
        <v>23</v>
      </c>
      <c r="G5692" t="s">
        <v>18</v>
      </c>
      <c r="H5692" t="s">
        <v>5171</v>
      </c>
      <c r="I5692" s="2">
        <v>1539.16</v>
      </c>
      <c r="J5692">
        <v>9</v>
      </c>
      <c r="K5692" s="2">
        <v>224.42400000000001</v>
      </c>
      <c r="L5692" s="3">
        <f>(Table1[[#This Row],[Profit]]/Table1[[#This Row],[Sales]])*100</f>
        <v>14.58094025312508</v>
      </c>
    </row>
    <row r="5693" spans="1:12" x14ac:dyDescent="0.3">
      <c r="A5693" t="s">
        <v>270</v>
      </c>
      <c r="B5693" s="1">
        <v>43499</v>
      </c>
      <c r="C5693" t="s">
        <v>271</v>
      </c>
      <c r="D5693" t="s">
        <v>272</v>
      </c>
      <c r="E5693" t="s">
        <v>14</v>
      </c>
      <c r="F5693" t="s">
        <v>41</v>
      </c>
      <c r="G5693" t="s">
        <v>16</v>
      </c>
      <c r="H5693" t="s">
        <v>273</v>
      </c>
      <c r="I5693" s="2">
        <v>866.4</v>
      </c>
      <c r="J5693">
        <v>4</v>
      </c>
      <c r="K5693" s="2">
        <v>225.26400000000001</v>
      </c>
      <c r="L5693" s="3">
        <f>(Table1[[#This Row],[Profit]]/Table1[[#This Row],[Sales]])*100</f>
        <v>26</v>
      </c>
    </row>
    <row r="5694" spans="1:12" x14ac:dyDescent="0.3">
      <c r="A5694" t="s">
        <v>5196</v>
      </c>
      <c r="B5694" s="1">
        <v>44064</v>
      </c>
      <c r="C5694" t="s">
        <v>2367</v>
      </c>
      <c r="D5694" t="s">
        <v>2368</v>
      </c>
      <c r="E5694" t="s">
        <v>14</v>
      </c>
      <c r="F5694" t="s">
        <v>41</v>
      </c>
      <c r="G5694" t="s">
        <v>16</v>
      </c>
      <c r="H5694" t="s">
        <v>273</v>
      </c>
      <c r="I5694" s="2">
        <v>896.4</v>
      </c>
      <c r="J5694">
        <v>4</v>
      </c>
      <c r="K5694" s="2">
        <v>225.26400000000001</v>
      </c>
      <c r="L5694" s="3">
        <f>(Table1[[#This Row],[Profit]]/Table1[[#This Row],[Sales]])*100</f>
        <v>25.129852744310575</v>
      </c>
    </row>
    <row r="5695" spans="1:12" x14ac:dyDescent="0.3">
      <c r="A5695" t="s">
        <v>5427</v>
      </c>
      <c r="B5695" s="1">
        <v>44091</v>
      </c>
      <c r="C5695" t="s">
        <v>692</v>
      </c>
      <c r="D5695" t="s">
        <v>693</v>
      </c>
      <c r="E5695" t="s">
        <v>14</v>
      </c>
      <c r="F5695" t="s">
        <v>15</v>
      </c>
      <c r="G5695" t="s">
        <v>18</v>
      </c>
      <c r="H5695" t="s">
        <v>5428</v>
      </c>
      <c r="I5695" s="2">
        <v>494</v>
      </c>
      <c r="J5695">
        <v>4</v>
      </c>
      <c r="K5695" s="2">
        <v>225.6</v>
      </c>
      <c r="L5695" s="3">
        <f>(Table1[[#This Row],[Profit]]/Table1[[#This Row],[Sales]])*100</f>
        <v>45.668016194331983</v>
      </c>
    </row>
    <row r="5696" spans="1:12" x14ac:dyDescent="0.3">
      <c r="A5696" t="s">
        <v>1961</v>
      </c>
      <c r="B5696" s="1">
        <v>43650</v>
      </c>
      <c r="C5696" t="s">
        <v>1962</v>
      </c>
      <c r="D5696" t="s">
        <v>1963</v>
      </c>
      <c r="E5696" t="s">
        <v>14</v>
      </c>
      <c r="F5696" t="s">
        <v>23</v>
      </c>
      <c r="G5696" t="s">
        <v>16</v>
      </c>
      <c r="H5696" t="s">
        <v>1965</v>
      </c>
      <c r="I5696" s="2">
        <v>1279.165</v>
      </c>
      <c r="J5696">
        <v>5</v>
      </c>
      <c r="K5696" s="2">
        <v>225.73500000000001</v>
      </c>
      <c r="L5696" s="3">
        <f>(Table1[[#This Row],[Profit]]/Table1[[#This Row],[Sales]])*100</f>
        <v>17.647058823529413</v>
      </c>
    </row>
    <row r="5697" spans="1:12" x14ac:dyDescent="0.3">
      <c r="A5697" t="s">
        <v>1651</v>
      </c>
      <c r="B5697" s="1">
        <v>43622</v>
      </c>
      <c r="C5697" t="s">
        <v>795</v>
      </c>
      <c r="D5697" t="s">
        <v>796</v>
      </c>
      <c r="E5697" t="s">
        <v>14</v>
      </c>
      <c r="F5697" t="s">
        <v>23</v>
      </c>
      <c r="G5697" t="s">
        <v>18</v>
      </c>
      <c r="H5697" t="s">
        <v>1652</v>
      </c>
      <c r="I5697" s="2">
        <v>3023.9279999999999</v>
      </c>
      <c r="J5697">
        <v>9</v>
      </c>
      <c r="K5697" s="2">
        <v>226.7946</v>
      </c>
      <c r="L5697" s="3">
        <f>(Table1[[#This Row],[Profit]]/Table1[[#This Row],[Sales]])*100</f>
        <v>7.5</v>
      </c>
    </row>
    <row r="5698" spans="1:12" x14ac:dyDescent="0.3">
      <c r="A5698" t="s">
        <v>6146</v>
      </c>
      <c r="B5698" s="1">
        <v>44174</v>
      </c>
      <c r="C5698" t="s">
        <v>769</v>
      </c>
      <c r="D5698" t="s">
        <v>770</v>
      </c>
      <c r="E5698" t="s">
        <v>14</v>
      </c>
      <c r="F5698" t="s">
        <v>29</v>
      </c>
      <c r="G5698" t="s">
        <v>16</v>
      </c>
      <c r="H5698" t="s">
        <v>853</v>
      </c>
      <c r="I5698" s="2">
        <v>897.94</v>
      </c>
      <c r="J5698">
        <v>3</v>
      </c>
      <c r="K5698" s="2">
        <v>226.96440000000001</v>
      </c>
      <c r="L5698" s="3">
        <f>(Table1[[#This Row],[Profit]]/Table1[[#This Row],[Sales]])*100</f>
        <v>25.276120898946473</v>
      </c>
    </row>
    <row r="5699" spans="1:12" x14ac:dyDescent="0.3">
      <c r="A5699" t="s">
        <v>4501</v>
      </c>
      <c r="B5699" s="1">
        <v>43942</v>
      </c>
      <c r="C5699" t="s">
        <v>800</v>
      </c>
      <c r="D5699" t="s">
        <v>801</v>
      </c>
      <c r="E5699" t="s">
        <v>14</v>
      </c>
      <c r="F5699" t="s">
        <v>15</v>
      </c>
      <c r="G5699" t="s">
        <v>16</v>
      </c>
      <c r="H5699" t="s">
        <v>2913</v>
      </c>
      <c r="I5699" s="2">
        <v>938.82</v>
      </c>
      <c r="J5699">
        <v>9</v>
      </c>
      <c r="K5699" s="2">
        <v>227.20500000000001</v>
      </c>
      <c r="L5699" s="3">
        <f>(Table1[[#This Row],[Profit]]/Table1[[#This Row],[Sales]])*100</f>
        <v>24.201124816258705</v>
      </c>
    </row>
    <row r="5700" spans="1:12" x14ac:dyDescent="0.3">
      <c r="A5700" t="s">
        <v>3260</v>
      </c>
      <c r="B5700" s="1">
        <v>43773</v>
      </c>
      <c r="C5700" t="s">
        <v>3002</v>
      </c>
      <c r="D5700" t="s">
        <v>3003</v>
      </c>
      <c r="E5700" t="s">
        <v>14</v>
      </c>
      <c r="F5700" t="s">
        <v>23</v>
      </c>
      <c r="G5700" t="s">
        <v>24</v>
      </c>
      <c r="H5700" t="s">
        <v>3262</v>
      </c>
      <c r="I5700" s="2">
        <v>629.18399999999997</v>
      </c>
      <c r="J5700">
        <v>8</v>
      </c>
      <c r="K5700" s="2">
        <v>228.07919999999999</v>
      </c>
      <c r="L5700" s="3">
        <f>(Table1[[#This Row],[Profit]]/Table1[[#This Row],[Sales]])*100</f>
        <v>36.25</v>
      </c>
    </row>
    <row r="5701" spans="1:12" x14ac:dyDescent="0.3">
      <c r="A5701" t="s">
        <v>3811</v>
      </c>
      <c r="B5701" s="1">
        <v>43814</v>
      </c>
      <c r="C5701" t="s">
        <v>3051</v>
      </c>
      <c r="D5701" t="s">
        <v>3052</v>
      </c>
      <c r="E5701" t="s">
        <v>14</v>
      </c>
      <c r="F5701" t="s">
        <v>29</v>
      </c>
      <c r="G5701" t="s">
        <v>16</v>
      </c>
      <c r="H5701" t="s">
        <v>3812</v>
      </c>
      <c r="I5701" s="2">
        <v>1652.94</v>
      </c>
      <c r="J5701">
        <v>3</v>
      </c>
      <c r="K5701" s="2">
        <v>231.41159999999999</v>
      </c>
      <c r="L5701" s="3">
        <f>(Table1[[#This Row],[Profit]]/Table1[[#This Row],[Sales]])*100</f>
        <v>13.999999999999998</v>
      </c>
    </row>
    <row r="5702" spans="1:12" x14ac:dyDescent="0.3">
      <c r="A5702" t="s">
        <v>3480</v>
      </c>
      <c r="B5702" s="1">
        <v>43789</v>
      </c>
      <c r="C5702" t="s">
        <v>2100</v>
      </c>
      <c r="D5702" t="s">
        <v>2101</v>
      </c>
      <c r="E5702" t="s">
        <v>14</v>
      </c>
      <c r="F5702" t="s">
        <v>29</v>
      </c>
      <c r="G5702" t="s">
        <v>18</v>
      </c>
      <c r="H5702" t="s">
        <v>3481</v>
      </c>
      <c r="I5702" s="2">
        <v>944.93</v>
      </c>
      <c r="J5702">
        <v>7</v>
      </c>
      <c r="K5702" s="2">
        <v>236.23249999999999</v>
      </c>
      <c r="L5702" s="3">
        <f>(Table1[[#This Row],[Profit]]/Table1[[#This Row],[Sales]])*100</f>
        <v>25</v>
      </c>
    </row>
    <row r="5703" spans="1:12" x14ac:dyDescent="0.3">
      <c r="A5703" t="s">
        <v>5739</v>
      </c>
      <c r="B5703" s="1">
        <v>44136</v>
      </c>
      <c r="C5703" t="s">
        <v>895</v>
      </c>
      <c r="D5703" t="s">
        <v>896</v>
      </c>
      <c r="E5703" t="s">
        <v>14</v>
      </c>
      <c r="F5703" t="s">
        <v>23</v>
      </c>
      <c r="G5703" t="s">
        <v>16</v>
      </c>
      <c r="H5703" t="s">
        <v>3728</v>
      </c>
      <c r="I5703" s="2">
        <v>2694.62</v>
      </c>
      <c r="J5703">
        <v>9</v>
      </c>
      <c r="K5703" s="2">
        <v>239.9058</v>
      </c>
      <c r="L5703" s="3">
        <f>(Table1[[#This Row],[Profit]]/Table1[[#This Row],[Sales]])*100</f>
        <v>8.9031403314753099</v>
      </c>
    </row>
    <row r="5704" spans="1:12" x14ac:dyDescent="0.3">
      <c r="A5704" t="s">
        <v>6259</v>
      </c>
      <c r="B5704" s="1">
        <v>44189</v>
      </c>
      <c r="C5704" t="s">
        <v>684</v>
      </c>
      <c r="D5704" t="s">
        <v>685</v>
      </c>
      <c r="E5704" t="s">
        <v>14</v>
      </c>
      <c r="F5704" t="s">
        <v>41</v>
      </c>
      <c r="G5704" t="s">
        <v>18</v>
      </c>
      <c r="H5704" t="s">
        <v>5837</v>
      </c>
      <c r="I5704" s="2">
        <v>711.97</v>
      </c>
      <c r="J5704">
        <v>3</v>
      </c>
      <c r="K5704" s="2">
        <v>239.98500000000001</v>
      </c>
      <c r="L5704" s="3">
        <f>(Table1[[#This Row],[Profit]]/Table1[[#This Row],[Sales]])*100</f>
        <v>33.707178673258703</v>
      </c>
    </row>
    <row r="5705" spans="1:12" x14ac:dyDescent="0.3">
      <c r="A5705" t="s">
        <v>6019</v>
      </c>
      <c r="B5705" s="1">
        <v>44161</v>
      </c>
      <c r="C5705" t="s">
        <v>1119</v>
      </c>
      <c r="D5705" t="s">
        <v>1120</v>
      </c>
      <c r="E5705" t="s">
        <v>14</v>
      </c>
      <c r="F5705" t="s">
        <v>29</v>
      </c>
      <c r="G5705" t="s">
        <v>16</v>
      </c>
      <c r="H5705" t="s">
        <v>639</v>
      </c>
      <c r="I5705" s="2">
        <v>843.6</v>
      </c>
      <c r="J5705">
        <v>3</v>
      </c>
      <c r="K5705" s="2">
        <v>240.29400000000001</v>
      </c>
      <c r="L5705" s="3">
        <f>(Table1[[#This Row],[Profit]]/Table1[[#This Row],[Sales]])*100</f>
        <v>28.484352773826458</v>
      </c>
    </row>
    <row r="5706" spans="1:12" x14ac:dyDescent="0.3">
      <c r="A5706" t="s">
        <v>1370</v>
      </c>
      <c r="B5706" s="1">
        <v>43600</v>
      </c>
      <c r="C5706" t="s">
        <v>1371</v>
      </c>
      <c r="D5706" t="s">
        <v>1372</v>
      </c>
      <c r="E5706" t="s">
        <v>14</v>
      </c>
      <c r="F5706" t="s">
        <v>41</v>
      </c>
      <c r="G5706" t="s">
        <v>24</v>
      </c>
      <c r="H5706" t="s">
        <v>1361</v>
      </c>
      <c r="I5706" s="2">
        <v>511.84</v>
      </c>
      <c r="J5706">
        <v>8</v>
      </c>
      <c r="K5706" s="2">
        <v>240.56479999999999</v>
      </c>
      <c r="L5706" s="3">
        <f>(Table1[[#This Row],[Profit]]/Table1[[#This Row],[Sales]])*100</f>
        <v>47</v>
      </c>
    </row>
    <row r="5707" spans="1:12" x14ac:dyDescent="0.3">
      <c r="A5707" t="s">
        <v>3389</v>
      </c>
      <c r="B5707" s="1">
        <v>43780</v>
      </c>
      <c r="C5707" t="s">
        <v>1451</v>
      </c>
      <c r="D5707" t="s">
        <v>1452</v>
      </c>
      <c r="E5707" t="s">
        <v>14</v>
      </c>
      <c r="F5707" t="s">
        <v>29</v>
      </c>
      <c r="G5707" t="s">
        <v>16</v>
      </c>
      <c r="H5707" t="s">
        <v>3390</v>
      </c>
      <c r="I5707" s="2">
        <v>2678.94</v>
      </c>
      <c r="J5707">
        <v>6</v>
      </c>
      <c r="K5707" s="2">
        <v>241.1046</v>
      </c>
      <c r="L5707" s="3">
        <f>(Table1[[#This Row],[Profit]]/Table1[[#This Row],[Sales]])*100</f>
        <v>9</v>
      </c>
    </row>
    <row r="5708" spans="1:12" x14ac:dyDescent="0.3">
      <c r="A5708" t="s">
        <v>2812</v>
      </c>
      <c r="B5708" s="1">
        <v>43727</v>
      </c>
      <c r="C5708" t="s">
        <v>578</v>
      </c>
      <c r="D5708" t="s">
        <v>579</v>
      </c>
      <c r="E5708" t="s">
        <v>14</v>
      </c>
      <c r="F5708" t="s">
        <v>15</v>
      </c>
      <c r="G5708" t="s">
        <v>16</v>
      </c>
      <c r="H5708" t="s">
        <v>2813</v>
      </c>
      <c r="I5708" s="2">
        <v>872.32</v>
      </c>
      <c r="J5708">
        <v>4</v>
      </c>
      <c r="K5708" s="2">
        <v>244.24959999999999</v>
      </c>
      <c r="L5708" s="3">
        <f>(Table1[[#This Row],[Profit]]/Table1[[#This Row],[Sales]])*100</f>
        <v>27.999999999999996</v>
      </c>
    </row>
    <row r="5709" spans="1:12" x14ac:dyDescent="0.3">
      <c r="A5709" t="s">
        <v>766</v>
      </c>
      <c r="B5709" s="1">
        <v>43549</v>
      </c>
      <c r="C5709" t="s">
        <v>174</v>
      </c>
      <c r="D5709" t="s">
        <v>175</v>
      </c>
      <c r="E5709" t="s">
        <v>14</v>
      </c>
      <c r="F5709" t="s">
        <v>29</v>
      </c>
      <c r="G5709" t="s">
        <v>18</v>
      </c>
      <c r="H5709" t="s">
        <v>767</v>
      </c>
      <c r="I5709" s="2">
        <v>1287.45</v>
      </c>
      <c r="J5709">
        <v>5</v>
      </c>
      <c r="K5709" s="2">
        <v>244.6155</v>
      </c>
      <c r="L5709" s="3">
        <f>(Table1[[#This Row],[Profit]]/Table1[[#This Row],[Sales]])*100</f>
        <v>19</v>
      </c>
    </row>
    <row r="5710" spans="1:12" x14ac:dyDescent="0.3">
      <c r="A5710" t="s">
        <v>4908</v>
      </c>
      <c r="B5710" s="1">
        <v>44009</v>
      </c>
      <c r="C5710" t="s">
        <v>2411</v>
      </c>
      <c r="D5710" t="s">
        <v>2412</v>
      </c>
      <c r="E5710" t="s">
        <v>14</v>
      </c>
      <c r="F5710" t="s">
        <v>23</v>
      </c>
      <c r="G5710" t="s">
        <v>18</v>
      </c>
      <c r="H5710" t="s">
        <v>767</v>
      </c>
      <c r="I5710" s="2">
        <v>1297.45</v>
      </c>
      <c r="J5710">
        <v>5</v>
      </c>
      <c r="K5710" s="2">
        <v>244.6155</v>
      </c>
      <c r="L5710" s="3">
        <f>(Table1[[#This Row],[Profit]]/Table1[[#This Row],[Sales]])*100</f>
        <v>18.853558904004007</v>
      </c>
    </row>
    <row r="5711" spans="1:12" x14ac:dyDescent="0.3">
      <c r="A5711" t="s">
        <v>5002</v>
      </c>
      <c r="B5711" s="1">
        <v>44023</v>
      </c>
      <c r="C5711" t="s">
        <v>305</v>
      </c>
      <c r="D5711" t="s">
        <v>306</v>
      </c>
      <c r="E5711" t="s">
        <v>14</v>
      </c>
      <c r="F5711" t="s">
        <v>23</v>
      </c>
      <c r="G5711" t="s">
        <v>18</v>
      </c>
      <c r="H5711" t="s">
        <v>767</v>
      </c>
      <c r="I5711" s="2">
        <v>1300.45</v>
      </c>
      <c r="J5711">
        <v>5</v>
      </c>
      <c r="K5711" s="2">
        <v>244.6155</v>
      </c>
      <c r="L5711" s="3">
        <f>(Table1[[#This Row],[Profit]]/Table1[[#This Row],[Sales]])*100</f>
        <v>18.810065746472375</v>
      </c>
    </row>
    <row r="5712" spans="1:12" x14ac:dyDescent="0.3">
      <c r="A5712" t="s">
        <v>5118</v>
      </c>
      <c r="B5712" s="1">
        <v>44049</v>
      </c>
      <c r="C5712" t="s">
        <v>876</v>
      </c>
      <c r="D5712" t="s">
        <v>877</v>
      </c>
      <c r="E5712" t="s">
        <v>14</v>
      </c>
      <c r="F5712" t="s">
        <v>15</v>
      </c>
      <c r="G5712" t="s">
        <v>18</v>
      </c>
      <c r="H5712" t="s">
        <v>4048</v>
      </c>
      <c r="I5712" s="2">
        <v>851.95</v>
      </c>
      <c r="J5712">
        <v>5</v>
      </c>
      <c r="K5712" s="2">
        <v>247.48500000000001</v>
      </c>
      <c r="L5712" s="3">
        <f>(Table1[[#This Row],[Profit]]/Table1[[#This Row],[Sales]])*100</f>
        <v>29.049239978871999</v>
      </c>
    </row>
    <row r="5713" spans="1:12" x14ac:dyDescent="0.3">
      <c r="A5713" t="s">
        <v>5225</v>
      </c>
      <c r="B5713" s="1">
        <v>44071</v>
      </c>
      <c r="C5713" t="s">
        <v>2140</v>
      </c>
      <c r="D5713" t="s">
        <v>2141</v>
      </c>
      <c r="E5713" t="s">
        <v>14</v>
      </c>
      <c r="F5713" t="s">
        <v>23</v>
      </c>
      <c r="G5713" t="s">
        <v>16</v>
      </c>
      <c r="H5713" t="s">
        <v>36</v>
      </c>
      <c r="I5713" s="2">
        <v>1176.75</v>
      </c>
      <c r="J5713">
        <v>5</v>
      </c>
      <c r="K5713" s="2">
        <v>250.30500000000001</v>
      </c>
      <c r="L5713" s="3">
        <f>(Table1[[#This Row],[Profit]]/Table1[[#This Row],[Sales]])*100</f>
        <v>21.270873167622689</v>
      </c>
    </row>
    <row r="5714" spans="1:12" x14ac:dyDescent="0.3">
      <c r="A5714" t="s">
        <v>4087</v>
      </c>
      <c r="B5714" s="1">
        <v>43860</v>
      </c>
      <c r="C5714" t="s">
        <v>1656</v>
      </c>
      <c r="D5714" t="s">
        <v>1657</v>
      </c>
      <c r="E5714" t="s">
        <v>14</v>
      </c>
      <c r="F5714" t="s">
        <v>29</v>
      </c>
      <c r="G5714" t="s">
        <v>18</v>
      </c>
      <c r="H5714" t="s">
        <v>2955</v>
      </c>
      <c r="I5714" s="2">
        <v>2015.1679999999999</v>
      </c>
      <c r="J5714">
        <v>4</v>
      </c>
      <c r="K5714" s="2">
        <v>250.39599999999999</v>
      </c>
      <c r="L5714" s="3">
        <f>(Table1[[#This Row],[Profit]]/Table1[[#This Row],[Sales]])*100</f>
        <v>12.425564518690253</v>
      </c>
    </row>
    <row r="5715" spans="1:12" x14ac:dyDescent="0.3">
      <c r="A5715" t="s">
        <v>6062</v>
      </c>
      <c r="B5715" s="1">
        <v>44166</v>
      </c>
      <c r="C5715" t="s">
        <v>4053</v>
      </c>
      <c r="D5715" t="s">
        <v>4054</v>
      </c>
      <c r="E5715" t="s">
        <v>14</v>
      </c>
      <c r="F5715" t="s">
        <v>15</v>
      </c>
      <c r="G5715" t="s">
        <v>16</v>
      </c>
      <c r="H5715" t="s">
        <v>4962</v>
      </c>
      <c r="I5715" s="2">
        <v>928.15</v>
      </c>
      <c r="J5715">
        <v>3</v>
      </c>
      <c r="K5715" s="2">
        <v>251.202</v>
      </c>
      <c r="L5715" s="3">
        <f>(Table1[[#This Row],[Profit]]/Table1[[#This Row],[Sales]])*100</f>
        <v>27.06480633518289</v>
      </c>
    </row>
    <row r="5716" spans="1:12" x14ac:dyDescent="0.3">
      <c r="A5716" t="s">
        <v>3097</v>
      </c>
      <c r="B5716" s="1">
        <v>43753</v>
      </c>
      <c r="C5716" t="s">
        <v>3098</v>
      </c>
      <c r="D5716" t="s">
        <v>3099</v>
      </c>
      <c r="E5716" t="s">
        <v>14</v>
      </c>
      <c r="F5716" t="s">
        <v>29</v>
      </c>
      <c r="G5716" t="s">
        <v>24</v>
      </c>
      <c r="H5716" t="s">
        <v>3100</v>
      </c>
      <c r="I5716" s="2">
        <v>868.59</v>
      </c>
      <c r="J5716">
        <v>3</v>
      </c>
      <c r="K5716" s="2">
        <v>251.89109999999999</v>
      </c>
      <c r="L5716" s="3">
        <f>(Table1[[#This Row],[Profit]]/Table1[[#This Row],[Sales]])*100</f>
        <v>28.999999999999996</v>
      </c>
    </row>
    <row r="5717" spans="1:12" x14ac:dyDescent="0.3">
      <c r="A5717" t="s">
        <v>2740</v>
      </c>
      <c r="B5717" s="1">
        <v>43722</v>
      </c>
      <c r="C5717" t="s">
        <v>1292</v>
      </c>
      <c r="D5717" t="s">
        <v>1293</v>
      </c>
      <c r="E5717" t="s">
        <v>14</v>
      </c>
      <c r="F5717" t="s">
        <v>15</v>
      </c>
      <c r="G5717" t="s">
        <v>24</v>
      </c>
      <c r="H5717" t="s">
        <v>2742</v>
      </c>
      <c r="I5717" s="2">
        <v>673.56799999999998</v>
      </c>
      <c r="J5717">
        <v>2</v>
      </c>
      <c r="K5717" s="2">
        <v>252.58799999999999</v>
      </c>
      <c r="L5717" s="3">
        <f>(Table1[[#This Row],[Profit]]/Table1[[#This Row],[Sales]])*100</f>
        <v>37.5</v>
      </c>
    </row>
    <row r="5718" spans="1:12" x14ac:dyDescent="0.3">
      <c r="A5718" t="s">
        <v>691</v>
      </c>
      <c r="B5718" s="1">
        <v>43541</v>
      </c>
      <c r="C5718" t="s">
        <v>692</v>
      </c>
      <c r="D5718" t="s">
        <v>693</v>
      </c>
      <c r="E5718" t="s">
        <v>14</v>
      </c>
      <c r="F5718" t="s">
        <v>15</v>
      </c>
      <c r="G5718" t="s">
        <v>16</v>
      </c>
      <c r="H5718" t="s">
        <v>696</v>
      </c>
      <c r="I5718" s="2">
        <v>971.5</v>
      </c>
      <c r="J5718">
        <v>5</v>
      </c>
      <c r="K5718" s="2">
        <v>252.59</v>
      </c>
      <c r="L5718" s="3">
        <f>(Table1[[#This Row],[Profit]]/Table1[[#This Row],[Sales]])*100</f>
        <v>26</v>
      </c>
    </row>
    <row r="5719" spans="1:12" x14ac:dyDescent="0.3">
      <c r="A5719" t="s">
        <v>5617</v>
      </c>
      <c r="B5719" s="1">
        <v>44117</v>
      </c>
      <c r="C5719" t="s">
        <v>1718</v>
      </c>
      <c r="D5719" t="s">
        <v>1719</v>
      </c>
      <c r="E5719" t="s">
        <v>14</v>
      </c>
      <c r="F5719" t="s">
        <v>15</v>
      </c>
      <c r="G5719" t="s">
        <v>24</v>
      </c>
      <c r="H5719" t="s">
        <v>4032</v>
      </c>
      <c r="I5719" s="2">
        <v>921.9</v>
      </c>
      <c r="J5719">
        <v>5</v>
      </c>
      <c r="K5719" s="2">
        <v>253.37200000000001</v>
      </c>
      <c r="L5719" s="3">
        <f>(Table1[[#This Row],[Profit]]/Table1[[#This Row],[Sales]])*100</f>
        <v>27.483675018982538</v>
      </c>
    </row>
    <row r="5720" spans="1:12" x14ac:dyDescent="0.3">
      <c r="A5720" t="s">
        <v>5369</v>
      </c>
      <c r="B5720" s="1">
        <v>44085</v>
      </c>
      <c r="C5720" t="s">
        <v>573</v>
      </c>
      <c r="D5720" t="s">
        <v>574</v>
      </c>
      <c r="E5720" t="s">
        <v>14</v>
      </c>
      <c r="F5720" t="s">
        <v>23</v>
      </c>
      <c r="G5720" t="s">
        <v>16</v>
      </c>
      <c r="H5720" t="s">
        <v>5370</v>
      </c>
      <c r="I5720" s="2">
        <v>2101.2719999999999</v>
      </c>
      <c r="J5720">
        <v>8</v>
      </c>
      <c r="K5720" s="2">
        <v>256.78399999999999</v>
      </c>
      <c r="L5720" s="3">
        <f>(Table1[[#This Row],[Profit]]/Table1[[#This Row],[Sales]])*100</f>
        <v>12.220407448440755</v>
      </c>
    </row>
    <row r="5721" spans="1:12" x14ac:dyDescent="0.3">
      <c r="A5721" t="s">
        <v>3898</v>
      </c>
      <c r="B5721" s="1">
        <v>43824</v>
      </c>
      <c r="C5721" t="s">
        <v>1130</v>
      </c>
      <c r="D5721" t="s">
        <v>1131</v>
      </c>
      <c r="E5721" t="s">
        <v>14</v>
      </c>
      <c r="F5721" t="s">
        <v>23</v>
      </c>
      <c r="G5721" t="s">
        <v>18</v>
      </c>
      <c r="H5721" t="s">
        <v>3899</v>
      </c>
      <c r="I5721" s="2">
        <v>575.94399999999996</v>
      </c>
      <c r="J5721">
        <v>7</v>
      </c>
      <c r="K5721" s="2">
        <v>257.59440000000001</v>
      </c>
      <c r="L5721" s="3">
        <f>(Table1[[#This Row],[Profit]]/Table1[[#This Row],[Sales]])*100</f>
        <v>44.725598322059099</v>
      </c>
    </row>
    <row r="5722" spans="1:12" x14ac:dyDescent="0.3">
      <c r="A5722" t="s">
        <v>6159</v>
      </c>
      <c r="B5722" s="1">
        <v>44175</v>
      </c>
      <c r="C5722" t="s">
        <v>1935</v>
      </c>
      <c r="D5722" t="s">
        <v>1936</v>
      </c>
      <c r="E5722" t="s">
        <v>14</v>
      </c>
      <c r="F5722" t="s">
        <v>41</v>
      </c>
      <c r="G5722" t="s">
        <v>18</v>
      </c>
      <c r="H5722" t="s">
        <v>3164</v>
      </c>
      <c r="I5722" s="2">
        <v>106.97</v>
      </c>
      <c r="J5722">
        <v>3</v>
      </c>
      <c r="K5722" s="2">
        <v>257.9871</v>
      </c>
      <c r="L5722" s="3">
        <f>(Table1[[#This Row],[Profit]]/Table1[[#This Row],[Sales]])*100</f>
        <v>241.17705898850144</v>
      </c>
    </row>
    <row r="5723" spans="1:12" x14ac:dyDescent="0.3">
      <c r="A5723" t="s">
        <v>2749</v>
      </c>
      <c r="B5723" s="1">
        <v>43723</v>
      </c>
      <c r="C5723" t="s">
        <v>2750</v>
      </c>
      <c r="D5723" t="s">
        <v>2751</v>
      </c>
      <c r="E5723" t="s">
        <v>14</v>
      </c>
      <c r="F5723" t="s">
        <v>23</v>
      </c>
      <c r="G5723" t="s">
        <v>16</v>
      </c>
      <c r="H5723" t="s">
        <v>1700</v>
      </c>
      <c r="I5723" s="2">
        <v>1128.3900000000001</v>
      </c>
      <c r="J5723">
        <v>3</v>
      </c>
      <c r="K5723" s="2">
        <v>259.52969999999999</v>
      </c>
      <c r="L5723" s="3">
        <f>(Table1[[#This Row],[Profit]]/Table1[[#This Row],[Sales]])*100</f>
        <v>23</v>
      </c>
    </row>
    <row r="5724" spans="1:12" x14ac:dyDescent="0.3">
      <c r="A5724" t="s">
        <v>6041</v>
      </c>
      <c r="B5724" s="1">
        <v>44165</v>
      </c>
      <c r="C5724" t="s">
        <v>4058</v>
      </c>
      <c r="D5724" t="s">
        <v>4059</v>
      </c>
      <c r="E5724" t="s">
        <v>14</v>
      </c>
      <c r="F5724" t="s">
        <v>15</v>
      </c>
      <c r="G5724" t="s">
        <v>16</v>
      </c>
      <c r="H5724" t="s">
        <v>639</v>
      </c>
      <c r="I5724" s="2">
        <v>1263.9000000000001</v>
      </c>
      <c r="J5724">
        <v>5</v>
      </c>
      <c r="K5724" s="2">
        <v>262.39</v>
      </c>
      <c r="L5724" s="3">
        <f>(Table1[[#This Row],[Profit]]/Table1[[#This Row],[Sales]])*100</f>
        <v>20.760344964000314</v>
      </c>
    </row>
    <row r="5725" spans="1:12" x14ac:dyDescent="0.3">
      <c r="A5725" t="s">
        <v>6021</v>
      </c>
      <c r="B5725" s="1">
        <v>44161</v>
      </c>
      <c r="C5725" t="s">
        <v>1384</v>
      </c>
      <c r="D5725" t="s">
        <v>1385</v>
      </c>
      <c r="E5725" t="s">
        <v>14</v>
      </c>
      <c r="F5725" t="s">
        <v>15</v>
      </c>
      <c r="G5725" t="s">
        <v>18</v>
      </c>
      <c r="H5725" t="s">
        <v>3721</v>
      </c>
      <c r="I5725" s="2">
        <v>996.95</v>
      </c>
      <c r="J5725">
        <v>5</v>
      </c>
      <c r="K5725" s="2">
        <v>264.5865</v>
      </c>
      <c r="L5725" s="3">
        <f>(Table1[[#This Row],[Profit]]/Table1[[#This Row],[Sales]])*100</f>
        <v>26.539595767089626</v>
      </c>
    </row>
    <row r="5726" spans="1:12" x14ac:dyDescent="0.3">
      <c r="A5726" t="s">
        <v>3128</v>
      </c>
      <c r="B5726" s="1">
        <v>43759</v>
      </c>
      <c r="C5726" t="s">
        <v>1359</v>
      </c>
      <c r="D5726" t="s">
        <v>1360</v>
      </c>
      <c r="E5726" t="s">
        <v>14</v>
      </c>
      <c r="F5726" t="s">
        <v>15</v>
      </c>
      <c r="G5726" t="s">
        <v>16</v>
      </c>
      <c r="H5726" t="s">
        <v>66</v>
      </c>
      <c r="I5726" s="2">
        <v>1043.92</v>
      </c>
      <c r="J5726">
        <v>4</v>
      </c>
      <c r="K5726" s="2">
        <v>271.41919999999999</v>
      </c>
      <c r="L5726" s="3">
        <f>(Table1[[#This Row],[Profit]]/Table1[[#This Row],[Sales]])*100</f>
        <v>25.999999999999996</v>
      </c>
    </row>
    <row r="5727" spans="1:12" x14ac:dyDescent="0.3">
      <c r="A5727" t="s">
        <v>1432</v>
      </c>
      <c r="B5727" s="1">
        <v>43605</v>
      </c>
      <c r="C5727" t="s">
        <v>554</v>
      </c>
      <c r="D5727" t="s">
        <v>555</v>
      </c>
      <c r="E5727" t="s">
        <v>14</v>
      </c>
      <c r="F5727" t="s">
        <v>23</v>
      </c>
      <c r="G5727" t="s">
        <v>16</v>
      </c>
      <c r="H5727" t="s">
        <v>1433</v>
      </c>
      <c r="I5727" s="2">
        <v>1049.2</v>
      </c>
      <c r="J5727">
        <v>5</v>
      </c>
      <c r="K5727" s="2">
        <v>272.79199999999997</v>
      </c>
      <c r="L5727" s="3">
        <f>(Table1[[#This Row],[Profit]]/Table1[[#This Row],[Sales]])*100</f>
        <v>25.999999999999996</v>
      </c>
    </row>
    <row r="5728" spans="1:12" x14ac:dyDescent="0.3">
      <c r="A5728" t="s">
        <v>6037</v>
      </c>
      <c r="B5728" s="1">
        <v>44163</v>
      </c>
      <c r="C5728" t="s">
        <v>2220</v>
      </c>
      <c r="D5728" t="s">
        <v>2221</v>
      </c>
      <c r="E5728" t="s">
        <v>14</v>
      </c>
      <c r="F5728" t="s">
        <v>15</v>
      </c>
      <c r="G5728" t="s">
        <v>16</v>
      </c>
      <c r="H5728" t="s">
        <v>1433</v>
      </c>
      <c r="I5728" s="2">
        <v>1081.2</v>
      </c>
      <c r="J5728">
        <v>5</v>
      </c>
      <c r="K5728" s="2">
        <v>272.79199999999997</v>
      </c>
      <c r="L5728" s="3">
        <f>(Table1[[#This Row],[Profit]]/Table1[[#This Row],[Sales]])*100</f>
        <v>25.230484646688861</v>
      </c>
    </row>
    <row r="5729" spans="1:12" x14ac:dyDescent="0.3">
      <c r="A5729" t="s">
        <v>3088</v>
      </c>
      <c r="B5729" s="1">
        <v>43752</v>
      </c>
      <c r="C5729" t="s">
        <v>2411</v>
      </c>
      <c r="D5729" t="s">
        <v>2412</v>
      </c>
      <c r="E5729" t="s">
        <v>14</v>
      </c>
      <c r="F5729" t="s">
        <v>15</v>
      </c>
      <c r="G5729" t="s">
        <v>18</v>
      </c>
      <c r="H5729" t="s">
        <v>318</v>
      </c>
      <c r="I5729" s="2">
        <v>1091.93</v>
      </c>
      <c r="J5729">
        <v>7</v>
      </c>
      <c r="K5729" s="2">
        <v>272.98250000000002</v>
      </c>
      <c r="L5729" s="3">
        <f>(Table1[[#This Row],[Profit]]/Table1[[#This Row],[Sales]])*100</f>
        <v>25</v>
      </c>
    </row>
    <row r="5730" spans="1:12" x14ac:dyDescent="0.3">
      <c r="A5730" t="s">
        <v>1546</v>
      </c>
      <c r="B5730" s="1">
        <v>43614</v>
      </c>
      <c r="C5730" t="s">
        <v>1547</v>
      </c>
      <c r="D5730" t="s">
        <v>1548</v>
      </c>
      <c r="E5730" t="s">
        <v>14</v>
      </c>
      <c r="F5730" t="s">
        <v>41</v>
      </c>
      <c r="G5730" t="s">
        <v>18</v>
      </c>
      <c r="H5730" t="s">
        <v>1549</v>
      </c>
      <c r="I5730" s="2">
        <v>979.95</v>
      </c>
      <c r="J5730">
        <v>5</v>
      </c>
      <c r="K5730" s="2">
        <v>274.38600000000002</v>
      </c>
      <c r="L5730" s="3">
        <f>(Table1[[#This Row],[Profit]]/Table1[[#This Row],[Sales]])*100</f>
        <v>28.000000000000004</v>
      </c>
    </row>
    <row r="5731" spans="1:12" x14ac:dyDescent="0.3">
      <c r="A5731" t="s">
        <v>5494</v>
      </c>
      <c r="B5731" s="1">
        <v>44098</v>
      </c>
      <c r="C5731" t="s">
        <v>305</v>
      </c>
      <c r="D5731" t="s">
        <v>306</v>
      </c>
      <c r="E5731" t="s">
        <v>14</v>
      </c>
      <c r="F5731" t="s">
        <v>29</v>
      </c>
      <c r="G5731" t="s">
        <v>18</v>
      </c>
      <c r="H5731" t="s">
        <v>4206</v>
      </c>
      <c r="I5731" s="2">
        <v>666.9</v>
      </c>
      <c r="J5731">
        <v>5</v>
      </c>
      <c r="K5731" s="2">
        <v>275.47800000000001</v>
      </c>
      <c r="L5731" s="3">
        <f>(Table1[[#This Row],[Profit]]/Table1[[#This Row],[Sales]])*100</f>
        <v>41.307242465137207</v>
      </c>
    </row>
    <row r="5732" spans="1:12" x14ac:dyDescent="0.3">
      <c r="A5732" t="s">
        <v>2068</v>
      </c>
      <c r="B5732" s="1">
        <v>43663</v>
      </c>
      <c r="C5732" t="s">
        <v>2069</v>
      </c>
      <c r="D5732" t="s">
        <v>2070</v>
      </c>
      <c r="E5732" t="s">
        <v>14</v>
      </c>
      <c r="F5732" t="s">
        <v>15</v>
      </c>
      <c r="G5732" t="s">
        <v>18</v>
      </c>
      <c r="H5732" t="s">
        <v>1654</v>
      </c>
      <c r="I5732" s="2">
        <v>597</v>
      </c>
      <c r="J5732">
        <v>3</v>
      </c>
      <c r="K5732" s="2">
        <v>280.58999999999997</v>
      </c>
      <c r="L5732" s="3">
        <f>(Table1[[#This Row],[Profit]]/Table1[[#This Row],[Sales]])*100</f>
        <v>47</v>
      </c>
    </row>
    <row r="5733" spans="1:12" x14ac:dyDescent="0.3">
      <c r="A5733" t="s">
        <v>2423</v>
      </c>
      <c r="B5733" s="1">
        <v>43700</v>
      </c>
      <c r="C5733" t="s">
        <v>2095</v>
      </c>
      <c r="D5733" t="s">
        <v>2096</v>
      </c>
      <c r="E5733" t="s">
        <v>14</v>
      </c>
      <c r="F5733" t="s">
        <v>15</v>
      </c>
      <c r="G5733" t="s">
        <v>24</v>
      </c>
      <c r="H5733" t="s">
        <v>1706</v>
      </c>
      <c r="I5733" s="2">
        <v>1040.8</v>
      </c>
      <c r="J5733">
        <v>5</v>
      </c>
      <c r="K5733" s="2">
        <v>281.01600000000002</v>
      </c>
      <c r="L5733" s="3">
        <f>(Table1[[#This Row],[Profit]]/Table1[[#This Row],[Sales]])*100</f>
        <v>27</v>
      </c>
    </row>
    <row r="5734" spans="1:12" x14ac:dyDescent="0.3">
      <c r="A5734" t="s">
        <v>3220</v>
      </c>
      <c r="B5734" s="1">
        <v>43769</v>
      </c>
      <c r="C5734" t="s">
        <v>197</v>
      </c>
      <c r="D5734" t="s">
        <v>198</v>
      </c>
      <c r="E5734" t="s">
        <v>14</v>
      </c>
      <c r="F5734" t="s">
        <v>23</v>
      </c>
      <c r="G5734" t="s">
        <v>24</v>
      </c>
      <c r="H5734" t="s">
        <v>3221</v>
      </c>
      <c r="I5734" s="2">
        <v>1085.42</v>
      </c>
      <c r="J5734">
        <v>7</v>
      </c>
      <c r="K5734" s="2">
        <v>282.20920000000001</v>
      </c>
      <c r="L5734" s="3">
        <f>(Table1[[#This Row],[Profit]]/Table1[[#This Row],[Sales]])*100</f>
        <v>26</v>
      </c>
    </row>
    <row r="5735" spans="1:12" x14ac:dyDescent="0.3">
      <c r="A5735" t="s">
        <v>4931</v>
      </c>
      <c r="B5735" s="1">
        <v>44012</v>
      </c>
      <c r="C5735" t="s">
        <v>4684</v>
      </c>
      <c r="D5735" t="s">
        <v>4685</v>
      </c>
      <c r="E5735" t="s">
        <v>14</v>
      </c>
      <c r="F5735" t="s">
        <v>15</v>
      </c>
      <c r="G5735" t="s">
        <v>24</v>
      </c>
      <c r="H5735" t="s">
        <v>3221</v>
      </c>
      <c r="I5735" s="2">
        <v>1130.42</v>
      </c>
      <c r="J5735">
        <v>7</v>
      </c>
      <c r="K5735" s="2">
        <v>282.20920000000001</v>
      </c>
      <c r="L5735" s="3">
        <f>(Table1[[#This Row],[Profit]]/Table1[[#This Row],[Sales]])*100</f>
        <v>24.964986465207623</v>
      </c>
    </row>
    <row r="5736" spans="1:12" x14ac:dyDescent="0.3">
      <c r="A5736" t="s">
        <v>6073</v>
      </c>
      <c r="B5736" s="1">
        <v>44167</v>
      </c>
      <c r="C5736" t="s">
        <v>1087</v>
      </c>
      <c r="D5736" t="s">
        <v>1088</v>
      </c>
      <c r="E5736" t="s">
        <v>14</v>
      </c>
      <c r="F5736" t="s">
        <v>15</v>
      </c>
      <c r="G5736" t="s">
        <v>18</v>
      </c>
      <c r="H5736" t="s">
        <v>3732</v>
      </c>
      <c r="I5736" s="2">
        <v>289.95</v>
      </c>
      <c r="J5736">
        <v>5</v>
      </c>
      <c r="K5736" s="2">
        <v>284.18549999999999</v>
      </c>
      <c r="L5736" s="3">
        <f>(Table1[[#This Row],[Profit]]/Table1[[#This Row],[Sales]])*100</f>
        <v>98.011898603207442</v>
      </c>
    </row>
    <row r="5737" spans="1:12" x14ac:dyDescent="0.3">
      <c r="A5737" t="s">
        <v>2303</v>
      </c>
      <c r="B5737" s="1">
        <v>43689</v>
      </c>
      <c r="C5737" t="s">
        <v>2304</v>
      </c>
      <c r="D5737" t="s">
        <v>2305</v>
      </c>
      <c r="E5737" t="s">
        <v>14</v>
      </c>
      <c r="F5737" t="s">
        <v>15</v>
      </c>
      <c r="G5737" t="s">
        <v>24</v>
      </c>
      <c r="H5737" t="s">
        <v>2076</v>
      </c>
      <c r="I5737" s="2">
        <v>1591.02</v>
      </c>
      <c r="J5737">
        <v>6</v>
      </c>
      <c r="K5737" s="2">
        <v>286.3836</v>
      </c>
      <c r="L5737" s="3">
        <f>(Table1[[#This Row],[Profit]]/Table1[[#This Row],[Sales]])*100</f>
        <v>18</v>
      </c>
    </row>
    <row r="5738" spans="1:12" x14ac:dyDescent="0.3">
      <c r="A5738" t="s">
        <v>5162</v>
      </c>
      <c r="B5738" s="1">
        <v>44061</v>
      </c>
      <c r="C5738" t="s">
        <v>4457</v>
      </c>
      <c r="D5738" t="s">
        <v>4458</v>
      </c>
      <c r="E5738" t="s">
        <v>14</v>
      </c>
      <c r="F5738" t="s">
        <v>23</v>
      </c>
      <c r="G5738" t="s">
        <v>24</v>
      </c>
      <c r="H5738" t="s">
        <v>1640</v>
      </c>
      <c r="I5738" s="2">
        <v>1032.02</v>
      </c>
      <c r="J5738">
        <v>7</v>
      </c>
      <c r="K5738" s="2">
        <v>290.00580000000002</v>
      </c>
      <c r="L5738" s="3">
        <f>(Table1[[#This Row],[Profit]]/Table1[[#This Row],[Sales]])*100</f>
        <v>28.100792620298058</v>
      </c>
    </row>
    <row r="5739" spans="1:12" x14ac:dyDescent="0.3">
      <c r="A5739" t="s">
        <v>6225</v>
      </c>
      <c r="B5739" s="1">
        <v>44186</v>
      </c>
      <c r="C5739" t="s">
        <v>4457</v>
      </c>
      <c r="D5739" t="s">
        <v>4458</v>
      </c>
      <c r="E5739" t="s">
        <v>14</v>
      </c>
      <c r="F5739" t="s">
        <v>23</v>
      </c>
      <c r="G5739" t="s">
        <v>24</v>
      </c>
      <c r="H5739" t="s">
        <v>1640</v>
      </c>
      <c r="I5739" s="2">
        <v>1305.02</v>
      </c>
      <c r="J5739">
        <v>7</v>
      </c>
      <c r="K5739" s="2">
        <v>290.00580000000002</v>
      </c>
      <c r="L5739" s="3">
        <f>(Table1[[#This Row],[Profit]]/Table1[[#This Row],[Sales]])*100</f>
        <v>22.222326094619241</v>
      </c>
    </row>
    <row r="5740" spans="1:12" x14ac:dyDescent="0.3">
      <c r="A5740" t="s">
        <v>1920</v>
      </c>
      <c r="B5740" s="1">
        <v>43646</v>
      </c>
      <c r="C5740" t="s">
        <v>1921</v>
      </c>
      <c r="D5740" t="s">
        <v>1922</v>
      </c>
      <c r="E5740" t="s">
        <v>14</v>
      </c>
      <c r="F5740" t="s">
        <v>41</v>
      </c>
      <c r="G5740" t="s">
        <v>16</v>
      </c>
      <c r="H5740" t="s">
        <v>1924</v>
      </c>
      <c r="I5740" s="2">
        <v>1266.8599999999999</v>
      </c>
      <c r="J5740">
        <v>7</v>
      </c>
      <c r="K5740" s="2">
        <v>291.37779999999998</v>
      </c>
      <c r="L5740" s="3">
        <f>(Table1[[#This Row],[Profit]]/Table1[[#This Row],[Sales]])*100</f>
        <v>23</v>
      </c>
    </row>
    <row r="5741" spans="1:12" x14ac:dyDescent="0.3">
      <c r="A5741" t="s">
        <v>842</v>
      </c>
      <c r="B5741" s="1">
        <v>43556</v>
      </c>
      <c r="C5741" t="s">
        <v>164</v>
      </c>
      <c r="D5741" t="s">
        <v>165</v>
      </c>
      <c r="E5741" t="s">
        <v>14</v>
      </c>
      <c r="F5741" t="s">
        <v>15</v>
      </c>
      <c r="G5741" t="s">
        <v>16</v>
      </c>
      <c r="H5741" t="s">
        <v>843</v>
      </c>
      <c r="I5741" s="2">
        <v>1317.492</v>
      </c>
      <c r="J5741">
        <v>6</v>
      </c>
      <c r="K5741" s="2">
        <v>292.77600000000001</v>
      </c>
      <c r="L5741" s="3">
        <f>(Table1[[#This Row],[Profit]]/Table1[[#This Row],[Sales]])*100</f>
        <v>22.222222222222225</v>
      </c>
    </row>
    <row r="5742" spans="1:12" x14ac:dyDescent="0.3">
      <c r="A5742" t="s">
        <v>5740</v>
      </c>
      <c r="B5742" s="1">
        <v>44137</v>
      </c>
      <c r="C5742" t="s">
        <v>837</v>
      </c>
      <c r="D5742" t="s">
        <v>838</v>
      </c>
      <c r="E5742" t="s">
        <v>14</v>
      </c>
      <c r="F5742" t="s">
        <v>41</v>
      </c>
      <c r="G5742" t="s">
        <v>16</v>
      </c>
      <c r="H5742" t="s">
        <v>843</v>
      </c>
      <c r="I5742" s="2">
        <v>1020.92</v>
      </c>
      <c r="J5742">
        <v>4</v>
      </c>
      <c r="K5742" s="2">
        <v>292.77600000000001</v>
      </c>
      <c r="L5742" s="3">
        <f>(Table1[[#This Row],[Profit]]/Table1[[#This Row],[Sales]])*100</f>
        <v>28.677663284096699</v>
      </c>
    </row>
    <row r="5743" spans="1:12" x14ac:dyDescent="0.3">
      <c r="A5743" t="s">
        <v>2745</v>
      </c>
      <c r="B5743" s="1">
        <v>43723</v>
      </c>
      <c r="C5743" t="s">
        <v>1883</v>
      </c>
      <c r="D5743" t="s">
        <v>1884</v>
      </c>
      <c r="E5743" t="s">
        <v>14</v>
      </c>
      <c r="F5743" t="s">
        <v>15</v>
      </c>
      <c r="G5743" t="s">
        <v>24</v>
      </c>
      <c r="H5743" t="s">
        <v>2746</v>
      </c>
      <c r="I5743" s="2">
        <v>841.56799999999998</v>
      </c>
      <c r="J5743">
        <v>2</v>
      </c>
      <c r="K5743" s="2">
        <v>294.54880000000003</v>
      </c>
      <c r="L5743" s="3">
        <f>(Table1[[#This Row],[Profit]]/Table1[[#This Row],[Sales]])*100</f>
        <v>35</v>
      </c>
    </row>
    <row r="5744" spans="1:12" x14ac:dyDescent="0.3">
      <c r="A5744" t="s">
        <v>5213</v>
      </c>
      <c r="B5744" s="1">
        <v>44070</v>
      </c>
      <c r="C5744" t="s">
        <v>754</v>
      </c>
      <c r="D5744" t="s">
        <v>755</v>
      </c>
      <c r="E5744" t="s">
        <v>14</v>
      </c>
      <c r="F5744" t="s">
        <v>23</v>
      </c>
      <c r="G5744" t="s">
        <v>24</v>
      </c>
      <c r="H5744" t="s">
        <v>2746</v>
      </c>
      <c r="I5744" s="2">
        <v>855.56799999999998</v>
      </c>
      <c r="J5744">
        <v>2</v>
      </c>
      <c r="K5744" s="2">
        <v>294.54880000000003</v>
      </c>
      <c r="L5744" s="3">
        <f>(Table1[[#This Row],[Profit]]/Table1[[#This Row],[Sales]])*100</f>
        <v>34.427281057730077</v>
      </c>
    </row>
    <row r="5745" spans="1:12" x14ac:dyDescent="0.3">
      <c r="A5745" t="s">
        <v>691</v>
      </c>
      <c r="B5745" s="1">
        <v>43541</v>
      </c>
      <c r="C5745" t="s">
        <v>692</v>
      </c>
      <c r="D5745" t="s">
        <v>693</v>
      </c>
      <c r="E5745" t="s">
        <v>14</v>
      </c>
      <c r="F5745" t="s">
        <v>15</v>
      </c>
      <c r="G5745" t="s">
        <v>24</v>
      </c>
      <c r="H5745" t="s">
        <v>695</v>
      </c>
      <c r="I5745" s="2">
        <v>901.95</v>
      </c>
      <c r="J5745">
        <v>3</v>
      </c>
      <c r="K5745" s="2">
        <v>297.64350000000002</v>
      </c>
      <c r="L5745" s="3">
        <f>(Table1[[#This Row],[Profit]]/Table1[[#This Row],[Sales]])*100</f>
        <v>33</v>
      </c>
    </row>
    <row r="5746" spans="1:12" x14ac:dyDescent="0.3">
      <c r="A5746" t="s">
        <v>3635</v>
      </c>
      <c r="B5746" s="1">
        <v>43800</v>
      </c>
      <c r="C5746" t="s">
        <v>3636</v>
      </c>
      <c r="D5746" t="s">
        <v>3637</v>
      </c>
      <c r="E5746" t="s">
        <v>14</v>
      </c>
      <c r="F5746" t="s">
        <v>15</v>
      </c>
      <c r="G5746" t="s">
        <v>24</v>
      </c>
      <c r="H5746" t="s">
        <v>695</v>
      </c>
      <c r="I5746" s="2">
        <v>901.95</v>
      </c>
      <c r="J5746">
        <v>3</v>
      </c>
      <c r="K5746" s="2">
        <v>297.64350000000002</v>
      </c>
      <c r="L5746" s="3">
        <f>(Table1[[#This Row],[Profit]]/Table1[[#This Row],[Sales]])*100</f>
        <v>33</v>
      </c>
    </row>
    <row r="5747" spans="1:12" x14ac:dyDescent="0.3">
      <c r="A5747" t="s">
        <v>3595</v>
      </c>
      <c r="B5747" s="1">
        <v>43795</v>
      </c>
      <c r="C5747" t="s">
        <v>279</v>
      </c>
      <c r="D5747" t="s">
        <v>280</v>
      </c>
      <c r="E5747" t="s">
        <v>14</v>
      </c>
      <c r="F5747" t="s">
        <v>23</v>
      </c>
      <c r="G5747" t="s">
        <v>16</v>
      </c>
      <c r="H5747" t="s">
        <v>1357</v>
      </c>
      <c r="I5747" s="2">
        <v>595.38</v>
      </c>
      <c r="J5747">
        <v>6</v>
      </c>
      <c r="K5747" s="2">
        <v>297.69</v>
      </c>
      <c r="L5747" s="3">
        <f>(Table1[[#This Row],[Profit]]/Table1[[#This Row],[Sales]])*100</f>
        <v>50</v>
      </c>
    </row>
    <row r="5748" spans="1:12" x14ac:dyDescent="0.3">
      <c r="A5748" t="s">
        <v>3773</v>
      </c>
      <c r="B5748" s="1">
        <v>43810</v>
      </c>
      <c r="C5748" t="s">
        <v>3477</v>
      </c>
      <c r="D5748" t="s">
        <v>3478</v>
      </c>
      <c r="E5748" t="s">
        <v>14</v>
      </c>
      <c r="F5748" t="s">
        <v>15</v>
      </c>
      <c r="G5748" t="s">
        <v>18</v>
      </c>
      <c r="H5748" t="s">
        <v>2657</v>
      </c>
      <c r="I5748" s="2">
        <v>1029.95</v>
      </c>
      <c r="J5748">
        <v>5</v>
      </c>
      <c r="K5748" s="2">
        <v>298.68549999999999</v>
      </c>
      <c r="L5748" s="3">
        <f>(Table1[[#This Row],[Profit]]/Table1[[#This Row],[Sales]])*100</f>
        <v>28.999999999999996</v>
      </c>
    </row>
    <row r="5749" spans="1:12" x14ac:dyDescent="0.3">
      <c r="A5749" t="s">
        <v>1576</v>
      </c>
      <c r="B5749" s="1">
        <v>43615</v>
      </c>
      <c r="C5749" t="s">
        <v>1577</v>
      </c>
      <c r="D5749" t="s">
        <v>1578</v>
      </c>
      <c r="E5749" t="s">
        <v>14</v>
      </c>
      <c r="F5749" t="s">
        <v>29</v>
      </c>
      <c r="G5749" t="s">
        <v>24</v>
      </c>
      <c r="H5749" t="s">
        <v>1520</v>
      </c>
      <c r="I5749" s="2">
        <v>629.1</v>
      </c>
      <c r="J5749">
        <v>6</v>
      </c>
      <c r="K5749" s="2">
        <v>301.96800000000002</v>
      </c>
      <c r="L5749" s="3">
        <f>(Table1[[#This Row],[Profit]]/Table1[[#This Row],[Sales]])*100</f>
        <v>48.000000000000007</v>
      </c>
    </row>
    <row r="5750" spans="1:12" x14ac:dyDescent="0.3">
      <c r="A5750" t="s">
        <v>6270</v>
      </c>
      <c r="B5750" s="1">
        <v>44190</v>
      </c>
      <c r="C5750" t="s">
        <v>2414</v>
      </c>
      <c r="D5750" t="s">
        <v>2415</v>
      </c>
      <c r="E5750" t="s">
        <v>14</v>
      </c>
      <c r="F5750" t="s">
        <v>41</v>
      </c>
      <c r="G5750" t="s">
        <v>24</v>
      </c>
      <c r="H5750" t="s">
        <v>1520</v>
      </c>
      <c r="I5750" s="2">
        <v>836.1</v>
      </c>
      <c r="J5750">
        <v>6</v>
      </c>
      <c r="K5750" s="2">
        <v>301.96800000000002</v>
      </c>
      <c r="L5750" s="3">
        <f>(Table1[[#This Row],[Profit]]/Table1[[#This Row],[Sales]])*100</f>
        <v>36.116254036598491</v>
      </c>
    </row>
    <row r="5751" spans="1:12" x14ac:dyDescent="0.3">
      <c r="A5751" t="s">
        <v>4459</v>
      </c>
      <c r="B5751" s="1">
        <v>43934</v>
      </c>
      <c r="C5751" t="s">
        <v>509</v>
      </c>
      <c r="D5751" t="s">
        <v>510</v>
      </c>
      <c r="E5751" t="s">
        <v>14</v>
      </c>
      <c r="F5751" t="s">
        <v>23</v>
      </c>
      <c r="G5751" t="s">
        <v>24</v>
      </c>
      <c r="H5751" t="s">
        <v>4249</v>
      </c>
      <c r="I5751" s="2">
        <v>925.92</v>
      </c>
      <c r="J5751">
        <v>5</v>
      </c>
      <c r="K5751" s="2">
        <v>302.37299999999999</v>
      </c>
      <c r="L5751" s="3">
        <f>(Table1[[#This Row],[Profit]]/Table1[[#This Row],[Sales]])*100</f>
        <v>32.656493001555212</v>
      </c>
    </row>
    <row r="5752" spans="1:12" x14ac:dyDescent="0.3">
      <c r="A5752" t="s">
        <v>4912</v>
      </c>
      <c r="B5752" s="1">
        <v>44011</v>
      </c>
      <c r="C5752" t="s">
        <v>118</v>
      </c>
      <c r="D5752" t="s">
        <v>119</v>
      </c>
      <c r="E5752" t="s">
        <v>14</v>
      </c>
      <c r="F5752" t="s">
        <v>23</v>
      </c>
      <c r="G5752" t="s">
        <v>24</v>
      </c>
      <c r="H5752" t="s">
        <v>4249</v>
      </c>
      <c r="I5752" s="2">
        <v>943.92</v>
      </c>
      <c r="J5752">
        <v>5</v>
      </c>
      <c r="K5752" s="2">
        <v>302.37299999999999</v>
      </c>
      <c r="L5752" s="3">
        <f>(Table1[[#This Row],[Profit]]/Table1[[#This Row],[Sales]])*100</f>
        <v>32.033752860411902</v>
      </c>
    </row>
    <row r="5753" spans="1:12" x14ac:dyDescent="0.3">
      <c r="A5753" t="s">
        <v>5158</v>
      </c>
      <c r="B5753" s="1">
        <v>44060</v>
      </c>
      <c r="C5753" t="s">
        <v>633</v>
      </c>
      <c r="D5753" t="s">
        <v>634</v>
      </c>
      <c r="E5753" t="s">
        <v>14</v>
      </c>
      <c r="F5753" t="s">
        <v>15</v>
      </c>
      <c r="G5753" t="s">
        <v>24</v>
      </c>
      <c r="H5753" t="s">
        <v>4249</v>
      </c>
      <c r="I5753" s="2">
        <v>933.92</v>
      </c>
      <c r="J5753">
        <v>5</v>
      </c>
      <c r="K5753" s="2">
        <v>302.37299999999999</v>
      </c>
      <c r="L5753" s="3">
        <f>(Table1[[#This Row],[Profit]]/Table1[[#This Row],[Sales]])*100</f>
        <v>32.376756039061164</v>
      </c>
    </row>
    <row r="5754" spans="1:12" x14ac:dyDescent="0.3">
      <c r="A5754" t="s">
        <v>1346</v>
      </c>
      <c r="B5754" s="1">
        <v>43597</v>
      </c>
      <c r="C5754" t="s">
        <v>1347</v>
      </c>
      <c r="D5754" t="s">
        <v>1348</v>
      </c>
      <c r="E5754" t="s">
        <v>14</v>
      </c>
      <c r="F5754" t="s">
        <v>15</v>
      </c>
      <c r="G5754" t="s">
        <v>18</v>
      </c>
      <c r="H5754" t="s">
        <v>1350</v>
      </c>
      <c r="I5754" s="2">
        <v>631.96</v>
      </c>
      <c r="J5754">
        <v>4</v>
      </c>
      <c r="K5754" s="2">
        <v>303.3408</v>
      </c>
      <c r="L5754" s="3">
        <f>(Table1[[#This Row],[Profit]]/Table1[[#This Row],[Sales]])*100</f>
        <v>48</v>
      </c>
    </row>
    <row r="5755" spans="1:12" x14ac:dyDescent="0.3">
      <c r="A5755" t="s">
        <v>2536</v>
      </c>
      <c r="B5755" s="1">
        <v>43710</v>
      </c>
      <c r="C5755" t="s">
        <v>1992</v>
      </c>
      <c r="D5755" t="s">
        <v>1993</v>
      </c>
      <c r="E5755" t="s">
        <v>14</v>
      </c>
      <c r="F5755" t="s">
        <v>41</v>
      </c>
      <c r="G5755" t="s">
        <v>18</v>
      </c>
      <c r="H5755" t="s">
        <v>2540</v>
      </c>
      <c r="I5755" s="2">
        <v>1012.68</v>
      </c>
      <c r="J5755">
        <v>3</v>
      </c>
      <c r="K5755" s="2">
        <v>303.80399999999997</v>
      </c>
      <c r="L5755" s="3">
        <f>(Table1[[#This Row],[Profit]]/Table1[[#This Row],[Sales]])*100</f>
        <v>30</v>
      </c>
    </row>
    <row r="5756" spans="1:12" x14ac:dyDescent="0.3">
      <c r="A5756" t="s">
        <v>6135</v>
      </c>
      <c r="B5756" s="1">
        <v>44173</v>
      </c>
      <c r="C5756" t="s">
        <v>2355</v>
      </c>
      <c r="D5756" t="s">
        <v>2356</v>
      </c>
      <c r="E5756" t="s">
        <v>14</v>
      </c>
      <c r="F5756" t="s">
        <v>29</v>
      </c>
      <c r="G5756" t="s">
        <v>24</v>
      </c>
      <c r="H5756" t="s">
        <v>708</v>
      </c>
      <c r="I5756" s="2">
        <v>1124.75</v>
      </c>
      <c r="J5756">
        <v>3</v>
      </c>
      <c r="K5756" s="2">
        <v>305.13</v>
      </c>
      <c r="L5756" s="3">
        <f>(Table1[[#This Row],[Profit]]/Table1[[#This Row],[Sales]])*100</f>
        <v>27.128695265614581</v>
      </c>
    </row>
    <row r="5757" spans="1:12" x14ac:dyDescent="0.3">
      <c r="A5757" t="s">
        <v>2726</v>
      </c>
      <c r="B5757" s="1">
        <v>43720</v>
      </c>
      <c r="C5757" t="s">
        <v>49</v>
      </c>
      <c r="D5757" t="s">
        <v>50</v>
      </c>
      <c r="E5757" t="s">
        <v>14</v>
      </c>
      <c r="F5757" t="s">
        <v>41</v>
      </c>
      <c r="G5757" t="s">
        <v>16</v>
      </c>
      <c r="H5757" t="s">
        <v>2727</v>
      </c>
      <c r="I5757" s="2">
        <v>1059.1199999999999</v>
      </c>
      <c r="J5757">
        <v>4</v>
      </c>
      <c r="K5757" s="2">
        <v>307.14479999999998</v>
      </c>
      <c r="L5757" s="3">
        <f>(Table1[[#This Row],[Profit]]/Table1[[#This Row],[Sales]])*100</f>
        <v>28.999999999999996</v>
      </c>
    </row>
    <row r="5758" spans="1:12" x14ac:dyDescent="0.3">
      <c r="A5758" t="s">
        <v>4919</v>
      </c>
      <c r="B5758" s="1">
        <v>44011</v>
      </c>
      <c r="C5758" t="s">
        <v>605</v>
      </c>
      <c r="D5758" t="s">
        <v>606</v>
      </c>
      <c r="E5758" t="s">
        <v>14</v>
      </c>
      <c r="F5758" t="s">
        <v>23</v>
      </c>
      <c r="G5758" t="s">
        <v>24</v>
      </c>
      <c r="H5758" t="s">
        <v>1068</v>
      </c>
      <c r="I5758" s="2">
        <v>1307.78</v>
      </c>
      <c r="J5758">
        <v>2</v>
      </c>
      <c r="K5758" s="2">
        <v>310.98719999999997</v>
      </c>
      <c r="L5758" s="3">
        <f>(Table1[[#This Row],[Profit]]/Table1[[#This Row],[Sales]])*100</f>
        <v>23.779779473611768</v>
      </c>
    </row>
    <row r="5759" spans="1:12" x14ac:dyDescent="0.3">
      <c r="A5759" t="s">
        <v>5758</v>
      </c>
      <c r="B5759" s="1">
        <v>44138</v>
      </c>
      <c r="C5759" t="s">
        <v>345</v>
      </c>
      <c r="D5759" t="s">
        <v>346</v>
      </c>
      <c r="E5759" t="s">
        <v>14</v>
      </c>
      <c r="F5759" t="s">
        <v>41</v>
      </c>
      <c r="G5759" t="s">
        <v>18</v>
      </c>
      <c r="H5759" t="s">
        <v>4055</v>
      </c>
      <c r="I5759" s="2">
        <v>995.98400000000004</v>
      </c>
      <c r="J5759">
        <v>2</v>
      </c>
      <c r="K5759" s="2">
        <v>311.9948</v>
      </c>
      <c r="L5759" s="3">
        <f>(Table1[[#This Row],[Profit]]/Table1[[#This Row],[Sales]])*100</f>
        <v>31.325282333852751</v>
      </c>
    </row>
    <row r="5760" spans="1:12" x14ac:dyDescent="0.3">
      <c r="A5760" t="s">
        <v>4021</v>
      </c>
      <c r="B5760" s="1">
        <v>43845</v>
      </c>
      <c r="C5760" t="s">
        <v>1559</v>
      </c>
      <c r="D5760" t="s">
        <v>1560</v>
      </c>
      <c r="E5760" t="s">
        <v>14</v>
      </c>
      <c r="F5760" t="s">
        <v>15</v>
      </c>
      <c r="G5760" t="s">
        <v>24</v>
      </c>
      <c r="H5760" t="s">
        <v>695</v>
      </c>
      <c r="I5760" s="2">
        <v>1942.16</v>
      </c>
      <c r="J5760">
        <v>8</v>
      </c>
      <c r="K5760" s="2">
        <v>312.67599999999999</v>
      </c>
      <c r="L5760" s="3">
        <f>(Table1[[#This Row],[Profit]]/Table1[[#This Row],[Sales]])*100</f>
        <v>16.099394488610621</v>
      </c>
    </row>
    <row r="5761" spans="1:12" x14ac:dyDescent="0.3">
      <c r="A5761" t="s">
        <v>3900</v>
      </c>
      <c r="B5761" s="1">
        <v>43824</v>
      </c>
      <c r="C5761" t="s">
        <v>1992</v>
      </c>
      <c r="D5761" t="s">
        <v>1993</v>
      </c>
      <c r="E5761" t="s">
        <v>14</v>
      </c>
      <c r="F5761" t="s">
        <v>15</v>
      </c>
      <c r="G5761" t="s">
        <v>16</v>
      </c>
      <c r="H5761" t="s">
        <v>2090</v>
      </c>
      <c r="I5761" s="2">
        <v>1563.056</v>
      </c>
      <c r="J5761">
        <v>8</v>
      </c>
      <c r="K5761" s="2">
        <v>313.26240000000001</v>
      </c>
      <c r="L5761" s="3">
        <f>(Table1[[#This Row],[Profit]]/Table1[[#This Row],[Sales]])*100</f>
        <v>20.041661975002814</v>
      </c>
    </row>
    <row r="5762" spans="1:12" x14ac:dyDescent="0.3">
      <c r="A5762" t="s">
        <v>6300</v>
      </c>
      <c r="B5762" s="1">
        <v>44194</v>
      </c>
      <c r="C5762" t="s">
        <v>1947</v>
      </c>
      <c r="D5762" t="s">
        <v>1948</v>
      </c>
      <c r="E5762" t="s">
        <v>14</v>
      </c>
      <c r="F5762" t="s">
        <v>41</v>
      </c>
      <c r="G5762" t="s">
        <v>16</v>
      </c>
      <c r="H5762" t="s">
        <v>2170</v>
      </c>
      <c r="I5762" s="2">
        <v>460.84</v>
      </c>
      <c r="J5762">
        <v>8</v>
      </c>
      <c r="K5762" s="2">
        <v>314.03840000000002</v>
      </c>
      <c r="L5762" s="3">
        <f>(Table1[[#This Row],[Profit]]/Table1[[#This Row],[Sales]])*100</f>
        <v>68.144779099036541</v>
      </c>
    </row>
    <row r="5763" spans="1:12" x14ac:dyDescent="0.3">
      <c r="A5763" t="s">
        <v>2628</v>
      </c>
      <c r="B5763" s="1">
        <v>43713</v>
      </c>
      <c r="C5763" t="s">
        <v>1125</v>
      </c>
      <c r="D5763" t="s">
        <v>1126</v>
      </c>
      <c r="E5763" t="s">
        <v>14</v>
      </c>
      <c r="F5763" t="s">
        <v>41</v>
      </c>
      <c r="G5763" t="s">
        <v>16</v>
      </c>
      <c r="H5763" t="s">
        <v>2630</v>
      </c>
      <c r="I5763" s="2">
        <v>1652.94</v>
      </c>
      <c r="J5763">
        <v>3</v>
      </c>
      <c r="K5763" s="2">
        <v>314.05860000000001</v>
      </c>
      <c r="L5763" s="3">
        <f>(Table1[[#This Row],[Profit]]/Table1[[#This Row],[Sales]])*100</f>
        <v>19</v>
      </c>
    </row>
    <row r="5764" spans="1:12" x14ac:dyDescent="0.3">
      <c r="A5764" t="s">
        <v>5515</v>
      </c>
      <c r="B5764" s="1">
        <v>44100</v>
      </c>
      <c r="C5764" t="s">
        <v>2066</v>
      </c>
      <c r="D5764" t="s">
        <v>2067</v>
      </c>
      <c r="E5764" t="s">
        <v>14</v>
      </c>
      <c r="F5764" t="s">
        <v>23</v>
      </c>
      <c r="G5764" t="s">
        <v>24</v>
      </c>
      <c r="H5764" t="s">
        <v>5172</v>
      </c>
      <c r="I5764" s="2">
        <v>947.17600000000004</v>
      </c>
      <c r="J5764">
        <v>3</v>
      </c>
      <c r="K5764" s="2">
        <v>314.27190000000002</v>
      </c>
      <c r="L5764" s="3">
        <f>(Table1[[#This Row],[Profit]]/Table1[[#This Row],[Sales]])*100</f>
        <v>33.17988420314704</v>
      </c>
    </row>
    <row r="5765" spans="1:12" x14ac:dyDescent="0.3">
      <c r="A5765" t="s">
        <v>5842</v>
      </c>
      <c r="B5765" s="1">
        <v>44145</v>
      </c>
      <c r="C5765" t="s">
        <v>2827</v>
      </c>
      <c r="D5765" t="s">
        <v>2828</v>
      </c>
      <c r="E5765" t="s">
        <v>14</v>
      </c>
      <c r="F5765" t="s">
        <v>15</v>
      </c>
      <c r="G5765" t="s">
        <v>24</v>
      </c>
      <c r="H5765" t="s">
        <v>5172</v>
      </c>
      <c r="I5765" s="2">
        <v>971.17600000000004</v>
      </c>
      <c r="J5765">
        <v>3</v>
      </c>
      <c r="K5765" s="2">
        <v>314.27190000000002</v>
      </c>
      <c r="L5765" s="3">
        <f>(Table1[[#This Row],[Profit]]/Table1[[#This Row],[Sales]])*100</f>
        <v>32.359932700149095</v>
      </c>
    </row>
    <row r="5766" spans="1:12" x14ac:dyDescent="0.3">
      <c r="A5766" t="s">
        <v>3716</v>
      </c>
      <c r="B5766" s="1">
        <v>43805</v>
      </c>
      <c r="C5766" t="s">
        <v>1808</v>
      </c>
      <c r="D5766" t="s">
        <v>1809</v>
      </c>
      <c r="E5766" t="s">
        <v>14</v>
      </c>
      <c r="F5766" t="s">
        <v>15</v>
      </c>
      <c r="G5766" t="s">
        <v>24</v>
      </c>
      <c r="H5766" t="s">
        <v>642</v>
      </c>
      <c r="I5766" s="2">
        <v>968.74400000000003</v>
      </c>
      <c r="J5766">
        <v>7</v>
      </c>
      <c r="K5766" s="2">
        <v>314.84179999999998</v>
      </c>
      <c r="L5766" s="3">
        <f>(Table1[[#This Row],[Profit]]/Table1[[#This Row],[Sales]])*100</f>
        <v>32.499999999999993</v>
      </c>
    </row>
    <row r="5767" spans="1:12" x14ac:dyDescent="0.3">
      <c r="A5767" t="s">
        <v>3618</v>
      </c>
      <c r="B5767" s="1">
        <v>43797</v>
      </c>
      <c r="C5767" t="s">
        <v>497</v>
      </c>
      <c r="D5767" t="s">
        <v>498</v>
      </c>
      <c r="E5767" t="s">
        <v>14</v>
      </c>
      <c r="F5767" t="s">
        <v>41</v>
      </c>
      <c r="G5767" t="s">
        <v>24</v>
      </c>
      <c r="H5767" t="s">
        <v>3621</v>
      </c>
      <c r="I5767" s="2">
        <v>1263.3</v>
      </c>
      <c r="J5767">
        <v>6</v>
      </c>
      <c r="K5767" s="2">
        <v>315.82499999999999</v>
      </c>
      <c r="L5767" s="3">
        <f>(Table1[[#This Row],[Profit]]/Table1[[#This Row],[Sales]])*100</f>
        <v>25</v>
      </c>
    </row>
    <row r="5768" spans="1:12" x14ac:dyDescent="0.3">
      <c r="A5768" t="s">
        <v>5469</v>
      </c>
      <c r="B5768" s="1">
        <v>44096</v>
      </c>
      <c r="C5768" t="s">
        <v>3041</v>
      </c>
      <c r="D5768" t="s">
        <v>3042</v>
      </c>
      <c r="E5768" t="s">
        <v>14</v>
      </c>
      <c r="F5768" t="s">
        <v>41</v>
      </c>
      <c r="G5768" t="s">
        <v>24</v>
      </c>
      <c r="H5768" t="s">
        <v>642</v>
      </c>
      <c r="I5768" s="2">
        <v>720.96</v>
      </c>
      <c r="J5768">
        <v>4</v>
      </c>
      <c r="K5768" s="2">
        <v>318.30160000000001</v>
      </c>
      <c r="L5768" s="3">
        <f>(Table1[[#This Row],[Profit]]/Table1[[#This Row],[Sales]])*100</f>
        <v>44.149689303151348</v>
      </c>
    </row>
    <row r="5769" spans="1:12" x14ac:dyDescent="0.3">
      <c r="A5769" t="s">
        <v>1258</v>
      </c>
      <c r="B5769" s="1">
        <v>43590</v>
      </c>
      <c r="C5769" t="s">
        <v>1259</v>
      </c>
      <c r="D5769" t="s">
        <v>1260</v>
      </c>
      <c r="E5769" t="s">
        <v>14</v>
      </c>
      <c r="F5769" t="s">
        <v>23</v>
      </c>
      <c r="G5769" t="s">
        <v>16</v>
      </c>
      <c r="H5769" t="s">
        <v>1261</v>
      </c>
      <c r="I5769" s="2">
        <v>1685.88</v>
      </c>
      <c r="J5769">
        <v>6</v>
      </c>
      <c r="K5769" s="2">
        <v>320.31720000000001</v>
      </c>
      <c r="L5769" s="3">
        <f>(Table1[[#This Row],[Profit]]/Table1[[#This Row],[Sales]])*100</f>
        <v>19</v>
      </c>
    </row>
    <row r="5770" spans="1:12" x14ac:dyDescent="0.3">
      <c r="A5770" t="s">
        <v>5254</v>
      </c>
      <c r="B5770" s="1">
        <v>44076</v>
      </c>
      <c r="C5770" t="s">
        <v>124</v>
      </c>
      <c r="D5770" t="s">
        <v>125</v>
      </c>
      <c r="E5770" t="s">
        <v>14</v>
      </c>
      <c r="F5770" t="s">
        <v>29</v>
      </c>
      <c r="G5770" t="s">
        <v>18</v>
      </c>
      <c r="H5770" t="s">
        <v>641</v>
      </c>
      <c r="I5770" s="2">
        <v>1240.8</v>
      </c>
      <c r="J5770">
        <v>4</v>
      </c>
      <c r="K5770" s="2">
        <v>323.94600000000003</v>
      </c>
      <c r="L5770" s="3">
        <f>(Table1[[#This Row],[Profit]]/Table1[[#This Row],[Sales]])*100</f>
        <v>26.107833655705999</v>
      </c>
    </row>
    <row r="5771" spans="1:12" x14ac:dyDescent="0.3">
      <c r="A5771" t="s">
        <v>5383</v>
      </c>
      <c r="B5771" s="1">
        <v>44088</v>
      </c>
      <c r="C5771" t="s">
        <v>5384</v>
      </c>
      <c r="D5771" t="s">
        <v>5385</v>
      </c>
      <c r="E5771" t="s">
        <v>14</v>
      </c>
      <c r="F5771" t="s">
        <v>15</v>
      </c>
      <c r="G5771" t="s">
        <v>18</v>
      </c>
      <c r="H5771" t="s">
        <v>516</v>
      </c>
      <c r="I5771" s="2">
        <v>1125.8499999999999</v>
      </c>
      <c r="J5771">
        <v>3</v>
      </c>
      <c r="K5771" s="2">
        <v>323.95499999999998</v>
      </c>
      <c r="L5771" s="3">
        <f>(Table1[[#This Row],[Profit]]/Table1[[#This Row],[Sales]])*100</f>
        <v>28.77425944841675</v>
      </c>
    </row>
    <row r="5772" spans="1:12" x14ac:dyDescent="0.3">
      <c r="A5772" t="s">
        <v>5203</v>
      </c>
      <c r="B5772" s="1">
        <v>44066</v>
      </c>
      <c r="C5772" t="s">
        <v>2500</v>
      </c>
      <c r="D5772" t="s">
        <v>2501</v>
      </c>
      <c r="E5772" t="s">
        <v>14</v>
      </c>
      <c r="F5772" t="s">
        <v>41</v>
      </c>
      <c r="G5772" t="s">
        <v>18</v>
      </c>
      <c r="H5772" t="s">
        <v>1652</v>
      </c>
      <c r="I5772" s="2">
        <v>4395.8959999999997</v>
      </c>
      <c r="J5772">
        <v>13</v>
      </c>
      <c r="K5772" s="2">
        <v>327.59219999999999</v>
      </c>
      <c r="L5772" s="3">
        <f>(Table1[[#This Row],[Profit]]/Table1[[#This Row],[Sales]])*100</f>
        <v>7.4522281691832575</v>
      </c>
    </row>
    <row r="5773" spans="1:12" x14ac:dyDescent="0.3">
      <c r="A5773" t="s">
        <v>5964</v>
      </c>
      <c r="B5773" s="1">
        <v>44155</v>
      </c>
      <c r="C5773" t="s">
        <v>3945</v>
      </c>
      <c r="D5773" t="s">
        <v>3946</v>
      </c>
      <c r="E5773" t="s">
        <v>14</v>
      </c>
      <c r="F5773" t="s">
        <v>15</v>
      </c>
      <c r="G5773" t="s">
        <v>18</v>
      </c>
      <c r="H5773" t="s">
        <v>1652</v>
      </c>
      <c r="I5773" s="2">
        <v>1289.97</v>
      </c>
      <c r="J5773">
        <v>3</v>
      </c>
      <c r="K5773" s="2">
        <v>327.59219999999999</v>
      </c>
      <c r="L5773" s="3">
        <f>(Table1[[#This Row],[Profit]]/Table1[[#This Row],[Sales]])*100</f>
        <v>25.39533477522733</v>
      </c>
    </row>
    <row r="5774" spans="1:12" x14ac:dyDescent="0.3">
      <c r="A5774" t="s">
        <v>3575</v>
      </c>
      <c r="B5774" s="1">
        <v>43794</v>
      </c>
      <c r="C5774" t="s">
        <v>3373</v>
      </c>
      <c r="D5774" t="s">
        <v>3374</v>
      </c>
      <c r="E5774" t="s">
        <v>14</v>
      </c>
      <c r="F5774" t="s">
        <v>29</v>
      </c>
      <c r="G5774" t="s">
        <v>16</v>
      </c>
      <c r="H5774" t="s">
        <v>200</v>
      </c>
      <c r="I5774" s="2">
        <v>1568.61</v>
      </c>
      <c r="J5774">
        <v>9</v>
      </c>
      <c r="K5774" s="2">
        <v>329.40809999999999</v>
      </c>
      <c r="L5774" s="3">
        <f>(Table1[[#This Row],[Profit]]/Table1[[#This Row],[Sales]])*100</f>
        <v>21.000000000000004</v>
      </c>
    </row>
    <row r="5775" spans="1:12" x14ac:dyDescent="0.3">
      <c r="A5775" t="s">
        <v>5213</v>
      </c>
      <c r="B5775" s="1">
        <v>44070</v>
      </c>
      <c r="C5775" t="s">
        <v>754</v>
      </c>
      <c r="D5775" t="s">
        <v>755</v>
      </c>
      <c r="E5775" t="s">
        <v>14</v>
      </c>
      <c r="F5775" t="s">
        <v>23</v>
      </c>
      <c r="G5775" t="s">
        <v>18</v>
      </c>
      <c r="H5775" t="s">
        <v>5216</v>
      </c>
      <c r="I5775" s="2">
        <v>889.98400000000004</v>
      </c>
      <c r="J5775">
        <v>2</v>
      </c>
      <c r="K5775" s="2">
        <v>329.99400000000003</v>
      </c>
      <c r="L5775" s="3">
        <f>(Table1[[#This Row],[Profit]]/Table1[[#This Row],[Sales]])*100</f>
        <v>37.078644110455919</v>
      </c>
    </row>
    <row r="5776" spans="1:12" x14ac:dyDescent="0.3">
      <c r="A5776" t="s">
        <v>2993</v>
      </c>
      <c r="B5776" s="1">
        <v>43740</v>
      </c>
      <c r="C5776" t="s">
        <v>2994</v>
      </c>
      <c r="D5776" t="s">
        <v>2995</v>
      </c>
      <c r="E5776" t="s">
        <v>14</v>
      </c>
      <c r="F5776" t="s">
        <v>29</v>
      </c>
      <c r="G5776" t="s">
        <v>24</v>
      </c>
      <c r="H5776" t="s">
        <v>869</v>
      </c>
      <c r="I5776" s="2">
        <v>735.98</v>
      </c>
      <c r="J5776">
        <v>2</v>
      </c>
      <c r="K5776" s="2">
        <v>331.19099999999997</v>
      </c>
      <c r="L5776" s="3">
        <f>(Table1[[#This Row],[Profit]]/Table1[[#This Row],[Sales]])*100</f>
        <v>44.999999999999993</v>
      </c>
    </row>
    <row r="5777" spans="1:12" x14ac:dyDescent="0.3">
      <c r="A5777" t="s">
        <v>5034</v>
      </c>
      <c r="B5777" s="1">
        <v>44032</v>
      </c>
      <c r="C5777" t="s">
        <v>253</v>
      </c>
      <c r="D5777" t="s">
        <v>254</v>
      </c>
      <c r="E5777" t="s">
        <v>14</v>
      </c>
      <c r="F5777" t="s">
        <v>29</v>
      </c>
      <c r="G5777" t="s">
        <v>24</v>
      </c>
      <c r="H5777" t="s">
        <v>869</v>
      </c>
      <c r="I5777" s="2">
        <v>746.98</v>
      </c>
      <c r="J5777">
        <v>2</v>
      </c>
      <c r="K5777" s="2">
        <v>331.19099999999997</v>
      </c>
      <c r="L5777" s="3">
        <f>(Table1[[#This Row],[Profit]]/Table1[[#This Row],[Sales]])*100</f>
        <v>44.337331655466002</v>
      </c>
    </row>
    <row r="5778" spans="1:12" x14ac:dyDescent="0.3">
      <c r="A5778" t="s">
        <v>6171</v>
      </c>
      <c r="B5778" s="1">
        <v>44176</v>
      </c>
      <c r="C5778" t="s">
        <v>5954</v>
      </c>
      <c r="D5778" t="s">
        <v>5955</v>
      </c>
      <c r="E5778" t="s">
        <v>14</v>
      </c>
      <c r="F5778" t="s">
        <v>15</v>
      </c>
      <c r="G5778" t="s">
        <v>24</v>
      </c>
      <c r="H5778" t="s">
        <v>869</v>
      </c>
      <c r="I5778" s="2">
        <v>1055.98</v>
      </c>
      <c r="J5778">
        <v>2</v>
      </c>
      <c r="K5778" s="2">
        <v>331.19099999999997</v>
      </c>
      <c r="L5778" s="3">
        <f>(Table1[[#This Row],[Profit]]/Table1[[#This Row],[Sales]])*100</f>
        <v>31.363378094282083</v>
      </c>
    </row>
    <row r="5779" spans="1:12" x14ac:dyDescent="0.3">
      <c r="A5779" t="s">
        <v>1755</v>
      </c>
      <c r="B5779" s="1">
        <v>43630</v>
      </c>
      <c r="C5779" t="s">
        <v>1756</v>
      </c>
      <c r="D5779" t="s">
        <v>1757</v>
      </c>
      <c r="E5779" t="s">
        <v>14</v>
      </c>
      <c r="F5779" t="s">
        <v>23</v>
      </c>
      <c r="G5779" t="s">
        <v>16</v>
      </c>
      <c r="H5779" t="s">
        <v>625</v>
      </c>
      <c r="I5779" s="2">
        <v>1115.17</v>
      </c>
      <c r="J5779">
        <v>7</v>
      </c>
      <c r="K5779" s="2">
        <v>334.55099999999999</v>
      </c>
      <c r="L5779" s="3">
        <f>(Table1[[#This Row],[Profit]]/Table1[[#This Row],[Sales]])*100</f>
        <v>30</v>
      </c>
    </row>
    <row r="5780" spans="1:12" x14ac:dyDescent="0.3">
      <c r="A5780" t="s">
        <v>4258</v>
      </c>
      <c r="B5780" s="1">
        <v>43903</v>
      </c>
      <c r="C5780" t="s">
        <v>1935</v>
      </c>
      <c r="D5780" t="s">
        <v>1936</v>
      </c>
      <c r="E5780" t="s">
        <v>14</v>
      </c>
      <c r="F5780" t="s">
        <v>29</v>
      </c>
      <c r="G5780" t="s">
        <v>18</v>
      </c>
      <c r="H5780" t="s">
        <v>2172</v>
      </c>
      <c r="I5780" s="2">
        <v>1004.984</v>
      </c>
      <c r="J5780">
        <v>2</v>
      </c>
      <c r="K5780" s="2">
        <v>335.99439999999998</v>
      </c>
      <c r="L5780" s="3">
        <f>(Table1[[#This Row],[Profit]]/Table1[[#This Row],[Sales]])*100</f>
        <v>33.43281087062082</v>
      </c>
    </row>
    <row r="5781" spans="1:12" x14ac:dyDescent="0.3">
      <c r="A5781" t="s">
        <v>883</v>
      </c>
      <c r="B5781" s="1">
        <v>43561</v>
      </c>
      <c r="C5781" t="s">
        <v>884</v>
      </c>
      <c r="D5781" t="s">
        <v>885</v>
      </c>
      <c r="E5781" t="s">
        <v>14</v>
      </c>
      <c r="F5781" t="s">
        <v>15</v>
      </c>
      <c r="G5781" t="s">
        <v>18</v>
      </c>
      <c r="H5781" t="s">
        <v>886</v>
      </c>
      <c r="I5781" s="2">
        <v>1294.75</v>
      </c>
      <c r="J5781">
        <v>5</v>
      </c>
      <c r="K5781" s="2">
        <v>336.63499999999999</v>
      </c>
      <c r="L5781" s="3">
        <f>(Table1[[#This Row],[Profit]]/Table1[[#This Row],[Sales]])*100</f>
        <v>26</v>
      </c>
    </row>
    <row r="5782" spans="1:12" x14ac:dyDescent="0.3">
      <c r="A5782" t="s">
        <v>4131</v>
      </c>
      <c r="B5782" s="1">
        <v>43874</v>
      </c>
      <c r="C5782" t="s">
        <v>4132</v>
      </c>
      <c r="D5782" t="s">
        <v>4133</v>
      </c>
      <c r="E5782" t="s">
        <v>14</v>
      </c>
      <c r="F5782" t="s">
        <v>23</v>
      </c>
      <c r="G5782" t="s">
        <v>18</v>
      </c>
      <c r="H5782" t="s">
        <v>3164</v>
      </c>
      <c r="I5782" s="2">
        <v>835.96</v>
      </c>
      <c r="J5782">
        <v>4</v>
      </c>
      <c r="K5782" s="2">
        <v>343.9828</v>
      </c>
      <c r="L5782" s="3">
        <f>(Table1[[#This Row],[Profit]]/Table1[[#This Row],[Sales]])*100</f>
        <v>41.148236757739603</v>
      </c>
    </row>
    <row r="5783" spans="1:12" x14ac:dyDescent="0.3">
      <c r="A5783" t="s">
        <v>5618</v>
      </c>
      <c r="B5783" s="1">
        <v>44117</v>
      </c>
      <c r="C5783" t="s">
        <v>4180</v>
      </c>
      <c r="D5783" t="s">
        <v>4181</v>
      </c>
      <c r="E5783" t="s">
        <v>14</v>
      </c>
      <c r="F5783" t="s">
        <v>41</v>
      </c>
      <c r="G5783" t="s">
        <v>16</v>
      </c>
      <c r="H5783" t="s">
        <v>1700</v>
      </c>
      <c r="I5783" s="2">
        <v>1551.52</v>
      </c>
      <c r="J5783">
        <v>4</v>
      </c>
      <c r="K5783" s="2">
        <v>346.03960000000001</v>
      </c>
      <c r="L5783" s="3">
        <f>(Table1[[#This Row],[Profit]]/Table1[[#This Row],[Sales]])*100</f>
        <v>22.303263896050325</v>
      </c>
    </row>
    <row r="5784" spans="1:12" x14ac:dyDescent="0.3">
      <c r="A5784" t="s">
        <v>5926</v>
      </c>
      <c r="B5784" s="1">
        <v>44152</v>
      </c>
      <c r="C5784" t="s">
        <v>3138</v>
      </c>
      <c r="D5784" t="s">
        <v>3139</v>
      </c>
      <c r="E5784" t="s">
        <v>14</v>
      </c>
      <c r="F5784" t="s">
        <v>15</v>
      </c>
      <c r="G5784" t="s">
        <v>24</v>
      </c>
      <c r="H5784" t="s">
        <v>3658</v>
      </c>
      <c r="I5784" s="2">
        <v>1295.6400000000001</v>
      </c>
      <c r="J5784">
        <v>3</v>
      </c>
      <c r="K5784" s="2">
        <v>349.33920000000001</v>
      </c>
      <c r="L5784" s="3">
        <f>(Table1[[#This Row],[Profit]]/Table1[[#This Row],[Sales]])*100</f>
        <v>26.96267481707882</v>
      </c>
    </row>
    <row r="5785" spans="1:12" x14ac:dyDescent="0.3">
      <c r="A5785" t="s">
        <v>33</v>
      </c>
      <c r="B5785" s="1">
        <v>43468</v>
      </c>
      <c r="C5785" t="s">
        <v>34</v>
      </c>
      <c r="D5785" t="s">
        <v>35</v>
      </c>
      <c r="E5785" t="s">
        <v>14</v>
      </c>
      <c r="F5785" t="s">
        <v>29</v>
      </c>
      <c r="G5785" t="s">
        <v>16</v>
      </c>
      <c r="H5785" t="s">
        <v>36</v>
      </c>
      <c r="I5785" s="2">
        <v>1592.85</v>
      </c>
      <c r="J5785">
        <v>7</v>
      </c>
      <c r="K5785" s="2">
        <v>350.42700000000002</v>
      </c>
      <c r="L5785" s="3">
        <f>(Table1[[#This Row],[Profit]]/Table1[[#This Row],[Sales]])*100</f>
        <v>22.000000000000004</v>
      </c>
    </row>
    <row r="5786" spans="1:12" x14ac:dyDescent="0.3">
      <c r="A5786" t="s">
        <v>5450</v>
      </c>
      <c r="B5786" s="1">
        <v>44094</v>
      </c>
      <c r="C5786" t="s">
        <v>1698</v>
      </c>
      <c r="D5786" t="s">
        <v>1699</v>
      </c>
      <c r="E5786" t="s">
        <v>14</v>
      </c>
      <c r="F5786" t="s">
        <v>15</v>
      </c>
      <c r="G5786" t="s">
        <v>18</v>
      </c>
      <c r="H5786" t="s">
        <v>576</v>
      </c>
      <c r="I5786" s="2">
        <v>1344.66</v>
      </c>
      <c r="J5786">
        <v>2</v>
      </c>
      <c r="K5786" s="2">
        <v>350.90820000000002</v>
      </c>
      <c r="L5786" s="3">
        <f>(Table1[[#This Row],[Profit]]/Table1[[#This Row],[Sales]])*100</f>
        <v>26.096425862299768</v>
      </c>
    </row>
    <row r="5787" spans="1:12" x14ac:dyDescent="0.3">
      <c r="A5787" t="s">
        <v>5828</v>
      </c>
      <c r="B5787" s="1">
        <v>44144</v>
      </c>
      <c r="C5787" t="s">
        <v>2950</v>
      </c>
      <c r="D5787" t="s">
        <v>2951</v>
      </c>
      <c r="E5787" t="s">
        <v>14</v>
      </c>
      <c r="F5787" t="s">
        <v>15</v>
      </c>
      <c r="G5787" t="s">
        <v>18</v>
      </c>
      <c r="H5787" t="s">
        <v>5256</v>
      </c>
      <c r="I5787" s="2">
        <v>55.62</v>
      </c>
      <c r="J5787">
        <v>3</v>
      </c>
      <c r="K5787" s="2">
        <v>355.44659999999999</v>
      </c>
      <c r="L5787" s="3">
        <f>(Table1[[#This Row],[Profit]]/Table1[[#This Row],[Sales]])*100</f>
        <v>639.06256742179073</v>
      </c>
    </row>
    <row r="5788" spans="1:12" x14ac:dyDescent="0.3">
      <c r="A5788" t="s">
        <v>3757</v>
      </c>
      <c r="B5788" s="1">
        <v>43809</v>
      </c>
      <c r="C5788" t="s">
        <v>3581</v>
      </c>
      <c r="D5788" t="s">
        <v>3582</v>
      </c>
      <c r="E5788" t="s">
        <v>14</v>
      </c>
      <c r="F5788" t="s">
        <v>29</v>
      </c>
      <c r="G5788" t="s">
        <v>16</v>
      </c>
      <c r="H5788" t="s">
        <v>3758</v>
      </c>
      <c r="I5788" s="2">
        <v>1424.9</v>
      </c>
      <c r="J5788">
        <v>5</v>
      </c>
      <c r="K5788" s="2">
        <v>356.22500000000002</v>
      </c>
      <c r="L5788" s="3">
        <f>(Table1[[#This Row],[Profit]]/Table1[[#This Row],[Sales]])*100</f>
        <v>25</v>
      </c>
    </row>
    <row r="5789" spans="1:12" x14ac:dyDescent="0.3">
      <c r="A5789" t="s">
        <v>4403</v>
      </c>
      <c r="B5789" s="1">
        <v>43922</v>
      </c>
      <c r="C5789" t="s">
        <v>3625</v>
      </c>
      <c r="D5789" t="s">
        <v>3626</v>
      </c>
      <c r="E5789" t="s">
        <v>14</v>
      </c>
      <c r="F5789" t="s">
        <v>23</v>
      </c>
      <c r="G5789" t="s">
        <v>18</v>
      </c>
      <c r="H5789" t="s">
        <v>3577</v>
      </c>
      <c r="I5789" s="2">
        <v>4823.9840000000004</v>
      </c>
      <c r="J5789">
        <v>2</v>
      </c>
      <c r="K5789" s="2">
        <v>359.99880000000002</v>
      </c>
      <c r="L5789" s="3">
        <f>(Table1[[#This Row],[Profit]]/Table1[[#This Row],[Sales]])*100</f>
        <v>7.4626864434044551</v>
      </c>
    </row>
    <row r="5790" spans="1:12" x14ac:dyDescent="0.3">
      <c r="A5790" t="s">
        <v>4158</v>
      </c>
      <c r="B5790" s="1">
        <v>43880</v>
      </c>
      <c r="C5790" t="s">
        <v>2904</v>
      </c>
      <c r="D5790" t="s">
        <v>2905</v>
      </c>
      <c r="E5790" t="s">
        <v>14</v>
      </c>
      <c r="F5790" t="s">
        <v>41</v>
      </c>
      <c r="G5790" t="s">
        <v>24</v>
      </c>
      <c r="H5790" t="s">
        <v>2290</v>
      </c>
      <c r="I5790" s="2">
        <v>1259.8599999999999</v>
      </c>
      <c r="J5790">
        <v>7</v>
      </c>
      <c r="K5790" s="2">
        <v>361.29939999999999</v>
      </c>
      <c r="L5790" s="3">
        <f>(Table1[[#This Row],[Profit]]/Table1[[#This Row],[Sales]])*100</f>
        <v>28.67774197133015</v>
      </c>
    </row>
    <row r="5791" spans="1:12" x14ac:dyDescent="0.3">
      <c r="A5791" t="s">
        <v>4767</v>
      </c>
      <c r="B5791" s="1">
        <v>43985</v>
      </c>
      <c r="C5791" t="s">
        <v>2702</v>
      </c>
      <c r="D5791" t="s">
        <v>2703</v>
      </c>
      <c r="E5791" t="s">
        <v>14</v>
      </c>
      <c r="F5791" t="s">
        <v>23</v>
      </c>
      <c r="G5791" t="s">
        <v>18</v>
      </c>
      <c r="H5791" t="s">
        <v>2136</v>
      </c>
      <c r="I5791" s="2">
        <v>1147.5</v>
      </c>
      <c r="J5791">
        <v>10</v>
      </c>
      <c r="K5791" s="2">
        <v>362.83499999999998</v>
      </c>
      <c r="L5791" s="3">
        <f>(Table1[[#This Row],[Profit]]/Table1[[#This Row],[Sales]])*100</f>
        <v>31.619607843137253</v>
      </c>
    </row>
    <row r="5792" spans="1:12" x14ac:dyDescent="0.3">
      <c r="A5792" t="s">
        <v>572</v>
      </c>
      <c r="B5792" s="1">
        <v>43534</v>
      </c>
      <c r="C5792" t="s">
        <v>573</v>
      </c>
      <c r="D5792" t="s">
        <v>574</v>
      </c>
      <c r="E5792" t="s">
        <v>14</v>
      </c>
      <c r="F5792" t="s">
        <v>23</v>
      </c>
      <c r="G5792" t="s">
        <v>18</v>
      </c>
      <c r="H5792" t="s">
        <v>576</v>
      </c>
      <c r="I5792" s="2">
        <v>4158.9120000000003</v>
      </c>
      <c r="J5792">
        <v>8</v>
      </c>
      <c r="K5792" s="2">
        <v>363.90480000000002</v>
      </c>
      <c r="L5792" s="3">
        <f>(Table1[[#This Row],[Profit]]/Table1[[#This Row],[Sales]])*100</f>
        <v>8.75</v>
      </c>
    </row>
    <row r="5793" spans="1:12" x14ac:dyDescent="0.3">
      <c r="A5793" t="s">
        <v>1615</v>
      </c>
      <c r="B5793" s="1">
        <v>43620</v>
      </c>
      <c r="C5793" t="s">
        <v>1616</v>
      </c>
      <c r="D5793" t="s">
        <v>1617</v>
      </c>
      <c r="E5793" t="s">
        <v>14</v>
      </c>
      <c r="F5793" t="s">
        <v>15</v>
      </c>
      <c r="G5793" t="s">
        <v>18</v>
      </c>
      <c r="H5793" t="s">
        <v>1618</v>
      </c>
      <c r="I5793" s="2">
        <v>1349.85</v>
      </c>
      <c r="J5793">
        <v>3</v>
      </c>
      <c r="K5793" s="2">
        <v>364.45949999999999</v>
      </c>
      <c r="L5793" s="3">
        <f>(Table1[[#This Row],[Profit]]/Table1[[#This Row],[Sales]])*100</f>
        <v>27</v>
      </c>
    </row>
    <row r="5794" spans="1:12" x14ac:dyDescent="0.3">
      <c r="A5794" t="s">
        <v>5795</v>
      </c>
      <c r="B5794" s="1">
        <v>44141</v>
      </c>
      <c r="C5794" t="s">
        <v>627</v>
      </c>
      <c r="D5794" t="s">
        <v>628</v>
      </c>
      <c r="E5794" t="s">
        <v>14</v>
      </c>
      <c r="F5794" t="s">
        <v>23</v>
      </c>
      <c r="G5794" t="s">
        <v>16</v>
      </c>
      <c r="H5794" t="s">
        <v>3074</v>
      </c>
      <c r="I5794" s="2">
        <v>2077.86</v>
      </c>
      <c r="J5794">
        <v>7</v>
      </c>
      <c r="K5794" s="2">
        <v>366.63479999999998</v>
      </c>
      <c r="L5794" s="3">
        <f>(Table1[[#This Row],[Profit]]/Table1[[#This Row],[Sales]])*100</f>
        <v>17.644826889203312</v>
      </c>
    </row>
    <row r="5795" spans="1:12" x14ac:dyDescent="0.3">
      <c r="A5795" t="s">
        <v>5170</v>
      </c>
      <c r="B5795" s="1">
        <v>44061</v>
      </c>
      <c r="C5795" t="s">
        <v>2359</v>
      </c>
      <c r="D5795" t="s">
        <v>2360</v>
      </c>
      <c r="E5795" t="s">
        <v>14</v>
      </c>
      <c r="F5795" t="s">
        <v>23</v>
      </c>
      <c r="G5795" t="s">
        <v>18</v>
      </c>
      <c r="H5795" t="s">
        <v>2540</v>
      </c>
      <c r="I5795" s="2">
        <v>886.9</v>
      </c>
      <c r="J5795">
        <v>2</v>
      </c>
      <c r="K5795" s="2">
        <v>371.31599999999997</v>
      </c>
      <c r="L5795" s="3">
        <f>(Table1[[#This Row],[Profit]]/Table1[[#This Row],[Sales]])*100</f>
        <v>41.866726801217723</v>
      </c>
    </row>
    <row r="5796" spans="1:12" x14ac:dyDescent="0.3">
      <c r="A5796" t="s">
        <v>5137</v>
      </c>
      <c r="B5796" s="1">
        <v>44055</v>
      </c>
      <c r="C5796" t="s">
        <v>3373</v>
      </c>
      <c r="D5796" t="s">
        <v>3374</v>
      </c>
      <c r="E5796" t="s">
        <v>14</v>
      </c>
      <c r="F5796" t="s">
        <v>15</v>
      </c>
      <c r="G5796" t="s">
        <v>16</v>
      </c>
      <c r="H5796" t="s">
        <v>2090</v>
      </c>
      <c r="I5796" s="2">
        <v>1810.9</v>
      </c>
      <c r="J5796">
        <v>5</v>
      </c>
      <c r="K5796" s="2">
        <v>373.779</v>
      </c>
      <c r="L5796" s="3">
        <f>(Table1[[#This Row],[Profit]]/Table1[[#This Row],[Sales]])*100</f>
        <v>20.640510243525316</v>
      </c>
    </row>
    <row r="5797" spans="1:12" x14ac:dyDescent="0.3">
      <c r="A5797" t="s">
        <v>5672</v>
      </c>
      <c r="B5797" s="1">
        <v>44125</v>
      </c>
      <c r="C5797" t="s">
        <v>3770</v>
      </c>
      <c r="D5797" t="s">
        <v>3771</v>
      </c>
      <c r="E5797" t="s">
        <v>14</v>
      </c>
      <c r="F5797" t="s">
        <v>29</v>
      </c>
      <c r="G5797" t="s">
        <v>18</v>
      </c>
      <c r="H5797" t="s">
        <v>490</v>
      </c>
      <c r="I5797" s="2">
        <v>1460.92</v>
      </c>
      <c r="J5797">
        <v>8</v>
      </c>
      <c r="K5797" s="2">
        <v>374.37920000000003</v>
      </c>
      <c r="L5797" s="3">
        <f>(Table1[[#This Row],[Profit]]/Table1[[#This Row],[Sales]])*100</f>
        <v>25.626262902828355</v>
      </c>
    </row>
    <row r="5798" spans="1:12" x14ac:dyDescent="0.3">
      <c r="A5798" t="s">
        <v>4676</v>
      </c>
      <c r="B5798" s="1">
        <v>43970</v>
      </c>
      <c r="C5798" t="s">
        <v>2937</v>
      </c>
      <c r="D5798" t="s">
        <v>2938</v>
      </c>
      <c r="E5798" t="s">
        <v>14</v>
      </c>
      <c r="F5798" t="s">
        <v>41</v>
      </c>
      <c r="G5798" t="s">
        <v>16</v>
      </c>
      <c r="H5798" t="s">
        <v>1924</v>
      </c>
      <c r="I5798" s="2">
        <v>1652.82</v>
      </c>
      <c r="J5798">
        <v>9</v>
      </c>
      <c r="K5798" s="2">
        <v>374.62860000000001</v>
      </c>
      <c r="L5798" s="3">
        <f>(Table1[[#This Row],[Profit]]/Table1[[#This Row],[Sales]])*100</f>
        <v>22.666025338512359</v>
      </c>
    </row>
    <row r="5799" spans="1:12" x14ac:dyDescent="0.3">
      <c r="A5799" t="s">
        <v>887</v>
      </c>
      <c r="B5799" s="1">
        <v>43562</v>
      </c>
      <c r="C5799" t="s">
        <v>888</v>
      </c>
      <c r="D5799" t="s">
        <v>889</v>
      </c>
      <c r="E5799" t="s">
        <v>14</v>
      </c>
      <c r="F5799" t="s">
        <v>23</v>
      </c>
      <c r="G5799" t="s">
        <v>18</v>
      </c>
      <c r="H5799" t="s">
        <v>890</v>
      </c>
      <c r="I5799" s="2">
        <v>1199.9760000000001</v>
      </c>
      <c r="J5799">
        <v>3</v>
      </c>
      <c r="K5799" s="2">
        <v>374.99250000000001</v>
      </c>
      <c r="L5799" s="3">
        <f>(Table1[[#This Row],[Profit]]/Table1[[#This Row],[Sales]])*100</f>
        <v>31.25</v>
      </c>
    </row>
    <row r="5800" spans="1:12" x14ac:dyDescent="0.3">
      <c r="A5800" t="s">
        <v>6003</v>
      </c>
      <c r="B5800" s="1">
        <v>44159</v>
      </c>
      <c r="C5800" t="s">
        <v>1661</v>
      </c>
      <c r="D5800" t="s">
        <v>1662</v>
      </c>
      <c r="E5800" t="s">
        <v>14</v>
      </c>
      <c r="F5800" t="s">
        <v>41</v>
      </c>
      <c r="G5800" t="s">
        <v>24</v>
      </c>
      <c r="H5800" t="s">
        <v>186</v>
      </c>
      <c r="I5800" s="2">
        <v>1484.96</v>
      </c>
      <c r="J5800">
        <v>12</v>
      </c>
      <c r="K5800" s="2">
        <v>375.42959999999999</v>
      </c>
      <c r="L5800" s="3">
        <f>(Table1[[#This Row],[Profit]]/Table1[[#This Row],[Sales]])*100</f>
        <v>25.282135545738605</v>
      </c>
    </row>
    <row r="5801" spans="1:12" x14ac:dyDescent="0.3">
      <c r="A5801" t="s">
        <v>5450</v>
      </c>
      <c r="B5801" s="1">
        <v>44094</v>
      </c>
      <c r="C5801" t="s">
        <v>1698</v>
      </c>
      <c r="D5801" t="s">
        <v>1699</v>
      </c>
      <c r="E5801" t="s">
        <v>14</v>
      </c>
      <c r="F5801" t="s">
        <v>15</v>
      </c>
      <c r="G5801" t="s">
        <v>16</v>
      </c>
      <c r="H5801" t="s">
        <v>1557</v>
      </c>
      <c r="I5801" s="2">
        <v>2284.41</v>
      </c>
      <c r="J5801">
        <v>5</v>
      </c>
      <c r="K5801" s="2">
        <v>375.73500000000001</v>
      </c>
      <c r="L5801" s="3">
        <f>(Table1[[#This Row],[Profit]]/Table1[[#This Row],[Sales]])*100</f>
        <v>16.447791771179432</v>
      </c>
    </row>
    <row r="5802" spans="1:12" x14ac:dyDescent="0.3">
      <c r="A5802" t="s">
        <v>577</v>
      </c>
      <c r="B5802" s="1">
        <v>43534</v>
      </c>
      <c r="C5802" t="s">
        <v>578</v>
      </c>
      <c r="D5802" t="s">
        <v>579</v>
      </c>
      <c r="E5802" t="s">
        <v>14</v>
      </c>
      <c r="F5802" t="s">
        <v>23</v>
      </c>
      <c r="G5802" t="s">
        <v>18</v>
      </c>
      <c r="H5802" t="s">
        <v>581</v>
      </c>
      <c r="I5802" s="2">
        <v>3357.6</v>
      </c>
      <c r="J5802">
        <v>3</v>
      </c>
      <c r="K5802" s="2">
        <v>377.73</v>
      </c>
      <c r="L5802" s="3">
        <f>(Table1[[#This Row],[Profit]]/Table1[[#This Row],[Sales]])*100</f>
        <v>11.25</v>
      </c>
    </row>
    <row r="5803" spans="1:12" x14ac:dyDescent="0.3">
      <c r="A5803" t="s">
        <v>5129</v>
      </c>
      <c r="B5803" s="1">
        <v>44053</v>
      </c>
      <c r="C5803" t="s">
        <v>2159</v>
      </c>
      <c r="D5803" t="s">
        <v>2160</v>
      </c>
      <c r="E5803" t="s">
        <v>14</v>
      </c>
      <c r="F5803" t="s">
        <v>29</v>
      </c>
      <c r="G5803" t="s">
        <v>18</v>
      </c>
      <c r="H5803" t="s">
        <v>295</v>
      </c>
      <c r="I5803" s="2">
        <v>1474.49</v>
      </c>
      <c r="J5803">
        <v>9</v>
      </c>
      <c r="K5803" s="2">
        <v>378.16739999999999</v>
      </c>
      <c r="L5803" s="3">
        <f>(Table1[[#This Row],[Profit]]/Table1[[#This Row],[Sales]])*100</f>
        <v>25.647335688950079</v>
      </c>
    </row>
    <row r="5804" spans="1:12" x14ac:dyDescent="0.3">
      <c r="A5804" t="s">
        <v>850</v>
      </c>
      <c r="B5804" s="1">
        <v>43557</v>
      </c>
      <c r="C5804" t="s">
        <v>851</v>
      </c>
      <c r="D5804" t="s">
        <v>852</v>
      </c>
      <c r="E5804" t="s">
        <v>14</v>
      </c>
      <c r="F5804" t="s">
        <v>29</v>
      </c>
      <c r="G5804" t="s">
        <v>16</v>
      </c>
      <c r="H5804" t="s">
        <v>853</v>
      </c>
      <c r="I5804" s="2">
        <v>1454.9</v>
      </c>
      <c r="J5804">
        <v>5</v>
      </c>
      <c r="K5804" s="2">
        <v>378.274</v>
      </c>
      <c r="L5804" s="3">
        <f>(Table1[[#This Row],[Profit]]/Table1[[#This Row],[Sales]])*100</f>
        <v>26</v>
      </c>
    </row>
    <row r="5805" spans="1:12" x14ac:dyDescent="0.3">
      <c r="A5805" t="s">
        <v>3559</v>
      </c>
      <c r="B5805" s="1">
        <v>43793</v>
      </c>
      <c r="C5805" t="s">
        <v>2849</v>
      </c>
      <c r="D5805" t="s">
        <v>2850</v>
      </c>
      <c r="E5805" t="s">
        <v>14</v>
      </c>
      <c r="F5805" t="s">
        <v>23</v>
      </c>
      <c r="G5805" t="s">
        <v>24</v>
      </c>
      <c r="H5805" t="s">
        <v>3560</v>
      </c>
      <c r="I5805" s="2">
        <v>1219.96</v>
      </c>
      <c r="J5805">
        <v>5</v>
      </c>
      <c r="K5805" s="2">
        <v>381.23750000000001</v>
      </c>
      <c r="L5805" s="3">
        <f>(Table1[[#This Row],[Profit]]/Table1[[#This Row],[Sales]])*100</f>
        <v>31.25</v>
      </c>
    </row>
    <row r="5806" spans="1:12" x14ac:dyDescent="0.3">
      <c r="A5806" t="s">
        <v>3435</v>
      </c>
      <c r="B5806" s="1">
        <v>43784</v>
      </c>
      <c r="C5806" t="s">
        <v>2543</v>
      </c>
      <c r="D5806" t="s">
        <v>2544</v>
      </c>
      <c r="E5806" t="s">
        <v>14</v>
      </c>
      <c r="F5806" t="s">
        <v>23</v>
      </c>
      <c r="G5806" t="s">
        <v>24</v>
      </c>
      <c r="H5806" t="s">
        <v>246</v>
      </c>
      <c r="I5806" s="2">
        <v>1016.792</v>
      </c>
      <c r="J5806">
        <v>1</v>
      </c>
      <c r="K5806" s="2">
        <v>381.29700000000003</v>
      </c>
      <c r="L5806" s="3">
        <f>(Table1[[#This Row],[Profit]]/Table1[[#This Row],[Sales]])*100</f>
        <v>37.5</v>
      </c>
    </row>
    <row r="5807" spans="1:12" x14ac:dyDescent="0.3">
      <c r="A5807" t="s">
        <v>4976</v>
      </c>
      <c r="B5807" s="1">
        <v>44020</v>
      </c>
      <c r="C5807" t="s">
        <v>4977</v>
      </c>
      <c r="D5807" t="s">
        <v>4978</v>
      </c>
      <c r="E5807" t="s">
        <v>14</v>
      </c>
      <c r="F5807" t="s">
        <v>23</v>
      </c>
      <c r="G5807" t="s">
        <v>24</v>
      </c>
      <c r="H5807" t="s">
        <v>3262</v>
      </c>
      <c r="I5807" s="2">
        <v>799.48</v>
      </c>
      <c r="J5807">
        <v>8</v>
      </c>
      <c r="K5807" s="2">
        <v>385.37520000000001</v>
      </c>
      <c r="L5807" s="3">
        <f>(Table1[[#This Row],[Profit]]/Table1[[#This Row],[Sales]])*100</f>
        <v>48.203232100865563</v>
      </c>
    </row>
    <row r="5808" spans="1:12" x14ac:dyDescent="0.3">
      <c r="A5808" t="s">
        <v>1566</v>
      </c>
      <c r="B5808" s="1">
        <v>43615</v>
      </c>
      <c r="C5808" t="s">
        <v>1430</v>
      </c>
      <c r="D5808" t="s">
        <v>1431</v>
      </c>
      <c r="E5808" t="s">
        <v>14</v>
      </c>
      <c r="F5808" t="s">
        <v>41</v>
      </c>
      <c r="G5808" t="s">
        <v>16</v>
      </c>
      <c r="H5808" t="s">
        <v>1567</v>
      </c>
      <c r="I5808" s="2">
        <v>2275.5</v>
      </c>
      <c r="J5808">
        <v>10</v>
      </c>
      <c r="K5808" s="2">
        <v>386.83499999999998</v>
      </c>
      <c r="L5808" s="3">
        <f>(Table1[[#This Row],[Profit]]/Table1[[#This Row],[Sales]])*100</f>
        <v>17</v>
      </c>
    </row>
    <row r="5809" spans="1:12" x14ac:dyDescent="0.3">
      <c r="A5809" t="s">
        <v>2733</v>
      </c>
      <c r="B5809" s="1">
        <v>43721</v>
      </c>
      <c r="C5809" t="s">
        <v>2734</v>
      </c>
      <c r="D5809" t="s">
        <v>2735</v>
      </c>
      <c r="E5809" t="s">
        <v>14</v>
      </c>
      <c r="F5809" t="s">
        <v>29</v>
      </c>
      <c r="G5809" t="s">
        <v>16</v>
      </c>
      <c r="H5809" t="s">
        <v>2738</v>
      </c>
      <c r="I5809" s="2">
        <v>1336.44</v>
      </c>
      <c r="J5809">
        <v>14</v>
      </c>
      <c r="K5809" s="2">
        <v>387.56760000000003</v>
      </c>
      <c r="L5809" s="3">
        <f>(Table1[[#This Row],[Profit]]/Table1[[#This Row],[Sales]])*100</f>
        <v>29.000000000000004</v>
      </c>
    </row>
    <row r="5810" spans="1:12" x14ac:dyDescent="0.3">
      <c r="A5810" t="s">
        <v>2181</v>
      </c>
      <c r="B5810" s="1">
        <v>43671</v>
      </c>
      <c r="C5810" t="s">
        <v>2182</v>
      </c>
      <c r="D5810" t="s">
        <v>2183</v>
      </c>
      <c r="E5810" t="s">
        <v>14</v>
      </c>
      <c r="F5810" t="s">
        <v>41</v>
      </c>
      <c r="G5810" t="s">
        <v>16</v>
      </c>
      <c r="H5810" t="s">
        <v>477</v>
      </c>
      <c r="I5810" s="2">
        <v>2430.08</v>
      </c>
      <c r="J5810">
        <v>8</v>
      </c>
      <c r="K5810" s="2">
        <v>388.81279999999998</v>
      </c>
      <c r="L5810" s="3">
        <f>(Table1[[#This Row],[Profit]]/Table1[[#This Row],[Sales]])*100</f>
        <v>16</v>
      </c>
    </row>
    <row r="5811" spans="1:12" x14ac:dyDescent="0.3">
      <c r="A5811" t="s">
        <v>5087</v>
      </c>
      <c r="B5811" s="1">
        <v>44043</v>
      </c>
      <c r="C5811" t="s">
        <v>2520</v>
      </c>
      <c r="D5811" t="s">
        <v>2521</v>
      </c>
      <c r="E5811" t="s">
        <v>14</v>
      </c>
      <c r="F5811" t="s">
        <v>15</v>
      </c>
      <c r="G5811" t="s">
        <v>24</v>
      </c>
      <c r="H5811" t="s">
        <v>2832</v>
      </c>
      <c r="I5811" s="2">
        <v>877.95</v>
      </c>
      <c r="J5811">
        <v>5</v>
      </c>
      <c r="K5811" s="2">
        <v>390.97699999999998</v>
      </c>
      <c r="L5811" s="3">
        <f>(Table1[[#This Row],[Profit]]/Table1[[#This Row],[Sales]])*100</f>
        <v>44.532946067543705</v>
      </c>
    </row>
    <row r="5812" spans="1:12" x14ac:dyDescent="0.3">
      <c r="A5812" t="s">
        <v>181</v>
      </c>
      <c r="B5812" s="1">
        <v>43488</v>
      </c>
      <c r="C5812" t="s">
        <v>182</v>
      </c>
      <c r="D5812" t="s">
        <v>183</v>
      </c>
      <c r="E5812" t="s">
        <v>14</v>
      </c>
      <c r="F5812" t="s">
        <v>15</v>
      </c>
      <c r="G5812" t="s">
        <v>24</v>
      </c>
      <c r="H5812" t="s">
        <v>186</v>
      </c>
      <c r="I5812" s="2">
        <v>1564.29</v>
      </c>
      <c r="J5812">
        <v>13</v>
      </c>
      <c r="K5812" s="2">
        <v>406.71539999999999</v>
      </c>
      <c r="L5812" s="3">
        <f>(Table1[[#This Row],[Profit]]/Table1[[#This Row],[Sales]])*100</f>
        <v>26</v>
      </c>
    </row>
    <row r="5813" spans="1:12" x14ac:dyDescent="0.3">
      <c r="A5813" t="s">
        <v>63</v>
      </c>
      <c r="B5813" s="1">
        <v>43473</v>
      </c>
      <c r="C5813" t="s">
        <v>64</v>
      </c>
      <c r="D5813" t="s">
        <v>65</v>
      </c>
      <c r="E5813" t="s">
        <v>14</v>
      </c>
      <c r="F5813" t="s">
        <v>29</v>
      </c>
      <c r="G5813" t="s">
        <v>16</v>
      </c>
      <c r="H5813" t="s">
        <v>66</v>
      </c>
      <c r="I5813" s="2">
        <v>1565.88</v>
      </c>
      <c r="J5813">
        <v>6</v>
      </c>
      <c r="K5813" s="2">
        <v>407.12880000000001</v>
      </c>
      <c r="L5813" s="3">
        <f>(Table1[[#This Row],[Profit]]/Table1[[#This Row],[Sales]])*100</f>
        <v>26</v>
      </c>
    </row>
    <row r="5814" spans="1:12" x14ac:dyDescent="0.3">
      <c r="A5814" t="s">
        <v>4636</v>
      </c>
      <c r="B5814" s="1">
        <v>43964</v>
      </c>
      <c r="C5814" t="s">
        <v>2950</v>
      </c>
      <c r="D5814" t="s">
        <v>2951</v>
      </c>
      <c r="E5814" t="s">
        <v>14</v>
      </c>
      <c r="F5814" t="s">
        <v>29</v>
      </c>
      <c r="G5814" t="s">
        <v>24</v>
      </c>
      <c r="H5814" t="s">
        <v>3560</v>
      </c>
      <c r="I5814" s="2">
        <v>935.97</v>
      </c>
      <c r="J5814">
        <v>3</v>
      </c>
      <c r="K5814" s="2">
        <v>411.73649999999998</v>
      </c>
      <c r="L5814" s="3">
        <f>(Table1[[#This Row],[Profit]]/Table1[[#This Row],[Sales]])*100</f>
        <v>43.990352254879959</v>
      </c>
    </row>
    <row r="5815" spans="1:12" x14ac:dyDescent="0.3">
      <c r="A5815" t="s">
        <v>5119</v>
      </c>
      <c r="B5815" s="1">
        <v>44050</v>
      </c>
      <c r="C5815" t="s">
        <v>908</v>
      </c>
      <c r="D5815" t="s">
        <v>909</v>
      </c>
      <c r="E5815" t="s">
        <v>14</v>
      </c>
      <c r="F5815" t="s">
        <v>23</v>
      </c>
      <c r="G5815" t="s">
        <v>24</v>
      </c>
      <c r="H5815" t="s">
        <v>2322</v>
      </c>
      <c r="I5815" s="2">
        <v>1489.1</v>
      </c>
      <c r="J5815">
        <v>5</v>
      </c>
      <c r="K5815" s="2">
        <v>412.46800000000002</v>
      </c>
      <c r="L5815" s="3">
        <f>(Table1[[#This Row],[Profit]]/Table1[[#This Row],[Sales]])*100</f>
        <v>27.699147135853874</v>
      </c>
    </row>
    <row r="5816" spans="1:12" x14ac:dyDescent="0.3">
      <c r="A5816" t="s">
        <v>6232</v>
      </c>
      <c r="B5816" s="1">
        <v>44187</v>
      </c>
      <c r="C5816" t="s">
        <v>2020</v>
      </c>
      <c r="D5816" t="s">
        <v>2021</v>
      </c>
      <c r="E5816" t="s">
        <v>14</v>
      </c>
      <c r="F5816" t="s">
        <v>29</v>
      </c>
      <c r="G5816" t="s">
        <v>16</v>
      </c>
      <c r="H5816" t="s">
        <v>2003</v>
      </c>
      <c r="I5816" s="2">
        <v>155.69</v>
      </c>
      <c r="J5816">
        <v>7</v>
      </c>
      <c r="K5816" s="2">
        <v>412.5394</v>
      </c>
      <c r="L5816" s="3">
        <f>(Table1[[#This Row],[Profit]]/Table1[[#This Row],[Sales]])*100</f>
        <v>264.97488599139314</v>
      </c>
    </row>
    <row r="5817" spans="1:12" x14ac:dyDescent="0.3">
      <c r="A5817" t="s">
        <v>4248</v>
      </c>
      <c r="B5817" s="1">
        <v>43901</v>
      </c>
      <c r="C5817" t="s">
        <v>1139</v>
      </c>
      <c r="D5817" t="s">
        <v>1140</v>
      </c>
      <c r="E5817" t="s">
        <v>14</v>
      </c>
      <c r="F5817" t="s">
        <v>29</v>
      </c>
      <c r="G5817" t="s">
        <v>24</v>
      </c>
      <c r="H5817" t="s">
        <v>4249</v>
      </c>
      <c r="I5817" s="2">
        <v>924.92</v>
      </c>
      <c r="J5817">
        <v>4</v>
      </c>
      <c r="K5817" s="2">
        <v>421.08240000000001</v>
      </c>
      <c r="L5817" s="3">
        <f>(Table1[[#This Row],[Profit]]/Table1[[#This Row],[Sales]])*100</f>
        <v>45.526359036457208</v>
      </c>
    </row>
    <row r="5818" spans="1:12" x14ac:dyDescent="0.3">
      <c r="A5818" t="s">
        <v>4600</v>
      </c>
      <c r="B5818" s="1">
        <v>43958</v>
      </c>
      <c r="C5818" t="s">
        <v>4601</v>
      </c>
      <c r="D5818" t="s">
        <v>4602</v>
      </c>
      <c r="E5818" t="s">
        <v>14</v>
      </c>
      <c r="F5818" t="s">
        <v>29</v>
      </c>
      <c r="G5818" t="s">
        <v>16</v>
      </c>
      <c r="H5818" t="s">
        <v>997</v>
      </c>
      <c r="I5818" s="2">
        <v>1495.65</v>
      </c>
      <c r="J5818">
        <v>5</v>
      </c>
      <c r="K5818" s="2">
        <v>423.00850000000003</v>
      </c>
      <c r="L5818" s="3">
        <f>(Table1[[#This Row],[Profit]]/Table1[[#This Row],[Sales]])*100</f>
        <v>28.282586166549663</v>
      </c>
    </row>
    <row r="5819" spans="1:12" x14ac:dyDescent="0.3">
      <c r="A5819" t="s">
        <v>4335</v>
      </c>
      <c r="B5819" s="1">
        <v>43915</v>
      </c>
      <c r="C5819" t="s">
        <v>2750</v>
      </c>
      <c r="D5819" t="s">
        <v>2751</v>
      </c>
      <c r="E5819" t="s">
        <v>14</v>
      </c>
      <c r="F5819" t="s">
        <v>29</v>
      </c>
      <c r="G5819" t="s">
        <v>16</v>
      </c>
      <c r="H5819" t="s">
        <v>2813</v>
      </c>
      <c r="I5819" s="2">
        <v>1568.56</v>
      </c>
      <c r="J5819">
        <v>7</v>
      </c>
      <c r="K5819" s="2">
        <v>427.43680000000001</v>
      </c>
      <c r="L5819" s="3">
        <f>(Table1[[#This Row],[Profit]]/Table1[[#This Row],[Sales]])*100</f>
        <v>27.250267761513747</v>
      </c>
    </row>
    <row r="5820" spans="1:12" x14ac:dyDescent="0.3">
      <c r="A5820" t="s">
        <v>3238</v>
      </c>
      <c r="B5820" s="1">
        <v>43772</v>
      </c>
      <c r="C5820" t="s">
        <v>1894</v>
      </c>
      <c r="D5820" t="s">
        <v>1895</v>
      </c>
      <c r="E5820" t="s">
        <v>14</v>
      </c>
      <c r="F5820" t="s">
        <v>23</v>
      </c>
      <c r="G5820" t="s">
        <v>24</v>
      </c>
      <c r="H5820" t="s">
        <v>3112</v>
      </c>
      <c r="I5820" s="2">
        <v>1101.48</v>
      </c>
      <c r="J5820">
        <v>4</v>
      </c>
      <c r="K5820" s="2">
        <v>429.5772</v>
      </c>
      <c r="L5820" s="3">
        <f>(Table1[[#This Row],[Profit]]/Table1[[#This Row],[Sales]])*100</f>
        <v>39</v>
      </c>
    </row>
    <row r="5821" spans="1:12" x14ac:dyDescent="0.3">
      <c r="A5821" t="s">
        <v>6132</v>
      </c>
      <c r="B5821" s="1">
        <v>44173</v>
      </c>
      <c r="C5821" t="s">
        <v>5720</v>
      </c>
      <c r="D5821" t="s">
        <v>5721</v>
      </c>
      <c r="E5821" t="s">
        <v>14</v>
      </c>
      <c r="F5821" t="s">
        <v>23</v>
      </c>
      <c r="G5821" t="s">
        <v>18</v>
      </c>
      <c r="H5821" t="s">
        <v>3428</v>
      </c>
      <c r="I5821" s="2">
        <v>718.976</v>
      </c>
      <c r="J5821">
        <v>3</v>
      </c>
      <c r="K5821" s="2">
        <v>434.99130000000002</v>
      </c>
      <c r="L5821" s="3">
        <f>(Table1[[#This Row],[Profit]]/Table1[[#This Row],[Sales]])*100</f>
        <v>60.501504918105752</v>
      </c>
    </row>
    <row r="5822" spans="1:12" x14ac:dyDescent="0.3">
      <c r="A5822" t="s">
        <v>4202</v>
      </c>
      <c r="B5822" s="1">
        <v>43893</v>
      </c>
      <c r="C5822" t="s">
        <v>4203</v>
      </c>
      <c r="D5822" t="s">
        <v>4204</v>
      </c>
      <c r="E5822" t="s">
        <v>14</v>
      </c>
      <c r="F5822" t="s">
        <v>23</v>
      </c>
      <c r="G5822" t="s">
        <v>18</v>
      </c>
      <c r="H5822" t="s">
        <v>4206</v>
      </c>
      <c r="I5822" s="2">
        <v>1099.44</v>
      </c>
      <c r="J5822">
        <v>8</v>
      </c>
      <c r="K5822" s="2">
        <v>440.76479999999998</v>
      </c>
      <c r="L5822" s="3">
        <f>(Table1[[#This Row],[Profit]]/Table1[[#This Row],[Sales]])*100</f>
        <v>40.089936695044749</v>
      </c>
    </row>
    <row r="5823" spans="1:12" x14ac:dyDescent="0.3">
      <c r="A5823" t="s">
        <v>1933</v>
      </c>
      <c r="B5823" s="1">
        <v>43647</v>
      </c>
      <c r="C5823" t="s">
        <v>1577</v>
      </c>
      <c r="D5823" t="s">
        <v>1578</v>
      </c>
      <c r="E5823" t="s">
        <v>14</v>
      </c>
      <c r="F5823" t="s">
        <v>23</v>
      </c>
      <c r="G5823" t="s">
        <v>18</v>
      </c>
      <c r="H5823" t="s">
        <v>42</v>
      </c>
      <c r="I5823" s="2">
        <v>1499.95</v>
      </c>
      <c r="J5823">
        <v>5</v>
      </c>
      <c r="K5823" s="2">
        <v>449.98500000000001</v>
      </c>
      <c r="L5823" s="3">
        <f>(Table1[[#This Row],[Profit]]/Table1[[#This Row],[Sales]])*100</f>
        <v>30</v>
      </c>
    </row>
    <row r="5824" spans="1:12" x14ac:dyDescent="0.3">
      <c r="A5824" t="s">
        <v>2542</v>
      </c>
      <c r="B5824" s="1">
        <v>43710</v>
      </c>
      <c r="C5824" t="s">
        <v>2543</v>
      </c>
      <c r="D5824" t="s">
        <v>2544</v>
      </c>
      <c r="E5824" t="s">
        <v>14</v>
      </c>
      <c r="F5824" t="s">
        <v>23</v>
      </c>
      <c r="G5824" t="s">
        <v>18</v>
      </c>
      <c r="H5824" t="s">
        <v>890</v>
      </c>
      <c r="I5824" s="2">
        <v>999.98</v>
      </c>
      <c r="J5824">
        <v>2</v>
      </c>
      <c r="K5824" s="2">
        <v>449.99099999999999</v>
      </c>
      <c r="L5824" s="3">
        <f>(Table1[[#This Row],[Profit]]/Table1[[#This Row],[Sales]])*100</f>
        <v>44.999999999999993</v>
      </c>
    </row>
    <row r="5825" spans="1:12" x14ac:dyDescent="0.3">
      <c r="A5825" t="s">
        <v>4110</v>
      </c>
      <c r="B5825" s="1">
        <v>43866</v>
      </c>
      <c r="C5825" t="s">
        <v>672</v>
      </c>
      <c r="D5825" t="s">
        <v>673</v>
      </c>
      <c r="E5825" t="s">
        <v>14</v>
      </c>
      <c r="F5825" t="s">
        <v>23</v>
      </c>
      <c r="G5825" t="s">
        <v>24</v>
      </c>
      <c r="H5825" t="s">
        <v>4111</v>
      </c>
      <c r="I5825" s="2">
        <v>1666.7</v>
      </c>
      <c r="J5825">
        <v>5</v>
      </c>
      <c r="K5825" s="2">
        <v>459.39600000000002</v>
      </c>
      <c r="L5825" s="3">
        <f>(Table1[[#This Row],[Profit]]/Table1[[#This Row],[Sales]])*100</f>
        <v>27.563208735825285</v>
      </c>
    </row>
    <row r="5826" spans="1:12" x14ac:dyDescent="0.3">
      <c r="A5826" t="s">
        <v>5361</v>
      </c>
      <c r="B5826" s="1">
        <v>44085</v>
      </c>
      <c r="C5826" t="s">
        <v>5362</v>
      </c>
      <c r="D5826" t="s">
        <v>5363</v>
      </c>
      <c r="E5826" t="s">
        <v>14</v>
      </c>
      <c r="F5826" t="s">
        <v>23</v>
      </c>
      <c r="G5826" t="s">
        <v>24</v>
      </c>
      <c r="H5826" t="s">
        <v>869</v>
      </c>
      <c r="I5826" s="2">
        <v>1509.96</v>
      </c>
      <c r="J5826">
        <v>5</v>
      </c>
      <c r="K5826" s="2">
        <v>459.98750000000001</v>
      </c>
      <c r="L5826" s="3">
        <f>(Table1[[#This Row],[Profit]]/Table1[[#This Row],[Sales]])*100</f>
        <v>30.463555325968901</v>
      </c>
    </row>
    <row r="5827" spans="1:12" x14ac:dyDescent="0.3">
      <c r="A5827" t="s">
        <v>6183</v>
      </c>
      <c r="B5827" s="1">
        <v>44179</v>
      </c>
      <c r="C5827" t="s">
        <v>244</v>
      </c>
      <c r="D5827" t="s">
        <v>245</v>
      </c>
      <c r="E5827" t="s">
        <v>14</v>
      </c>
      <c r="F5827" t="s">
        <v>15</v>
      </c>
      <c r="G5827" t="s">
        <v>18</v>
      </c>
      <c r="H5827" t="s">
        <v>4348</v>
      </c>
      <c r="I5827" s="2">
        <v>162.97999999999999</v>
      </c>
      <c r="J5827">
        <v>2</v>
      </c>
      <c r="K5827" s="2">
        <v>467.99220000000003</v>
      </c>
      <c r="L5827" s="3">
        <f>(Table1[[#This Row],[Profit]]/Table1[[#This Row],[Sales]])*100</f>
        <v>287.14701190330106</v>
      </c>
    </row>
    <row r="5828" spans="1:12" x14ac:dyDescent="0.3">
      <c r="A5828" t="s">
        <v>5828</v>
      </c>
      <c r="B5828" s="1">
        <v>44144</v>
      </c>
      <c r="C5828" t="s">
        <v>2950</v>
      </c>
      <c r="D5828" t="s">
        <v>2951</v>
      </c>
      <c r="E5828" t="s">
        <v>14</v>
      </c>
      <c r="F5828" t="s">
        <v>15</v>
      </c>
      <c r="G5828" t="s">
        <v>24</v>
      </c>
      <c r="H5828" t="s">
        <v>453</v>
      </c>
      <c r="I5828" s="2">
        <v>51.14</v>
      </c>
      <c r="J5828">
        <v>9</v>
      </c>
      <c r="K5828" s="2">
        <v>473.61059999999998</v>
      </c>
      <c r="L5828" s="3">
        <f>(Table1[[#This Row],[Profit]]/Table1[[#This Row],[Sales]])*100</f>
        <v>926.10598357450135</v>
      </c>
    </row>
    <row r="5829" spans="1:12" x14ac:dyDescent="0.3">
      <c r="A5829" t="s">
        <v>2812</v>
      </c>
      <c r="B5829" s="1">
        <v>43727</v>
      </c>
      <c r="C5829" t="s">
        <v>578</v>
      </c>
      <c r="D5829" t="s">
        <v>579</v>
      </c>
      <c r="E5829" t="s">
        <v>14</v>
      </c>
      <c r="F5829" t="s">
        <v>15</v>
      </c>
      <c r="G5829" t="s">
        <v>24</v>
      </c>
      <c r="H5829" t="s">
        <v>1326</v>
      </c>
      <c r="I5829" s="2">
        <v>1606.23</v>
      </c>
      <c r="J5829">
        <v>9</v>
      </c>
      <c r="K5829" s="2">
        <v>481.86900000000003</v>
      </c>
      <c r="L5829" s="3">
        <f>(Table1[[#This Row],[Profit]]/Table1[[#This Row],[Sales]])*100</f>
        <v>30</v>
      </c>
    </row>
    <row r="5830" spans="1:12" x14ac:dyDescent="0.3">
      <c r="A5830" t="s">
        <v>6034</v>
      </c>
      <c r="B5830" s="1">
        <v>44163</v>
      </c>
      <c r="C5830" t="s">
        <v>2404</v>
      </c>
      <c r="D5830" t="s">
        <v>2405</v>
      </c>
      <c r="E5830" t="s">
        <v>14</v>
      </c>
      <c r="F5830" t="s">
        <v>15</v>
      </c>
      <c r="G5830" t="s">
        <v>18</v>
      </c>
      <c r="H5830" t="s">
        <v>3720</v>
      </c>
      <c r="I5830" s="2">
        <v>524.89</v>
      </c>
      <c r="J5830">
        <v>11</v>
      </c>
      <c r="K5830" s="2">
        <v>494.97250000000003</v>
      </c>
      <c r="L5830" s="3">
        <f>(Table1[[#This Row],[Profit]]/Table1[[#This Row],[Sales]])*100</f>
        <v>94.300234334813013</v>
      </c>
    </row>
    <row r="5831" spans="1:12" x14ac:dyDescent="0.3">
      <c r="A5831" t="s">
        <v>1856</v>
      </c>
      <c r="B5831" s="1">
        <v>43640</v>
      </c>
      <c r="C5831" t="s">
        <v>1139</v>
      </c>
      <c r="D5831" t="s">
        <v>1140</v>
      </c>
      <c r="E5831" t="s">
        <v>14</v>
      </c>
      <c r="F5831" t="s">
        <v>23</v>
      </c>
      <c r="G5831" t="s">
        <v>18</v>
      </c>
      <c r="H5831" t="s">
        <v>581</v>
      </c>
      <c r="I5831" s="2">
        <v>4476.8</v>
      </c>
      <c r="J5831">
        <v>4</v>
      </c>
      <c r="K5831" s="2">
        <v>503.64</v>
      </c>
      <c r="L5831" s="3">
        <f>(Table1[[#This Row],[Profit]]/Table1[[#This Row],[Sales]])*100</f>
        <v>11.249999999999998</v>
      </c>
    </row>
    <row r="5832" spans="1:12" x14ac:dyDescent="0.3">
      <c r="A5832" t="s">
        <v>5731</v>
      </c>
      <c r="B5832" s="1">
        <v>44134</v>
      </c>
      <c r="C5832" t="s">
        <v>2985</v>
      </c>
      <c r="D5832" t="s">
        <v>2986</v>
      </c>
      <c r="E5832" t="s">
        <v>14</v>
      </c>
      <c r="F5832" t="s">
        <v>23</v>
      </c>
      <c r="G5832" t="s">
        <v>24</v>
      </c>
      <c r="H5832" t="s">
        <v>1579</v>
      </c>
      <c r="I5832" s="2">
        <v>1735.12</v>
      </c>
      <c r="J5832">
        <v>14</v>
      </c>
      <c r="K5832" s="2">
        <v>510.63600000000002</v>
      </c>
      <c r="L5832" s="3">
        <f>(Table1[[#This Row],[Profit]]/Table1[[#This Row],[Sales]])*100</f>
        <v>29.429434275439164</v>
      </c>
    </row>
    <row r="5833" spans="1:12" x14ac:dyDescent="0.3">
      <c r="A5833" t="s">
        <v>6210</v>
      </c>
      <c r="B5833" s="1">
        <v>44183</v>
      </c>
      <c r="C5833" t="s">
        <v>3465</v>
      </c>
      <c r="D5833" t="s">
        <v>3466</v>
      </c>
      <c r="E5833" t="s">
        <v>14</v>
      </c>
      <c r="F5833" t="s">
        <v>15</v>
      </c>
      <c r="G5833" t="s">
        <v>24</v>
      </c>
      <c r="H5833" t="s">
        <v>1540</v>
      </c>
      <c r="I5833" s="2">
        <v>2087.56</v>
      </c>
      <c r="J5833">
        <v>13</v>
      </c>
      <c r="K5833" s="2">
        <v>511.36799999999999</v>
      </c>
      <c r="L5833" s="3">
        <f>(Table1[[#This Row],[Profit]]/Table1[[#This Row],[Sales]])*100</f>
        <v>24.495966582996417</v>
      </c>
    </row>
    <row r="5834" spans="1:12" x14ac:dyDescent="0.3">
      <c r="A5834" t="s">
        <v>5740</v>
      </c>
      <c r="B5834" s="1">
        <v>44137</v>
      </c>
      <c r="C5834" t="s">
        <v>837</v>
      </c>
      <c r="D5834" t="s">
        <v>838</v>
      </c>
      <c r="E5834" t="s">
        <v>14</v>
      </c>
      <c r="F5834" t="s">
        <v>41</v>
      </c>
      <c r="G5834" t="s">
        <v>18</v>
      </c>
      <c r="H5834" t="s">
        <v>2299</v>
      </c>
      <c r="I5834" s="2">
        <v>2295.91</v>
      </c>
      <c r="J5834">
        <v>9</v>
      </c>
      <c r="K5834" s="2">
        <v>517.47929999999997</v>
      </c>
      <c r="L5834" s="3">
        <f>(Table1[[#This Row],[Profit]]/Table1[[#This Row],[Sales]])*100</f>
        <v>22.539180542791311</v>
      </c>
    </row>
    <row r="5835" spans="1:12" x14ac:dyDescent="0.3">
      <c r="A5835" t="s">
        <v>4316</v>
      </c>
      <c r="B5835" s="1">
        <v>43911</v>
      </c>
      <c r="C5835" t="s">
        <v>1292</v>
      </c>
      <c r="D5835" t="s">
        <v>1293</v>
      </c>
      <c r="E5835" t="s">
        <v>14</v>
      </c>
      <c r="F5835" t="s">
        <v>29</v>
      </c>
      <c r="G5835" t="s">
        <v>16</v>
      </c>
      <c r="H5835" t="s">
        <v>3400</v>
      </c>
      <c r="I5835" s="2">
        <v>1839.88</v>
      </c>
      <c r="J5835">
        <v>6</v>
      </c>
      <c r="K5835" s="2">
        <v>523.70519999999999</v>
      </c>
      <c r="L5835" s="3">
        <f>(Table1[[#This Row],[Profit]]/Table1[[#This Row],[Sales]])*100</f>
        <v>28.464095484488116</v>
      </c>
    </row>
    <row r="5836" spans="1:12" x14ac:dyDescent="0.3">
      <c r="A5836" t="s">
        <v>3459</v>
      </c>
      <c r="B5836" s="1">
        <v>43787</v>
      </c>
      <c r="C5836" t="s">
        <v>1600</v>
      </c>
      <c r="D5836" t="s">
        <v>1601</v>
      </c>
      <c r="E5836" t="s">
        <v>14</v>
      </c>
      <c r="F5836" t="s">
        <v>41</v>
      </c>
      <c r="G5836" t="s">
        <v>18</v>
      </c>
      <c r="H5836" t="s">
        <v>3460</v>
      </c>
      <c r="I5836" s="2">
        <v>1319.96</v>
      </c>
      <c r="J5836">
        <v>4</v>
      </c>
      <c r="K5836" s="2">
        <v>527.98400000000004</v>
      </c>
      <c r="L5836" s="3">
        <f>(Table1[[#This Row],[Profit]]/Table1[[#This Row],[Sales]])*100</f>
        <v>40</v>
      </c>
    </row>
    <row r="5837" spans="1:12" x14ac:dyDescent="0.3">
      <c r="A5837" t="s">
        <v>4749</v>
      </c>
      <c r="B5837" s="1">
        <v>43983</v>
      </c>
      <c r="C5837" t="s">
        <v>2359</v>
      </c>
      <c r="D5837" t="s">
        <v>2360</v>
      </c>
      <c r="E5837" t="s">
        <v>14</v>
      </c>
      <c r="F5837" t="s">
        <v>29</v>
      </c>
      <c r="G5837" t="s">
        <v>16</v>
      </c>
      <c r="H5837" t="s">
        <v>610</v>
      </c>
      <c r="I5837" s="2">
        <v>1956.88</v>
      </c>
      <c r="J5837">
        <v>6</v>
      </c>
      <c r="K5837" s="2">
        <v>539.24639999999999</v>
      </c>
      <c r="L5837" s="3">
        <f>(Table1[[#This Row],[Profit]]/Table1[[#This Row],[Sales]])*100</f>
        <v>27.556436776910182</v>
      </c>
    </row>
    <row r="5838" spans="1:12" x14ac:dyDescent="0.3">
      <c r="A5838" t="s">
        <v>3089</v>
      </c>
      <c r="B5838" s="1">
        <v>43752</v>
      </c>
      <c r="C5838" t="s">
        <v>314</v>
      </c>
      <c r="D5838" t="s">
        <v>315</v>
      </c>
      <c r="E5838" t="s">
        <v>14</v>
      </c>
      <c r="F5838" t="s">
        <v>29</v>
      </c>
      <c r="G5838" t="s">
        <v>18</v>
      </c>
      <c r="H5838" t="s">
        <v>1568</v>
      </c>
      <c r="I5838" s="2">
        <v>1649.75</v>
      </c>
      <c r="J5838">
        <v>5</v>
      </c>
      <c r="K5838" s="2">
        <v>544.41750000000002</v>
      </c>
      <c r="L5838" s="3">
        <f>(Table1[[#This Row],[Profit]]/Table1[[#This Row],[Sales]])*100</f>
        <v>33</v>
      </c>
    </row>
    <row r="5839" spans="1:12" x14ac:dyDescent="0.3">
      <c r="A5839" t="s">
        <v>6019</v>
      </c>
      <c r="B5839" s="1">
        <v>44161</v>
      </c>
      <c r="C5839" t="s">
        <v>1119</v>
      </c>
      <c r="D5839" t="s">
        <v>1120</v>
      </c>
      <c r="E5839" t="s">
        <v>14</v>
      </c>
      <c r="F5839" t="s">
        <v>29</v>
      </c>
      <c r="G5839" t="s">
        <v>18</v>
      </c>
      <c r="H5839" t="s">
        <v>322</v>
      </c>
      <c r="I5839" s="2">
        <v>1906.96</v>
      </c>
      <c r="J5839">
        <v>4</v>
      </c>
      <c r="K5839" s="2">
        <v>545.1884</v>
      </c>
      <c r="L5839" s="3">
        <f>(Table1[[#This Row],[Profit]]/Table1[[#This Row],[Sales]])*100</f>
        <v>28.589398833745854</v>
      </c>
    </row>
    <row r="5840" spans="1:12" x14ac:dyDescent="0.3">
      <c r="A5840" t="s">
        <v>4346</v>
      </c>
      <c r="B5840" s="1">
        <v>43916</v>
      </c>
      <c r="C5840" t="s">
        <v>1135</v>
      </c>
      <c r="D5840" t="s">
        <v>1136</v>
      </c>
      <c r="E5840" t="s">
        <v>14</v>
      </c>
      <c r="F5840" t="s">
        <v>29</v>
      </c>
      <c r="G5840" t="s">
        <v>18</v>
      </c>
      <c r="H5840" t="s">
        <v>4348</v>
      </c>
      <c r="I5840" s="2">
        <v>2412.96</v>
      </c>
      <c r="J5840">
        <v>5</v>
      </c>
      <c r="K5840" s="2">
        <v>569.9905</v>
      </c>
      <c r="L5840" s="3">
        <f>(Table1[[#This Row],[Profit]]/Table1[[#This Row],[Sales]])*100</f>
        <v>23.622045123002451</v>
      </c>
    </row>
    <row r="5841" spans="1:12" x14ac:dyDescent="0.3">
      <c r="A5841" t="s">
        <v>3657</v>
      </c>
      <c r="B5841" s="1">
        <v>43801</v>
      </c>
      <c r="C5841" t="s">
        <v>2307</v>
      </c>
      <c r="D5841" t="s">
        <v>2308</v>
      </c>
      <c r="E5841" t="s">
        <v>14</v>
      </c>
      <c r="F5841" t="s">
        <v>15</v>
      </c>
      <c r="G5841" t="s">
        <v>24</v>
      </c>
      <c r="H5841" t="s">
        <v>3658</v>
      </c>
      <c r="I5841" s="2">
        <v>79.400000000000006</v>
      </c>
      <c r="J5841">
        <v>5</v>
      </c>
      <c r="K5841" s="2">
        <v>582.23199999999997</v>
      </c>
      <c r="L5841" s="3">
        <f>(Table1[[#This Row],[Profit]]/Table1[[#This Row],[Sales]])*100</f>
        <v>733.28967254408053</v>
      </c>
    </row>
    <row r="5842" spans="1:12" x14ac:dyDescent="0.3">
      <c r="A5842" t="s">
        <v>3698</v>
      </c>
      <c r="B5842" s="1">
        <v>43804</v>
      </c>
      <c r="C5842" t="s">
        <v>3699</v>
      </c>
      <c r="D5842" t="s">
        <v>3700</v>
      </c>
      <c r="E5842" t="s">
        <v>14</v>
      </c>
      <c r="F5842" t="s">
        <v>29</v>
      </c>
      <c r="G5842" t="s">
        <v>16</v>
      </c>
      <c r="H5842" t="s">
        <v>843</v>
      </c>
      <c r="I5842" s="2">
        <v>951.84</v>
      </c>
      <c r="J5842">
        <v>8</v>
      </c>
      <c r="K5842" s="2">
        <v>585.55200000000002</v>
      </c>
      <c r="L5842" s="3">
        <f>(Table1[[#This Row],[Profit]]/Table1[[#This Row],[Sales]])*100</f>
        <v>61.517902168431668</v>
      </c>
    </row>
    <row r="5843" spans="1:12" x14ac:dyDescent="0.3">
      <c r="A5843" t="s">
        <v>3415</v>
      </c>
      <c r="B5843" s="1">
        <v>43782</v>
      </c>
      <c r="C5843" t="s">
        <v>2276</v>
      </c>
      <c r="D5843" t="s">
        <v>2277</v>
      </c>
      <c r="E5843" t="s">
        <v>14</v>
      </c>
      <c r="F5843" t="s">
        <v>15</v>
      </c>
      <c r="G5843" t="s">
        <v>18</v>
      </c>
      <c r="H5843" t="s">
        <v>3416</v>
      </c>
      <c r="I5843" s="2">
        <v>2279.96</v>
      </c>
      <c r="J5843">
        <v>4</v>
      </c>
      <c r="K5843" s="2">
        <v>592.78959999999995</v>
      </c>
      <c r="L5843" s="3">
        <f>(Table1[[#This Row],[Profit]]/Table1[[#This Row],[Sales]])*100</f>
        <v>25.999999999999996</v>
      </c>
    </row>
    <row r="5844" spans="1:12" x14ac:dyDescent="0.3">
      <c r="A5844" t="s">
        <v>4648</v>
      </c>
      <c r="B5844" s="1">
        <v>43965</v>
      </c>
      <c r="C5844" t="s">
        <v>2118</v>
      </c>
      <c r="D5844" t="s">
        <v>2119</v>
      </c>
      <c r="E5844" t="s">
        <v>14</v>
      </c>
      <c r="F5844" t="s">
        <v>23</v>
      </c>
      <c r="G5844" t="s">
        <v>18</v>
      </c>
      <c r="H5844" t="s">
        <v>3164</v>
      </c>
      <c r="I5844" s="2">
        <v>1433.93</v>
      </c>
      <c r="J5844">
        <v>7</v>
      </c>
      <c r="K5844" s="2">
        <v>601.96990000000005</v>
      </c>
      <c r="L5844" s="3">
        <f>(Table1[[#This Row],[Profit]]/Table1[[#This Row],[Sales]])*100</f>
        <v>41.980424427970689</v>
      </c>
    </row>
    <row r="5845" spans="1:12" x14ac:dyDescent="0.3">
      <c r="A5845" t="s">
        <v>5450</v>
      </c>
      <c r="B5845" s="1">
        <v>44094</v>
      </c>
      <c r="C5845" t="s">
        <v>1698</v>
      </c>
      <c r="D5845" t="s">
        <v>1699</v>
      </c>
      <c r="E5845" t="s">
        <v>14</v>
      </c>
      <c r="F5845" t="s">
        <v>15</v>
      </c>
      <c r="G5845" t="s">
        <v>16</v>
      </c>
      <c r="H5845" t="s">
        <v>997</v>
      </c>
      <c r="I5845" s="2">
        <v>2903.127</v>
      </c>
      <c r="J5845">
        <v>11</v>
      </c>
      <c r="K5845" s="2">
        <v>609.71569999999997</v>
      </c>
      <c r="L5845" s="3">
        <f>(Table1[[#This Row],[Profit]]/Table1[[#This Row],[Sales]])*100</f>
        <v>21.002033324756376</v>
      </c>
    </row>
    <row r="5846" spans="1:12" x14ac:dyDescent="0.3">
      <c r="A5846" t="s">
        <v>4424</v>
      </c>
      <c r="B5846" s="1">
        <v>43929</v>
      </c>
      <c r="C5846" t="s">
        <v>573</v>
      </c>
      <c r="D5846" t="s">
        <v>574</v>
      </c>
      <c r="E5846" t="s">
        <v>14</v>
      </c>
      <c r="F5846" t="s">
        <v>15</v>
      </c>
      <c r="G5846" t="s">
        <v>24</v>
      </c>
      <c r="H5846" t="s">
        <v>1068</v>
      </c>
      <c r="I5846" s="2">
        <v>2602.56</v>
      </c>
      <c r="J5846">
        <v>4</v>
      </c>
      <c r="K5846" s="2">
        <v>621.97439999999995</v>
      </c>
      <c r="L5846" s="3">
        <f>(Table1[[#This Row],[Profit]]/Table1[[#This Row],[Sales]])*100</f>
        <v>23.898561416451493</v>
      </c>
    </row>
    <row r="5847" spans="1:12" x14ac:dyDescent="0.3">
      <c r="A5847" t="s">
        <v>5951</v>
      </c>
      <c r="B5847" s="1">
        <v>44154</v>
      </c>
      <c r="C5847" t="s">
        <v>2750</v>
      </c>
      <c r="D5847" t="s">
        <v>2751</v>
      </c>
      <c r="E5847" t="s">
        <v>14</v>
      </c>
      <c r="F5847" t="s">
        <v>15</v>
      </c>
      <c r="G5847" t="s">
        <v>24</v>
      </c>
      <c r="H5847" t="s">
        <v>2225</v>
      </c>
      <c r="I5847" s="2">
        <v>1538.74</v>
      </c>
      <c r="J5847">
        <v>7</v>
      </c>
      <c r="K5847" s="2">
        <v>626.18499999999995</v>
      </c>
      <c r="L5847" s="3">
        <f>(Table1[[#This Row],[Profit]]/Table1[[#This Row],[Sales]])*100</f>
        <v>40.69465926667273</v>
      </c>
    </row>
    <row r="5848" spans="1:12" x14ac:dyDescent="0.3">
      <c r="A5848" t="s">
        <v>3901</v>
      </c>
      <c r="B5848" s="1">
        <v>43824</v>
      </c>
      <c r="C5848" t="s">
        <v>1992</v>
      </c>
      <c r="D5848" t="s">
        <v>1993</v>
      </c>
      <c r="E5848" t="s">
        <v>14</v>
      </c>
      <c r="F5848" t="s">
        <v>23</v>
      </c>
      <c r="G5848" t="s">
        <v>16</v>
      </c>
      <c r="H5848" t="s">
        <v>2472</v>
      </c>
      <c r="I5848" s="2">
        <v>1747.25</v>
      </c>
      <c r="J5848">
        <v>5</v>
      </c>
      <c r="K5848" s="2">
        <v>629.01</v>
      </c>
      <c r="L5848" s="3">
        <f>(Table1[[#This Row],[Profit]]/Table1[[#This Row],[Sales]])*100</f>
        <v>36</v>
      </c>
    </row>
    <row r="5849" spans="1:12" x14ac:dyDescent="0.3">
      <c r="A5849" t="s">
        <v>6141</v>
      </c>
      <c r="B5849" s="1">
        <v>44174</v>
      </c>
      <c r="C5849" t="s">
        <v>1183</v>
      </c>
      <c r="D5849" t="s">
        <v>1184</v>
      </c>
      <c r="E5849" t="s">
        <v>14</v>
      </c>
      <c r="F5849" t="s">
        <v>41</v>
      </c>
      <c r="G5849" t="s">
        <v>18</v>
      </c>
      <c r="H5849" t="s">
        <v>1565</v>
      </c>
      <c r="I5849" s="2">
        <v>1444.98</v>
      </c>
      <c r="J5849">
        <v>2</v>
      </c>
      <c r="K5849" s="2">
        <v>629.99099999999999</v>
      </c>
      <c r="L5849" s="3">
        <f>(Table1[[#This Row],[Profit]]/Table1[[#This Row],[Sales]])*100</f>
        <v>43.59859652036706</v>
      </c>
    </row>
    <row r="5850" spans="1:12" x14ac:dyDescent="0.3">
      <c r="A5850" t="s">
        <v>243</v>
      </c>
      <c r="B5850" s="1">
        <v>43496</v>
      </c>
      <c r="C5850" t="s">
        <v>244</v>
      </c>
      <c r="D5850" t="s">
        <v>245</v>
      </c>
      <c r="E5850" t="s">
        <v>14</v>
      </c>
      <c r="F5850" t="s">
        <v>41</v>
      </c>
      <c r="G5850" t="s">
        <v>24</v>
      </c>
      <c r="H5850" t="s">
        <v>246</v>
      </c>
      <c r="I5850" s="2">
        <v>1270.99</v>
      </c>
      <c r="J5850">
        <v>1</v>
      </c>
      <c r="K5850" s="2">
        <v>635.495</v>
      </c>
      <c r="L5850" s="3">
        <f>(Table1[[#This Row],[Profit]]/Table1[[#This Row],[Sales]])*100</f>
        <v>50</v>
      </c>
    </row>
    <row r="5851" spans="1:12" x14ac:dyDescent="0.3">
      <c r="A5851" t="s">
        <v>2697</v>
      </c>
      <c r="B5851" s="1">
        <v>43719</v>
      </c>
      <c r="C5851" t="s">
        <v>2698</v>
      </c>
      <c r="D5851" t="s">
        <v>2699</v>
      </c>
      <c r="E5851" t="s">
        <v>14</v>
      </c>
      <c r="F5851" t="s">
        <v>23</v>
      </c>
      <c r="G5851" t="s">
        <v>18</v>
      </c>
      <c r="H5851" t="s">
        <v>767</v>
      </c>
      <c r="I5851" s="2">
        <v>3347.37</v>
      </c>
      <c r="J5851">
        <v>13</v>
      </c>
      <c r="K5851" s="2">
        <v>636.00030000000004</v>
      </c>
      <c r="L5851" s="3">
        <f>(Table1[[#This Row],[Profit]]/Table1[[#This Row],[Sales]])*100</f>
        <v>19.000000000000004</v>
      </c>
    </row>
    <row r="5852" spans="1:12" x14ac:dyDescent="0.3">
      <c r="A5852" t="s">
        <v>5688</v>
      </c>
      <c r="B5852" s="1">
        <v>44126</v>
      </c>
      <c r="C5852" t="s">
        <v>2533</v>
      </c>
      <c r="D5852" t="s">
        <v>2534</v>
      </c>
      <c r="E5852" t="s">
        <v>14</v>
      </c>
      <c r="F5852" t="s">
        <v>15</v>
      </c>
      <c r="G5852" t="s">
        <v>18</v>
      </c>
      <c r="H5852" t="s">
        <v>641</v>
      </c>
      <c r="I5852" s="2">
        <v>1037.5999999999999</v>
      </c>
      <c r="J5852">
        <v>8</v>
      </c>
      <c r="K5852" s="2">
        <v>647.89200000000005</v>
      </c>
      <c r="L5852" s="3">
        <f>(Table1[[#This Row],[Profit]]/Table1[[#This Row],[Sales]])*100</f>
        <v>62.44140323824211</v>
      </c>
    </row>
    <row r="5853" spans="1:12" x14ac:dyDescent="0.3">
      <c r="A5853" t="s">
        <v>1566</v>
      </c>
      <c r="B5853" s="1">
        <v>43615</v>
      </c>
      <c r="C5853" t="s">
        <v>1430</v>
      </c>
      <c r="D5853" t="s">
        <v>1431</v>
      </c>
      <c r="E5853" t="s">
        <v>14</v>
      </c>
      <c r="F5853" t="s">
        <v>41</v>
      </c>
      <c r="G5853" t="s">
        <v>18</v>
      </c>
      <c r="H5853" t="s">
        <v>1568</v>
      </c>
      <c r="I5853" s="2">
        <v>1979.7</v>
      </c>
      <c r="J5853">
        <v>6</v>
      </c>
      <c r="K5853" s="2">
        <v>653.30100000000004</v>
      </c>
      <c r="L5853" s="3">
        <f>(Table1[[#This Row],[Profit]]/Table1[[#This Row],[Sales]])*100</f>
        <v>33</v>
      </c>
    </row>
    <row r="5854" spans="1:12" x14ac:dyDescent="0.3">
      <c r="A5854" t="s">
        <v>5156</v>
      </c>
      <c r="B5854" s="1">
        <v>44060</v>
      </c>
      <c r="C5854" t="s">
        <v>4601</v>
      </c>
      <c r="D5854" t="s">
        <v>4602</v>
      </c>
      <c r="E5854" t="s">
        <v>14</v>
      </c>
      <c r="F5854" t="s">
        <v>23</v>
      </c>
      <c r="G5854" t="s">
        <v>24</v>
      </c>
      <c r="H5854" t="s">
        <v>1816</v>
      </c>
      <c r="I5854" s="2">
        <v>2547.29</v>
      </c>
      <c r="J5854">
        <v>9</v>
      </c>
      <c r="K5854" s="2">
        <v>654.75540000000001</v>
      </c>
      <c r="L5854" s="3">
        <f>(Table1[[#This Row],[Profit]]/Table1[[#This Row],[Sales]])*100</f>
        <v>25.703999152040012</v>
      </c>
    </row>
    <row r="5855" spans="1:12" x14ac:dyDescent="0.3">
      <c r="A5855" t="s">
        <v>3677</v>
      </c>
      <c r="B5855" s="1">
        <v>43802</v>
      </c>
      <c r="C5855" t="s">
        <v>59</v>
      </c>
      <c r="D5855" t="s">
        <v>60</v>
      </c>
      <c r="E5855" t="s">
        <v>14</v>
      </c>
      <c r="F5855" t="s">
        <v>23</v>
      </c>
      <c r="G5855" t="s">
        <v>18</v>
      </c>
      <c r="H5855" t="s">
        <v>3460</v>
      </c>
      <c r="I5855" s="2">
        <v>1649.95</v>
      </c>
      <c r="J5855">
        <v>5</v>
      </c>
      <c r="K5855" s="2">
        <v>659.98</v>
      </c>
      <c r="L5855" s="3">
        <f>(Table1[[#This Row],[Profit]]/Table1[[#This Row],[Sales]])*100</f>
        <v>40</v>
      </c>
    </row>
    <row r="5856" spans="1:12" x14ac:dyDescent="0.3">
      <c r="A5856" t="s">
        <v>5065</v>
      </c>
      <c r="B5856" s="1">
        <v>44038</v>
      </c>
      <c r="C5856" t="s">
        <v>4300</v>
      </c>
      <c r="D5856" t="s">
        <v>4301</v>
      </c>
      <c r="E5856" t="s">
        <v>14</v>
      </c>
      <c r="F5856" t="s">
        <v>23</v>
      </c>
      <c r="G5856" t="s">
        <v>18</v>
      </c>
      <c r="H5856" t="s">
        <v>3460</v>
      </c>
      <c r="I5856" s="2">
        <v>1687.95</v>
      </c>
      <c r="J5856">
        <v>5</v>
      </c>
      <c r="K5856" s="2">
        <v>659.98</v>
      </c>
      <c r="L5856" s="3">
        <f>(Table1[[#This Row],[Profit]]/Table1[[#This Row],[Sales]])*100</f>
        <v>39.099499392754524</v>
      </c>
    </row>
    <row r="5857" spans="1:12" x14ac:dyDescent="0.3">
      <c r="A5857" t="s">
        <v>3992</v>
      </c>
      <c r="B5857" s="1">
        <v>43837</v>
      </c>
      <c r="C5857" t="s">
        <v>3037</v>
      </c>
      <c r="D5857" t="s">
        <v>3038</v>
      </c>
      <c r="E5857" t="s">
        <v>14</v>
      </c>
      <c r="F5857" t="s">
        <v>29</v>
      </c>
      <c r="G5857" t="s">
        <v>18</v>
      </c>
      <c r="H5857" t="s">
        <v>3993</v>
      </c>
      <c r="I5857" s="2">
        <v>3096.982</v>
      </c>
      <c r="J5857">
        <v>2</v>
      </c>
      <c r="K5857" s="2">
        <v>679.99599999999998</v>
      </c>
      <c r="L5857" s="3">
        <f>(Table1[[#This Row],[Profit]]/Table1[[#This Row],[Sales]])*100</f>
        <v>21.956730778545047</v>
      </c>
    </row>
    <row r="5858" spans="1:12" x14ac:dyDescent="0.3">
      <c r="A5858" t="s">
        <v>3985</v>
      </c>
      <c r="B5858" s="1">
        <v>43833</v>
      </c>
      <c r="C5858" t="s">
        <v>3986</v>
      </c>
      <c r="D5858" t="s">
        <v>3987</v>
      </c>
      <c r="E5858" t="s">
        <v>14</v>
      </c>
      <c r="F5858" t="s">
        <v>23</v>
      </c>
      <c r="G5858" t="s">
        <v>24</v>
      </c>
      <c r="H5858" t="s">
        <v>1009</v>
      </c>
      <c r="I5858" s="2">
        <v>2057.2719999999999</v>
      </c>
      <c r="J5858">
        <v>8</v>
      </c>
      <c r="K5858" s="2">
        <v>682.51679999999999</v>
      </c>
      <c r="L5858" s="3">
        <f>(Table1[[#This Row],[Profit]]/Table1[[#This Row],[Sales]])*100</f>
        <v>33.1758172959142</v>
      </c>
    </row>
    <row r="5859" spans="1:12" x14ac:dyDescent="0.3">
      <c r="A5859" t="s">
        <v>3633</v>
      </c>
      <c r="B5859" s="1">
        <v>43800</v>
      </c>
      <c r="C5859" t="s">
        <v>197</v>
      </c>
      <c r="D5859" t="s">
        <v>198</v>
      </c>
      <c r="E5859" t="s">
        <v>14</v>
      </c>
      <c r="F5859" t="s">
        <v>41</v>
      </c>
      <c r="G5859" t="s">
        <v>24</v>
      </c>
      <c r="H5859" t="s">
        <v>695</v>
      </c>
      <c r="I5859" s="2">
        <v>1104.55</v>
      </c>
      <c r="J5859">
        <v>7</v>
      </c>
      <c r="K5859" s="2">
        <v>694.50149999999996</v>
      </c>
      <c r="L5859" s="3">
        <f>(Table1[[#This Row],[Profit]]/Table1[[#This Row],[Sales]])*100</f>
        <v>62.876420261645016</v>
      </c>
    </row>
    <row r="5860" spans="1:12" x14ac:dyDescent="0.3">
      <c r="A5860" t="s">
        <v>1518</v>
      </c>
      <c r="B5860" s="1">
        <v>43612</v>
      </c>
      <c r="C5860" t="s">
        <v>75</v>
      </c>
      <c r="D5860" t="s">
        <v>76</v>
      </c>
      <c r="E5860" t="s">
        <v>14</v>
      </c>
      <c r="F5860" t="s">
        <v>29</v>
      </c>
      <c r="G5860" t="s">
        <v>16</v>
      </c>
      <c r="H5860" t="s">
        <v>1015</v>
      </c>
      <c r="I5860" s="2">
        <v>3504.9</v>
      </c>
      <c r="J5860">
        <v>5</v>
      </c>
      <c r="K5860" s="2">
        <v>700.98</v>
      </c>
      <c r="L5860" s="3">
        <f>(Table1[[#This Row],[Profit]]/Table1[[#This Row],[Sales]])*100</f>
        <v>20</v>
      </c>
    </row>
    <row r="5861" spans="1:12" x14ac:dyDescent="0.3">
      <c r="A5861" t="s">
        <v>4949</v>
      </c>
      <c r="B5861" s="1">
        <v>44015</v>
      </c>
      <c r="C5861" t="s">
        <v>4950</v>
      </c>
      <c r="D5861" t="s">
        <v>4951</v>
      </c>
      <c r="E5861" t="s">
        <v>14</v>
      </c>
      <c r="F5861" t="s">
        <v>23</v>
      </c>
      <c r="G5861" t="s">
        <v>18</v>
      </c>
      <c r="H5861" t="s">
        <v>2540</v>
      </c>
      <c r="I5861" s="2">
        <v>1729.8</v>
      </c>
      <c r="J5861">
        <v>4</v>
      </c>
      <c r="K5861" s="2">
        <v>742.63199999999995</v>
      </c>
      <c r="L5861" s="3">
        <f>(Table1[[#This Row],[Profit]]/Table1[[#This Row],[Sales]])*100</f>
        <v>42.931668400971205</v>
      </c>
    </row>
    <row r="5862" spans="1:12" x14ac:dyDescent="0.3">
      <c r="A5862" t="s">
        <v>6077</v>
      </c>
      <c r="B5862" s="1">
        <v>44167</v>
      </c>
      <c r="C5862" t="s">
        <v>5553</v>
      </c>
      <c r="D5862" t="s">
        <v>5554</v>
      </c>
      <c r="E5862" t="s">
        <v>14</v>
      </c>
      <c r="F5862" t="s">
        <v>29</v>
      </c>
      <c r="G5862" t="s">
        <v>18</v>
      </c>
      <c r="H5862" t="s">
        <v>1335</v>
      </c>
      <c r="I5862" s="2">
        <v>521.96</v>
      </c>
      <c r="J5862">
        <v>4</v>
      </c>
      <c r="K5862" s="2">
        <v>743.98800000000006</v>
      </c>
      <c r="L5862" s="3">
        <f>(Table1[[#This Row],[Profit]]/Table1[[#This Row],[Sales]])*100</f>
        <v>142.53735918461186</v>
      </c>
    </row>
    <row r="5863" spans="1:12" x14ac:dyDescent="0.3">
      <c r="A5863" t="s">
        <v>3108</v>
      </c>
      <c r="B5863" s="1">
        <v>43755</v>
      </c>
      <c r="C5863" t="s">
        <v>3109</v>
      </c>
      <c r="D5863" t="s">
        <v>3110</v>
      </c>
      <c r="E5863" t="s">
        <v>14</v>
      </c>
      <c r="F5863" t="s">
        <v>29</v>
      </c>
      <c r="G5863" t="s">
        <v>24</v>
      </c>
      <c r="H5863" t="s">
        <v>3112</v>
      </c>
      <c r="I5863" s="2">
        <v>1927.59</v>
      </c>
      <c r="J5863">
        <v>7</v>
      </c>
      <c r="K5863" s="2">
        <v>751.76009999999997</v>
      </c>
      <c r="L5863" s="3">
        <f>(Table1[[#This Row],[Profit]]/Table1[[#This Row],[Sales]])*100</f>
        <v>39</v>
      </c>
    </row>
    <row r="5864" spans="1:12" x14ac:dyDescent="0.3">
      <c r="A5864" t="s">
        <v>2707</v>
      </c>
      <c r="B5864" s="1">
        <v>43719</v>
      </c>
      <c r="C5864" t="s">
        <v>376</v>
      </c>
      <c r="D5864" t="s">
        <v>377</v>
      </c>
      <c r="E5864" t="s">
        <v>14</v>
      </c>
      <c r="F5864" t="s">
        <v>41</v>
      </c>
      <c r="G5864" t="s">
        <v>18</v>
      </c>
      <c r="H5864" t="s">
        <v>2708</v>
      </c>
      <c r="I5864" s="2">
        <v>1599.92</v>
      </c>
      <c r="J5864">
        <v>8</v>
      </c>
      <c r="K5864" s="2">
        <v>751.9624</v>
      </c>
      <c r="L5864" s="3">
        <f>(Table1[[#This Row],[Profit]]/Table1[[#This Row],[Sales]])*100</f>
        <v>47</v>
      </c>
    </row>
    <row r="5865" spans="1:12" x14ac:dyDescent="0.3">
      <c r="A5865" t="s">
        <v>5255</v>
      </c>
      <c r="B5865" s="1">
        <v>44076</v>
      </c>
      <c r="C5865" t="s">
        <v>390</v>
      </c>
      <c r="D5865" t="s">
        <v>391</v>
      </c>
      <c r="E5865" t="s">
        <v>14</v>
      </c>
      <c r="F5865" t="s">
        <v>41</v>
      </c>
      <c r="G5865" t="s">
        <v>24</v>
      </c>
      <c r="H5865" t="s">
        <v>2746</v>
      </c>
      <c r="I5865" s="2">
        <v>1593.94</v>
      </c>
      <c r="J5865">
        <v>3</v>
      </c>
      <c r="K5865" s="2">
        <v>757.41120000000001</v>
      </c>
      <c r="L5865" s="3">
        <f>(Table1[[#This Row],[Profit]]/Table1[[#This Row],[Sales]])*100</f>
        <v>47.51817508814635</v>
      </c>
    </row>
    <row r="5866" spans="1:12" x14ac:dyDescent="0.3">
      <c r="A5866" t="s">
        <v>5310</v>
      </c>
      <c r="B5866" s="1">
        <v>44081</v>
      </c>
      <c r="C5866" t="s">
        <v>731</v>
      </c>
      <c r="D5866" t="s">
        <v>732</v>
      </c>
      <c r="E5866" t="s">
        <v>14</v>
      </c>
      <c r="F5866" t="s">
        <v>29</v>
      </c>
      <c r="G5866" t="s">
        <v>24</v>
      </c>
      <c r="H5866" t="s">
        <v>2746</v>
      </c>
      <c r="I5866" s="2">
        <v>1600.94</v>
      </c>
      <c r="J5866">
        <v>3</v>
      </c>
      <c r="K5866" s="2">
        <v>757.41120000000001</v>
      </c>
      <c r="L5866" s="3">
        <f>(Table1[[#This Row],[Profit]]/Table1[[#This Row],[Sales]])*100</f>
        <v>47.31040513698202</v>
      </c>
    </row>
    <row r="5867" spans="1:12" x14ac:dyDescent="0.3">
      <c r="A5867" t="s">
        <v>4065</v>
      </c>
      <c r="B5867" s="1">
        <v>43856</v>
      </c>
      <c r="C5867" t="s">
        <v>4066</v>
      </c>
      <c r="D5867" t="s">
        <v>4067</v>
      </c>
      <c r="E5867" t="s">
        <v>14</v>
      </c>
      <c r="F5867" t="s">
        <v>41</v>
      </c>
      <c r="G5867" t="s">
        <v>18</v>
      </c>
      <c r="H5867" t="s">
        <v>1652</v>
      </c>
      <c r="I5867" s="2">
        <v>2967.93</v>
      </c>
      <c r="J5867">
        <v>7</v>
      </c>
      <c r="K5867" s="2">
        <v>764.3818</v>
      </c>
      <c r="L5867" s="3">
        <f>(Table1[[#This Row],[Profit]]/Table1[[#This Row],[Sales]])*100</f>
        <v>25.754711196018775</v>
      </c>
    </row>
    <row r="5868" spans="1:12" x14ac:dyDescent="0.3">
      <c r="A5868" t="s">
        <v>5546</v>
      </c>
      <c r="B5868" s="1">
        <v>44105</v>
      </c>
      <c r="C5868" t="s">
        <v>2276</v>
      </c>
      <c r="D5868" t="s">
        <v>2277</v>
      </c>
      <c r="E5868" t="s">
        <v>14</v>
      </c>
      <c r="F5868" t="s">
        <v>15</v>
      </c>
      <c r="G5868" t="s">
        <v>18</v>
      </c>
      <c r="H5868" t="s">
        <v>1513</v>
      </c>
      <c r="I5868" s="2">
        <v>1754.89</v>
      </c>
      <c r="J5868">
        <v>11</v>
      </c>
      <c r="K5868" s="2">
        <v>767.20050000000003</v>
      </c>
      <c r="L5868" s="3">
        <f>(Table1[[#This Row],[Profit]]/Table1[[#This Row],[Sales]])*100</f>
        <v>43.717868356421199</v>
      </c>
    </row>
    <row r="5869" spans="1:12" x14ac:dyDescent="0.3">
      <c r="A5869" t="s">
        <v>4749</v>
      </c>
      <c r="B5869" s="1">
        <v>43983</v>
      </c>
      <c r="C5869" t="s">
        <v>2359</v>
      </c>
      <c r="D5869" t="s">
        <v>2360</v>
      </c>
      <c r="E5869" t="s">
        <v>14</v>
      </c>
      <c r="F5869" t="s">
        <v>29</v>
      </c>
      <c r="G5869" t="s">
        <v>24</v>
      </c>
      <c r="H5869" t="s">
        <v>695</v>
      </c>
      <c r="I5869" s="2">
        <v>2425.1999999999998</v>
      </c>
      <c r="J5869">
        <v>8</v>
      </c>
      <c r="K5869" s="2">
        <v>793.71600000000001</v>
      </c>
      <c r="L5869" s="3">
        <f>(Table1[[#This Row],[Profit]]/Table1[[#This Row],[Sales]])*100</f>
        <v>32.727857496288969</v>
      </c>
    </row>
    <row r="5870" spans="1:12" x14ac:dyDescent="0.3">
      <c r="A5870" t="s">
        <v>5254</v>
      </c>
      <c r="B5870" s="1">
        <v>44076</v>
      </c>
      <c r="C5870" t="s">
        <v>124</v>
      </c>
      <c r="D5870" t="s">
        <v>125</v>
      </c>
      <c r="E5870" t="s">
        <v>14</v>
      </c>
      <c r="F5870" t="s">
        <v>29</v>
      </c>
      <c r="G5870" t="s">
        <v>18</v>
      </c>
      <c r="H5870" t="s">
        <v>5256</v>
      </c>
      <c r="I5870" s="2">
        <v>1976.78</v>
      </c>
      <c r="J5870">
        <v>7</v>
      </c>
      <c r="K5870" s="2">
        <v>829.37540000000001</v>
      </c>
      <c r="L5870" s="3">
        <f>(Table1[[#This Row],[Profit]]/Table1[[#This Row],[Sales]])*100</f>
        <v>41.955877740567999</v>
      </c>
    </row>
    <row r="5871" spans="1:12" x14ac:dyDescent="0.3">
      <c r="A5871" t="s">
        <v>5060</v>
      </c>
      <c r="B5871" s="1">
        <v>44036</v>
      </c>
      <c r="C5871" t="s">
        <v>4330</v>
      </c>
      <c r="D5871" t="s">
        <v>4331</v>
      </c>
      <c r="E5871" t="s">
        <v>14</v>
      </c>
      <c r="F5871" t="s">
        <v>23</v>
      </c>
      <c r="G5871" t="s">
        <v>18</v>
      </c>
      <c r="H5871" t="s">
        <v>2172</v>
      </c>
      <c r="I5871" s="2">
        <v>2441.96</v>
      </c>
      <c r="J5871">
        <v>5</v>
      </c>
      <c r="K5871" s="2">
        <v>839.98599999999999</v>
      </c>
      <c r="L5871" s="3">
        <f>(Table1[[#This Row],[Profit]]/Table1[[#This Row],[Sales]])*100</f>
        <v>34.398024537666466</v>
      </c>
    </row>
    <row r="5872" spans="1:12" x14ac:dyDescent="0.3">
      <c r="A5872" t="s">
        <v>3835</v>
      </c>
      <c r="B5872" s="1">
        <v>43817</v>
      </c>
      <c r="C5872" t="s">
        <v>1130</v>
      </c>
      <c r="D5872" t="s">
        <v>1131</v>
      </c>
      <c r="E5872" t="s">
        <v>14</v>
      </c>
      <c r="F5872" t="s">
        <v>15</v>
      </c>
      <c r="G5872" t="s">
        <v>24</v>
      </c>
      <c r="H5872" t="s">
        <v>3836</v>
      </c>
      <c r="I5872" s="2">
        <v>1793.98</v>
      </c>
      <c r="J5872">
        <v>2</v>
      </c>
      <c r="K5872" s="2">
        <v>843.17060000000004</v>
      </c>
      <c r="L5872" s="3">
        <f>(Table1[[#This Row],[Profit]]/Table1[[#This Row],[Sales]])*100</f>
        <v>47</v>
      </c>
    </row>
    <row r="5873" spans="1:12" x14ac:dyDescent="0.3">
      <c r="A5873" t="s">
        <v>5564</v>
      </c>
      <c r="B5873" s="1">
        <v>44107</v>
      </c>
      <c r="C5873" t="s">
        <v>2849</v>
      </c>
      <c r="D5873" t="s">
        <v>2850</v>
      </c>
      <c r="E5873" t="s">
        <v>14</v>
      </c>
      <c r="F5873" t="s">
        <v>29</v>
      </c>
      <c r="G5873" t="s">
        <v>24</v>
      </c>
      <c r="H5873" t="s">
        <v>3836</v>
      </c>
      <c r="I5873" s="2">
        <v>1833.98</v>
      </c>
      <c r="J5873">
        <v>2</v>
      </c>
      <c r="K5873" s="2">
        <v>843.17060000000004</v>
      </c>
      <c r="L5873" s="3">
        <f>(Table1[[#This Row],[Profit]]/Table1[[#This Row],[Sales]])*100</f>
        <v>45.974907032792075</v>
      </c>
    </row>
    <row r="5874" spans="1:12" x14ac:dyDescent="0.3">
      <c r="A5874" t="s">
        <v>5399</v>
      </c>
      <c r="B5874" s="1">
        <v>44089</v>
      </c>
      <c r="C5874" t="s">
        <v>1691</v>
      </c>
      <c r="D5874" t="s">
        <v>1692</v>
      </c>
      <c r="E5874" t="s">
        <v>14</v>
      </c>
      <c r="F5874" t="s">
        <v>23</v>
      </c>
      <c r="G5874" t="s">
        <v>24</v>
      </c>
      <c r="H5874" t="s">
        <v>2742</v>
      </c>
      <c r="I5874" s="2">
        <v>2385.4879999999998</v>
      </c>
      <c r="J5874">
        <v>7</v>
      </c>
      <c r="K5874" s="2">
        <v>884.05799999999999</v>
      </c>
      <c r="L5874" s="3">
        <f>(Table1[[#This Row],[Profit]]/Table1[[#This Row],[Sales]])*100</f>
        <v>37.059838490069957</v>
      </c>
    </row>
    <row r="5875" spans="1:12" x14ac:dyDescent="0.3">
      <c r="A5875" t="s">
        <v>3872</v>
      </c>
      <c r="B5875" s="1">
        <v>43822</v>
      </c>
      <c r="C5875" t="s">
        <v>3873</v>
      </c>
      <c r="D5875" t="s">
        <v>3874</v>
      </c>
      <c r="E5875" t="s">
        <v>14</v>
      </c>
      <c r="F5875" t="s">
        <v>15</v>
      </c>
      <c r="G5875" t="s">
        <v>18</v>
      </c>
      <c r="H5875" t="s">
        <v>890</v>
      </c>
      <c r="I5875" s="2">
        <v>99.96</v>
      </c>
      <c r="J5875">
        <v>4</v>
      </c>
      <c r="K5875" s="2">
        <v>899.98199999999997</v>
      </c>
      <c r="L5875" s="3">
        <f>(Table1[[#This Row],[Profit]]/Table1[[#This Row],[Sales]])*100</f>
        <v>900.34213685474197</v>
      </c>
    </row>
    <row r="5876" spans="1:12" x14ac:dyDescent="0.3">
      <c r="A5876" t="s">
        <v>5162</v>
      </c>
      <c r="B5876" s="1">
        <v>44061</v>
      </c>
      <c r="C5876" t="s">
        <v>4457</v>
      </c>
      <c r="D5876" t="s">
        <v>4458</v>
      </c>
      <c r="E5876" t="s">
        <v>14</v>
      </c>
      <c r="F5876" t="s">
        <v>23</v>
      </c>
      <c r="G5876" t="s">
        <v>24</v>
      </c>
      <c r="H5876" t="s">
        <v>5172</v>
      </c>
      <c r="I5876" s="2">
        <v>2831.5279999999998</v>
      </c>
      <c r="J5876">
        <v>9</v>
      </c>
      <c r="K5876" s="2">
        <v>942.81569999999999</v>
      </c>
      <c r="L5876" s="3">
        <f>(Table1[[#This Row],[Profit]]/Table1[[#This Row],[Sales]])*100</f>
        <v>33.297064341232016</v>
      </c>
    </row>
    <row r="5877" spans="1:12" x14ac:dyDescent="0.3">
      <c r="A5877" t="s">
        <v>1979</v>
      </c>
      <c r="B5877" s="1">
        <v>43653</v>
      </c>
      <c r="C5877" t="s">
        <v>1480</v>
      </c>
      <c r="D5877" t="s">
        <v>1481</v>
      </c>
      <c r="E5877" t="s">
        <v>14</v>
      </c>
      <c r="F5877" t="s">
        <v>23</v>
      </c>
      <c r="G5877" t="s">
        <v>18</v>
      </c>
      <c r="H5877" t="s">
        <v>1981</v>
      </c>
      <c r="I5877" s="2">
        <v>2799.96</v>
      </c>
      <c r="J5877">
        <v>5</v>
      </c>
      <c r="K5877" s="2">
        <v>944.98649999999998</v>
      </c>
      <c r="L5877" s="3">
        <f>(Table1[[#This Row],[Profit]]/Table1[[#This Row],[Sales]])*100</f>
        <v>33.75</v>
      </c>
    </row>
    <row r="5878" spans="1:12" x14ac:dyDescent="0.3">
      <c r="A5878" t="s">
        <v>2587</v>
      </c>
      <c r="B5878" s="1">
        <v>43712</v>
      </c>
      <c r="C5878" t="s">
        <v>2588</v>
      </c>
      <c r="D5878" t="s">
        <v>2589</v>
      </c>
      <c r="E5878" t="s">
        <v>14</v>
      </c>
      <c r="F5878" t="s">
        <v>23</v>
      </c>
      <c r="G5878" t="s">
        <v>18</v>
      </c>
      <c r="H5878" t="s">
        <v>1981</v>
      </c>
      <c r="I5878" s="2">
        <v>2799.96</v>
      </c>
      <c r="J5878">
        <v>5</v>
      </c>
      <c r="K5878" s="2">
        <v>944.98649999999998</v>
      </c>
      <c r="L5878" s="3">
        <f>(Table1[[#This Row],[Profit]]/Table1[[#This Row],[Sales]])*100</f>
        <v>33.75</v>
      </c>
    </row>
    <row r="5879" spans="1:12" x14ac:dyDescent="0.3">
      <c r="A5879" t="s">
        <v>6256</v>
      </c>
      <c r="B5879" s="1">
        <v>44189</v>
      </c>
      <c r="C5879" t="s">
        <v>6257</v>
      </c>
      <c r="D5879" t="s">
        <v>6258</v>
      </c>
      <c r="E5879" t="s">
        <v>14</v>
      </c>
      <c r="F5879" t="s">
        <v>23</v>
      </c>
      <c r="G5879" t="s">
        <v>18</v>
      </c>
      <c r="H5879" t="s">
        <v>2172</v>
      </c>
      <c r="I5879" s="2">
        <v>536.952</v>
      </c>
      <c r="J5879">
        <v>6</v>
      </c>
      <c r="K5879" s="2">
        <v>1007.9832</v>
      </c>
      <c r="L5879" s="3">
        <f>(Table1[[#This Row],[Profit]]/Table1[[#This Row],[Sales]])*100</f>
        <v>187.72314843784918</v>
      </c>
    </row>
    <row r="5880" spans="1:12" x14ac:dyDescent="0.3">
      <c r="A5880" t="s">
        <v>4611</v>
      </c>
      <c r="B5880" s="1">
        <v>43959</v>
      </c>
      <c r="C5880" t="s">
        <v>3309</v>
      </c>
      <c r="D5880" t="s">
        <v>3310</v>
      </c>
      <c r="E5880" t="s">
        <v>14</v>
      </c>
      <c r="F5880" t="s">
        <v>23</v>
      </c>
      <c r="G5880" t="s">
        <v>18</v>
      </c>
      <c r="H5880" t="s">
        <v>1565</v>
      </c>
      <c r="I5880" s="2">
        <v>3409.9520000000002</v>
      </c>
      <c r="J5880">
        <v>6</v>
      </c>
      <c r="K5880" s="2">
        <v>1049.9849999999999</v>
      </c>
      <c r="L5880" s="3">
        <f>(Table1[[#This Row],[Profit]]/Table1[[#This Row],[Sales]])*100</f>
        <v>30.791782406321254</v>
      </c>
    </row>
    <row r="5881" spans="1:12" x14ac:dyDescent="0.3">
      <c r="A5881" t="s">
        <v>1479</v>
      </c>
      <c r="B5881" s="1">
        <v>43608</v>
      </c>
      <c r="C5881" t="s">
        <v>1480</v>
      </c>
      <c r="D5881" t="s">
        <v>1481</v>
      </c>
      <c r="E5881" t="s">
        <v>14</v>
      </c>
      <c r="F5881" t="s">
        <v>15</v>
      </c>
      <c r="G5881" t="s">
        <v>18</v>
      </c>
      <c r="H5881" t="s">
        <v>1482</v>
      </c>
      <c r="I5881" s="2">
        <v>2399.9760000000001</v>
      </c>
      <c r="J5881">
        <v>4</v>
      </c>
      <c r="K5881" s="2">
        <v>1119.9967999999999</v>
      </c>
      <c r="L5881" s="3">
        <f>(Table1[[#This Row],[Profit]]/Table1[[#This Row],[Sales]])*100</f>
        <v>46.667000003333357</v>
      </c>
    </row>
    <row r="5882" spans="1:12" x14ac:dyDescent="0.3">
      <c r="A5882" t="s">
        <v>1280</v>
      </c>
      <c r="B5882" s="1">
        <v>43592</v>
      </c>
      <c r="C5882" t="s">
        <v>565</v>
      </c>
      <c r="D5882" t="s">
        <v>566</v>
      </c>
      <c r="E5882" t="s">
        <v>14</v>
      </c>
      <c r="F5882" t="s">
        <v>15</v>
      </c>
      <c r="G5882" t="s">
        <v>18</v>
      </c>
      <c r="H5882" t="s">
        <v>1284</v>
      </c>
      <c r="I5882" s="2">
        <v>3999.95</v>
      </c>
      <c r="J5882">
        <v>5</v>
      </c>
      <c r="K5882" s="2">
        <v>1159.9855</v>
      </c>
      <c r="L5882" s="3">
        <f>(Table1[[#This Row],[Profit]]/Table1[[#This Row],[Sales]])*100</f>
        <v>29.000000000000004</v>
      </c>
    </row>
    <row r="5883" spans="1:12" x14ac:dyDescent="0.3">
      <c r="A5883" t="s">
        <v>4425</v>
      </c>
      <c r="B5883" s="1">
        <v>43929</v>
      </c>
      <c r="C5883" t="s">
        <v>1794</v>
      </c>
      <c r="D5883" t="s">
        <v>1795</v>
      </c>
      <c r="E5883" t="s">
        <v>14</v>
      </c>
      <c r="F5883" t="s">
        <v>41</v>
      </c>
      <c r="G5883" t="s">
        <v>24</v>
      </c>
      <c r="H5883" t="s">
        <v>3836</v>
      </c>
      <c r="I5883" s="2">
        <v>2704.97</v>
      </c>
      <c r="J5883">
        <v>3</v>
      </c>
      <c r="K5883" s="2">
        <v>1264.7559000000001</v>
      </c>
      <c r="L5883" s="3">
        <f>(Table1[[#This Row],[Profit]]/Table1[[#This Row],[Sales]])*100</f>
        <v>46.756744067401861</v>
      </c>
    </row>
    <row r="5884" spans="1:12" x14ac:dyDescent="0.3">
      <c r="A5884" t="s">
        <v>5572</v>
      </c>
      <c r="B5884" s="1">
        <v>44109</v>
      </c>
      <c r="C5884" t="s">
        <v>4620</v>
      </c>
      <c r="D5884" t="s">
        <v>4621</v>
      </c>
      <c r="E5884" t="s">
        <v>14</v>
      </c>
      <c r="F5884" t="s">
        <v>15</v>
      </c>
      <c r="G5884" t="s">
        <v>18</v>
      </c>
      <c r="H5884" t="s">
        <v>1030</v>
      </c>
      <c r="I5884" s="2">
        <v>5234.96</v>
      </c>
      <c r="J5884">
        <v>4</v>
      </c>
      <c r="K5884" s="2">
        <v>1351.9896000000001</v>
      </c>
      <c r="L5884" s="3">
        <f>(Table1[[#This Row],[Profit]]/Table1[[#This Row],[Sales]])*100</f>
        <v>25.826168681327076</v>
      </c>
    </row>
    <row r="5885" spans="1:12" x14ac:dyDescent="0.3">
      <c r="A5885" t="s">
        <v>4052</v>
      </c>
      <c r="B5885" s="1">
        <v>43852</v>
      </c>
      <c r="C5885" t="s">
        <v>4053</v>
      </c>
      <c r="D5885" t="s">
        <v>4054</v>
      </c>
      <c r="E5885" t="s">
        <v>14</v>
      </c>
      <c r="F5885" t="s">
        <v>23</v>
      </c>
      <c r="G5885" t="s">
        <v>18</v>
      </c>
      <c r="H5885" t="s">
        <v>4055</v>
      </c>
      <c r="I5885" s="2">
        <v>3026.95</v>
      </c>
      <c r="J5885">
        <v>5</v>
      </c>
      <c r="K5885" s="2">
        <v>1379.9770000000001</v>
      </c>
      <c r="L5885" s="3">
        <f>(Table1[[#This Row],[Profit]]/Table1[[#This Row],[Sales]])*100</f>
        <v>45.589685987545224</v>
      </c>
    </row>
    <row r="5886" spans="1:12" x14ac:dyDescent="0.3">
      <c r="A5886" t="s">
        <v>2508</v>
      </c>
      <c r="B5886" s="1">
        <v>43709</v>
      </c>
      <c r="C5886" t="s">
        <v>627</v>
      </c>
      <c r="D5886" t="s">
        <v>628</v>
      </c>
      <c r="E5886" t="s">
        <v>14</v>
      </c>
      <c r="F5886" t="s">
        <v>15</v>
      </c>
      <c r="G5886" t="s">
        <v>24</v>
      </c>
      <c r="H5886" t="s">
        <v>922</v>
      </c>
      <c r="I5886" s="2">
        <v>4355.1679999999997</v>
      </c>
      <c r="J5886">
        <v>4</v>
      </c>
      <c r="K5886" s="2">
        <v>1415.4295999999999</v>
      </c>
      <c r="L5886" s="3">
        <f>(Table1[[#This Row],[Profit]]/Table1[[#This Row],[Sales]])*100</f>
        <v>32.5</v>
      </c>
    </row>
    <row r="5887" spans="1:12" x14ac:dyDescent="0.3">
      <c r="A5887" t="s">
        <v>4391</v>
      </c>
      <c r="B5887" s="1">
        <v>43921</v>
      </c>
      <c r="C5887" t="s">
        <v>1465</v>
      </c>
      <c r="D5887" t="s">
        <v>1466</v>
      </c>
      <c r="E5887" t="s">
        <v>14</v>
      </c>
      <c r="F5887" t="s">
        <v>41</v>
      </c>
      <c r="G5887" t="s">
        <v>18</v>
      </c>
      <c r="H5887" t="s">
        <v>2172</v>
      </c>
      <c r="I5887" s="2">
        <v>3013.95</v>
      </c>
      <c r="J5887">
        <v>5</v>
      </c>
      <c r="K5887" s="2">
        <v>1439.9760000000001</v>
      </c>
      <c r="L5887" s="3">
        <f>(Table1[[#This Row],[Profit]]/Table1[[#This Row],[Sales]])*100</f>
        <v>47.777036778977759</v>
      </c>
    </row>
    <row r="5888" spans="1:12" x14ac:dyDescent="0.3">
      <c r="A5888" t="s">
        <v>5197</v>
      </c>
      <c r="B5888" s="1">
        <v>44064</v>
      </c>
      <c r="C5888" t="s">
        <v>1038</v>
      </c>
      <c r="D5888" t="s">
        <v>1039</v>
      </c>
      <c r="E5888" t="s">
        <v>14</v>
      </c>
      <c r="F5888" t="s">
        <v>15</v>
      </c>
      <c r="G5888" t="s">
        <v>24</v>
      </c>
      <c r="H5888" t="s">
        <v>3836</v>
      </c>
      <c r="I5888" s="2">
        <v>4330.5519999999997</v>
      </c>
      <c r="J5888">
        <v>6</v>
      </c>
      <c r="K5888" s="2">
        <v>1453.1238000000001</v>
      </c>
      <c r="L5888" s="3">
        <f>(Table1[[#This Row],[Profit]]/Table1[[#This Row],[Sales]])*100</f>
        <v>33.555163406420249</v>
      </c>
    </row>
    <row r="5889" spans="1:12" x14ac:dyDescent="0.3">
      <c r="A5889" t="s">
        <v>3584</v>
      </c>
      <c r="B5889" s="1">
        <v>43795</v>
      </c>
      <c r="C5889" t="s">
        <v>2051</v>
      </c>
      <c r="D5889" t="s">
        <v>2052</v>
      </c>
      <c r="E5889" t="s">
        <v>14</v>
      </c>
      <c r="F5889" t="s">
        <v>41</v>
      </c>
      <c r="G5889" t="s">
        <v>18</v>
      </c>
      <c r="H5889" t="s">
        <v>3586</v>
      </c>
      <c r="I5889" s="2">
        <v>3040</v>
      </c>
      <c r="J5889">
        <v>8</v>
      </c>
      <c r="K5889" s="2">
        <v>1459.2</v>
      </c>
      <c r="L5889" s="3">
        <f>(Table1[[#This Row],[Profit]]/Table1[[#This Row],[Sales]])*100</f>
        <v>48.000000000000007</v>
      </c>
    </row>
    <row r="5890" spans="1:12" x14ac:dyDescent="0.3">
      <c r="A5890" t="s">
        <v>3140</v>
      </c>
      <c r="B5890" s="1">
        <v>43759</v>
      </c>
      <c r="C5890" t="s">
        <v>1488</v>
      </c>
      <c r="D5890" t="s">
        <v>1489</v>
      </c>
      <c r="E5890" t="s">
        <v>14</v>
      </c>
      <c r="F5890" t="s">
        <v>23</v>
      </c>
      <c r="G5890" t="s">
        <v>24</v>
      </c>
      <c r="H5890" t="s">
        <v>3141</v>
      </c>
      <c r="I5890" s="2">
        <v>4535.9759999999997</v>
      </c>
      <c r="J5890">
        <v>3</v>
      </c>
      <c r="K5890" s="2">
        <v>1644.2913000000001</v>
      </c>
      <c r="L5890" s="3">
        <f>(Table1[[#This Row],[Profit]]/Table1[[#This Row],[Sales]])*100</f>
        <v>36.250000000000007</v>
      </c>
    </row>
    <row r="5891" spans="1:12" x14ac:dyDescent="0.3">
      <c r="A5891" t="s">
        <v>4847</v>
      </c>
      <c r="B5891" s="1">
        <v>43999</v>
      </c>
      <c r="C5891" t="s">
        <v>861</v>
      </c>
      <c r="D5891" t="s">
        <v>862</v>
      </c>
      <c r="E5891" t="s">
        <v>14</v>
      </c>
      <c r="F5891" t="s">
        <v>15</v>
      </c>
      <c r="G5891" t="s">
        <v>18</v>
      </c>
      <c r="H5891" t="s">
        <v>4853</v>
      </c>
      <c r="I5891" s="2">
        <v>3436.5</v>
      </c>
      <c r="J5891">
        <v>5</v>
      </c>
      <c r="K5891" s="2">
        <v>1668.2049999999999</v>
      </c>
      <c r="L5891" s="3">
        <f>(Table1[[#This Row],[Profit]]/Table1[[#This Row],[Sales]])*100</f>
        <v>48.543721809981086</v>
      </c>
    </row>
    <row r="5892" spans="1:12" x14ac:dyDescent="0.3">
      <c r="A5892" t="s">
        <v>5615</v>
      </c>
      <c r="B5892" s="1">
        <v>44117</v>
      </c>
      <c r="C5892" t="s">
        <v>2808</v>
      </c>
      <c r="D5892" t="s">
        <v>2809</v>
      </c>
      <c r="E5892" t="s">
        <v>14</v>
      </c>
      <c r="F5892" t="s">
        <v>23</v>
      </c>
      <c r="G5892" t="s">
        <v>24</v>
      </c>
      <c r="H5892" t="s">
        <v>246</v>
      </c>
      <c r="I5892" s="2">
        <v>5107.96</v>
      </c>
      <c r="J5892">
        <v>5</v>
      </c>
      <c r="K5892" s="2">
        <v>1906.4849999999999</v>
      </c>
      <c r="L5892" s="3">
        <f>(Table1[[#This Row],[Profit]]/Table1[[#This Row],[Sales]])*100</f>
        <v>37.323804415069809</v>
      </c>
    </row>
    <row r="5893" spans="1:12" x14ac:dyDescent="0.3">
      <c r="A5893" t="s">
        <v>1027</v>
      </c>
      <c r="B5893" s="1">
        <v>43571</v>
      </c>
      <c r="C5893" t="s">
        <v>1028</v>
      </c>
      <c r="D5893" t="s">
        <v>1029</v>
      </c>
      <c r="E5893" t="s">
        <v>14</v>
      </c>
      <c r="F5893" t="s">
        <v>15</v>
      </c>
      <c r="G5893" t="s">
        <v>18</v>
      </c>
      <c r="H5893" t="s">
        <v>1030</v>
      </c>
      <c r="I5893" s="2">
        <v>9099.93</v>
      </c>
      <c r="J5893">
        <v>7</v>
      </c>
      <c r="K5893" s="2">
        <v>2365.9818</v>
      </c>
      <c r="L5893" s="3">
        <f>(Table1[[#This Row],[Profit]]/Table1[[#This Row],[Sales]])*100</f>
        <v>26</v>
      </c>
    </row>
    <row r="5894" spans="1:12" x14ac:dyDescent="0.3">
      <c r="A5894" t="s">
        <v>450</v>
      </c>
      <c r="B5894" s="1">
        <v>43525</v>
      </c>
      <c r="C5894" t="s">
        <v>451</v>
      </c>
      <c r="D5894" t="s">
        <v>452</v>
      </c>
      <c r="E5894" t="s">
        <v>14</v>
      </c>
      <c r="F5894" t="s">
        <v>15</v>
      </c>
      <c r="G5894" t="s">
        <v>18</v>
      </c>
      <c r="H5894" t="s">
        <v>454</v>
      </c>
      <c r="I5894" s="2">
        <v>4899.93</v>
      </c>
      <c r="J5894">
        <v>7</v>
      </c>
      <c r="K5894" s="2">
        <v>2400.9657000000002</v>
      </c>
      <c r="L5894" s="3">
        <f>(Table1[[#This Row],[Profit]]/Table1[[#This Row],[Sales]])*100</f>
        <v>49</v>
      </c>
    </row>
    <row r="5895" spans="1:12" x14ac:dyDescent="0.3">
      <c r="A5895" t="s">
        <v>4026</v>
      </c>
      <c r="B5895" s="1">
        <v>43846</v>
      </c>
      <c r="C5895" t="s">
        <v>2967</v>
      </c>
      <c r="D5895" t="s">
        <v>2968</v>
      </c>
      <c r="E5895" t="s">
        <v>14</v>
      </c>
      <c r="F5895" t="s">
        <v>29</v>
      </c>
      <c r="G5895" t="s">
        <v>24</v>
      </c>
      <c r="H5895" t="s">
        <v>922</v>
      </c>
      <c r="I5895" s="2">
        <v>5455.96</v>
      </c>
      <c r="J5895">
        <v>4</v>
      </c>
      <c r="K5895" s="2">
        <v>2504.2215999999999</v>
      </c>
      <c r="L5895" s="3">
        <f>(Table1[[#This Row],[Profit]]/Table1[[#This Row],[Sales]])*100</f>
        <v>45.898826237729011</v>
      </c>
    </row>
    <row r="5896" spans="1:12" x14ac:dyDescent="0.3">
      <c r="A5896" t="s">
        <v>3010</v>
      </c>
      <c r="B5896" s="1">
        <v>43742</v>
      </c>
      <c r="C5896" t="s">
        <v>3011</v>
      </c>
      <c r="D5896" t="s">
        <v>3012</v>
      </c>
      <c r="E5896" t="s">
        <v>14</v>
      </c>
      <c r="F5896" t="s">
        <v>15</v>
      </c>
      <c r="G5896" t="s">
        <v>18</v>
      </c>
      <c r="H5896" t="s">
        <v>2172</v>
      </c>
      <c r="I5896" s="2">
        <v>5399.91</v>
      </c>
      <c r="J5896">
        <v>9</v>
      </c>
      <c r="K5896" s="2">
        <v>2591.9567999999999</v>
      </c>
      <c r="L5896" s="3">
        <f>(Table1[[#This Row],[Profit]]/Table1[[#This Row],[Sales]])*100</f>
        <v>48</v>
      </c>
    </row>
    <row r="5897" spans="1:12" x14ac:dyDescent="0.3">
      <c r="A5897" t="s">
        <v>260</v>
      </c>
      <c r="B5897" s="1">
        <v>43498</v>
      </c>
      <c r="C5897" t="s">
        <v>261</v>
      </c>
      <c r="D5897" t="s">
        <v>262</v>
      </c>
      <c r="E5897" t="s">
        <v>14</v>
      </c>
      <c r="F5897" t="s">
        <v>41</v>
      </c>
      <c r="G5897" t="s">
        <v>18</v>
      </c>
      <c r="H5897" t="s">
        <v>263</v>
      </c>
      <c r="I5897" s="2">
        <v>4749.95</v>
      </c>
      <c r="J5897">
        <v>5</v>
      </c>
      <c r="K5897" s="2">
        <v>2799.9839999999999</v>
      </c>
      <c r="L5897" s="3">
        <f>(Table1[[#This Row],[Profit]]/Table1[[#This Row],[Sales]])*100</f>
        <v>58.947652080548217</v>
      </c>
    </row>
    <row r="5898" spans="1:12" x14ac:dyDescent="0.3">
      <c r="A5898" t="s">
        <v>5688</v>
      </c>
      <c r="B5898" s="1">
        <v>44126</v>
      </c>
      <c r="C5898" t="s">
        <v>2533</v>
      </c>
      <c r="D5898" t="s">
        <v>2534</v>
      </c>
      <c r="E5898" t="s">
        <v>14</v>
      </c>
      <c r="F5898" t="s">
        <v>15</v>
      </c>
      <c r="G5898" t="s">
        <v>18</v>
      </c>
      <c r="H5898" t="s">
        <v>1482</v>
      </c>
      <c r="I5898" s="2">
        <v>2212.9679999999998</v>
      </c>
      <c r="J5898">
        <v>4</v>
      </c>
      <c r="K5898" s="2">
        <v>3919.9888000000001</v>
      </c>
      <c r="L5898" s="3">
        <f>(Table1[[#This Row],[Profit]]/Table1[[#This Row],[Sales]])*100</f>
        <v>177.13716601414936</v>
      </c>
    </row>
    <row r="5899" spans="1:12" x14ac:dyDescent="0.3">
      <c r="A5899" t="s">
        <v>3829</v>
      </c>
      <c r="B5899" s="1">
        <v>43816</v>
      </c>
      <c r="C5899" t="s">
        <v>257</v>
      </c>
      <c r="D5899" t="s">
        <v>258</v>
      </c>
      <c r="E5899" t="s">
        <v>14</v>
      </c>
      <c r="F5899" t="s">
        <v>29</v>
      </c>
      <c r="G5899" t="s">
        <v>24</v>
      </c>
      <c r="H5899" t="s">
        <v>2205</v>
      </c>
      <c r="I5899" s="2">
        <v>2892.74</v>
      </c>
      <c r="J5899">
        <v>13</v>
      </c>
      <c r="K5899" s="2">
        <v>4946.37</v>
      </c>
      <c r="L5899" s="3">
        <f>(Table1[[#This Row],[Profit]]/Table1[[#This Row],[Sales]])*100</f>
        <v>170.99255377254784</v>
      </c>
    </row>
    <row r="5900" spans="1:12" x14ac:dyDescent="0.3">
      <c r="A5900" t="s">
        <v>5927</v>
      </c>
      <c r="B5900" s="1">
        <v>44152</v>
      </c>
      <c r="C5900" t="s">
        <v>1850</v>
      </c>
      <c r="D5900" t="s">
        <v>1851</v>
      </c>
      <c r="E5900" t="s">
        <v>14</v>
      </c>
      <c r="F5900" t="s">
        <v>15</v>
      </c>
      <c r="G5900" t="s">
        <v>18</v>
      </c>
      <c r="H5900" t="s">
        <v>1482</v>
      </c>
      <c r="I5900" s="2">
        <v>5517.97</v>
      </c>
      <c r="J5900">
        <v>3</v>
      </c>
      <c r="K5900" s="2">
        <v>5039.9856</v>
      </c>
      <c r="L5900" s="3">
        <f>(Table1[[#This Row],[Profit]]/Table1[[#This Row],[Sales]])*100</f>
        <v>91.337676718068423</v>
      </c>
    </row>
    <row r="5901" spans="1:12" x14ac:dyDescent="0.3">
      <c r="A5901" t="s">
        <v>4323</v>
      </c>
      <c r="B5901" s="1">
        <v>43913</v>
      </c>
      <c r="C5901" t="s">
        <v>824</v>
      </c>
      <c r="D5901" t="s">
        <v>825</v>
      </c>
      <c r="E5901" t="s">
        <v>14</v>
      </c>
      <c r="F5901" t="s">
        <v>23</v>
      </c>
      <c r="G5901" t="s">
        <v>18</v>
      </c>
      <c r="H5901" t="s">
        <v>1482</v>
      </c>
      <c r="I5901" s="2">
        <v>3445.96</v>
      </c>
      <c r="J5901">
        <v>4</v>
      </c>
      <c r="K5901" s="2">
        <v>6719.9808000000003</v>
      </c>
      <c r="L5901" s="3">
        <f>(Table1[[#This Row],[Profit]]/Table1[[#This Row],[Sales]])*100</f>
        <v>195.01041219282871</v>
      </c>
    </row>
    <row r="5902" spans="1:12" x14ac:dyDescent="0.3">
      <c r="A5902" t="s">
        <v>2993</v>
      </c>
      <c r="B5902" s="1">
        <v>43740</v>
      </c>
      <c r="C5902" t="s">
        <v>2994</v>
      </c>
      <c r="D5902" t="s">
        <v>2995</v>
      </c>
      <c r="E5902" t="s">
        <v>14</v>
      </c>
      <c r="F5902" t="s">
        <v>29</v>
      </c>
      <c r="G5902" t="s">
        <v>18</v>
      </c>
      <c r="H5902" t="s">
        <v>1482</v>
      </c>
      <c r="I5902" s="2">
        <v>499.95</v>
      </c>
      <c r="J5902">
        <v>5</v>
      </c>
      <c r="K5902" s="2">
        <v>8399.9760000000006</v>
      </c>
      <c r="L5902" s="3">
        <f>(Table1[[#This Row],[Profit]]/Table1[[#This Row],[Sales]])*100</f>
        <v>1680.1632163216323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98DB-2C87-42F9-AB25-C7D2F633DCA4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5" t="s">
        <v>6312</v>
      </c>
      <c r="B3" t="s">
        <v>6311</v>
      </c>
    </row>
    <row r="4" spans="1:2" x14ac:dyDescent="0.3">
      <c r="A4" s="6" t="s">
        <v>29</v>
      </c>
      <c r="B4" s="4">
        <v>341007.52419999964</v>
      </c>
    </row>
    <row r="5" spans="1:2" x14ac:dyDescent="0.3">
      <c r="A5" s="6" t="s">
        <v>15</v>
      </c>
      <c r="B5" s="4">
        <v>450234.66600000008</v>
      </c>
    </row>
    <row r="6" spans="1:2" x14ac:dyDescent="0.3">
      <c r="A6" s="6" t="s">
        <v>41</v>
      </c>
      <c r="B6" s="4">
        <v>252121.08099999992</v>
      </c>
    </row>
    <row r="7" spans="1:2" x14ac:dyDescent="0.3">
      <c r="A7" s="6" t="s">
        <v>23</v>
      </c>
      <c r="B7" s="4">
        <v>522441.05200000014</v>
      </c>
    </row>
    <row r="8" spans="1:2" x14ac:dyDescent="0.3">
      <c r="A8" s="6" t="s">
        <v>6313</v>
      </c>
      <c r="B8" s="4"/>
    </row>
    <row r="9" spans="1:2" x14ac:dyDescent="0.3">
      <c r="A9" s="6" t="s">
        <v>6314</v>
      </c>
      <c r="B9" s="4">
        <v>1565804.3231999998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30A7-01A6-45B6-BFEE-8D9F87C8789A}">
  <dimension ref="A3:B8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5" t="s">
        <v>6312</v>
      </c>
      <c r="B3" t="s">
        <v>6311</v>
      </c>
    </row>
    <row r="4" spans="1:2" x14ac:dyDescent="0.3">
      <c r="A4" s="6" t="s">
        <v>16</v>
      </c>
      <c r="B4" s="4">
        <v>451508.64520000102</v>
      </c>
    </row>
    <row r="5" spans="1:2" x14ac:dyDescent="0.3">
      <c r="A5" s="6" t="s">
        <v>24</v>
      </c>
      <c r="B5" s="4">
        <v>643707.68700000073</v>
      </c>
    </row>
    <row r="6" spans="1:2" x14ac:dyDescent="0.3">
      <c r="A6" s="6" t="s">
        <v>18</v>
      </c>
      <c r="B6" s="4">
        <v>470587.99100000027</v>
      </c>
    </row>
    <row r="7" spans="1:2" x14ac:dyDescent="0.3">
      <c r="A7" s="6" t="s">
        <v>6313</v>
      </c>
      <c r="B7" s="4"/>
    </row>
    <row r="8" spans="1:2" x14ac:dyDescent="0.3">
      <c r="A8" s="6" t="s">
        <v>6314</v>
      </c>
      <c r="B8" s="4">
        <v>1565804.3232000018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5C4C-5B74-4F8A-85D7-BA1B4A46DEB2}">
  <dimension ref="A3:B32"/>
  <sheetViews>
    <sheetView tabSelected="1" workbookViewId="0">
      <selection activeCell="A4" sqref="A4"/>
    </sheetView>
  </sheetViews>
  <sheetFormatPr defaultRowHeight="14.4" x14ac:dyDescent="0.3"/>
  <cols>
    <col min="1" max="1" width="15.33203125" bestFit="1" customWidth="1"/>
    <col min="2" max="2" width="12" bestFit="1" customWidth="1"/>
  </cols>
  <sheetData>
    <row r="3" spans="1:2" x14ac:dyDescent="0.3">
      <c r="A3" s="5" t="s">
        <v>6312</v>
      </c>
      <c r="B3" t="s">
        <v>6311</v>
      </c>
    </row>
    <row r="4" spans="1:2" x14ac:dyDescent="0.3">
      <c r="A4" s="6" t="s">
        <v>6315</v>
      </c>
      <c r="B4" s="4"/>
    </row>
    <row r="5" spans="1:2" x14ac:dyDescent="0.3">
      <c r="A5" s="7" t="s">
        <v>6315</v>
      </c>
      <c r="B5" s="4"/>
    </row>
    <row r="6" spans="1:2" x14ac:dyDescent="0.3">
      <c r="A6" s="6" t="s">
        <v>6316</v>
      </c>
      <c r="B6" s="4">
        <v>564679.53799999994</v>
      </c>
    </row>
    <row r="7" spans="1:2" x14ac:dyDescent="0.3">
      <c r="A7" s="7" t="s">
        <v>6318</v>
      </c>
      <c r="B7" s="4">
        <v>18616.431</v>
      </c>
    </row>
    <row r="8" spans="1:2" x14ac:dyDescent="0.3">
      <c r="A8" s="7" t="s">
        <v>6319</v>
      </c>
      <c r="B8" s="4">
        <v>19978.814999999999</v>
      </c>
    </row>
    <row r="9" spans="1:2" x14ac:dyDescent="0.3">
      <c r="A9" s="7" t="s">
        <v>6320</v>
      </c>
      <c r="B9" s="4">
        <v>51715.874999999985</v>
      </c>
    </row>
    <row r="10" spans="1:2" x14ac:dyDescent="0.3">
      <c r="A10" s="7" t="s">
        <v>6321</v>
      </c>
      <c r="B10" s="4">
        <v>38750.038999999997</v>
      </c>
    </row>
    <row r="11" spans="1:2" x14ac:dyDescent="0.3">
      <c r="A11" s="7" t="s">
        <v>6322</v>
      </c>
      <c r="B11" s="4">
        <v>50987.727999999988</v>
      </c>
    </row>
    <row r="12" spans="1:2" x14ac:dyDescent="0.3">
      <c r="A12" s="7" t="s">
        <v>6323</v>
      </c>
      <c r="B12" s="4">
        <v>40344.534</v>
      </c>
    </row>
    <row r="13" spans="1:2" x14ac:dyDescent="0.3">
      <c r="A13" s="7" t="s">
        <v>6324</v>
      </c>
      <c r="B13" s="4">
        <v>39261.962999999996</v>
      </c>
    </row>
    <row r="14" spans="1:2" x14ac:dyDescent="0.3">
      <c r="A14" s="7" t="s">
        <v>6325</v>
      </c>
      <c r="B14" s="4">
        <v>31115.374299999999</v>
      </c>
    </row>
    <row r="15" spans="1:2" x14ac:dyDescent="0.3">
      <c r="A15" s="7" t="s">
        <v>6326</v>
      </c>
      <c r="B15" s="4">
        <v>73410.024900000048</v>
      </c>
    </row>
    <row r="16" spans="1:2" x14ac:dyDescent="0.3">
      <c r="A16" s="7" t="s">
        <v>6327</v>
      </c>
      <c r="B16" s="4">
        <v>42687.74500000001</v>
      </c>
    </row>
    <row r="17" spans="1:2" x14ac:dyDescent="0.3">
      <c r="A17" s="7" t="s">
        <v>6328</v>
      </c>
      <c r="B17" s="4">
        <v>79411.96580000002</v>
      </c>
    </row>
    <row r="18" spans="1:2" x14ac:dyDescent="0.3">
      <c r="A18" s="7" t="s">
        <v>6329</v>
      </c>
      <c r="B18" s="4">
        <v>78399.042999999961</v>
      </c>
    </row>
    <row r="19" spans="1:2" x14ac:dyDescent="0.3">
      <c r="A19" s="6" t="s">
        <v>6317</v>
      </c>
      <c r="B19" s="4">
        <v>1001124.7852000002</v>
      </c>
    </row>
    <row r="20" spans="1:2" x14ac:dyDescent="0.3">
      <c r="A20" s="7" t="s">
        <v>6318</v>
      </c>
      <c r="B20" s="4">
        <v>54763.374000000011</v>
      </c>
    </row>
    <row r="21" spans="1:2" x14ac:dyDescent="0.3">
      <c r="A21" s="7" t="s">
        <v>6319</v>
      </c>
      <c r="B21" s="4">
        <v>52068.133399999984</v>
      </c>
    </row>
    <row r="22" spans="1:2" x14ac:dyDescent="0.3">
      <c r="A22" s="7" t="s">
        <v>6320</v>
      </c>
      <c r="B22" s="4">
        <v>64229.352799999979</v>
      </c>
    </row>
    <row r="23" spans="1:2" x14ac:dyDescent="0.3">
      <c r="A23" s="7" t="s">
        <v>6321</v>
      </c>
      <c r="B23" s="4">
        <v>50807.536099999983</v>
      </c>
    </row>
    <row r="24" spans="1:2" x14ac:dyDescent="0.3">
      <c r="A24" s="7" t="s">
        <v>6322</v>
      </c>
      <c r="B24" s="4">
        <v>66750.110200000025</v>
      </c>
    </row>
    <row r="25" spans="1:2" x14ac:dyDescent="0.3">
      <c r="A25" s="7" t="s">
        <v>6323</v>
      </c>
      <c r="B25" s="4">
        <v>69242.725699999981</v>
      </c>
    </row>
    <row r="26" spans="1:2" x14ac:dyDescent="0.3">
      <c r="A26" s="7" t="s">
        <v>6324</v>
      </c>
      <c r="B26" s="4">
        <v>60077.415999999997</v>
      </c>
    </row>
    <row r="27" spans="1:2" x14ac:dyDescent="0.3">
      <c r="A27" s="7" t="s">
        <v>6325</v>
      </c>
      <c r="B27" s="4">
        <v>77338.887999999992</v>
      </c>
    </row>
    <row r="28" spans="1:2" x14ac:dyDescent="0.3">
      <c r="A28" s="7" t="s">
        <v>6326</v>
      </c>
      <c r="B28" s="4">
        <v>119803.65200000007</v>
      </c>
    </row>
    <row r="29" spans="1:2" x14ac:dyDescent="0.3">
      <c r="A29" s="7" t="s">
        <v>6327</v>
      </c>
      <c r="B29" s="4">
        <v>88896.923200000019</v>
      </c>
    </row>
    <row r="30" spans="1:2" x14ac:dyDescent="0.3">
      <c r="A30" s="7" t="s">
        <v>6328</v>
      </c>
      <c r="B30" s="4">
        <v>130960.82500000008</v>
      </c>
    </row>
    <row r="31" spans="1:2" x14ac:dyDescent="0.3">
      <c r="A31" s="7" t="s">
        <v>6329</v>
      </c>
      <c r="B31" s="4">
        <v>166185.84880000004</v>
      </c>
    </row>
    <row r="32" spans="1:2" x14ac:dyDescent="0.3">
      <c r="A32" s="6" t="s">
        <v>6314</v>
      </c>
      <c r="B32" s="4">
        <v>1565804.3232000002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Shweta Patil</cp:lastModifiedBy>
  <dcterms:created xsi:type="dcterms:W3CDTF">2023-05-30T12:30:44Z</dcterms:created>
  <dcterms:modified xsi:type="dcterms:W3CDTF">2026-02-10T18:29:34Z</dcterms:modified>
</cp:coreProperties>
</file>